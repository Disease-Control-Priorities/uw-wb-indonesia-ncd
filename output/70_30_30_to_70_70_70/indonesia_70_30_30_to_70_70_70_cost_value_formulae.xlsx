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uwnetid-my.sharepoint.com/personal/wrgg_uw_edu/Documents/02Work/WorldBank-Indonesia/uw-wb-indonesia-ncd/output/70_30_30_to_70_70_70/"/>
    </mc:Choice>
  </mc:AlternateContent>
  <xr:revisionPtr revIDLastSave="0" documentId="11_9295C6E1BE7D07CAE450BEDBADFEB0E314D287B2" xr6:coauthVersionLast="47" xr6:coauthVersionMax="47" xr10:uidLastSave="{00000000-0000-0000-0000-000000000000}"/>
  <bookViews>
    <workbookView xWindow="-108" yWindow="-108" windowWidth="23256" windowHeight="12456" firstSheet="8" activeTab="13" xr2:uid="{00000000-000D-0000-FFFF-FFFF00000000}"/>
  </bookViews>
  <sheets>
    <sheet name="README" sheetId="2" r:id="rId1"/>
    <sheet name="Run_Metadata" sheetId="3" r:id="rId2"/>
    <sheet name="Scenario_Catalog" sheetId="19" r:id="rId3"/>
    <sheet name="Cascade_Assumptions" sheetId="20" r:id="rId4"/>
    <sheet name="Cascade_Trajectory" sheetId="21" r:id="rId5"/>
    <sheet name="Cascade_QA" sheetId="22" r:id="rId6"/>
    <sheet name="Selected_Interventions" sheetId="4" r:id="rId7"/>
    <sheet name="Cost_Components" sheetId="5" r:id="rId8"/>
    <sheet name="Annual_Mortality" sheetId="6" r:id="rId9"/>
    <sheet name="Health_Outcomes" sheetId="10" r:id="rId10"/>
    <sheet name="CVD_40q30" sheetId="14" r:id="rId11"/>
    <sheet name="CVD_40q30_Age" sheetId="13" r:id="rId12"/>
    <sheet name="Annual_Cost" sheetId="7" r:id="rId13"/>
    <sheet name="Budget_Impact" sheetId="8" r:id="rId14"/>
    <sheet name="Cost_Effectiveness" sheetId="9" r:id="rId15"/>
    <sheet name="Economic_Value" sheetId="11" r:id="rId16"/>
    <sheet name="Benefit_Cost" sheetId="12" r:id="rId17"/>
    <sheet name="QA_Checks" sheetId="16" r:id="rId18"/>
    <sheet name="Input_Diagnostic" sheetId="15" r:id="rId19"/>
    <sheet name="Methods_and_Sources" sheetId="17" r:id="rId20"/>
    <sheet name="Calculation_Assumptions" sheetId="1" r:id="rId21"/>
    <sheet name="Calculation_Map" sheetId="18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8" l="1"/>
  <c r="C18" i="16"/>
  <c r="D18" i="16" s="1"/>
  <c r="C17" i="16"/>
  <c r="D17" i="16" s="1"/>
  <c r="C16" i="16"/>
  <c r="D16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AA27" i="11"/>
  <c r="Z27" i="11"/>
  <c r="Y27" i="11"/>
  <c r="X27" i="11"/>
  <c r="U27" i="11"/>
  <c r="T27" i="11"/>
  <c r="S27" i="11"/>
  <c r="O27" i="11"/>
  <c r="N27" i="11"/>
  <c r="K27" i="11"/>
  <c r="L27" i="11" s="1"/>
  <c r="J27" i="11"/>
  <c r="AA26" i="11"/>
  <c r="Z26" i="11"/>
  <c r="Y26" i="11"/>
  <c r="U26" i="11"/>
  <c r="T26" i="11"/>
  <c r="O26" i="11"/>
  <c r="N26" i="11"/>
  <c r="S26" i="11" s="1"/>
  <c r="X26" i="11" s="1"/>
  <c r="L26" i="11"/>
  <c r="K26" i="11"/>
  <c r="J26" i="11"/>
  <c r="Z25" i="11"/>
  <c r="AA25" i="11" s="1"/>
  <c r="U25" i="11"/>
  <c r="Q25" i="11"/>
  <c r="V25" i="11" s="1"/>
  <c r="O25" i="11"/>
  <c r="T25" i="11" s="1"/>
  <c r="Y25" i="11" s="1"/>
  <c r="N25" i="11"/>
  <c r="S25" i="11" s="1"/>
  <c r="X25" i="11" s="1"/>
  <c r="L25" i="11"/>
  <c r="K25" i="11"/>
  <c r="J25" i="11"/>
  <c r="AA24" i="11"/>
  <c r="Z24" i="11"/>
  <c r="U24" i="11"/>
  <c r="T24" i="11"/>
  <c r="Y24" i="11" s="1"/>
  <c r="O24" i="11"/>
  <c r="N24" i="11"/>
  <c r="S24" i="11" s="1"/>
  <c r="X24" i="11" s="1"/>
  <c r="K24" i="11"/>
  <c r="J24" i="11"/>
  <c r="L24" i="11" s="1"/>
  <c r="Z23" i="11"/>
  <c r="U23" i="11"/>
  <c r="AA23" i="11" s="1"/>
  <c r="T23" i="11"/>
  <c r="Y23" i="11" s="1"/>
  <c r="O23" i="11"/>
  <c r="N23" i="11"/>
  <c r="S23" i="11" s="1"/>
  <c r="K23" i="11"/>
  <c r="J23" i="11"/>
  <c r="L23" i="11" s="1"/>
  <c r="Z22" i="11"/>
  <c r="U22" i="11"/>
  <c r="X22" i="11" s="1"/>
  <c r="T22" i="11"/>
  <c r="S22" i="11"/>
  <c r="O22" i="11"/>
  <c r="N22" i="11"/>
  <c r="K22" i="11"/>
  <c r="J22" i="11"/>
  <c r="L22" i="11" s="1"/>
  <c r="AA21" i="11"/>
  <c r="Z21" i="11"/>
  <c r="X21" i="11"/>
  <c r="U21" i="11"/>
  <c r="T21" i="11"/>
  <c r="Y21" i="11" s="1"/>
  <c r="S21" i="11"/>
  <c r="O21" i="11"/>
  <c r="N21" i="11"/>
  <c r="K21" i="11"/>
  <c r="J21" i="11"/>
  <c r="AA20" i="11"/>
  <c r="Z20" i="11"/>
  <c r="Y20" i="11"/>
  <c r="U20" i="11"/>
  <c r="T20" i="11"/>
  <c r="O20" i="11"/>
  <c r="N20" i="11"/>
  <c r="S20" i="11" s="1"/>
  <c r="X20" i="11" s="1"/>
  <c r="M20" i="11"/>
  <c r="K20" i="11"/>
  <c r="L20" i="11" s="1"/>
  <c r="Q20" i="11" s="1"/>
  <c r="J20" i="11"/>
  <c r="Z19" i="11"/>
  <c r="AA19" i="11" s="1"/>
  <c r="U19" i="11"/>
  <c r="P19" i="11"/>
  <c r="R19" i="11" s="1"/>
  <c r="W19" i="11" s="1"/>
  <c r="O19" i="11"/>
  <c r="T19" i="11" s="1"/>
  <c r="Y19" i="11" s="1"/>
  <c r="N19" i="11"/>
  <c r="S19" i="11" s="1"/>
  <c r="X19" i="11" s="1"/>
  <c r="L19" i="11"/>
  <c r="M19" i="11" s="1"/>
  <c r="K19" i="11"/>
  <c r="J19" i="11"/>
  <c r="Z18" i="11"/>
  <c r="U18" i="11"/>
  <c r="T18" i="11"/>
  <c r="Y18" i="11" s="1"/>
  <c r="S18" i="11"/>
  <c r="X18" i="11" s="1"/>
  <c r="O18" i="11"/>
  <c r="N18" i="11"/>
  <c r="K18" i="11"/>
  <c r="J18" i="11"/>
  <c r="L18" i="11" s="1"/>
  <c r="P18" i="11" s="1"/>
  <c r="R18" i="11" s="1"/>
  <c r="W18" i="11" s="1"/>
  <c r="AA17" i="11"/>
  <c r="Z17" i="11"/>
  <c r="Y17" i="11"/>
  <c r="U17" i="11"/>
  <c r="T17" i="11"/>
  <c r="S17" i="11"/>
  <c r="X17" i="11" s="1"/>
  <c r="O17" i="11"/>
  <c r="N17" i="11"/>
  <c r="K17" i="11"/>
  <c r="J17" i="11"/>
  <c r="L17" i="11" s="1"/>
  <c r="Z16" i="11"/>
  <c r="AA16" i="11" s="1"/>
  <c r="Y16" i="11"/>
  <c r="U16" i="11"/>
  <c r="T16" i="11"/>
  <c r="S16" i="11"/>
  <c r="O16" i="11"/>
  <c r="N16" i="11"/>
  <c r="L16" i="11"/>
  <c r="K16" i="11"/>
  <c r="J16" i="11"/>
  <c r="Z15" i="11"/>
  <c r="AA15" i="11" s="1"/>
  <c r="X15" i="11"/>
  <c r="U15" i="11"/>
  <c r="S15" i="11"/>
  <c r="O15" i="11"/>
  <c r="T15" i="11" s="1"/>
  <c r="Y15" i="11" s="1"/>
  <c r="N15" i="11"/>
  <c r="M15" i="11"/>
  <c r="L15" i="11"/>
  <c r="K15" i="11"/>
  <c r="J15" i="11"/>
  <c r="AA14" i="11"/>
  <c r="Z14" i="11"/>
  <c r="Y14" i="11"/>
  <c r="U14" i="11"/>
  <c r="O14" i="11"/>
  <c r="T14" i="11" s="1"/>
  <c r="N14" i="11"/>
  <c r="S14" i="11" s="1"/>
  <c r="X14" i="11" s="1"/>
  <c r="K14" i="11"/>
  <c r="J14" i="11"/>
  <c r="L14" i="11" s="1"/>
  <c r="Z13" i="11"/>
  <c r="U13" i="11"/>
  <c r="AA13" i="11" s="1"/>
  <c r="O13" i="11"/>
  <c r="T13" i="11" s="1"/>
  <c r="Y13" i="11" s="1"/>
  <c r="N13" i="11"/>
  <c r="S13" i="11" s="1"/>
  <c r="X13" i="11" s="1"/>
  <c r="L13" i="11"/>
  <c r="K13" i="11"/>
  <c r="J13" i="11"/>
  <c r="Z12" i="11"/>
  <c r="U12" i="11"/>
  <c r="S12" i="11"/>
  <c r="X12" i="11" s="1"/>
  <c r="Q12" i="11"/>
  <c r="V12" i="11" s="1"/>
  <c r="O12" i="11"/>
  <c r="T12" i="11" s="1"/>
  <c r="N12" i="11"/>
  <c r="K12" i="11"/>
  <c r="J12" i="11"/>
  <c r="L12" i="11" s="1"/>
  <c r="AA11" i="11"/>
  <c r="Z11" i="11"/>
  <c r="Y11" i="11"/>
  <c r="X11" i="11"/>
  <c r="U11" i="11"/>
  <c r="T11" i="11"/>
  <c r="S11" i="11"/>
  <c r="O11" i="11"/>
  <c r="N11" i="11"/>
  <c r="K11" i="11"/>
  <c r="L11" i="11" s="1"/>
  <c r="J11" i="11"/>
  <c r="Z10" i="11"/>
  <c r="U10" i="11"/>
  <c r="AA10" i="11" s="1"/>
  <c r="T10" i="11"/>
  <c r="O10" i="11"/>
  <c r="N10" i="11"/>
  <c r="S10" i="11" s="1"/>
  <c r="L10" i="11"/>
  <c r="K10" i="11"/>
  <c r="J10" i="11"/>
  <c r="Z9" i="11"/>
  <c r="X9" i="11"/>
  <c r="U9" i="11"/>
  <c r="O9" i="11"/>
  <c r="T9" i="11" s="1"/>
  <c r="Y9" i="11" s="1"/>
  <c r="N9" i="11"/>
  <c r="S9" i="11" s="1"/>
  <c r="K9" i="11"/>
  <c r="J9" i="11"/>
  <c r="L9" i="11" s="1"/>
  <c r="AA8" i="11"/>
  <c r="Z8" i="11"/>
  <c r="U8" i="11"/>
  <c r="O8" i="11"/>
  <c r="T8" i="11" s="1"/>
  <c r="Y8" i="11" s="1"/>
  <c r="N8" i="11"/>
  <c r="S8" i="11" s="1"/>
  <c r="X8" i="11" s="1"/>
  <c r="K8" i="11"/>
  <c r="J8" i="11"/>
  <c r="Z7" i="11"/>
  <c r="U7" i="11"/>
  <c r="AA7" i="11" s="1"/>
  <c r="T7" i="11"/>
  <c r="Y7" i="11" s="1"/>
  <c r="O7" i="11"/>
  <c r="N7" i="11"/>
  <c r="S7" i="11" s="1"/>
  <c r="X7" i="11" s="1"/>
  <c r="K7" i="11"/>
  <c r="J7" i="11"/>
  <c r="L7" i="11" s="1"/>
  <c r="Z6" i="11"/>
  <c r="X6" i="11"/>
  <c r="U6" i="11"/>
  <c r="T6" i="11"/>
  <c r="Y6" i="11" s="1"/>
  <c r="S6" i="11"/>
  <c r="O6" i="11"/>
  <c r="N6" i="11"/>
  <c r="K6" i="11"/>
  <c r="J6" i="11"/>
  <c r="L6" i="11" s="1"/>
  <c r="AA5" i="11"/>
  <c r="Z5" i="11"/>
  <c r="X5" i="11"/>
  <c r="U5" i="11"/>
  <c r="T5" i="11"/>
  <c r="Y5" i="11" s="1"/>
  <c r="S5" i="11"/>
  <c r="O5" i="11"/>
  <c r="N5" i="11"/>
  <c r="K5" i="11"/>
  <c r="J5" i="11"/>
  <c r="AA4" i="11"/>
  <c r="Z4" i="11"/>
  <c r="Y4" i="11"/>
  <c r="U4" i="11"/>
  <c r="T4" i="11"/>
  <c r="O4" i="11"/>
  <c r="N4" i="11"/>
  <c r="S4" i="11" s="1"/>
  <c r="X4" i="11" s="1"/>
  <c r="K4" i="11"/>
  <c r="L4" i="11" s="1"/>
  <c r="Q4" i="11" s="1"/>
  <c r="J4" i="11"/>
  <c r="Z3" i="11"/>
  <c r="AA3" i="11" s="1"/>
  <c r="U3" i="11"/>
  <c r="O3" i="11"/>
  <c r="T3" i="11" s="1"/>
  <c r="Y3" i="11" s="1"/>
  <c r="N3" i="11"/>
  <c r="S3" i="11" s="1"/>
  <c r="X3" i="11" s="1"/>
  <c r="K3" i="11"/>
  <c r="J3" i="11"/>
  <c r="L3" i="11" s="1"/>
  <c r="Z2" i="11"/>
  <c r="U2" i="11"/>
  <c r="T2" i="11"/>
  <c r="Y2" i="11" s="1"/>
  <c r="S2" i="11"/>
  <c r="X2" i="11" s="1"/>
  <c r="Q2" i="11"/>
  <c r="V2" i="11" s="1"/>
  <c r="O2" i="11"/>
  <c r="N2" i="11"/>
  <c r="K2" i="11"/>
  <c r="J2" i="11"/>
  <c r="L2" i="11" s="1"/>
  <c r="AH131" i="7"/>
  <c r="AE131" i="7"/>
  <c r="AD131" i="7"/>
  <c r="AC131" i="7"/>
  <c r="V131" i="7"/>
  <c r="U131" i="7"/>
  <c r="T131" i="7"/>
  <c r="O131" i="7"/>
  <c r="R131" i="7" s="1"/>
  <c r="N131" i="7"/>
  <c r="M131" i="7"/>
  <c r="J131" i="7"/>
  <c r="P131" i="7" s="1"/>
  <c r="AH130" i="7"/>
  <c r="AE130" i="7"/>
  <c r="AD130" i="7"/>
  <c r="AC130" i="7"/>
  <c r="V130" i="7"/>
  <c r="U130" i="7"/>
  <c r="T130" i="7"/>
  <c r="O130" i="7"/>
  <c r="R130" i="7" s="1"/>
  <c r="N130" i="7"/>
  <c r="M130" i="7"/>
  <c r="J130" i="7"/>
  <c r="P130" i="7" s="1"/>
  <c r="AH129" i="7"/>
  <c r="AE129" i="7"/>
  <c r="AD129" i="7"/>
  <c r="AC129" i="7"/>
  <c r="V129" i="7"/>
  <c r="U129" i="7"/>
  <c r="T129" i="7"/>
  <c r="N129" i="7"/>
  <c r="M129" i="7"/>
  <c r="J129" i="7"/>
  <c r="P129" i="7" s="1"/>
  <c r="AH128" i="7"/>
  <c r="AE128" i="7"/>
  <c r="AD128" i="7"/>
  <c r="AC128" i="7"/>
  <c r="V128" i="7"/>
  <c r="U128" i="7"/>
  <c r="T128" i="7"/>
  <c r="O128" i="7"/>
  <c r="R128" i="7" s="1"/>
  <c r="N128" i="7"/>
  <c r="M128" i="7"/>
  <c r="J128" i="7"/>
  <c r="P128" i="7" s="1"/>
  <c r="AH127" i="7"/>
  <c r="AE127" i="7"/>
  <c r="AD127" i="7"/>
  <c r="AC127" i="7"/>
  <c r="V127" i="7"/>
  <c r="U127" i="7"/>
  <c r="T127" i="7"/>
  <c r="P127" i="7"/>
  <c r="O127" i="7"/>
  <c r="R127" i="7" s="1"/>
  <c r="N127" i="7"/>
  <c r="M127" i="7"/>
  <c r="J127" i="7"/>
  <c r="AH126" i="7"/>
  <c r="AE126" i="7"/>
  <c r="AD126" i="7"/>
  <c r="AC126" i="7"/>
  <c r="V126" i="7"/>
  <c r="U126" i="7"/>
  <c r="T126" i="7"/>
  <c r="N126" i="7"/>
  <c r="M126" i="7"/>
  <c r="J126" i="7"/>
  <c r="AH125" i="7"/>
  <c r="AE125" i="7"/>
  <c r="AD125" i="7"/>
  <c r="AC125" i="7"/>
  <c r="V125" i="7"/>
  <c r="U125" i="7"/>
  <c r="T125" i="7"/>
  <c r="N125" i="7"/>
  <c r="M125" i="7"/>
  <c r="J125" i="7"/>
  <c r="AH124" i="7"/>
  <c r="AE124" i="7"/>
  <c r="AD124" i="7"/>
  <c r="AC124" i="7"/>
  <c r="V124" i="7"/>
  <c r="U124" i="7"/>
  <c r="T124" i="7"/>
  <c r="O124" i="7"/>
  <c r="R124" i="7" s="1"/>
  <c r="N124" i="7"/>
  <c r="M124" i="7"/>
  <c r="J124" i="7"/>
  <c r="P124" i="7" s="1"/>
  <c r="AH123" i="7"/>
  <c r="AE123" i="7"/>
  <c r="AD123" i="7"/>
  <c r="AC123" i="7"/>
  <c r="V123" i="7"/>
  <c r="U123" i="7"/>
  <c r="T123" i="7"/>
  <c r="O123" i="7"/>
  <c r="R123" i="7" s="1"/>
  <c r="N123" i="7"/>
  <c r="M123" i="7"/>
  <c r="J123" i="7"/>
  <c r="P123" i="7" s="1"/>
  <c r="AH122" i="7"/>
  <c r="AE122" i="7"/>
  <c r="AD122" i="7"/>
  <c r="AC122" i="7"/>
  <c r="V122" i="7"/>
  <c r="U122" i="7"/>
  <c r="T122" i="7"/>
  <c r="R122" i="7"/>
  <c r="AK122" i="7" s="1"/>
  <c r="O122" i="7"/>
  <c r="N122" i="7"/>
  <c r="M122" i="7"/>
  <c r="J122" i="7"/>
  <c r="P122" i="7" s="1"/>
  <c r="AH121" i="7"/>
  <c r="AE121" i="7"/>
  <c r="AD121" i="7"/>
  <c r="AC121" i="7"/>
  <c r="V121" i="7"/>
  <c r="U121" i="7"/>
  <c r="T121" i="7"/>
  <c r="O121" i="7"/>
  <c r="R121" i="7" s="1"/>
  <c r="N121" i="7"/>
  <c r="M121" i="7"/>
  <c r="J121" i="7"/>
  <c r="P121" i="7" s="1"/>
  <c r="AH120" i="7"/>
  <c r="AE120" i="7"/>
  <c r="AD120" i="7"/>
  <c r="AC120" i="7"/>
  <c r="V120" i="7"/>
  <c r="U120" i="7"/>
  <c r="T120" i="7"/>
  <c r="O120" i="7"/>
  <c r="R120" i="7" s="1"/>
  <c r="N120" i="7"/>
  <c r="M120" i="7"/>
  <c r="J120" i="7"/>
  <c r="P120" i="7" s="1"/>
  <c r="AH119" i="7"/>
  <c r="AE119" i="7"/>
  <c r="AD119" i="7"/>
  <c r="AC119" i="7"/>
  <c r="V119" i="7"/>
  <c r="U119" i="7"/>
  <c r="T119" i="7"/>
  <c r="P119" i="7"/>
  <c r="O119" i="7"/>
  <c r="R119" i="7" s="1"/>
  <c r="N119" i="7"/>
  <c r="M119" i="7"/>
  <c r="J119" i="7"/>
  <c r="AH118" i="7"/>
  <c r="AE118" i="7"/>
  <c r="AD118" i="7"/>
  <c r="AC118" i="7"/>
  <c r="V118" i="7"/>
  <c r="U118" i="7"/>
  <c r="T118" i="7"/>
  <c r="N118" i="7"/>
  <c r="M118" i="7"/>
  <c r="J118" i="7"/>
  <c r="O118" i="7" s="1"/>
  <c r="R118" i="7" s="1"/>
  <c r="AH117" i="7"/>
  <c r="AE117" i="7"/>
  <c r="AD117" i="7"/>
  <c r="AC117" i="7"/>
  <c r="V117" i="7"/>
  <c r="U117" i="7"/>
  <c r="T117" i="7"/>
  <c r="N117" i="7"/>
  <c r="M117" i="7"/>
  <c r="J117" i="7"/>
  <c r="AH116" i="7"/>
  <c r="AE116" i="7"/>
  <c r="AD116" i="7"/>
  <c r="AC116" i="7"/>
  <c r="V116" i="7"/>
  <c r="U116" i="7"/>
  <c r="T116" i="7"/>
  <c r="N116" i="7"/>
  <c r="M116" i="7"/>
  <c r="J116" i="7"/>
  <c r="P116" i="7" s="1"/>
  <c r="AH115" i="7"/>
  <c r="AE115" i="7"/>
  <c r="AD115" i="7"/>
  <c r="AC115" i="7"/>
  <c r="V115" i="7"/>
  <c r="U115" i="7"/>
  <c r="T115" i="7"/>
  <c r="N115" i="7"/>
  <c r="M115" i="7"/>
  <c r="J115" i="7"/>
  <c r="P115" i="7" s="1"/>
  <c r="AH114" i="7"/>
  <c r="AE114" i="7"/>
  <c r="AD114" i="7"/>
  <c r="AC114" i="7"/>
  <c r="V114" i="7"/>
  <c r="U114" i="7"/>
  <c r="T114" i="7"/>
  <c r="N114" i="7"/>
  <c r="M114" i="7"/>
  <c r="J114" i="7"/>
  <c r="AH113" i="7"/>
  <c r="AE113" i="7"/>
  <c r="AD113" i="7"/>
  <c r="AC113" i="7"/>
  <c r="V113" i="7"/>
  <c r="U113" i="7"/>
  <c r="T113" i="7"/>
  <c r="R113" i="7"/>
  <c r="P113" i="7"/>
  <c r="N113" i="7"/>
  <c r="M113" i="7"/>
  <c r="J113" i="7"/>
  <c r="O113" i="7" s="1"/>
  <c r="AH112" i="7"/>
  <c r="AE112" i="7"/>
  <c r="AD112" i="7"/>
  <c r="AC112" i="7"/>
  <c r="X112" i="7"/>
  <c r="V112" i="7"/>
  <c r="U112" i="7"/>
  <c r="T112" i="7"/>
  <c r="O112" i="7"/>
  <c r="R112" i="7" s="1"/>
  <c r="AK112" i="7" s="1"/>
  <c r="N112" i="7"/>
  <c r="M112" i="7"/>
  <c r="J112" i="7"/>
  <c r="P112" i="7" s="1"/>
  <c r="AH111" i="7"/>
  <c r="AE111" i="7"/>
  <c r="AD111" i="7"/>
  <c r="AC111" i="7"/>
  <c r="V111" i="7"/>
  <c r="U111" i="7"/>
  <c r="T111" i="7"/>
  <c r="P111" i="7"/>
  <c r="O111" i="7"/>
  <c r="N111" i="7"/>
  <c r="M111" i="7"/>
  <c r="J111" i="7"/>
  <c r="AH110" i="7"/>
  <c r="AE110" i="7"/>
  <c r="AD110" i="7"/>
  <c r="AC110" i="7"/>
  <c r="V110" i="7"/>
  <c r="U110" i="7"/>
  <c r="T110" i="7"/>
  <c r="O110" i="7"/>
  <c r="R110" i="7" s="1"/>
  <c r="N110" i="7"/>
  <c r="M110" i="7"/>
  <c r="J110" i="7"/>
  <c r="P110" i="7" s="1"/>
  <c r="AH109" i="7"/>
  <c r="AE109" i="7"/>
  <c r="AD109" i="7"/>
  <c r="AC109" i="7"/>
  <c r="V109" i="7"/>
  <c r="U109" i="7"/>
  <c r="T109" i="7"/>
  <c r="N109" i="7"/>
  <c r="M109" i="7"/>
  <c r="J109" i="7"/>
  <c r="AH108" i="7"/>
  <c r="AE108" i="7"/>
  <c r="AD108" i="7"/>
  <c r="AC108" i="7"/>
  <c r="V108" i="7"/>
  <c r="U108" i="7"/>
  <c r="T108" i="7"/>
  <c r="N108" i="7"/>
  <c r="M108" i="7"/>
  <c r="J108" i="7"/>
  <c r="P108" i="7" s="1"/>
  <c r="AH107" i="7"/>
  <c r="AE107" i="7"/>
  <c r="AD107" i="7"/>
  <c r="AC107" i="7"/>
  <c r="V107" i="7"/>
  <c r="U107" i="7"/>
  <c r="T107" i="7"/>
  <c r="N107" i="7"/>
  <c r="M107" i="7"/>
  <c r="J107" i="7"/>
  <c r="AH106" i="7"/>
  <c r="AE106" i="7"/>
  <c r="AD106" i="7"/>
  <c r="AC106" i="7"/>
  <c r="V106" i="7"/>
  <c r="U106" i="7"/>
  <c r="T106" i="7"/>
  <c r="N106" i="7"/>
  <c r="M106" i="7"/>
  <c r="J106" i="7"/>
  <c r="P106" i="7" s="1"/>
  <c r="AH105" i="7"/>
  <c r="AE105" i="7"/>
  <c r="AD105" i="7"/>
  <c r="AC105" i="7"/>
  <c r="V105" i="7"/>
  <c r="U105" i="7"/>
  <c r="T105" i="7"/>
  <c r="N105" i="7"/>
  <c r="M105" i="7"/>
  <c r="J105" i="7"/>
  <c r="AH104" i="7"/>
  <c r="AE104" i="7"/>
  <c r="AD104" i="7"/>
  <c r="AC104" i="7"/>
  <c r="V104" i="7"/>
  <c r="U104" i="7"/>
  <c r="T104" i="7"/>
  <c r="O104" i="7"/>
  <c r="R104" i="7" s="1"/>
  <c r="N104" i="7"/>
  <c r="M104" i="7"/>
  <c r="J104" i="7"/>
  <c r="P104" i="7" s="1"/>
  <c r="AH103" i="7"/>
  <c r="AE103" i="7"/>
  <c r="AD103" i="7"/>
  <c r="AC103" i="7"/>
  <c r="V103" i="7"/>
  <c r="U103" i="7"/>
  <c r="T103" i="7"/>
  <c r="P103" i="7"/>
  <c r="O103" i="7"/>
  <c r="R103" i="7" s="1"/>
  <c r="N103" i="7"/>
  <c r="M103" i="7"/>
  <c r="J103" i="7"/>
  <c r="AH102" i="7"/>
  <c r="AE102" i="7"/>
  <c r="AD102" i="7"/>
  <c r="AC102" i="7"/>
  <c r="V102" i="7"/>
  <c r="U102" i="7"/>
  <c r="T102" i="7"/>
  <c r="O102" i="7"/>
  <c r="N102" i="7"/>
  <c r="M102" i="7"/>
  <c r="J102" i="7"/>
  <c r="P102" i="7" s="1"/>
  <c r="AH101" i="7"/>
  <c r="AE101" i="7"/>
  <c r="AD101" i="7"/>
  <c r="AC101" i="7"/>
  <c r="V101" i="7"/>
  <c r="U101" i="7"/>
  <c r="T101" i="7"/>
  <c r="N101" i="7"/>
  <c r="M101" i="7"/>
  <c r="J101" i="7"/>
  <c r="AH100" i="7"/>
  <c r="AE100" i="7"/>
  <c r="AD100" i="7"/>
  <c r="AC100" i="7"/>
  <c r="V100" i="7"/>
  <c r="U100" i="7"/>
  <c r="T100" i="7"/>
  <c r="N100" i="7"/>
  <c r="M100" i="7"/>
  <c r="J100" i="7"/>
  <c r="P100" i="7" s="1"/>
  <c r="AH99" i="7"/>
  <c r="AE99" i="7"/>
  <c r="AD99" i="7"/>
  <c r="AC99" i="7"/>
  <c r="V99" i="7"/>
  <c r="U99" i="7"/>
  <c r="T99" i="7"/>
  <c r="P99" i="7"/>
  <c r="N99" i="7"/>
  <c r="M99" i="7"/>
  <c r="J99" i="7"/>
  <c r="O99" i="7" s="1"/>
  <c r="R99" i="7" s="1"/>
  <c r="AH98" i="7"/>
  <c r="AE98" i="7"/>
  <c r="AD98" i="7"/>
  <c r="AC98" i="7"/>
  <c r="V98" i="7"/>
  <c r="U98" i="7"/>
  <c r="T98" i="7"/>
  <c r="N98" i="7"/>
  <c r="M98" i="7"/>
  <c r="J98" i="7"/>
  <c r="AH97" i="7"/>
  <c r="AE97" i="7"/>
  <c r="AD97" i="7"/>
  <c r="AC97" i="7"/>
  <c r="V97" i="7"/>
  <c r="U97" i="7"/>
  <c r="T97" i="7"/>
  <c r="R97" i="7"/>
  <c r="P97" i="7"/>
  <c r="N97" i="7"/>
  <c r="M97" i="7"/>
  <c r="J97" i="7"/>
  <c r="O97" i="7" s="1"/>
  <c r="AH96" i="7"/>
  <c r="AE96" i="7"/>
  <c r="AD96" i="7"/>
  <c r="AC96" i="7"/>
  <c r="X96" i="7"/>
  <c r="V96" i="7"/>
  <c r="U96" i="7"/>
  <c r="T96" i="7"/>
  <c r="O96" i="7"/>
  <c r="R96" i="7" s="1"/>
  <c r="AK96" i="7" s="1"/>
  <c r="N96" i="7"/>
  <c r="M96" i="7"/>
  <c r="J96" i="7"/>
  <c r="P96" i="7" s="1"/>
  <c r="AH95" i="7"/>
  <c r="AE95" i="7"/>
  <c r="AD95" i="7"/>
  <c r="AC95" i="7"/>
  <c r="V95" i="7"/>
  <c r="U95" i="7"/>
  <c r="T95" i="7"/>
  <c r="P95" i="7"/>
  <c r="O95" i="7"/>
  <c r="N95" i="7"/>
  <c r="M95" i="7"/>
  <c r="J95" i="7"/>
  <c r="AH94" i="7"/>
  <c r="AE94" i="7"/>
  <c r="AD94" i="7"/>
  <c r="AC94" i="7"/>
  <c r="V94" i="7"/>
  <c r="U94" i="7"/>
  <c r="T94" i="7"/>
  <c r="O94" i="7"/>
  <c r="R94" i="7" s="1"/>
  <c r="N94" i="7"/>
  <c r="M94" i="7"/>
  <c r="J94" i="7"/>
  <c r="P94" i="7" s="1"/>
  <c r="AH93" i="7"/>
  <c r="AE93" i="7"/>
  <c r="AD93" i="7"/>
  <c r="AC93" i="7"/>
  <c r="V93" i="7"/>
  <c r="U93" i="7"/>
  <c r="T93" i="7"/>
  <c r="N93" i="7"/>
  <c r="M93" i="7"/>
  <c r="J93" i="7"/>
  <c r="AH92" i="7"/>
  <c r="AE92" i="7"/>
  <c r="AD92" i="7"/>
  <c r="AC92" i="7"/>
  <c r="V92" i="7"/>
  <c r="U92" i="7"/>
  <c r="T92" i="7"/>
  <c r="N92" i="7"/>
  <c r="M92" i="7"/>
  <c r="J92" i="7"/>
  <c r="P92" i="7" s="1"/>
  <c r="AH91" i="7"/>
  <c r="AE91" i="7"/>
  <c r="AD91" i="7"/>
  <c r="AC91" i="7"/>
  <c r="V91" i="7"/>
  <c r="U91" i="7"/>
  <c r="T91" i="7"/>
  <c r="N91" i="7"/>
  <c r="M91" i="7"/>
  <c r="J91" i="7"/>
  <c r="AH90" i="7"/>
  <c r="AE90" i="7"/>
  <c r="AD90" i="7"/>
  <c r="AC90" i="7"/>
  <c r="V90" i="7"/>
  <c r="U90" i="7"/>
  <c r="T90" i="7"/>
  <c r="N90" i="7"/>
  <c r="M90" i="7"/>
  <c r="J90" i="7"/>
  <c r="P90" i="7" s="1"/>
  <c r="AH89" i="7"/>
  <c r="AE89" i="7"/>
  <c r="AD89" i="7"/>
  <c r="AC89" i="7"/>
  <c r="V89" i="7"/>
  <c r="U89" i="7"/>
  <c r="T89" i="7"/>
  <c r="N89" i="7"/>
  <c r="M89" i="7"/>
  <c r="J89" i="7"/>
  <c r="AH88" i="7"/>
  <c r="AE88" i="7"/>
  <c r="AD88" i="7"/>
  <c r="AC88" i="7"/>
  <c r="V88" i="7"/>
  <c r="U88" i="7"/>
  <c r="T88" i="7"/>
  <c r="N88" i="7"/>
  <c r="M88" i="7"/>
  <c r="J88" i="7"/>
  <c r="P88" i="7" s="1"/>
  <c r="AH87" i="7"/>
  <c r="AE87" i="7"/>
  <c r="AD87" i="7"/>
  <c r="AC87" i="7"/>
  <c r="V87" i="7"/>
  <c r="U87" i="7"/>
  <c r="T87" i="7"/>
  <c r="P87" i="7"/>
  <c r="N87" i="7"/>
  <c r="M87" i="7"/>
  <c r="J87" i="7"/>
  <c r="O87" i="7" s="1"/>
  <c r="AH86" i="7"/>
  <c r="AE86" i="7"/>
  <c r="AD86" i="7"/>
  <c r="AC86" i="7"/>
  <c r="V86" i="7"/>
  <c r="U86" i="7"/>
  <c r="T86" i="7"/>
  <c r="O86" i="7"/>
  <c r="R86" i="7" s="1"/>
  <c r="N86" i="7"/>
  <c r="M86" i="7"/>
  <c r="J86" i="7"/>
  <c r="P86" i="7" s="1"/>
  <c r="AH85" i="7"/>
  <c r="AE85" i="7"/>
  <c r="AD85" i="7"/>
  <c r="AC85" i="7"/>
  <c r="V85" i="7"/>
  <c r="U85" i="7"/>
  <c r="T85" i="7"/>
  <c r="P85" i="7"/>
  <c r="O85" i="7"/>
  <c r="N85" i="7"/>
  <c r="M85" i="7"/>
  <c r="J85" i="7"/>
  <c r="AH84" i="7"/>
  <c r="AE84" i="7"/>
  <c r="AD84" i="7"/>
  <c r="AC84" i="7"/>
  <c r="V84" i="7"/>
  <c r="U84" i="7"/>
  <c r="T84" i="7"/>
  <c r="N84" i="7"/>
  <c r="M84" i="7"/>
  <c r="J84" i="7"/>
  <c r="AH83" i="7"/>
  <c r="AE83" i="7"/>
  <c r="AD83" i="7"/>
  <c r="AC83" i="7"/>
  <c r="V83" i="7"/>
  <c r="U83" i="7"/>
  <c r="T83" i="7"/>
  <c r="N83" i="7"/>
  <c r="M83" i="7"/>
  <c r="J83" i="7"/>
  <c r="P83" i="7" s="1"/>
  <c r="AH82" i="7"/>
  <c r="AE82" i="7"/>
  <c r="AD82" i="7"/>
  <c r="AC82" i="7"/>
  <c r="V82" i="7"/>
  <c r="U82" i="7"/>
  <c r="T82" i="7"/>
  <c r="O82" i="7"/>
  <c r="N82" i="7"/>
  <c r="M82" i="7"/>
  <c r="J82" i="7"/>
  <c r="P82" i="7" s="1"/>
  <c r="AH81" i="7"/>
  <c r="AE81" i="7"/>
  <c r="AD81" i="7"/>
  <c r="AC81" i="7"/>
  <c r="V81" i="7"/>
  <c r="U81" i="7"/>
  <c r="T81" i="7"/>
  <c r="P81" i="7"/>
  <c r="O81" i="7"/>
  <c r="R81" i="7" s="1"/>
  <c r="N81" i="7"/>
  <c r="M81" i="7"/>
  <c r="J81" i="7"/>
  <c r="AH80" i="7"/>
  <c r="AE80" i="7"/>
  <c r="AD80" i="7"/>
  <c r="AC80" i="7"/>
  <c r="V80" i="7"/>
  <c r="U80" i="7"/>
  <c r="T80" i="7"/>
  <c r="P80" i="7"/>
  <c r="N80" i="7"/>
  <c r="M80" i="7"/>
  <c r="J80" i="7"/>
  <c r="O80" i="7" s="1"/>
  <c r="R80" i="7" s="1"/>
  <c r="AH79" i="7"/>
  <c r="AE79" i="7"/>
  <c r="AD79" i="7"/>
  <c r="AC79" i="7"/>
  <c r="V79" i="7"/>
  <c r="U79" i="7"/>
  <c r="T79" i="7"/>
  <c r="P79" i="7"/>
  <c r="N79" i="7"/>
  <c r="M79" i="7"/>
  <c r="J79" i="7"/>
  <c r="O79" i="7" s="1"/>
  <c r="R79" i="7" s="1"/>
  <c r="AH78" i="7"/>
  <c r="AE78" i="7"/>
  <c r="AD78" i="7"/>
  <c r="AC78" i="7"/>
  <c r="V78" i="7"/>
  <c r="U78" i="7"/>
  <c r="T78" i="7"/>
  <c r="O78" i="7"/>
  <c r="R78" i="7" s="1"/>
  <c r="N78" i="7"/>
  <c r="M78" i="7"/>
  <c r="J78" i="7"/>
  <c r="P78" i="7" s="1"/>
  <c r="AH77" i="7"/>
  <c r="AE77" i="7"/>
  <c r="AD77" i="7"/>
  <c r="AC77" i="7"/>
  <c r="X77" i="7"/>
  <c r="V77" i="7"/>
  <c r="U77" i="7"/>
  <c r="T77" i="7"/>
  <c r="P77" i="7"/>
  <c r="O77" i="7"/>
  <c r="R77" i="7" s="1"/>
  <c r="N77" i="7"/>
  <c r="M77" i="7"/>
  <c r="J77" i="7"/>
  <c r="AH76" i="7"/>
  <c r="AE76" i="7"/>
  <c r="AD76" i="7"/>
  <c r="AC76" i="7"/>
  <c r="V76" i="7"/>
  <c r="U76" i="7"/>
  <c r="T76" i="7"/>
  <c r="N76" i="7"/>
  <c r="M76" i="7"/>
  <c r="J76" i="7"/>
  <c r="AH75" i="7"/>
  <c r="AE75" i="7"/>
  <c r="AD75" i="7"/>
  <c r="AC75" i="7"/>
  <c r="V75" i="7"/>
  <c r="U75" i="7"/>
  <c r="T75" i="7"/>
  <c r="N75" i="7"/>
  <c r="M75" i="7"/>
  <c r="J75" i="7"/>
  <c r="P75" i="7" s="1"/>
  <c r="AH74" i="7"/>
  <c r="AE74" i="7"/>
  <c r="AD74" i="7"/>
  <c r="AC74" i="7"/>
  <c r="V74" i="7"/>
  <c r="U74" i="7"/>
  <c r="T74" i="7"/>
  <c r="O74" i="7"/>
  <c r="R74" i="7" s="1"/>
  <c r="N74" i="7"/>
  <c r="M74" i="7"/>
  <c r="J74" i="7"/>
  <c r="P74" i="7" s="1"/>
  <c r="AH73" i="7"/>
  <c r="AE73" i="7"/>
  <c r="AD73" i="7"/>
  <c r="AC73" i="7"/>
  <c r="V73" i="7"/>
  <c r="U73" i="7"/>
  <c r="T73" i="7"/>
  <c r="P73" i="7"/>
  <c r="O73" i="7"/>
  <c r="R73" i="7" s="1"/>
  <c r="N73" i="7"/>
  <c r="M73" i="7"/>
  <c r="J73" i="7"/>
  <c r="AK72" i="7"/>
  <c r="AH72" i="7"/>
  <c r="AE72" i="7"/>
  <c r="AD72" i="7"/>
  <c r="AC72" i="7"/>
  <c r="V72" i="7"/>
  <c r="U72" i="7"/>
  <c r="T72" i="7"/>
  <c r="P72" i="7"/>
  <c r="O72" i="7"/>
  <c r="R72" i="7" s="1"/>
  <c r="N72" i="7"/>
  <c r="M72" i="7"/>
  <c r="J72" i="7"/>
  <c r="AH71" i="7"/>
  <c r="AE71" i="7"/>
  <c r="AD71" i="7"/>
  <c r="AC71" i="7"/>
  <c r="V71" i="7"/>
  <c r="U71" i="7"/>
  <c r="T71" i="7"/>
  <c r="N71" i="7"/>
  <c r="M71" i="7"/>
  <c r="J71" i="7"/>
  <c r="O71" i="7" s="1"/>
  <c r="R71" i="7" s="1"/>
  <c r="AH70" i="7"/>
  <c r="AE70" i="7"/>
  <c r="AD70" i="7"/>
  <c r="AC70" i="7"/>
  <c r="V70" i="7"/>
  <c r="U70" i="7"/>
  <c r="T70" i="7"/>
  <c r="O70" i="7"/>
  <c r="R70" i="7" s="1"/>
  <c r="N70" i="7"/>
  <c r="M70" i="7"/>
  <c r="J70" i="7"/>
  <c r="P70" i="7" s="1"/>
  <c r="AH69" i="7"/>
  <c r="AE69" i="7"/>
  <c r="AD69" i="7"/>
  <c r="AC69" i="7"/>
  <c r="V69" i="7"/>
  <c r="U69" i="7"/>
  <c r="T69" i="7"/>
  <c r="P69" i="7"/>
  <c r="O69" i="7"/>
  <c r="N69" i="7"/>
  <c r="M69" i="7"/>
  <c r="J69" i="7"/>
  <c r="AH68" i="7"/>
  <c r="AE68" i="7"/>
  <c r="AD68" i="7"/>
  <c r="AC68" i="7"/>
  <c r="V68" i="7"/>
  <c r="U68" i="7"/>
  <c r="T68" i="7"/>
  <c r="P68" i="7"/>
  <c r="O68" i="7"/>
  <c r="R68" i="7" s="1"/>
  <c r="N68" i="7"/>
  <c r="M68" i="7"/>
  <c r="J68" i="7"/>
  <c r="AH67" i="7"/>
  <c r="AE67" i="7"/>
  <c r="AD67" i="7"/>
  <c r="AC67" i="7"/>
  <c r="V67" i="7"/>
  <c r="U67" i="7"/>
  <c r="T67" i="7"/>
  <c r="N67" i="7"/>
  <c r="M67" i="7"/>
  <c r="J67" i="7"/>
  <c r="AH66" i="7"/>
  <c r="AE66" i="7"/>
  <c r="AD66" i="7"/>
  <c r="AC66" i="7"/>
  <c r="V66" i="7"/>
  <c r="U66" i="7"/>
  <c r="T66" i="7"/>
  <c r="N66" i="7"/>
  <c r="M66" i="7"/>
  <c r="J66" i="7"/>
  <c r="P66" i="7" s="1"/>
  <c r="AH65" i="7"/>
  <c r="AE65" i="7"/>
  <c r="AD65" i="7"/>
  <c r="AC65" i="7"/>
  <c r="V65" i="7"/>
  <c r="U65" i="7"/>
  <c r="T65" i="7"/>
  <c r="P65" i="7"/>
  <c r="O65" i="7"/>
  <c r="N65" i="7"/>
  <c r="M65" i="7"/>
  <c r="J65" i="7"/>
  <c r="AH64" i="7"/>
  <c r="AE64" i="7"/>
  <c r="AD64" i="7"/>
  <c r="AC64" i="7"/>
  <c r="V64" i="7"/>
  <c r="U64" i="7"/>
  <c r="T64" i="7"/>
  <c r="N64" i="7"/>
  <c r="M64" i="7"/>
  <c r="J64" i="7"/>
  <c r="P64" i="7" s="1"/>
  <c r="AH63" i="7"/>
  <c r="AE63" i="7"/>
  <c r="AD63" i="7"/>
  <c r="AC63" i="7"/>
  <c r="V63" i="7"/>
  <c r="U63" i="7"/>
  <c r="T63" i="7"/>
  <c r="N63" i="7"/>
  <c r="M63" i="7"/>
  <c r="J63" i="7"/>
  <c r="O63" i="7" s="1"/>
  <c r="R63" i="7" s="1"/>
  <c r="AH62" i="7"/>
  <c r="AE62" i="7"/>
  <c r="AD62" i="7"/>
  <c r="AC62" i="7"/>
  <c r="V62" i="7"/>
  <c r="U62" i="7"/>
  <c r="T62" i="7"/>
  <c r="N62" i="7"/>
  <c r="M62" i="7"/>
  <c r="J62" i="7"/>
  <c r="P62" i="7" s="1"/>
  <c r="AH61" i="7"/>
  <c r="AE61" i="7"/>
  <c r="AD61" i="7"/>
  <c r="AC61" i="7"/>
  <c r="V61" i="7"/>
  <c r="U61" i="7"/>
  <c r="T61" i="7"/>
  <c r="P61" i="7"/>
  <c r="O61" i="7"/>
  <c r="N61" i="7"/>
  <c r="M61" i="7"/>
  <c r="J61" i="7"/>
  <c r="AH60" i="7"/>
  <c r="AE60" i="7"/>
  <c r="AD60" i="7"/>
  <c r="AC60" i="7"/>
  <c r="V60" i="7"/>
  <c r="U60" i="7"/>
  <c r="T60" i="7"/>
  <c r="P60" i="7"/>
  <c r="O60" i="7"/>
  <c r="R60" i="7" s="1"/>
  <c r="N60" i="7"/>
  <c r="M60" i="7"/>
  <c r="J60" i="7"/>
  <c r="AH59" i="7"/>
  <c r="AE59" i="7"/>
  <c r="AD59" i="7"/>
  <c r="AC59" i="7"/>
  <c r="V59" i="7"/>
  <c r="U59" i="7"/>
  <c r="T59" i="7"/>
  <c r="N59" i="7"/>
  <c r="M59" i="7"/>
  <c r="J59" i="7"/>
  <c r="AH58" i="7"/>
  <c r="AE58" i="7"/>
  <c r="AD58" i="7"/>
  <c r="AC58" i="7"/>
  <c r="V58" i="7"/>
  <c r="U58" i="7"/>
  <c r="T58" i="7"/>
  <c r="O58" i="7"/>
  <c r="R58" i="7" s="1"/>
  <c r="N58" i="7"/>
  <c r="M58" i="7"/>
  <c r="J58" i="7"/>
  <c r="P58" i="7" s="1"/>
  <c r="AH57" i="7"/>
  <c r="AE57" i="7"/>
  <c r="AD57" i="7"/>
  <c r="AC57" i="7"/>
  <c r="V57" i="7"/>
  <c r="U57" i="7"/>
  <c r="T57" i="7"/>
  <c r="P57" i="7"/>
  <c r="N57" i="7"/>
  <c r="M57" i="7"/>
  <c r="J57" i="7"/>
  <c r="O57" i="7" s="1"/>
  <c r="R57" i="7" s="1"/>
  <c r="AK56" i="7"/>
  <c r="AH56" i="7"/>
  <c r="AE56" i="7"/>
  <c r="AD56" i="7"/>
  <c r="AC56" i="7"/>
  <c r="X56" i="7"/>
  <c r="V56" i="7"/>
  <c r="U56" i="7"/>
  <c r="T56" i="7"/>
  <c r="R56" i="7"/>
  <c r="P56" i="7"/>
  <c r="O56" i="7"/>
  <c r="N56" i="7"/>
  <c r="M56" i="7"/>
  <c r="J56" i="7"/>
  <c r="AH55" i="7"/>
  <c r="AE55" i="7"/>
  <c r="AD55" i="7"/>
  <c r="AC55" i="7"/>
  <c r="V55" i="7"/>
  <c r="U55" i="7"/>
  <c r="T55" i="7"/>
  <c r="P55" i="7"/>
  <c r="N55" i="7"/>
  <c r="M55" i="7"/>
  <c r="J55" i="7"/>
  <c r="O55" i="7" s="1"/>
  <c r="R55" i="7" s="1"/>
  <c r="AH54" i="7"/>
  <c r="AE54" i="7"/>
  <c r="AD54" i="7"/>
  <c r="AC54" i="7"/>
  <c r="V54" i="7"/>
  <c r="U54" i="7"/>
  <c r="T54" i="7"/>
  <c r="P54" i="7"/>
  <c r="O54" i="7"/>
  <c r="N54" i="7"/>
  <c r="M54" i="7"/>
  <c r="J54" i="7"/>
  <c r="AH53" i="7"/>
  <c r="AE53" i="7"/>
  <c r="AD53" i="7"/>
  <c r="AC53" i="7"/>
  <c r="V53" i="7"/>
  <c r="U53" i="7"/>
  <c r="T53" i="7"/>
  <c r="P53" i="7"/>
  <c r="N53" i="7"/>
  <c r="M53" i="7"/>
  <c r="J53" i="7"/>
  <c r="O53" i="7" s="1"/>
  <c r="R53" i="7" s="1"/>
  <c r="AH52" i="7"/>
  <c r="AE52" i="7"/>
  <c r="AD52" i="7"/>
  <c r="AC52" i="7"/>
  <c r="V52" i="7"/>
  <c r="U52" i="7"/>
  <c r="T52" i="7"/>
  <c r="P52" i="7"/>
  <c r="O52" i="7"/>
  <c r="N52" i="7"/>
  <c r="R52" i="7" s="1"/>
  <c r="M52" i="7"/>
  <c r="J52" i="7"/>
  <c r="AH51" i="7"/>
  <c r="AE51" i="7"/>
  <c r="AD51" i="7"/>
  <c r="AC51" i="7"/>
  <c r="V51" i="7"/>
  <c r="U51" i="7"/>
  <c r="T51" i="7"/>
  <c r="P51" i="7"/>
  <c r="O51" i="7"/>
  <c r="R51" i="7" s="1"/>
  <c r="N51" i="7"/>
  <c r="M51" i="7"/>
  <c r="J51" i="7"/>
  <c r="AH50" i="7"/>
  <c r="AE50" i="7"/>
  <c r="AD50" i="7"/>
  <c r="AC50" i="7"/>
  <c r="X50" i="7"/>
  <c r="V50" i="7"/>
  <c r="U50" i="7"/>
  <c r="T50" i="7"/>
  <c r="P50" i="7"/>
  <c r="N50" i="7"/>
  <c r="M50" i="7"/>
  <c r="J50" i="7"/>
  <c r="O50" i="7" s="1"/>
  <c r="R50" i="7" s="1"/>
  <c r="AK49" i="7"/>
  <c r="AH49" i="7"/>
  <c r="AE49" i="7"/>
  <c r="AD49" i="7"/>
  <c r="AC49" i="7"/>
  <c r="V49" i="7"/>
  <c r="U49" i="7"/>
  <c r="T49" i="7"/>
  <c r="P49" i="7"/>
  <c r="N49" i="7"/>
  <c r="M49" i="7"/>
  <c r="J49" i="7"/>
  <c r="O49" i="7" s="1"/>
  <c r="R49" i="7" s="1"/>
  <c r="AH48" i="7"/>
  <c r="AE48" i="7"/>
  <c r="AD48" i="7"/>
  <c r="AC48" i="7"/>
  <c r="V48" i="7"/>
  <c r="U48" i="7"/>
  <c r="T48" i="7"/>
  <c r="P48" i="7"/>
  <c r="O48" i="7"/>
  <c r="N48" i="7"/>
  <c r="R48" i="7" s="1"/>
  <c r="M48" i="7"/>
  <c r="J48" i="7"/>
  <c r="AH47" i="7"/>
  <c r="AE47" i="7"/>
  <c r="AD47" i="7"/>
  <c r="AC47" i="7"/>
  <c r="V47" i="7"/>
  <c r="U47" i="7"/>
  <c r="T47" i="7"/>
  <c r="R47" i="7"/>
  <c r="P47" i="7"/>
  <c r="O47" i="7"/>
  <c r="N47" i="7"/>
  <c r="M47" i="7"/>
  <c r="J47" i="7"/>
  <c r="AH46" i="7"/>
  <c r="AE46" i="7"/>
  <c r="AD46" i="7"/>
  <c r="AC46" i="7"/>
  <c r="V46" i="7"/>
  <c r="U46" i="7"/>
  <c r="T46" i="7"/>
  <c r="P46" i="7"/>
  <c r="N46" i="7"/>
  <c r="M46" i="7"/>
  <c r="J46" i="7"/>
  <c r="O46" i="7" s="1"/>
  <c r="R46" i="7" s="1"/>
  <c r="AH45" i="7"/>
  <c r="AE45" i="7"/>
  <c r="AD45" i="7"/>
  <c r="AC45" i="7"/>
  <c r="V45" i="7"/>
  <c r="U45" i="7"/>
  <c r="T45" i="7"/>
  <c r="P45" i="7"/>
  <c r="N45" i="7"/>
  <c r="M45" i="7"/>
  <c r="J45" i="7"/>
  <c r="O45" i="7" s="1"/>
  <c r="R45" i="7" s="1"/>
  <c r="AH44" i="7"/>
  <c r="AE44" i="7"/>
  <c r="AD44" i="7"/>
  <c r="AC44" i="7"/>
  <c r="V44" i="7"/>
  <c r="U44" i="7"/>
  <c r="T44" i="7"/>
  <c r="P44" i="7"/>
  <c r="O44" i="7"/>
  <c r="N44" i="7"/>
  <c r="R44" i="7" s="1"/>
  <c r="M44" i="7"/>
  <c r="J44" i="7"/>
  <c r="AH43" i="7"/>
  <c r="AE43" i="7"/>
  <c r="AD43" i="7"/>
  <c r="AC43" i="7"/>
  <c r="V43" i="7"/>
  <c r="U43" i="7"/>
  <c r="T43" i="7"/>
  <c r="P43" i="7"/>
  <c r="O43" i="7"/>
  <c r="N43" i="7"/>
  <c r="R43" i="7" s="1"/>
  <c r="M43" i="7"/>
  <c r="J43" i="7"/>
  <c r="AH42" i="7"/>
  <c r="AE42" i="7"/>
  <c r="AD42" i="7"/>
  <c r="AC42" i="7"/>
  <c r="V42" i="7"/>
  <c r="U42" i="7"/>
  <c r="T42" i="7"/>
  <c r="P42" i="7"/>
  <c r="N42" i="7"/>
  <c r="M42" i="7"/>
  <c r="J42" i="7"/>
  <c r="O42" i="7" s="1"/>
  <c r="R42" i="7" s="1"/>
  <c r="AH41" i="7"/>
  <c r="AE41" i="7"/>
  <c r="AD41" i="7"/>
  <c r="AC41" i="7"/>
  <c r="V41" i="7"/>
  <c r="U41" i="7"/>
  <c r="T41" i="7"/>
  <c r="P41" i="7"/>
  <c r="N41" i="7"/>
  <c r="M41" i="7"/>
  <c r="J41" i="7"/>
  <c r="O41" i="7" s="1"/>
  <c r="R41" i="7" s="1"/>
  <c r="AH40" i="7"/>
  <c r="AE40" i="7"/>
  <c r="AD40" i="7"/>
  <c r="AC40" i="7"/>
  <c r="X40" i="7"/>
  <c r="V40" i="7"/>
  <c r="U40" i="7"/>
  <c r="T40" i="7"/>
  <c r="P40" i="7"/>
  <c r="O40" i="7"/>
  <c r="N40" i="7"/>
  <c r="R40" i="7" s="1"/>
  <c r="M40" i="7"/>
  <c r="J40" i="7"/>
  <c r="AH39" i="7"/>
  <c r="AE39" i="7"/>
  <c r="AD39" i="7"/>
  <c r="AC39" i="7"/>
  <c r="V39" i="7"/>
  <c r="U39" i="7"/>
  <c r="T39" i="7"/>
  <c r="R39" i="7"/>
  <c r="AK39" i="7" s="1"/>
  <c r="P39" i="7"/>
  <c r="O39" i="7"/>
  <c r="N39" i="7"/>
  <c r="M39" i="7"/>
  <c r="J39" i="7"/>
  <c r="AH38" i="7"/>
  <c r="AE38" i="7"/>
  <c r="AD38" i="7"/>
  <c r="AC38" i="7"/>
  <c r="X38" i="7"/>
  <c r="V38" i="7"/>
  <c r="U38" i="7"/>
  <c r="T38" i="7"/>
  <c r="P38" i="7"/>
  <c r="N38" i="7"/>
  <c r="M38" i="7"/>
  <c r="J38" i="7"/>
  <c r="O38" i="7" s="1"/>
  <c r="R38" i="7" s="1"/>
  <c r="AH37" i="7"/>
  <c r="AE37" i="7"/>
  <c r="AD37" i="7"/>
  <c r="AC37" i="7"/>
  <c r="V37" i="7"/>
  <c r="U37" i="7"/>
  <c r="T37" i="7"/>
  <c r="P37" i="7"/>
  <c r="N37" i="7"/>
  <c r="M37" i="7"/>
  <c r="J37" i="7"/>
  <c r="O37" i="7" s="1"/>
  <c r="R37" i="7" s="1"/>
  <c r="AH36" i="7"/>
  <c r="AE36" i="7"/>
  <c r="AD36" i="7"/>
  <c r="AC36" i="7"/>
  <c r="V36" i="7"/>
  <c r="U36" i="7"/>
  <c r="T36" i="7"/>
  <c r="P36" i="7"/>
  <c r="O36" i="7"/>
  <c r="N36" i="7"/>
  <c r="R36" i="7" s="1"/>
  <c r="M36" i="7"/>
  <c r="J36" i="7"/>
  <c r="AH35" i="7"/>
  <c r="AE35" i="7"/>
  <c r="AD35" i="7"/>
  <c r="AC35" i="7"/>
  <c r="V35" i="7"/>
  <c r="U35" i="7"/>
  <c r="T35" i="7"/>
  <c r="P35" i="7"/>
  <c r="O35" i="7"/>
  <c r="N35" i="7"/>
  <c r="R35" i="7" s="1"/>
  <c r="M35" i="7"/>
  <c r="J35" i="7"/>
  <c r="AH34" i="7"/>
  <c r="AE34" i="7"/>
  <c r="AD34" i="7"/>
  <c r="AC34" i="7"/>
  <c r="V34" i="7"/>
  <c r="U34" i="7"/>
  <c r="T34" i="7"/>
  <c r="P34" i="7"/>
  <c r="N34" i="7"/>
  <c r="M34" i="7"/>
  <c r="J34" i="7"/>
  <c r="O34" i="7" s="1"/>
  <c r="R34" i="7" s="1"/>
  <c r="AH33" i="7"/>
  <c r="AE33" i="7"/>
  <c r="AD33" i="7"/>
  <c r="AC33" i="7"/>
  <c r="V33" i="7"/>
  <c r="X33" i="7" s="1"/>
  <c r="U33" i="7"/>
  <c r="T33" i="7"/>
  <c r="R33" i="7"/>
  <c r="AK33" i="7" s="1"/>
  <c r="P33" i="7"/>
  <c r="N33" i="7"/>
  <c r="M33" i="7"/>
  <c r="J33" i="7"/>
  <c r="O33" i="7" s="1"/>
  <c r="AH32" i="7"/>
  <c r="AE32" i="7"/>
  <c r="AD32" i="7"/>
  <c r="AC32" i="7"/>
  <c r="V32" i="7"/>
  <c r="U32" i="7"/>
  <c r="T32" i="7"/>
  <c r="P32" i="7"/>
  <c r="O32" i="7"/>
  <c r="N32" i="7"/>
  <c r="R32" i="7" s="1"/>
  <c r="M32" i="7"/>
  <c r="J32" i="7"/>
  <c r="AH31" i="7"/>
  <c r="AE31" i="7"/>
  <c r="AD31" i="7"/>
  <c r="AC31" i="7"/>
  <c r="V31" i="7"/>
  <c r="U31" i="7"/>
  <c r="T31" i="7"/>
  <c r="P31" i="7"/>
  <c r="O31" i="7"/>
  <c r="N31" i="7"/>
  <c r="R31" i="7" s="1"/>
  <c r="M31" i="7"/>
  <c r="J31" i="7"/>
  <c r="AH30" i="7"/>
  <c r="AE30" i="7"/>
  <c r="AD30" i="7"/>
  <c r="AC30" i="7"/>
  <c r="V30" i="7"/>
  <c r="U30" i="7"/>
  <c r="T30" i="7"/>
  <c r="P30" i="7"/>
  <c r="N30" i="7"/>
  <c r="M30" i="7"/>
  <c r="J30" i="7"/>
  <c r="O30" i="7" s="1"/>
  <c r="R30" i="7" s="1"/>
  <c r="AH29" i="7"/>
  <c r="AE29" i="7"/>
  <c r="AD29" i="7"/>
  <c r="AC29" i="7"/>
  <c r="V29" i="7"/>
  <c r="U29" i="7"/>
  <c r="T29" i="7"/>
  <c r="P29" i="7"/>
  <c r="N29" i="7"/>
  <c r="M29" i="7"/>
  <c r="J29" i="7"/>
  <c r="O29" i="7" s="1"/>
  <c r="R29" i="7" s="1"/>
  <c r="AH28" i="7"/>
  <c r="AE28" i="7"/>
  <c r="AD28" i="7"/>
  <c r="AC28" i="7"/>
  <c r="V28" i="7"/>
  <c r="U28" i="7"/>
  <c r="T28" i="7"/>
  <c r="P28" i="7"/>
  <c r="O28" i="7"/>
  <c r="N28" i="7"/>
  <c r="R28" i="7" s="1"/>
  <c r="M28" i="7"/>
  <c r="J28" i="7"/>
  <c r="AK27" i="7"/>
  <c r="AH27" i="7"/>
  <c r="AE27" i="7"/>
  <c r="AD27" i="7"/>
  <c r="AC27" i="7"/>
  <c r="V27" i="7"/>
  <c r="U27" i="7"/>
  <c r="T27" i="7"/>
  <c r="R27" i="7"/>
  <c r="P27" i="7"/>
  <c r="O27" i="7"/>
  <c r="N27" i="7"/>
  <c r="M27" i="7"/>
  <c r="J27" i="7"/>
  <c r="AH26" i="7"/>
  <c r="AE26" i="7"/>
  <c r="AD26" i="7"/>
  <c r="AC26" i="7"/>
  <c r="V26" i="7"/>
  <c r="U26" i="7"/>
  <c r="T26" i="7"/>
  <c r="P26" i="7"/>
  <c r="N26" i="7"/>
  <c r="R26" i="7" s="1"/>
  <c r="M26" i="7"/>
  <c r="J26" i="7"/>
  <c r="O26" i="7" s="1"/>
  <c r="AH25" i="7"/>
  <c r="AE25" i="7"/>
  <c r="AD25" i="7"/>
  <c r="AC25" i="7"/>
  <c r="V25" i="7"/>
  <c r="U25" i="7"/>
  <c r="T25" i="7"/>
  <c r="R25" i="7"/>
  <c r="P25" i="7"/>
  <c r="N25" i="7"/>
  <c r="M25" i="7"/>
  <c r="J25" i="7"/>
  <c r="O25" i="7" s="1"/>
  <c r="AH24" i="7"/>
  <c r="AE24" i="7"/>
  <c r="AD24" i="7"/>
  <c r="AC24" i="7"/>
  <c r="V24" i="7"/>
  <c r="U24" i="7"/>
  <c r="T24" i="7"/>
  <c r="R24" i="7"/>
  <c r="P24" i="7"/>
  <c r="O24" i="7"/>
  <c r="N24" i="7"/>
  <c r="M24" i="7"/>
  <c r="J24" i="7"/>
  <c r="AH23" i="7"/>
  <c r="AE23" i="7"/>
  <c r="AD23" i="7"/>
  <c r="AC23" i="7"/>
  <c r="V23" i="7"/>
  <c r="U23" i="7"/>
  <c r="T23" i="7"/>
  <c r="P23" i="7"/>
  <c r="O23" i="7"/>
  <c r="N23" i="7"/>
  <c r="R23" i="7" s="1"/>
  <c r="M23" i="7"/>
  <c r="J23" i="7"/>
  <c r="AH22" i="7"/>
  <c r="AE22" i="7"/>
  <c r="AD22" i="7"/>
  <c r="AC22" i="7"/>
  <c r="V22" i="7"/>
  <c r="U22" i="7"/>
  <c r="T22" i="7"/>
  <c r="R22" i="7"/>
  <c r="AK22" i="7" s="1"/>
  <c r="P22" i="7"/>
  <c r="N22" i="7"/>
  <c r="M22" i="7"/>
  <c r="J22" i="7"/>
  <c r="O22" i="7" s="1"/>
  <c r="AH21" i="7"/>
  <c r="AE21" i="7"/>
  <c r="AD21" i="7"/>
  <c r="AC21" i="7"/>
  <c r="V21" i="7"/>
  <c r="U21" i="7"/>
  <c r="T21" i="7"/>
  <c r="P21" i="7"/>
  <c r="N21" i="7"/>
  <c r="R21" i="7" s="1"/>
  <c r="M21" i="7"/>
  <c r="J21" i="7"/>
  <c r="O21" i="7" s="1"/>
  <c r="AH20" i="7"/>
  <c r="AE20" i="7"/>
  <c r="AD20" i="7"/>
  <c r="AC20" i="7"/>
  <c r="X20" i="7"/>
  <c r="V20" i="7"/>
  <c r="U20" i="7"/>
  <c r="T20" i="7"/>
  <c r="R20" i="7"/>
  <c r="AK20" i="7" s="1"/>
  <c r="P20" i="7"/>
  <c r="O20" i="7"/>
  <c r="N20" i="7"/>
  <c r="M20" i="7"/>
  <c r="J20" i="7"/>
  <c r="AH19" i="7"/>
  <c r="AE19" i="7"/>
  <c r="AD19" i="7"/>
  <c r="AC19" i="7"/>
  <c r="V19" i="7"/>
  <c r="U19" i="7"/>
  <c r="T19" i="7"/>
  <c r="P19" i="7"/>
  <c r="O19" i="7"/>
  <c r="N19" i="7"/>
  <c r="R19" i="7" s="1"/>
  <c r="M19" i="7"/>
  <c r="J19" i="7"/>
  <c r="AH18" i="7"/>
  <c r="AE18" i="7"/>
  <c r="AD18" i="7"/>
  <c r="AC18" i="7"/>
  <c r="V18" i="7"/>
  <c r="U18" i="7"/>
  <c r="T18" i="7"/>
  <c r="R18" i="7"/>
  <c r="P18" i="7"/>
  <c r="N18" i="7"/>
  <c r="M18" i="7"/>
  <c r="J18" i="7"/>
  <c r="O18" i="7" s="1"/>
  <c r="AH17" i="7"/>
  <c r="AE17" i="7"/>
  <c r="AD17" i="7"/>
  <c r="AC17" i="7"/>
  <c r="X17" i="7"/>
  <c r="V17" i="7"/>
  <c r="U17" i="7"/>
  <c r="T17" i="7"/>
  <c r="R17" i="7"/>
  <c r="AK17" i="7" s="1"/>
  <c r="P17" i="7"/>
  <c r="N17" i="7"/>
  <c r="M17" i="7"/>
  <c r="J17" i="7"/>
  <c r="O17" i="7" s="1"/>
  <c r="AH16" i="7"/>
  <c r="AE16" i="7"/>
  <c r="AD16" i="7"/>
  <c r="AC16" i="7"/>
  <c r="V16" i="7"/>
  <c r="U16" i="7"/>
  <c r="T16" i="7"/>
  <c r="P16" i="7"/>
  <c r="O16" i="7"/>
  <c r="N16" i="7"/>
  <c r="R16" i="7" s="1"/>
  <c r="M16" i="7"/>
  <c r="J16" i="7"/>
  <c r="AH15" i="7"/>
  <c r="AE15" i="7"/>
  <c r="AD15" i="7"/>
  <c r="AC15" i="7"/>
  <c r="V15" i="7"/>
  <c r="U15" i="7"/>
  <c r="T15" i="7"/>
  <c r="P15" i="7"/>
  <c r="O15" i="7"/>
  <c r="N15" i="7"/>
  <c r="R15" i="7" s="1"/>
  <c r="M15" i="7"/>
  <c r="J15" i="7"/>
  <c r="AH14" i="7"/>
  <c r="AE14" i="7"/>
  <c r="AD14" i="7"/>
  <c r="AC14" i="7"/>
  <c r="X14" i="7"/>
  <c r="V14" i="7"/>
  <c r="U14" i="7"/>
  <c r="T14" i="7"/>
  <c r="R14" i="7"/>
  <c r="P14" i="7"/>
  <c r="N14" i="7"/>
  <c r="M14" i="7"/>
  <c r="J14" i="7"/>
  <c r="O14" i="7" s="1"/>
  <c r="AH13" i="7"/>
  <c r="AE13" i="7"/>
  <c r="AD13" i="7"/>
  <c r="AC13" i="7"/>
  <c r="V13" i="7"/>
  <c r="U13" i="7"/>
  <c r="T13" i="7"/>
  <c r="P13" i="7"/>
  <c r="N13" i="7"/>
  <c r="R13" i="7" s="1"/>
  <c r="M13" i="7"/>
  <c r="J13" i="7"/>
  <c r="O13" i="7" s="1"/>
  <c r="AH12" i="7"/>
  <c r="AE12" i="7"/>
  <c r="AD12" i="7"/>
  <c r="AC12" i="7"/>
  <c r="X12" i="7"/>
  <c r="V12" i="7"/>
  <c r="U12" i="7"/>
  <c r="T12" i="7"/>
  <c r="R12" i="7"/>
  <c r="P12" i="7"/>
  <c r="O12" i="7"/>
  <c r="N12" i="7"/>
  <c r="M12" i="7"/>
  <c r="J12" i="7"/>
  <c r="AH11" i="7"/>
  <c r="AE11" i="7"/>
  <c r="AD11" i="7"/>
  <c r="AC11" i="7"/>
  <c r="V11" i="7"/>
  <c r="U11" i="7"/>
  <c r="T11" i="7"/>
  <c r="P11" i="7"/>
  <c r="O11" i="7"/>
  <c r="R11" i="7" s="1"/>
  <c r="N11" i="7"/>
  <c r="M11" i="7"/>
  <c r="J11" i="7"/>
  <c r="AH10" i="7"/>
  <c r="AE10" i="7"/>
  <c r="AD10" i="7"/>
  <c r="AC10" i="7"/>
  <c r="V10" i="7"/>
  <c r="U10" i="7"/>
  <c r="T10" i="7"/>
  <c r="P10" i="7"/>
  <c r="N10" i="7"/>
  <c r="M10" i="7"/>
  <c r="J10" i="7"/>
  <c r="O10" i="7" s="1"/>
  <c r="R10" i="7" s="1"/>
  <c r="AH9" i="7"/>
  <c r="AE9" i="7"/>
  <c r="AD9" i="7"/>
  <c r="AC9" i="7"/>
  <c r="V9" i="7"/>
  <c r="U9" i="7"/>
  <c r="T9" i="7"/>
  <c r="P9" i="7"/>
  <c r="N9" i="7"/>
  <c r="M9" i="7"/>
  <c r="J9" i="7"/>
  <c r="O9" i="7" s="1"/>
  <c r="R9" i="7" s="1"/>
  <c r="AH8" i="7"/>
  <c r="AE8" i="7"/>
  <c r="AD8" i="7"/>
  <c r="AC8" i="7"/>
  <c r="V8" i="7"/>
  <c r="U8" i="7"/>
  <c r="T8" i="7"/>
  <c r="P8" i="7"/>
  <c r="O8" i="7"/>
  <c r="N8" i="7"/>
  <c r="M8" i="7"/>
  <c r="J8" i="7"/>
  <c r="AH7" i="7"/>
  <c r="AE7" i="7"/>
  <c r="AD7" i="7"/>
  <c r="AC7" i="7"/>
  <c r="V7" i="7"/>
  <c r="U7" i="7"/>
  <c r="T7" i="7"/>
  <c r="P7" i="7"/>
  <c r="O7" i="7"/>
  <c r="N7" i="7"/>
  <c r="R7" i="7" s="1"/>
  <c r="M7" i="7"/>
  <c r="J7" i="7"/>
  <c r="AH6" i="7"/>
  <c r="AE6" i="7"/>
  <c r="AD6" i="7"/>
  <c r="AC6" i="7"/>
  <c r="V6" i="7"/>
  <c r="U6" i="7"/>
  <c r="T6" i="7"/>
  <c r="N6" i="7"/>
  <c r="M6" i="7"/>
  <c r="J6" i="7"/>
  <c r="O6" i="7" s="1"/>
  <c r="AH5" i="7"/>
  <c r="AE5" i="7"/>
  <c r="AD5" i="7"/>
  <c r="AC5" i="7"/>
  <c r="V5" i="7"/>
  <c r="U5" i="7"/>
  <c r="T5" i="7"/>
  <c r="P5" i="7"/>
  <c r="N5" i="7"/>
  <c r="M5" i="7"/>
  <c r="J5" i="7"/>
  <c r="O5" i="7" s="1"/>
  <c r="R5" i="7" s="1"/>
  <c r="AH4" i="7"/>
  <c r="AE4" i="7"/>
  <c r="AD4" i="7"/>
  <c r="AC4" i="7"/>
  <c r="V4" i="7"/>
  <c r="U4" i="7"/>
  <c r="T4" i="7"/>
  <c r="P4" i="7"/>
  <c r="O4" i="7"/>
  <c r="R4" i="7" s="1"/>
  <c r="N4" i="7"/>
  <c r="M4" i="7"/>
  <c r="J4" i="7"/>
  <c r="AH3" i="7"/>
  <c r="AE3" i="7"/>
  <c r="AD3" i="7"/>
  <c r="AC3" i="7"/>
  <c r="V3" i="7"/>
  <c r="U3" i="7"/>
  <c r="T3" i="7"/>
  <c r="R3" i="7"/>
  <c r="P3" i="7"/>
  <c r="O3" i="7"/>
  <c r="N3" i="7"/>
  <c r="M3" i="7"/>
  <c r="J3" i="7"/>
  <c r="AH2" i="7"/>
  <c r="AE2" i="7"/>
  <c r="AD2" i="7"/>
  <c r="AC2" i="7"/>
  <c r="V2" i="7"/>
  <c r="U2" i="7"/>
  <c r="T2" i="7"/>
  <c r="N2" i="7"/>
  <c r="M2" i="7"/>
  <c r="J2" i="7"/>
  <c r="K2081" i="13"/>
  <c r="J2081" i="13"/>
  <c r="J2080" i="13"/>
  <c r="K2080" i="13" s="1"/>
  <c r="K2079" i="13"/>
  <c r="J2079" i="13"/>
  <c r="K2078" i="13"/>
  <c r="J2078" i="13"/>
  <c r="K2077" i="13"/>
  <c r="J2077" i="13"/>
  <c r="J2076" i="13"/>
  <c r="K2076" i="13" s="1"/>
  <c r="K2075" i="13"/>
  <c r="J2075" i="13"/>
  <c r="K2074" i="13"/>
  <c r="J2074" i="13"/>
  <c r="J2073" i="13"/>
  <c r="K2073" i="13" s="1"/>
  <c r="J2072" i="13"/>
  <c r="K2072" i="13" s="1"/>
  <c r="K2071" i="13"/>
  <c r="J2071" i="13"/>
  <c r="K2070" i="13"/>
  <c r="J2070" i="13"/>
  <c r="K2069" i="13"/>
  <c r="J2069" i="13"/>
  <c r="K2068" i="13"/>
  <c r="J2068" i="13"/>
  <c r="K2067" i="13"/>
  <c r="J2067" i="13"/>
  <c r="K2066" i="13"/>
  <c r="J2066" i="13"/>
  <c r="K2065" i="13"/>
  <c r="J2065" i="13"/>
  <c r="J2064" i="13"/>
  <c r="K2064" i="13" s="1"/>
  <c r="K2063" i="13"/>
  <c r="J2063" i="13"/>
  <c r="K2062" i="13"/>
  <c r="J2062" i="13"/>
  <c r="K2061" i="13"/>
  <c r="J2061" i="13"/>
  <c r="J2060" i="13"/>
  <c r="K2060" i="13" s="1"/>
  <c r="K2059" i="13"/>
  <c r="J2059" i="13"/>
  <c r="K2058" i="13"/>
  <c r="J2058" i="13"/>
  <c r="K2057" i="13"/>
  <c r="J2057" i="13"/>
  <c r="J2056" i="13"/>
  <c r="K2056" i="13" s="1"/>
  <c r="K2055" i="13"/>
  <c r="J2055" i="13"/>
  <c r="K2054" i="13"/>
  <c r="J2054" i="13"/>
  <c r="K2053" i="13"/>
  <c r="J2053" i="13"/>
  <c r="J2052" i="13"/>
  <c r="K2052" i="13" s="1"/>
  <c r="K2051" i="13"/>
  <c r="J2051" i="13"/>
  <c r="K2050" i="13"/>
  <c r="J2050" i="13"/>
  <c r="K2049" i="13"/>
  <c r="J2049" i="13"/>
  <c r="J2048" i="13"/>
  <c r="K2048" i="13" s="1"/>
  <c r="K2047" i="13"/>
  <c r="J2047" i="13"/>
  <c r="J2046" i="13"/>
  <c r="K2046" i="13" s="1"/>
  <c r="K2045" i="13"/>
  <c r="J2045" i="13"/>
  <c r="J2044" i="13"/>
  <c r="K2044" i="13" s="1"/>
  <c r="L2043" i="13"/>
  <c r="M2043" i="13" s="1"/>
  <c r="L2044" i="13" s="1"/>
  <c r="M2044" i="13" s="1"/>
  <c r="L2045" i="13" s="1"/>
  <c r="M2045" i="13" s="1"/>
  <c r="L2046" i="13" s="1"/>
  <c r="K2043" i="13"/>
  <c r="J2043" i="13"/>
  <c r="L2042" i="13"/>
  <c r="J2042" i="13"/>
  <c r="K2042" i="13" s="1"/>
  <c r="M2042" i="13" s="1"/>
  <c r="K2041" i="13"/>
  <c r="J2041" i="13"/>
  <c r="K2040" i="13"/>
  <c r="J2040" i="13"/>
  <c r="K2039" i="13"/>
  <c r="J2039" i="13"/>
  <c r="J2038" i="13"/>
  <c r="K2038" i="13" s="1"/>
  <c r="K2037" i="13"/>
  <c r="J2037" i="13"/>
  <c r="J2036" i="13"/>
  <c r="K2036" i="13" s="1"/>
  <c r="J2035" i="13"/>
  <c r="K2035" i="13" s="1"/>
  <c r="J2034" i="13"/>
  <c r="K2034" i="13" s="1"/>
  <c r="J2033" i="13"/>
  <c r="K2033" i="13" s="1"/>
  <c r="J2032" i="13"/>
  <c r="K2032" i="13" s="1"/>
  <c r="J2031" i="13"/>
  <c r="K2031" i="13" s="1"/>
  <c r="J2030" i="13"/>
  <c r="K2030" i="13" s="1"/>
  <c r="K2029" i="13"/>
  <c r="J2029" i="13"/>
  <c r="J2028" i="13"/>
  <c r="K2028" i="13" s="1"/>
  <c r="J2027" i="13"/>
  <c r="K2027" i="13" s="1"/>
  <c r="J2026" i="13"/>
  <c r="K2026" i="13" s="1"/>
  <c r="J2025" i="13"/>
  <c r="K2025" i="13" s="1"/>
  <c r="J2024" i="13"/>
  <c r="K2024" i="13" s="1"/>
  <c r="J2023" i="13"/>
  <c r="K2023" i="13" s="1"/>
  <c r="J2022" i="13"/>
  <c r="K2022" i="13" s="1"/>
  <c r="J2021" i="13"/>
  <c r="K2021" i="13" s="1"/>
  <c r="J2020" i="13"/>
  <c r="K2020" i="13" s="1"/>
  <c r="J2019" i="13"/>
  <c r="K2019" i="13" s="1"/>
  <c r="J2018" i="13"/>
  <c r="K2018" i="13" s="1"/>
  <c r="J2017" i="13"/>
  <c r="K2017" i="13" s="1"/>
  <c r="J2016" i="13"/>
  <c r="K2016" i="13" s="1"/>
  <c r="J2015" i="13"/>
  <c r="K2015" i="13" s="1"/>
  <c r="J2014" i="13"/>
  <c r="K2014" i="13" s="1"/>
  <c r="J2013" i="13"/>
  <c r="K2013" i="13" s="1"/>
  <c r="J2012" i="13"/>
  <c r="K2012" i="13" s="1"/>
  <c r="J2011" i="13"/>
  <c r="K2011" i="13" s="1"/>
  <c r="J2010" i="13"/>
  <c r="K2010" i="13" s="1"/>
  <c r="J2009" i="13"/>
  <c r="K2009" i="13" s="1"/>
  <c r="J2008" i="13"/>
  <c r="K2008" i="13" s="1"/>
  <c r="J2007" i="13"/>
  <c r="K2007" i="13" s="1"/>
  <c r="J2006" i="13"/>
  <c r="K2006" i="13" s="1"/>
  <c r="K2005" i="13"/>
  <c r="J2005" i="13"/>
  <c r="J2004" i="13"/>
  <c r="K2004" i="13" s="1"/>
  <c r="J2003" i="13"/>
  <c r="K2003" i="13" s="1"/>
  <c r="L2002" i="13"/>
  <c r="M2002" i="13" s="1"/>
  <c r="L2003" i="13" s="1"/>
  <c r="M2003" i="13" s="1"/>
  <c r="L2004" i="13" s="1"/>
  <c r="M2004" i="13" s="1"/>
  <c r="L2005" i="13" s="1"/>
  <c r="M2005" i="13" s="1"/>
  <c r="L2006" i="13" s="1"/>
  <c r="M2006" i="13" s="1"/>
  <c r="L2007" i="13" s="1"/>
  <c r="M2007" i="13" s="1"/>
  <c r="L2008" i="13" s="1"/>
  <c r="M2008" i="13" s="1"/>
  <c r="L2009" i="13" s="1"/>
  <c r="M2009" i="13" s="1"/>
  <c r="L2010" i="13" s="1"/>
  <c r="M2010" i="13" s="1"/>
  <c r="L2011" i="13" s="1"/>
  <c r="M2011" i="13" s="1"/>
  <c r="L2012" i="13" s="1"/>
  <c r="M2012" i="13" s="1"/>
  <c r="L2013" i="13" s="1"/>
  <c r="M2013" i="13" s="1"/>
  <c r="L2014" i="13" s="1"/>
  <c r="M2014" i="13" s="1"/>
  <c r="L2015" i="13" s="1"/>
  <c r="M2015" i="13" s="1"/>
  <c r="L2016" i="13" s="1"/>
  <c r="M2016" i="13" s="1"/>
  <c r="L2017" i="13" s="1"/>
  <c r="M2017" i="13" s="1"/>
  <c r="L2018" i="13" s="1"/>
  <c r="M2018" i="13" s="1"/>
  <c r="L2019" i="13" s="1"/>
  <c r="M2019" i="13" s="1"/>
  <c r="L2020" i="13" s="1"/>
  <c r="M2020" i="13" s="1"/>
  <c r="L2021" i="13" s="1"/>
  <c r="M2021" i="13" s="1"/>
  <c r="L2022" i="13" s="1"/>
  <c r="M2022" i="13" s="1"/>
  <c r="L2023" i="13" s="1"/>
  <c r="M2023" i="13" s="1"/>
  <c r="L2024" i="13" s="1"/>
  <c r="M2024" i="13" s="1"/>
  <c r="L2025" i="13" s="1"/>
  <c r="M2025" i="13" s="1"/>
  <c r="L2026" i="13" s="1"/>
  <c r="M2026" i="13" s="1"/>
  <c r="L2027" i="13" s="1"/>
  <c r="M2027" i="13" s="1"/>
  <c r="L2028" i="13" s="1"/>
  <c r="M2028" i="13" s="1"/>
  <c r="L2029" i="13" s="1"/>
  <c r="M2029" i="13" s="1"/>
  <c r="L2030" i="13" s="1"/>
  <c r="M2030" i="13" s="1"/>
  <c r="L2031" i="13" s="1"/>
  <c r="M2031" i="13" s="1"/>
  <c r="L2032" i="13" s="1"/>
  <c r="M2032" i="13" s="1"/>
  <c r="L2033" i="13" s="1"/>
  <c r="M2033" i="13" s="1"/>
  <c r="L2034" i="13" s="1"/>
  <c r="M2034" i="13" s="1"/>
  <c r="L2035" i="13" s="1"/>
  <c r="M2035" i="13" s="1"/>
  <c r="L2036" i="13" s="1"/>
  <c r="M2036" i="13" s="1"/>
  <c r="L2037" i="13" s="1"/>
  <c r="M2037" i="13" s="1"/>
  <c r="L2038" i="13" s="1"/>
  <c r="M2038" i="13" s="1"/>
  <c r="L2039" i="13" s="1"/>
  <c r="M2039" i="13" s="1"/>
  <c r="L2040" i="13" s="1"/>
  <c r="M2040" i="13" s="1"/>
  <c r="L2041" i="13" s="1"/>
  <c r="M2041" i="13" s="1"/>
  <c r="J2002" i="13"/>
  <c r="K2002" i="13" s="1"/>
  <c r="K2001" i="13"/>
  <c r="J2001" i="13"/>
  <c r="J2000" i="13"/>
  <c r="K2000" i="13" s="1"/>
  <c r="J1999" i="13"/>
  <c r="K1999" i="13" s="1"/>
  <c r="J1998" i="13"/>
  <c r="K1998" i="13" s="1"/>
  <c r="J1997" i="13"/>
  <c r="K1997" i="13" s="1"/>
  <c r="J1996" i="13"/>
  <c r="K1996" i="13" s="1"/>
  <c r="J1995" i="13"/>
  <c r="K1995" i="13" s="1"/>
  <c r="J1994" i="13"/>
  <c r="K1994" i="13" s="1"/>
  <c r="K1993" i="13"/>
  <c r="J1993" i="13"/>
  <c r="J1992" i="13"/>
  <c r="K1992" i="13" s="1"/>
  <c r="J1991" i="13"/>
  <c r="K1991" i="13" s="1"/>
  <c r="J1990" i="13"/>
  <c r="K1990" i="13" s="1"/>
  <c r="K1989" i="13"/>
  <c r="J1989" i="13"/>
  <c r="J1988" i="13"/>
  <c r="K1988" i="13" s="1"/>
  <c r="J1987" i="13"/>
  <c r="K1987" i="13" s="1"/>
  <c r="J1986" i="13"/>
  <c r="K1986" i="13" s="1"/>
  <c r="K1985" i="13"/>
  <c r="J1985" i="13"/>
  <c r="J1984" i="13"/>
  <c r="K1984" i="13" s="1"/>
  <c r="J1983" i="13"/>
  <c r="K1983" i="13" s="1"/>
  <c r="J1982" i="13"/>
  <c r="K1982" i="13" s="1"/>
  <c r="J1981" i="13"/>
  <c r="K1981" i="13" s="1"/>
  <c r="J1980" i="13"/>
  <c r="K1980" i="13" s="1"/>
  <c r="J1979" i="13"/>
  <c r="K1979" i="13" s="1"/>
  <c r="J1978" i="13"/>
  <c r="K1978" i="13" s="1"/>
  <c r="K1977" i="13"/>
  <c r="J1977" i="13"/>
  <c r="J1976" i="13"/>
  <c r="K1976" i="13" s="1"/>
  <c r="J1975" i="13"/>
  <c r="K1975" i="13" s="1"/>
  <c r="J1974" i="13"/>
  <c r="K1974" i="13" s="1"/>
  <c r="J1973" i="13"/>
  <c r="K1973" i="13" s="1"/>
  <c r="J1972" i="13"/>
  <c r="K1972" i="13" s="1"/>
  <c r="J1971" i="13"/>
  <c r="K1971" i="13" s="1"/>
  <c r="J1970" i="13"/>
  <c r="K1970" i="13" s="1"/>
  <c r="J1969" i="13"/>
  <c r="K1969" i="13" s="1"/>
  <c r="J1968" i="13"/>
  <c r="K1968" i="13" s="1"/>
  <c r="J1967" i="13"/>
  <c r="K1967" i="13" s="1"/>
  <c r="J1966" i="13"/>
  <c r="K1966" i="13" s="1"/>
  <c r="J1965" i="13"/>
  <c r="K1965" i="13" s="1"/>
  <c r="J1964" i="13"/>
  <c r="K1964" i="13" s="1"/>
  <c r="J1963" i="13"/>
  <c r="K1963" i="13" s="1"/>
  <c r="L1962" i="13"/>
  <c r="J1962" i="13"/>
  <c r="K1962" i="13" s="1"/>
  <c r="K1961" i="13"/>
  <c r="J1961" i="13"/>
  <c r="J1960" i="13"/>
  <c r="K1960" i="13" s="1"/>
  <c r="J1959" i="13"/>
  <c r="K1959" i="13" s="1"/>
  <c r="J1958" i="13"/>
  <c r="K1958" i="13" s="1"/>
  <c r="K1957" i="13"/>
  <c r="J1957" i="13"/>
  <c r="J1956" i="13"/>
  <c r="K1956" i="13" s="1"/>
  <c r="J1955" i="13"/>
  <c r="K1955" i="13" s="1"/>
  <c r="J1954" i="13"/>
  <c r="K1954" i="13" s="1"/>
  <c r="J1953" i="13"/>
  <c r="K1953" i="13" s="1"/>
  <c r="J1952" i="13"/>
  <c r="K1952" i="13" s="1"/>
  <c r="J1951" i="13"/>
  <c r="K1951" i="13" s="1"/>
  <c r="J1950" i="13"/>
  <c r="K1950" i="13" s="1"/>
  <c r="J1949" i="13"/>
  <c r="K1949" i="13" s="1"/>
  <c r="J1948" i="13"/>
  <c r="K1948" i="13" s="1"/>
  <c r="J1947" i="13"/>
  <c r="K1947" i="13" s="1"/>
  <c r="J1946" i="13"/>
  <c r="K1946" i="13" s="1"/>
  <c r="J1945" i="13"/>
  <c r="K1945" i="13" s="1"/>
  <c r="J1944" i="13"/>
  <c r="K1944" i="13" s="1"/>
  <c r="J1943" i="13"/>
  <c r="K1943" i="13" s="1"/>
  <c r="J1942" i="13"/>
  <c r="K1942" i="13" s="1"/>
  <c r="K1941" i="13"/>
  <c r="J1941" i="13"/>
  <c r="J1940" i="13"/>
  <c r="K1940" i="13" s="1"/>
  <c r="J1939" i="13"/>
  <c r="K1939" i="13" s="1"/>
  <c r="J1938" i="13"/>
  <c r="K1938" i="13" s="1"/>
  <c r="K1937" i="13"/>
  <c r="J1937" i="13"/>
  <c r="J1936" i="13"/>
  <c r="K1936" i="13" s="1"/>
  <c r="J1935" i="13"/>
  <c r="K1935" i="13" s="1"/>
  <c r="J1934" i="13"/>
  <c r="K1934" i="13" s="1"/>
  <c r="K1933" i="13"/>
  <c r="J1933" i="13"/>
  <c r="J1932" i="13"/>
  <c r="K1932" i="13" s="1"/>
  <c r="K1931" i="13"/>
  <c r="J1931" i="13"/>
  <c r="J1930" i="13"/>
  <c r="K1930" i="13" s="1"/>
  <c r="K1929" i="13"/>
  <c r="J1929" i="13"/>
  <c r="J1928" i="13"/>
  <c r="K1928" i="13" s="1"/>
  <c r="J1927" i="13"/>
  <c r="K1927" i="13" s="1"/>
  <c r="J1926" i="13"/>
  <c r="K1926" i="13" s="1"/>
  <c r="K1925" i="13"/>
  <c r="J1925" i="13"/>
  <c r="J1924" i="13"/>
  <c r="K1924" i="13" s="1"/>
  <c r="K1923" i="13"/>
  <c r="J1923" i="13"/>
  <c r="L1922" i="13"/>
  <c r="J1922" i="13"/>
  <c r="K1922" i="13" s="1"/>
  <c r="M1922" i="13" s="1"/>
  <c r="L1923" i="13" s="1"/>
  <c r="M1923" i="13" s="1"/>
  <c r="L1924" i="13" s="1"/>
  <c r="M1924" i="13" s="1"/>
  <c r="L1925" i="13" s="1"/>
  <c r="M1925" i="13" s="1"/>
  <c r="L1926" i="13" s="1"/>
  <c r="M1926" i="13" s="1"/>
  <c r="L1927" i="13" s="1"/>
  <c r="M1927" i="13" s="1"/>
  <c r="L1928" i="13" s="1"/>
  <c r="M1928" i="13" s="1"/>
  <c r="L1929" i="13" s="1"/>
  <c r="M1929" i="13" s="1"/>
  <c r="L1930" i="13" s="1"/>
  <c r="M1930" i="13" s="1"/>
  <c r="L1931" i="13" s="1"/>
  <c r="M1931" i="13" s="1"/>
  <c r="L1932" i="13" s="1"/>
  <c r="M1932" i="13" s="1"/>
  <c r="L1933" i="13" s="1"/>
  <c r="M1933" i="13" s="1"/>
  <c r="L1934" i="13" s="1"/>
  <c r="M1934" i="13" s="1"/>
  <c r="L1935" i="13" s="1"/>
  <c r="M1935" i="13" s="1"/>
  <c r="L1936" i="13" s="1"/>
  <c r="M1936" i="13" s="1"/>
  <c r="L1937" i="13" s="1"/>
  <c r="M1937" i="13" s="1"/>
  <c r="L1938" i="13" s="1"/>
  <c r="M1938" i="13" s="1"/>
  <c r="L1939" i="13" s="1"/>
  <c r="M1939" i="13" s="1"/>
  <c r="L1940" i="13" s="1"/>
  <c r="M1940" i="13" s="1"/>
  <c r="L1941" i="13" s="1"/>
  <c r="M1941" i="13" s="1"/>
  <c r="L1942" i="13" s="1"/>
  <c r="M1942" i="13" s="1"/>
  <c r="L1943" i="13" s="1"/>
  <c r="M1943" i="13" s="1"/>
  <c r="L1944" i="13" s="1"/>
  <c r="M1944" i="13" s="1"/>
  <c r="L1945" i="13" s="1"/>
  <c r="M1945" i="13" s="1"/>
  <c r="L1946" i="13" s="1"/>
  <c r="M1946" i="13" s="1"/>
  <c r="L1947" i="13" s="1"/>
  <c r="M1947" i="13" s="1"/>
  <c r="L1948" i="13" s="1"/>
  <c r="M1948" i="13" s="1"/>
  <c r="L1949" i="13" s="1"/>
  <c r="M1949" i="13" s="1"/>
  <c r="L1950" i="13" s="1"/>
  <c r="M1950" i="13" s="1"/>
  <c r="L1951" i="13" s="1"/>
  <c r="M1951" i="13" s="1"/>
  <c r="L1952" i="13" s="1"/>
  <c r="M1952" i="13" s="1"/>
  <c r="L1953" i="13" s="1"/>
  <c r="M1953" i="13" s="1"/>
  <c r="L1954" i="13" s="1"/>
  <c r="M1954" i="13" s="1"/>
  <c r="L1955" i="13" s="1"/>
  <c r="M1955" i="13" s="1"/>
  <c r="L1956" i="13" s="1"/>
  <c r="M1956" i="13" s="1"/>
  <c r="L1957" i="13" s="1"/>
  <c r="M1957" i="13" s="1"/>
  <c r="L1958" i="13" s="1"/>
  <c r="M1958" i="13" s="1"/>
  <c r="L1959" i="13" s="1"/>
  <c r="M1959" i="13" s="1"/>
  <c r="L1960" i="13" s="1"/>
  <c r="M1960" i="13" s="1"/>
  <c r="L1961" i="13" s="1"/>
  <c r="M1961" i="13" s="1"/>
  <c r="J1921" i="13"/>
  <c r="K1921" i="13" s="1"/>
  <c r="J1920" i="13"/>
  <c r="K1920" i="13" s="1"/>
  <c r="K1919" i="13"/>
  <c r="J1919" i="13"/>
  <c r="J1918" i="13"/>
  <c r="K1918" i="13" s="1"/>
  <c r="K1917" i="13"/>
  <c r="J1917" i="13"/>
  <c r="J1916" i="13"/>
  <c r="K1916" i="13" s="1"/>
  <c r="K1915" i="13"/>
  <c r="J1915" i="13"/>
  <c r="J1914" i="13"/>
  <c r="K1914" i="13" s="1"/>
  <c r="K1913" i="13"/>
  <c r="J1913" i="13"/>
  <c r="J1912" i="13"/>
  <c r="K1912" i="13" s="1"/>
  <c r="J1911" i="13"/>
  <c r="K1911" i="13" s="1"/>
  <c r="J1910" i="13"/>
  <c r="K1910" i="13" s="1"/>
  <c r="J1909" i="13"/>
  <c r="K1909" i="13" s="1"/>
  <c r="J1908" i="13"/>
  <c r="K1908" i="13" s="1"/>
  <c r="K1907" i="13"/>
  <c r="J1907" i="13"/>
  <c r="J1906" i="13"/>
  <c r="K1906" i="13" s="1"/>
  <c r="J1905" i="13"/>
  <c r="K1905" i="13" s="1"/>
  <c r="J1904" i="13"/>
  <c r="K1904" i="13" s="1"/>
  <c r="K1903" i="13"/>
  <c r="J1903" i="13"/>
  <c r="J1902" i="13"/>
  <c r="K1902" i="13" s="1"/>
  <c r="J1901" i="13"/>
  <c r="K1901" i="13" s="1"/>
  <c r="J1900" i="13"/>
  <c r="K1900" i="13" s="1"/>
  <c r="J1899" i="13"/>
  <c r="K1899" i="13" s="1"/>
  <c r="J1898" i="13"/>
  <c r="K1898" i="13" s="1"/>
  <c r="K1897" i="13"/>
  <c r="J1897" i="13"/>
  <c r="J1896" i="13"/>
  <c r="K1896" i="13" s="1"/>
  <c r="J1895" i="13"/>
  <c r="K1895" i="13" s="1"/>
  <c r="J1894" i="13"/>
  <c r="K1894" i="13" s="1"/>
  <c r="K1893" i="13"/>
  <c r="J1893" i="13"/>
  <c r="J1892" i="13"/>
  <c r="K1892" i="13" s="1"/>
  <c r="J1891" i="13"/>
  <c r="K1891" i="13" s="1"/>
  <c r="J1890" i="13"/>
  <c r="K1890" i="13" s="1"/>
  <c r="J1889" i="13"/>
  <c r="K1889" i="13" s="1"/>
  <c r="J1888" i="13"/>
  <c r="K1888" i="13" s="1"/>
  <c r="K1887" i="13"/>
  <c r="J1887" i="13"/>
  <c r="J1886" i="13"/>
  <c r="K1886" i="13" s="1"/>
  <c r="J1885" i="13"/>
  <c r="K1885" i="13" s="1"/>
  <c r="J1884" i="13"/>
  <c r="K1884" i="13" s="1"/>
  <c r="K1883" i="13"/>
  <c r="J1883" i="13"/>
  <c r="M1882" i="13"/>
  <c r="L1883" i="13" s="1"/>
  <c r="M1883" i="13" s="1"/>
  <c r="L1884" i="13" s="1"/>
  <c r="L1882" i="13"/>
  <c r="J1882" i="13"/>
  <c r="K1882" i="13" s="1"/>
  <c r="K1881" i="13"/>
  <c r="J1881" i="13"/>
  <c r="J1880" i="13"/>
  <c r="K1880" i="13" s="1"/>
  <c r="J1879" i="13"/>
  <c r="K1879" i="13" s="1"/>
  <c r="J1878" i="13"/>
  <c r="K1878" i="13" s="1"/>
  <c r="K1877" i="13"/>
  <c r="J1877" i="13"/>
  <c r="J1876" i="13"/>
  <c r="K1876" i="13" s="1"/>
  <c r="K1875" i="13"/>
  <c r="J1875" i="13"/>
  <c r="J1874" i="13"/>
  <c r="K1874" i="13" s="1"/>
  <c r="J1873" i="13"/>
  <c r="K1873" i="13" s="1"/>
  <c r="J1872" i="13"/>
  <c r="K1872" i="13" s="1"/>
  <c r="K1871" i="13"/>
  <c r="J1871" i="13"/>
  <c r="J1870" i="13"/>
  <c r="K1870" i="13" s="1"/>
  <c r="K1869" i="13"/>
  <c r="J1869" i="13"/>
  <c r="J1868" i="13"/>
  <c r="K1868" i="13" s="1"/>
  <c r="K1867" i="13"/>
  <c r="J1867" i="13"/>
  <c r="J1866" i="13"/>
  <c r="K1866" i="13" s="1"/>
  <c r="K1865" i="13"/>
  <c r="J1865" i="13"/>
  <c r="J1864" i="13"/>
  <c r="K1864" i="13" s="1"/>
  <c r="J1863" i="13"/>
  <c r="K1863" i="13" s="1"/>
  <c r="J1862" i="13"/>
  <c r="K1862" i="13" s="1"/>
  <c r="K1861" i="13"/>
  <c r="J1861" i="13"/>
  <c r="J1860" i="13"/>
  <c r="K1860" i="13" s="1"/>
  <c r="K1859" i="13"/>
  <c r="J1859" i="13"/>
  <c r="J1858" i="13"/>
  <c r="K1858" i="13" s="1"/>
  <c r="K1857" i="13"/>
  <c r="J1857" i="13"/>
  <c r="J1856" i="13"/>
  <c r="K1856" i="13" s="1"/>
  <c r="K1855" i="13"/>
  <c r="J1855" i="13"/>
  <c r="J1854" i="13"/>
  <c r="K1854" i="13" s="1"/>
  <c r="J1853" i="13"/>
  <c r="K1853" i="13" s="1"/>
  <c r="J1852" i="13"/>
  <c r="K1852" i="13" s="1"/>
  <c r="K1851" i="13"/>
  <c r="J1851" i="13"/>
  <c r="J1850" i="13"/>
  <c r="K1850" i="13" s="1"/>
  <c r="K1849" i="13"/>
  <c r="J1849" i="13"/>
  <c r="J1848" i="13"/>
  <c r="K1848" i="13" s="1"/>
  <c r="K1847" i="13"/>
  <c r="J1847" i="13"/>
  <c r="J1846" i="13"/>
  <c r="K1846" i="13" s="1"/>
  <c r="J1845" i="13"/>
  <c r="K1845" i="13" s="1"/>
  <c r="J1844" i="13"/>
  <c r="K1844" i="13" s="1"/>
  <c r="K1843" i="13"/>
  <c r="J1843" i="13"/>
  <c r="M1842" i="13"/>
  <c r="L1843" i="13" s="1"/>
  <c r="L1842" i="13"/>
  <c r="J1842" i="13"/>
  <c r="K1842" i="13" s="1"/>
  <c r="J1841" i="13"/>
  <c r="K1841" i="13" s="1"/>
  <c r="J1840" i="13"/>
  <c r="K1840" i="13" s="1"/>
  <c r="K1839" i="13"/>
  <c r="J1839" i="13"/>
  <c r="J1838" i="13"/>
  <c r="K1838" i="13" s="1"/>
  <c r="J1837" i="13"/>
  <c r="K1837" i="13" s="1"/>
  <c r="J1836" i="13"/>
  <c r="K1836" i="13" s="1"/>
  <c r="J1835" i="13"/>
  <c r="K1835" i="13" s="1"/>
  <c r="J1834" i="13"/>
  <c r="K1834" i="13" s="1"/>
  <c r="K1833" i="13"/>
  <c r="J1833" i="13"/>
  <c r="J1832" i="13"/>
  <c r="K1832" i="13" s="1"/>
  <c r="J1831" i="13"/>
  <c r="K1831" i="13" s="1"/>
  <c r="J1830" i="13"/>
  <c r="K1830" i="13" s="1"/>
  <c r="K1829" i="13"/>
  <c r="J1829" i="13"/>
  <c r="J1828" i="13"/>
  <c r="K1828" i="13" s="1"/>
  <c r="J1827" i="13"/>
  <c r="K1827" i="13" s="1"/>
  <c r="J1826" i="13"/>
  <c r="K1826" i="13" s="1"/>
  <c r="J1825" i="13"/>
  <c r="K1825" i="13" s="1"/>
  <c r="J1824" i="13"/>
  <c r="K1824" i="13" s="1"/>
  <c r="K1823" i="13"/>
  <c r="J1823" i="13"/>
  <c r="J1822" i="13"/>
  <c r="K1822" i="13" s="1"/>
  <c r="J1821" i="13"/>
  <c r="K1821" i="13" s="1"/>
  <c r="J1820" i="13"/>
  <c r="K1820" i="13" s="1"/>
  <c r="K1819" i="13"/>
  <c r="J1819" i="13"/>
  <c r="K1818" i="13"/>
  <c r="J1818" i="13"/>
  <c r="K1817" i="13"/>
  <c r="J1817" i="13"/>
  <c r="J1816" i="13"/>
  <c r="K1816" i="13" s="1"/>
  <c r="J1815" i="13"/>
  <c r="K1815" i="13" s="1"/>
  <c r="K1814" i="13"/>
  <c r="J1814" i="13"/>
  <c r="K1813" i="13"/>
  <c r="J1813" i="13"/>
  <c r="J1812" i="13"/>
  <c r="K1812" i="13" s="1"/>
  <c r="K1811" i="13"/>
  <c r="J1811" i="13"/>
  <c r="K1810" i="13"/>
  <c r="J1810" i="13"/>
  <c r="J1809" i="13"/>
  <c r="K1809" i="13" s="1"/>
  <c r="K1808" i="13"/>
  <c r="J1808" i="13"/>
  <c r="K1807" i="13"/>
  <c r="J1807" i="13"/>
  <c r="J1806" i="13"/>
  <c r="K1806" i="13" s="1"/>
  <c r="J1805" i="13"/>
  <c r="K1805" i="13" s="1"/>
  <c r="J1804" i="13"/>
  <c r="K1804" i="13" s="1"/>
  <c r="K1803" i="13"/>
  <c r="J1803" i="13"/>
  <c r="L1802" i="13"/>
  <c r="K1802" i="13"/>
  <c r="M1802" i="13" s="1"/>
  <c r="L1803" i="13" s="1"/>
  <c r="M1803" i="13" s="1"/>
  <c r="L1804" i="13" s="1"/>
  <c r="M1804" i="13" s="1"/>
  <c r="L1805" i="13" s="1"/>
  <c r="M1805" i="13" s="1"/>
  <c r="L1806" i="13" s="1"/>
  <c r="M1806" i="13" s="1"/>
  <c r="L1807" i="13" s="1"/>
  <c r="M1807" i="13" s="1"/>
  <c r="L1808" i="13" s="1"/>
  <c r="M1808" i="13" s="1"/>
  <c r="L1809" i="13" s="1"/>
  <c r="M1809" i="13" s="1"/>
  <c r="L1810" i="13" s="1"/>
  <c r="M1810" i="13" s="1"/>
  <c r="L1811" i="13" s="1"/>
  <c r="M1811" i="13" s="1"/>
  <c r="L1812" i="13" s="1"/>
  <c r="M1812" i="13" s="1"/>
  <c r="L1813" i="13" s="1"/>
  <c r="M1813" i="13" s="1"/>
  <c r="L1814" i="13" s="1"/>
  <c r="M1814" i="13" s="1"/>
  <c r="L1815" i="13" s="1"/>
  <c r="M1815" i="13" s="1"/>
  <c r="L1816" i="13" s="1"/>
  <c r="M1816" i="13" s="1"/>
  <c r="L1817" i="13" s="1"/>
  <c r="M1817" i="13" s="1"/>
  <c r="L1818" i="13" s="1"/>
  <c r="M1818" i="13" s="1"/>
  <c r="L1819" i="13" s="1"/>
  <c r="M1819" i="13" s="1"/>
  <c r="L1820" i="13" s="1"/>
  <c r="M1820" i="13" s="1"/>
  <c r="L1821" i="13" s="1"/>
  <c r="M1821" i="13" s="1"/>
  <c r="L1822" i="13" s="1"/>
  <c r="M1822" i="13" s="1"/>
  <c r="L1823" i="13" s="1"/>
  <c r="M1823" i="13" s="1"/>
  <c r="L1824" i="13" s="1"/>
  <c r="M1824" i="13" s="1"/>
  <c r="L1825" i="13" s="1"/>
  <c r="M1825" i="13" s="1"/>
  <c r="L1826" i="13" s="1"/>
  <c r="M1826" i="13" s="1"/>
  <c r="L1827" i="13" s="1"/>
  <c r="M1827" i="13" s="1"/>
  <c r="L1828" i="13" s="1"/>
  <c r="M1828" i="13" s="1"/>
  <c r="L1829" i="13" s="1"/>
  <c r="M1829" i="13" s="1"/>
  <c r="L1830" i="13" s="1"/>
  <c r="M1830" i="13" s="1"/>
  <c r="L1831" i="13" s="1"/>
  <c r="M1831" i="13" s="1"/>
  <c r="L1832" i="13" s="1"/>
  <c r="M1832" i="13" s="1"/>
  <c r="L1833" i="13" s="1"/>
  <c r="M1833" i="13" s="1"/>
  <c r="L1834" i="13" s="1"/>
  <c r="M1834" i="13" s="1"/>
  <c r="L1835" i="13" s="1"/>
  <c r="M1835" i="13" s="1"/>
  <c r="L1836" i="13" s="1"/>
  <c r="M1836" i="13" s="1"/>
  <c r="L1837" i="13" s="1"/>
  <c r="M1837" i="13" s="1"/>
  <c r="L1838" i="13" s="1"/>
  <c r="M1838" i="13" s="1"/>
  <c r="L1839" i="13" s="1"/>
  <c r="M1839" i="13" s="1"/>
  <c r="L1840" i="13" s="1"/>
  <c r="M1840" i="13" s="1"/>
  <c r="L1841" i="13" s="1"/>
  <c r="M1841" i="13" s="1"/>
  <c r="J1802" i="13"/>
  <c r="J1801" i="13"/>
  <c r="K1801" i="13" s="1"/>
  <c r="J1800" i="13"/>
  <c r="K1800" i="13" s="1"/>
  <c r="J1799" i="13"/>
  <c r="K1799" i="13" s="1"/>
  <c r="K1798" i="13"/>
  <c r="J1798" i="13"/>
  <c r="J1797" i="13"/>
  <c r="K1797" i="13" s="1"/>
  <c r="J1796" i="13"/>
  <c r="K1796" i="13" s="1"/>
  <c r="J1795" i="13"/>
  <c r="K1795" i="13" s="1"/>
  <c r="K1794" i="13"/>
  <c r="J1794" i="13"/>
  <c r="J1793" i="13"/>
  <c r="K1793" i="13" s="1"/>
  <c r="J1792" i="13"/>
  <c r="K1792" i="13" s="1"/>
  <c r="J1791" i="13"/>
  <c r="K1791" i="13" s="1"/>
  <c r="K1790" i="13"/>
  <c r="J1790" i="13"/>
  <c r="J1789" i="13"/>
  <c r="K1789" i="13" s="1"/>
  <c r="J1788" i="13"/>
  <c r="K1788" i="13" s="1"/>
  <c r="J1787" i="13"/>
  <c r="K1787" i="13" s="1"/>
  <c r="K1786" i="13"/>
  <c r="J1786" i="13"/>
  <c r="J1785" i="13"/>
  <c r="K1785" i="13" s="1"/>
  <c r="J1784" i="13"/>
  <c r="K1784" i="13" s="1"/>
  <c r="J1783" i="13"/>
  <c r="K1783" i="13" s="1"/>
  <c r="K1782" i="13"/>
  <c r="J1782" i="13"/>
  <c r="J1781" i="13"/>
  <c r="K1781" i="13" s="1"/>
  <c r="J1780" i="13"/>
  <c r="K1780" i="13" s="1"/>
  <c r="J1779" i="13"/>
  <c r="K1779" i="13" s="1"/>
  <c r="K1778" i="13"/>
  <c r="J1778" i="13"/>
  <c r="J1777" i="13"/>
  <c r="K1777" i="13" s="1"/>
  <c r="J1776" i="13"/>
  <c r="K1776" i="13" s="1"/>
  <c r="J1775" i="13"/>
  <c r="K1775" i="13" s="1"/>
  <c r="K1774" i="13"/>
  <c r="J1774" i="13"/>
  <c r="J1773" i="13"/>
  <c r="K1773" i="13" s="1"/>
  <c r="J1772" i="13"/>
  <c r="K1772" i="13" s="1"/>
  <c r="J1771" i="13"/>
  <c r="K1771" i="13" s="1"/>
  <c r="K1770" i="13"/>
  <c r="J1770" i="13"/>
  <c r="J1769" i="13"/>
  <c r="K1769" i="13" s="1"/>
  <c r="J1768" i="13"/>
  <c r="K1768" i="13" s="1"/>
  <c r="J1767" i="13"/>
  <c r="K1767" i="13" s="1"/>
  <c r="K1766" i="13"/>
  <c r="J1766" i="13"/>
  <c r="J1765" i="13"/>
  <c r="K1765" i="13" s="1"/>
  <c r="J1764" i="13"/>
  <c r="K1764" i="13" s="1"/>
  <c r="J1763" i="13"/>
  <c r="K1763" i="13" s="1"/>
  <c r="L1762" i="13"/>
  <c r="J1762" i="13"/>
  <c r="K1762" i="13" s="1"/>
  <c r="M1762" i="13" s="1"/>
  <c r="L1763" i="13" s="1"/>
  <c r="J1761" i="13"/>
  <c r="K1761" i="13" s="1"/>
  <c r="K1760" i="13"/>
  <c r="J1760" i="13"/>
  <c r="K1759" i="13"/>
  <c r="J1759" i="13"/>
  <c r="J1758" i="13"/>
  <c r="K1758" i="13" s="1"/>
  <c r="J1757" i="13"/>
  <c r="K1757" i="13" s="1"/>
  <c r="J1756" i="13"/>
  <c r="K1756" i="13" s="1"/>
  <c r="J1755" i="13"/>
  <c r="K1755" i="13" s="1"/>
  <c r="K1754" i="13"/>
  <c r="J1754" i="13"/>
  <c r="J1753" i="13"/>
  <c r="K1753" i="13" s="1"/>
  <c r="K1752" i="13"/>
  <c r="J1752" i="13"/>
  <c r="K1751" i="13"/>
  <c r="J1751" i="13"/>
  <c r="J1750" i="13"/>
  <c r="K1750" i="13" s="1"/>
  <c r="J1749" i="13"/>
  <c r="K1749" i="13" s="1"/>
  <c r="J1748" i="13"/>
  <c r="K1748" i="13" s="1"/>
  <c r="J1747" i="13"/>
  <c r="K1747" i="13" s="1"/>
  <c r="K1746" i="13"/>
  <c r="J1746" i="13"/>
  <c r="J1745" i="13"/>
  <c r="K1745" i="13" s="1"/>
  <c r="K1744" i="13"/>
  <c r="J1744" i="13"/>
  <c r="J1743" i="13"/>
  <c r="K1743" i="13" s="1"/>
  <c r="J1742" i="13"/>
  <c r="K1742" i="13" s="1"/>
  <c r="J1741" i="13"/>
  <c r="K1741" i="13" s="1"/>
  <c r="J1740" i="13"/>
  <c r="K1740" i="13" s="1"/>
  <c r="J1739" i="13"/>
  <c r="K1739" i="13" s="1"/>
  <c r="K1738" i="13"/>
  <c r="J1738" i="13"/>
  <c r="J1737" i="13"/>
  <c r="K1737" i="13" s="1"/>
  <c r="J1736" i="13"/>
  <c r="K1736" i="13" s="1"/>
  <c r="K1735" i="13"/>
  <c r="J1735" i="13"/>
  <c r="J1734" i="13"/>
  <c r="K1734" i="13" s="1"/>
  <c r="J1733" i="13"/>
  <c r="K1733" i="13" s="1"/>
  <c r="J1732" i="13"/>
  <c r="K1732" i="13" s="1"/>
  <c r="J1731" i="13"/>
  <c r="K1731" i="13" s="1"/>
  <c r="K1730" i="13"/>
  <c r="J1730" i="13"/>
  <c r="J1729" i="13"/>
  <c r="K1729" i="13" s="1"/>
  <c r="K1728" i="13"/>
  <c r="J1728" i="13"/>
  <c r="K1727" i="13"/>
  <c r="J1727" i="13"/>
  <c r="J1726" i="13"/>
  <c r="K1726" i="13" s="1"/>
  <c r="J1725" i="13"/>
  <c r="K1725" i="13" s="1"/>
  <c r="J1724" i="13"/>
  <c r="K1724" i="13" s="1"/>
  <c r="J1723" i="13"/>
  <c r="K1723" i="13" s="1"/>
  <c r="L1722" i="13"/>
  <c r="J1722" i="13"/>
  <c r="K1722" i="13" s="1"/>
  <c r="M1722" i="13" s="1"/>
  <c r="L1723" i="13" s="1"/>
  <c r="J1721" i="13"/>
  <c r="K1721" i="13" s="1"/>
  <c r="J1720" i="13"/>
  <c r="K1720" i="13" s="1"/>
  <c r="J1719" i="13"/>
  <c r="K1719" i="13" s="1"/>
  <c r="K1718" i="13"/>
  <c r="J1718" i="13"/>
  <c r="J1717" i="13"/>
  <c r="K1717" i="13" s="1"/>
  <c r="K1716" i="13"/>
  <c r="J1716" i="13"/>
  <c r="J1715" i="13"/>
  <c r="K1715" i="13" s="1"/>
  <c r="J1714" i="13"/>
  <c r="K1714" i="13" s="1"/>
  <c r="J1713" i="13"/>
  <c r="K1713" i="13" s="1"/>
  <c r="J1712" i="13"/>
  <c r="K1712" i="13" s="1"/>
  <c r="J1711" i="13"/>
  <c r="K1711" i="13" s="1"/>
  <c r="K1710" i="13"/>
  <c r="J1710" i="13"/>
  <c r="J1709" i="13"/>
  <c r="K1709" i="13" s="1"/>
  <c r="J1708" i="13"/>
  <c r="K1708" i="13" s="1"/>
  <c r="J1707" i="13"/>
  <c r="K1707" i="13" s="1"/>
  <c r="K1706" i="13"/>
  <c r="J1706" i="13"/>
  <c r="J1705" i="13"/>
  <c r="K1705" i="13" s="1"/>
  <c r="K1704" i="13"/>
  <c r="J1704" i="13"/>
  <c r="J1703" i="13"/>
  <c r="K1703" i="13" s="1"/>
  <c r="J1702" i="13"/>
  <c r="K1702" i="13" s="1"/>
  <c r="J1701" i="13"/>
  <c r="K1701" i="13" s="1"/>
  <c r="J1700" i="13"/>
  <c r="K1700" i="13" s="1"/>
  <c r="K1699" i="13"/>
  <c r="J1699" i="13"/>
  <c r="J1698" i="13"/>
  <c r="K1698" i="13" s="1"/>
  <c r="J1697" i="13"/>
  <c r="K1697" i="13" s="1"/>
  <c r="J1696" i="13"/>
  <c r="K1696" i="13" s="1"/>
  <c r="J1695" i="13"/>
  <c r="K1695" i="13" s="1"/>
  <c r="K1694" i="13"/>
  <c r="J1694" i="13"/>
  <c r="J1693" i="13"/>
  <c r="K1693" i="13" s="1"/>
  <c r="J1692" i="13"/>
  <c r="K1692" i="13" s="1"/>
  <c r="K1691" i="13"/>
  <c r="J1691" i="13"/>
  <c r="J1690" i="13"/>
  <c r="K1690" i="13" s="1"/>
  <c r="J1689" i="13"/>
  <c r="K1689" i="13" s="1"/>
  <c r="K1688" i="13"/>
  <c r="J1688" i="13"/>
  <c r="J1687" i="13"/>
  <c r="K1687" i="13" s="1"/>
  <c r="K1686" i="13"/>
  <c r="J1686" i="13"/>
  <c r="J1685" i="13"/>
  <c r="K1685" i="13" s="1"/>
  <c r="J1684" i="13"/>
  <c r="K1684" i="13" s="1"/>
  <c r="K1683" i="13"/>
  <c r="J1683" i="13"/>
  <c r="L1682" i="13"/>
  <c r="K1682" i="13"/>
  <c r="M1682" i="13" s="1"/>
  <c r="L1683" i="13" s="1"/>
  <c r="M1683" i="13" s="1"/>
  <c r="L1684" i="13" s="1"/>
  <c r="M1684" i="13" s="1"/>
  <c r="L1685" i="13" s="1"/>
  <c r="M1685" i="13" s="1"/>
  <c r="L1686" i="13" s="1"/>
  <c r="M1686" i="13" s="1"/>
  <c r="L1687" i="13" s="1"/>
  <c r="J1682" i="13"/>
  <c r="J1681" i="13"/>
  <c r="K1681" i="13" s="1"/>
  <c r="J1680" i="13"/>
  <c r="K1680" i="13" s="1"/>
  <c r="J1679" i="13"/>
  <c r="K1679" i="13" s="1"/>
  <c r="J1678" i="13"/>
  <c r="K1678" i="13" s="1"/>
  <c r="J1677" i="13"/>
  <c r="K1677" i="13" s="1"/>
  <c r="J1676" i="13"/>
  <c r="K1676" i="13" s="1"/>
  <c r="K1675" i="13"/>
  <c r="J1675" i="13"/>
  <c r="J1674" i="13"/>
  <c r="K1674" i="13" s="1"/>
  <c r="J1673" i="13"/>
  <c r="K1673" i="13" s="1"/>
  <c r="J1672" i="13"/>
  <c r="K1672" i="13" s="1"/>
  <c r="K1671" i="13"/>
  <c r="J1671" i="13"/>
  <c r="J1670" i="13"/>
  <c r="K1670" i="13" s="1"/>
  <c r="J1669" i="13"/>
  <c r="K1669" i="13" s="1"/>
  <c r="J1668" i="13"/>
  <c r="K1668" i="13" s="1"/>
  <c r="K1667" i="13"/>
  <c r="J1667" i="13"/>
  <c r="J1666" i="13"/>
  <c r="K1666" i="13" s="1"/>
  <c r="J1665" i="13"/>
  <c r="K1665" i="13" s="1"/>
  <c r="J1664" i="13"/>
  <c r="K1664" i="13" s="1"/>
  <c r="J1663" i="13"/>
  <c r="K1663" i="13" s="1"/>
  <c r="J1662" i="13"/>
  <c r="K1662" i="13" s="1"/>
  <c r="J1661" i="13"/>
  <c r="K1661" i="13" s="1"/>
  <c r="J1660" i="13"/>
  <c r="K1660" i="13" s="1"/>
  <c r="K1659" i="13"/>
  <c r="J1659" i="13"/>
  <c r="J1658" i="13"/>
  <c r="K1658" i="13" s="1"/>
  <c r="J1657" i="13"/>
  <c r="K1657" i="13" s="1"/>
  <c r="J1656" i="13"/>
  <c r="K1656" i="13" s="1"/>
  <c r="K1655" i="13"/>
  <c r="J1655" i="13"/>
  <c r="J1654" i="13"/>
  <c r="K1654" i="13" s="1"/>
  <c r="J1653" i="13"/>
  <c r="K1653" i="13" s="1"/>
  <c r="J1652" i="13"/>
  <c r="K1652" i="13" s="1"/>
  <c r="K1651" i="13"/>
  <c r="J1651" i="13"/>
  <c r="J1650" i="13"/>
  <c r="K1650" i="13" s="1"/>
  <c r="J1649" i="13"/>
  <c r="K1649" i="13" s="1"/>
  <c r="J1648" i="13"/>
  <c r="K1648" i="13" s="1"/>
  <c r="J1647" i="13"/>
  <c r="K1647" i="13" s="1"/>
  <c r="J1646" i="13"/>
  <c r="K1646" i="13" s="1"/>
  <c r="J1645" i="13"/>
  <c r="K1645" i="13" s="1"/>
  <c r="J1644" i="13"/>
  <c r="K1644" i="13" s="1"/>
  <c r="K1643" i="13"/>
  <c r="J1643" i="13"/>
  <c r="L1642" i="13"/>
  <c r="J1642" i="13"/>
  <c r="K1642" i="13" s="1"/>
  <c r="M1642" i="13" s="1"/>
  <c r="L1643" i="13" s="1"/>
  <c r="M1643" i="13" s="1"/>
  <c r="L1644" i="13" s="1"/>
  <c r="M1644" i="13" s="1"/>
  <c r="L1645" i="13" s="1"/>
  <c r="M1645" i="13" s="1"/>
  <c r="L1646" i="13" s="1"/>
  <c r="M1646" i="13" s="1"/>
  <c r="L1647" i="13" s="1"/>
  <c r="M1647" i="13" s="1"/>
  <c r="L1648" i="13" s="1"/>
  <c r="M1648" i="13" s="1"/>
  <c r="L1649" i="13" s="1"/>
  <c r="M1649" i="13" s="1"/>
  <c r="L1650" i="13" s="1"/>
  <c r="M1650" i="13" s="1"/>
  <c r="L1651" i="13" s="1"/>
  <c r="M1651" i="13" s="1"/>
  <c r="L1652" i="13" s="1"/>
  <c r="M1652" i="13" s="1"/>
  <c r="L1653" i="13" s="1"/>
  <c r="M1653" i="13" s="1"/>
  <c r="L1654" i="13" s="1"/>
  <c r="J1641" i="13"/>
  <c r="K1641" i="13" s="1"/>
  <c r="K1640" i="13"/>
  <c r="J1640" i="13"/>
  <c r="J1639" i="13"/>
  <c r="K1639" i="13" s="1"/>
  <c r="K1638" i="13"/>
  <c r="J1638" i="13"/>
  <c r="J1637" i="13"/>
  <c r="K1637" i="13" s="1"/>
  <c r="K1636" i="13"/>
  <c r="J1636" i="13"/>
  <c r="J1635" i="13"/>
  <c r="K1635" i="13" s="1"/>
  <c r="K1634" i="13"/>
  <c r="J1634" i="13"/>
  <c r="J1633" i="13"/>
  <c r="K1633" i="13" s="1"/>
  <c r="K1632" i="13"/>
  <c r="J1632" i="13"/>
  <c r="J1631" i="13"/>
  <c r="K1631" i="13" s="1"/>
  <c r="K1630" i="13"/>
  <c r="J1630" i="13"/>
  <c r="J1629" i="13"/>
  <c r="K1629" i="13" s="1"/>
  <c r="K1628" i="13"/>
  <c r="J1628" i="13"/>
  <c r="J1627" i="13"/>
  <c r="K1627" i="13" s="1"/>
  <c r="J1626" i="13"/>
  <c r="K1626" i="13" s="1"/>
  <c r="J1625" i="13"/>
  <c r="K1625" i="13" s="1"/>
  <c r="K1624" i="13"/>
  <c r="J1624" i="13"/>
  <c r="J1623" i="13"/>
  <c r="K1623" i="13" s="1"/>
  <c r="K1622" i="13"/>
  <c r="J1622" i="13"/>
  <c r="J1621" i="13"/>
  <c r="K1621" i="13" s="1"/>
  <c r="K1620" i="13"/>
  <c r="J1620" i="13"/>
  <c r="J1619" i="13"/>
  <c r="K1619" i="13" s="1"/>
  <c r="J1618" i="13"/>
  <c r="K1618" i="13" s="1"/>
  <c r="J1617" i="13"/>
  <c r="K1617" i="13" s="1"/>
  <c r="J1616" i="13"/>
  <c r="K1616" i="13" s="1"/>
  <c r="K1615" i="13"/>
  <c r="J1615" i="13"/>
  <c r="K1614" i="13"/>
  <c r="J1614" i="13"/>
  <c r="J1613" i="13"/>
  <c r="K1613" i="13" s="1"/>
  <c r="K1612" i="13"/>
  <c r="J1612" i="13"/>
  <c r="J1611" i="13"/>
  <c r="K1611" i="13" s="1"/>
  <c r="J1610" i="13"/>
  <c r="K1610" i="13" s="1"/>
  <c r="K1609" i="13"/>
  <c r="J1609" i="13"/>
  <c r="K1608" i="13"/>
  <c r="J1608" i="13"/>
  <c r="K1607" i="13"/>
  <c r="J1607" i="13"/>
  <c r="K1606" i="13"/>
  <c r="J1606" i="13"/>
  <c r="K1605" i="13"/>
  <c r="J1605" i="13"/>
  <c r="K1604" i="13"/>
  <c r="J1604" i="13"/>
  <c r="K1603" i="13"/>
  <c r="J1603" i="13"/>
  <c r="L1602" i="13"/>
  <c r="M1602" i="13" s="1"/>
  <c r="L1603" i="13" s="1"/>
  <c r="M1603" i="13" s="1"/>
  <c r="L1604" i="13" s="1"/>
  <c r="M1604" i="13" s="1"/>
  <c r="L1605" i="13" s="1"/>
  <c r="M1605" i="13" s="1"/>
  <c r="L1606" i="13" s="1"/>
  <c r="M1606" i="13" s="1"/>
  <c r="L1607" i="13" s="1"/>
  <c r="M1607" i="13" s="1"/>
  <c r="L1608" i="13" s="1"/>
  <c r="M1608" i="13" s="1"/>
  <c r="L1609" i="13" s="1"/>
  <c r="M1609" i="13" s="1"/>
  <c r="L1610" i="13" s="1"/>
  <c r="M1610" i="13" s="1"/>
  <c r="L1611" i="13" s="1"/>
  <c r="M1611" i="13" s="1"/>
  <c r="L1612" i="13" s="1"/>
  <c r="M1612" i="13" s="1"/>
  <c r="L1613" i="13" s="1"/>
  <c r="M1613" i="13" s="1"/>
  <c r="L1614" i="13" s="1"/>
  <c r="M1614" i="13" s="1"/>
  <c r="L1615" i="13" s="1"/>
  <c r="M1615" i="13" s="1"/>
  <c r="L1616" i="13" s="1"/>
  <c r="M1616" i="13" s="1"/>
  <c r="L1617" i="13" s="1"/>
  <c r="M1617" i="13" s="1"/>
  <c r="L1618" i="13" s="1"/>
  <c r="M1618" i="13" s="1"/>
  <c r="L1619" i="13" s="1"/>
  <c r="M1619" i="13" s="1"/>
  <c r="L1620" i="13" s="1"/>
  <c r="M1620" i="13" s="1"/>
  <c r="L1621" i="13" s="1"/>
  <c r="M1621" i="13" s="1"/>
  <c r="L1622" i="13" s="1"/>
  <c r="M1622" i="13" s="1"/>
  <c r="L1623" i="13" s="1"/>
  <c r="M1623" i="13" s="1"/>
  <c r="L1624" i="13" s="1"/>
  <c r="M1624" i="13" s="1"/>
  <c r="L1625" i="13" s="1"/>
  <c r="M1625" i="13" s="1"/>
  <c r="L1626" i="13" s="1"/>
  <c r="M1626" i="13" s="1"/>
  <c r="L1627" i="13" s="1"/>
  <c r="M1627" i="13" s="1"/>
  <c r="L1628" i="13" s="1"/>
  <c r="M1628" i="13" s="1"/>
  <c r="L1629" i="13" s="1"/>
  <c r="M1629" i="13" s="1"/>
  <c r="L1630" i="13" s="1"/>
  <c r="M1630" i="13" s="1"/>
  <c r="L1631" i="13" s="1"/>
  <c r="M1631" i="13" s="1"/>
  <c r="L1632" i="13" s="1"/>
  <c r="M1632" i="13" s="1"/>
  <c r="L1633" i="13" s="1"/>
  <c r="M1633" i="13" s="1"/>
  <c r="L1634" i="13" s="1"/>
  <c r="M1634" i="13" s="1"/>
  <c r="L1635" i="13" s="1"/>
  <c r="M1635" i="13" s="1"/>
  <c r="L1636" i="13" s="1"/>
  <c r="M1636" i="13" s="1"/>
  <c r="L1637" i="13" s="1"/>
  <c r="M1637" i="13" s="1"/>
  <c r="L1638" i="13" s="1"/>
  <c r="M1638" i="13" s="1"/>
  <c r="L1639" i="13" s="1"/>
  <c r="M1639" i="13" s="1"/>
  <c r="L1640" i="13" s="1"/>
  <c r="M1640" i="13" s="1"/>
  <c r="L1641" i="13" s="1"/>
  <c r="M1641" i="13" s="1"/>
  <c r="K1602" i="13"/>
  <c r="J1602" i="13"/>
  <c r="K1601" i="13"/>
  <c r="J1601" i="13"/>
  <c r="K1600" i="13"/>
  <c r="J1600" i="13"/>
  <c r="K1599" i="13"/>
  <c r="J1599" i="13"/>
  <c r="K1598" i="13"/>
  <c r="J1598" i="13"/>
  <c r="K1597" i="13"/>
  <c r="J1597" i="13"/>
  <c r="K1596" i="13"/>
  <c r="J1596" i="13"/>
  <c r="K1595" i="13"/>
  <c r="J1595" i="13"/>
  <c r="K1594" i="13"/>
  <c r="J1594" i="13"/>
  <c r="K1593" i="13"/>
  <c r="J1593" i="13"/>
  <c r="K1592" i="13"/>
  <c r="J1592" i="13"/>
  <c r="K1591" i="13"/>
  <c r="J1591" i="13"/>
  <c r="K1590" i="13"/>
  <c r="J1590" i="13"/>
  <c r="K1589" i="13"/>
  <c r="J1589" i="13"/>
  <c r="K1588" i="13"/>
  <c r="J1588" i="13"/>
  <c r="K1587" i="13"/>
  <c r="J1587" i="13"/>
  <c r="K1586" i="13"/>
  <c r="J1586" i="13"/>
  <c r="K1585" i="13"/>
  <c r="J1585" i="13"/>
  <c r="K1584" i="13"/>
  <c r="J1584" i="13"/>
  <c r="K1583" i="13"/>
  <c r="J1583" i="13"/>
  <c r="K1582" i="13"/>
  <c r="J1582" i="13"/>
  <c r="K1581" i="13"/>
  <c r="J1581" i="13"/>
  <c r="K1580" i="13"/>
  <c r="J1580" i="13"/>
  <c r="K1579" i="13"/>
  <c r="J1579" i="13"/>
  <c r="K1578" i="13"/>
  <c r="J1578" i="13"/>
  <c r="K1577" i="13"/>
  <c r="J1577" i="13"/>
  <c r="K1576" i="13"/>
  <c r="J1576" i="13"/>
  <c r="K1575" i="13"/>
  <c r="J1575" i="13"/>
  <c r="K1574" i="13"/>
  <c r="J1574" i="13"/>
  <c r="K1573" i="13"/>
  <c r="J1573" i="13"/>
  <c r="K1572" i="13"/>
  <c r="J1572" i="13"/>
  <c r="K1571" i="13"/>
  <c r="J1571" i="13"/>
  <c r="K1570" i="13"/>
  <c r="J1570" i="13"/>
  <c r="K1569" i="13"/>
  <c r="J1569" i="13"/>
  <c r="K1568" i="13"/>
  <c r="J1568" i="13"/>
  <c r="K1567" i="13"/>
  <c r="J1567" i="13"/>
  <c r="K1566" i="13"/>
  <c r="J1566" i="13"/>
  <c r="K1565" i="13"/>
  <c r="J1565" i="13"/>
  <c r="K1564" i="13"/>
  <c r="J1564" i="13"/>
  <c r="M1563" i="13"/>
  <c r="L1564" i="13" s="1"/>
  <c r="M1564" i="13" s="1"/>
  <c r="L1565" i="13" s="1"/>
  <c r="M1565" i="13" s="1"/>
  <c r="L1566" i="13" s="1"/>
  <c r="M1566" i="13" s="1"/>
  <c r="L1567" i="13" s="1"/>
  <c r="M1567" i="13" s="1"/>
  <c r="L1568" i="13" s="1"/>
  <c r="M1568" i="13" s="1"/>
  <c r="L1569" i="13" s="1"/>
  <c r="M1569" i="13" s="1"/>
  <c r="L1570" i="13" s="1"/>
  <c r="M1570" i="13" s="1"/>
  <c r="L1571" i="13" s="1"/>
  <c r="M1571" i="13" s="1"/>
  <c r="L1572" i="13" s="1"/>
  <c r="M1572" i="13" s="1"/>
  <c r="L1573" i="13" s="1"/>
  <c r="M1573" i="13" s="1"/>
  <c r="L1574" i="13" s="1"/>
  <c r="M1574" i="13" s="1"/>
  <c r="L1575" i="13" s="1"/>
  <c r="M1575" i="13" s="1"/>
  <c r="L1576" i="13" s="1"/>
  <c r="M1576" i="13" s="1"/>
  <c r="L1577" i="13" s="1"/>
  <c r="M1577" i="13" s="1"/>
  <c r="L1578" i="13" s="1"/>
  <c r="M1578" i="13" s="1"/>
  <c r="L1579" i="13" s="1"/>
  <c r="M1579" i="13" s="1"/>
  <c r="L1580" i="13" s="1"/>
  <c r="M1580" i="13" s="1"/>
  <c r="L1581" i="13" s="1"/>
  <c r="M1581" i="13" s="1"/>
  <c r="L1582" i="13" s="1"/>
  <c r="M1582" i="13" s="1"/>
  <c r="L1583" i="13" s="1"/>
  <c r="M1583" i="13" s="1"/>
  <c r="L1584" i="13" s="1"/>
  <c r="M1584" i="13" s="1"/>
  <c r="L1585" i="13" s="1"/>
  <c r="M1585" i="13" s="1"/>
  <c r="L1586" i="13" s="1"/>
  <c r="M1586" i="13" s="1"/>
  <c r="L1587" i="13" s="1"/>
  <c r="M1587" i="13" s="1"/>
  <c r="L1588" i="13" s="1"/>
  <c r="M1588" i="13" s="1"/>
  <c r="L1589" i="13" s="1"/>
  <c r="M1589" i="13" s="1"/>
  <c r="L1590" i="13" s="1"/>
  <c r="M1590" i="13" s="1"/>
  <c r="L1591" i="13" s="1"/>
  <c r="M1591" i="13" s="1"/>
  <c r="L1592" i="13" s="1"/>
  <c r="M1592" i="13" s="1"/>
  <c r="L1593" i="13" s="1"/>
  <c r="M1593" i="13" s="1"/>
  <c r="L1594" i="13" s="1"/>
  <c r="M1594" i="13" s="1"/>
  <c r="L1595" i="13" s="1"/>
  <c r="M1595" i="13" s="1"/>
  <c r="L1596" i="13" s="1"/>
  <c r="M1596" i="13" s="1"/>
  <c r="L1597" i="13" s="1"/>
  <c r="M1597" i="13" s="1"/>
  <c r="L1598" i="13" s="1"/>
  <c r="M1598" i="13" s="1"/>
  <c r="L1599" i="13" s="1"/>
  <c r="M1599" i="13" s="1"/>
  <c r="L1600" i="13" s="1"/>
  <c r="M1600" i="13" s="1"/>
  <c r="L1601" i="13" s="1"/>
  <c r="M1601" i="13" s="1"/>
  <c r="K1563" i="13"/>
  <c r="J1563" i="13"/>
  <c r="L1562" i="13"/>
  <c r="M1562" i="13" s="1"/>
  <c r="L1563" i="13" s="1"/>
  <c r="K1562" i="13"/>
  <c r="J1562" i="13"/>
  <c r="K1561" i="13"/>
  <c r="J1561" i="13"/>
  <c r="K1560" i="13"/>
  <c r="J1560" i="13"/>
  <c r="K1559" i="13"/>
  <c r="J1559" i="13"/>
  <c r="K1558" i="13"/>
  <c r="J1558" i="13"/>
  <c r="K1557" i="13"/>
  <c r="J1557" i="13"/>
  <c r="K1556" i="13"/>
  <c r="J1556" i="13"/>
  <c r="K1555" i="13"/>
  <c r="J1555" i="13"/>
  <c r="K1554" i="13"/>
  <c r="J1554" i="13"/>
  <c r="K1553" i="13"/>
  <c r="J1553" i="13"/>
  <c r="K1552" i="13"/>
  <c r="J1552" i="13"/>
  <c r="K1551" i="13"/>
  <c r="J1551" i="13"/>
  <c r="K1550" i="13"/>
  <c r="J1550" i="13"/>
  <c r="K1549" i="13"/>
  <c r="J1549" i="13"/>
  <c r="K1548" i="13"/>
  <c r="J1548" i="13"/>
  <c r="K1547" i="13"/>
  <c r="J1547" i="13"/>
  <c r="K1546" i="13"/>
  <c r="J1546" i="13"/>
  <c r="K1545" i="13"/>
  <c r="J1545" i="13"/>
  <c r="K1544" i="13"/>
  <c r="J1544" i="13"/>
  <c r="K1543" i="13"/>
  <c r="J1543" i="13"/>
  <c r="K1542" i="13"/>
  <c r="J1542" i="13"/>
  <c r="K1541" i="13"/>
  <c r="J1541" i="13"/>
  <c r="K1540" i="13"/>
  <c r="J1540" i="13"/>
  <c r="K1539" i="13"/>
  <c r="J1539" i="13"/>
  <c r="K1538" i="13"/>
  <c r="J1538" i="13"/>
  <c r="K1537" i="13"/>
  <c r="J1537" i="13"/>
  <c r="K1536" i="13"/>
  <c r="J1536" i="13"/>
  <c r="K1535" i="13"/>
  <c r="J1535" i="13"/>
  <c r="K1534" i="13"/>
  <c r="J1534" i="13"/>
  <c r="K1533" i="13"/>
  <c r="J1533" i="13"/>
  <c r="K1532" i="13"/>
  <c r="J1532" i="13"/>
  <c r="K1531" i="13"/>
  <c r="J1531" i="13"/>
  <c r="K1530" i="13"/>
  <c r="J1530" i="13"/>
  <c r="K1529" i="13"/>
  <c r="J1529" i="13"/>
  <c r="K1528" i="13"/>
  <c r="J1528" i="13"/>
  <c r="K1527" i="13"/>
  <c r="J1527" i="13"/>
  <c r="K1526" i="13"/>
  <c r="J1526" i="13"/>
  <c r="K1525" i="13"/>
  <c r="J1525" i="13"/>
  <c r="K1524" i="13"/>
  <c r="J1524" i="13"/>
  <c r="K1523" i="13"/>
  <c r="J1523" i="13"/>
  <c r="L1522" i="13"/>
  <c r="M1522" i="13" s="1"/>
  <c r="L1523" i="13" s="1"/>
  <c r="M1523" i="13" s="1"/>
  <c r="L1524" i="13" s="1"/>
  <c r="M1524" i="13" s="1"/>
  <c r="L1525" i="13" s="1"/>
  <c r="M1525" i="13" s="1"/>
  <c r="L1526" i="13" s="1"/>
  <c r="M1526" i="13" s="1"/>
  <c r="L1527" i="13" s="1"/>
  <c r="M1527" i="13" s="1"/>
  <c r="L1528" i="13" s="1"/>
  <c r="M1528" i="13" s="1"/>
  <c r="L1529" i="13" s="1"/>
  <c r="M1529" i="13" s="1"/>
  <c r="L1530" i="13" s="1"/>
  <c r="M1530" i="13" s="1"/>
  <c r="L1531" i="13" s="1"/>
  <c r="M1531" i="13" s="1"/>
  <c r="L1532" i="13" s="1"/>
  <c r="M1532" i="13" s="1"/>
  <c r="L1533" i="13" s="1"/>
  <c r="M1533" i="13" s="1"/>
  <c r="L1534" i="13" s="1"/>
  <c r="M1534" i="13" s="1"/>
  <c r="L1535" i="13" s="1"/>
  <c r="M1535" i="13" s="1"/>
  <c r="L1536" i="13" s="1"/>
  <c r="M1536" i="13" s="1"/>
  <c r="L1537" i="13" s="1"/>
  <c r="M1537" i="13" s="1"/>
  <c r="L1538" i="13" s="1"/>
  <c r="M1538" i="13" s="1"/>
  <c r="L1539" i="13" s="1"/>
  <c r="M1539" i="13" s="1"/>
  <c r="L1540" i="13" s="1"/>
  <c r="M1540" i="13" s="1"/>
  <c r="L1541" i="13" s="1"/>
  <c r="M1541" i="13" s="1"/>
  <c r="L1542" i="13" s="1"/>
  <c r="M1542" i="13" s="1"/>
  <c r="L1543" i="13" s="1"/>
  <c r="M1543" i="13" s="1"/>
  <c r="L1544" i="13" s="1"/>
  <c r="M1544" i="13" s="1"/>
  <c r="L1545" i="13" s="1"/>
  <c r="M1545" i="13" s="1"/>
  <c r="L1546" i="13" s="1"/>
  <c r="M1546" i="13" s="1"/>
  <c r="L1547" i="13" s="1"/>
  <c r="M1547" i="13" s="1"/>
  <c r="L1548" i="13" s="1"/>
  <c r="M1548" i="13" s="1"/>
  <c r="L1549" i="13" s="1"/>
  <c r="M1549" i="13" s="1"/>
  <c r="L1550" i="13" s="1"/>
  <c r="M1550" i="13" s="1"/>
  <c r="L1551" i="13" s="1"/>
  <c r="M1551" i="13" s="1"/>
  <c r="L1552" i="13" s="1"/>
  <c r="M1552" i="13" s="1"/>
  <c r="L1553" i="13" s="1"/>
  <c r="M1553" i="13" s="1"/>
  <c r="L1554" i="13" s="1"/>
  <c r="M1554" i="13" s="1"/>
  <c r="L1555" i="13" s="1"/>
  <c r="M1555" i="13" s="1"/>
  <c r="L1556" i="13" s="1"/>
  <c r="M1556" i="13" s="1"/>
  <c r="L1557" i="13" s="1"/>
  <c r="M1557" i="13" s="1"/>
  <c r="L1558" i="13" s="1"/>
  <c r="M1558" i="13" s="1"/>
  <c r="L1559" i="13" s="1"/>
  <c r="M1559" i="13" s="1"/>
  <c r="L1560" i="13" s="1"/>
  <c r="M1560" i="13" s="1"/>
  <c r="L1561" i="13" s="1"/>
  <c r="M1561" i="13" s="1"/>
  <c r="K1522" i="13"/>
  <c r="J1522" i="13"/>
  <c r="K1521" i="13"/>
  <c r="J1521" i="13"/>
  <c r="K1520" i="13"/>
  <c r="J1520" i="13"/>
  <c r="K1519" i="13"/>
  <c r="J1519" i="13"/>
  <c r="K1518" i="13"/>
  <c r="J1518" i="13"/>
  <c r="K1517" i="13"/>
  <c r="J1517" i="13"/>
  <c r="K1516" i="13"/>
  <c r="J1516" i="13"/>
  <c r="K1515" i="13"/>
  <c r="J1515" i="13"/>
  <c r="K1514" i="13"/>
  <c r="J1514" i="13"/>
  <c r="K1513" i="13"/>
  <c r="J1513" i="13"/>
  <c r="K1512" i="13"/>
  <c r="J1512" i="13"/>
  <c r="K1511" i="13"/>
  <c r="J1511" i="13"/>
  <c r="K1510" i="13"/>
  <c r="J1510" i="13"/>
  <c r="K1509" i="13"/>
  <c r="J1509" i="13"/>
  <c r="K1508" i="13"/>
  <c r="J1508" i="13"/>
  <c r="K1507" i="13"/>
  <c r="J1507" i="13"/>
  <c r="K1506" i="13"/>
  <c r="J1506" i="13"/>
  <c r="K1505" i="13"/>
  <c r="J1505" i="13"/>
  <c r="K1504" i="13"/>
  <c r="J1504" i="13"/>
  <c r="K1503" i="13"/>
  <c r="J1503" i="13"/>
  <c r="K1502" i="13"/>
  <c r="J1502" i="13"/>
  <c r="K1501" i="13"/>
  <c r="J1501" i="13"/>
  <c r="K1500" i="13"/>
  <c r="J1500" i="13"/>
  <c r="K1499" i="13"/>
  <c r="J1499" i="13"/>
  <c r="K1498" i="13"/>
  <c r="J1498" i="13"/>
  <c r="K1497" i="13"/>
  <c r="J1497" i="13"/>
  <c r="K1496" i="13"/>
  <c r="J1496" i="13"/>
  <c r="K1495" i="13"/>
  <c r="J1495" i="13"/>
  <c r="K1494" i="13"/>
  <c r="J1494" i="13"/>
  <c r="K1493" i="13"/>
  <c r="J1493" i="13"/>
  <c r="K1492" i="13"/>
  <c r="J1492" i="13"/>
  <c r="K1491" i="13"/>
  <c r="J1491" i="13"/>
  <c r="K1490" i="13"/>
  <c r="J1490" i="13"/>
  <c r="K1489" i="13"/>
  <c r="J1489" i="13"/>
  <c r="K1488" i="13"/>
  <c r="J1488" i="13"/>
  <c r="K1487" i="13"/>
  <c r="J1487" i="13"/>
  <c r="K1486" i="13"/>
  <c r="J1486" i="13"/>
  <c r="K1485" i="13"/>
  <c r="J1485" i="13"/>
  <c r="K1484" i="13"/>
  <c r="J1484" i="13"/>
  <c r="K1483" i="13"/>
  <c r="J1483" i="13"/>
  <c r="L1482" i="13"/>
  <c r="K1482" i="13"/>
  <c r="J1482" i="13"/>
  <c r="K1481" i="13"/>
  <c r="J1481" i="13"/>
  <c r="K1480" i="13"/>
  <c r="J1480" i="13"/>
  <c r="K1479" i="13"/>
  <c r="J1479" i="13"/>
  <c r="K1478" i="13"/>
  <c r="J1478" i="13"/>
  <c r="K1477" i="13"/>
  <c r="J1477" i="13"/>
  <c r="K1476" i="13"/>
  <c r="J1476" i="13"/>
  <c r="J1475" i="13"/>
  <c r="K1475" i="13" s="1"/>
  <c r="K1474" i="13"/>
  <c r="J1474" i="13"/>
  <c r="K1473" i="13"/>
  <c r="J1473" i="13"/>
  <c r="K1472" i="13"/>
  <c r="J1472" i="13"/>
  <c r="K1471" i="13"/>
  <c r="J1471" i="13"/>
  <c r="K1470" i="13"/>
  <c r="J1470" i="13"/>
  <c r="K1469" i="13"/>
  <c r="J1469" i="13"/>
  <c r="K1468" i="13"/>
  <c r="J1468" i="13"/>
  <c r="J1467" i="13"/>
  <c r="K1467" i="13" s="1"/>
  <c r="K1466" i="13"/>
  <c r="J1466" i="13"/>
  <c r="K1465" i="13"/>
  <c r="J1465" i="13"/>
  <c r="J1464" i="13"/>
  <c r="K1464" i="13" s="1"/>
  <c r="K1463" i="13"/>
  <c r="J1463" i="13"/>
  <c r="K1462" i="13"/>
  <c r="J1462" i="13"/>
  <c r="J1461" i="13"/>
  <c r="K1461" i="13" s="1"/>
  <c r="J1460" i="13"/>
  <c r="K1460" i="13" s="1"/>
  <c r="K1459" i="13"/>
  <c r="J1459" i="13"/>
  <c r="K1458" i="13"/>
  <c r="J1458" i="13"/>
  <c r="J1457" i="13"/>
  <c r="K1457" i="13" s="1"/>
  <c r="J1456" i="13"/>
  <c r="K1456" i="13" s="1"/>
  <c r="J1455" i="13"/>
  <c r="K1455" i="13" s="1"/>
  <c r="K1454" i="13"/>
  <c r="J1454" i="13"/>
  <c r="J1453" i="13"/>
  <c r="K1453" i="13" s="1"/>
  <c r="J1452" i="13"/>
  <c r="K1452" i="13" s="1"/>
  <c r="K1451" i="13"/>
  <c r="J1451" i="13"/>
  <c r="K1450" i="13"/>
  <c r="J1450" i="13"/>
  <c r="J1449" i="13"/>
  <c r="K1449" i="13" s="1"/>
  <c r="J1448" i="13"/>
  <c r="K1448" i="13" s="1"/>
  <c r="K1447" i="13"/>
  <c r="J1447" i="13"/>
  <c r="K1446" i="13"/>
  <c r="J1446" i="13"/>
  <c r="J1445" i="13"/>
  <c r="K1445" i="13" s="1"/>
  <c r="J1444" i="13"/>
  <c r="K1444" i="13" s="1"/>
  <c r="K1443" i="13"/>
  <c r="J1443" i="13"/>
  <c r="L1442" i="13"/>
  <c r="M1442" i="13" s="1"/>
  <c r="L1443" i="13" s="1"/>
  <c r="K1442" i="13"/>
  <c r="J1442" i="13"/>
  <c r="J1441" i="13"/>
  <c r="K1441" i="13" s="1"/>
  <c r="J1440" i="13"/>
  <c r="K1440" i="13" s="1"/>
  <c r="J1439" i="13"/>
  <c r="K1439" i="13" s="1"/>
  <c r="K1438" i="13"/>
  <c r="J1438" i="13"/>
  <c r="J1437" i="13"/>
  <c r="K1437" i="13" s="1"/>
  <c r="J1436" i="13"/>
  <c r="K1436" i="13" s="1"/>
  <c r="K1435" i="13"/>
  <c r="J1435" i="13"/>
  <c r="K1434" i="13"/>
  <c r="J1434" i="13"/>
  <c r="J1433" i="13"/>
  <c r="K1433" i="13" s="1"/>
  <c r="J1432" i="13"/>
  <c r="K1432" i="13" s="1"/>
  <c r="K1431" i="13"/>
  <c r="J1431" i="13"/>
  <c r="K1430" i="13"/>
  <c r="J1430" i="13"/>
  <c r="J1429" i="13"/>
  <c r="K1429" i="13" s="1"/>
  <c r="J1428" i="13"/>
  <c r="K1428" i="13" s="1"/>
  <c r="K1427" i="13"/>
  <c r="J1427" i="13"/>
  <c r="K1426" i="13"/>
  <c r="J1426" i="13"/>
  <c r="J1425" i="13"/>
  <c r="K1425" i="13" s="1"/>
  <c r="J1424" i="13"/>
  <c r="K1424" i="13" s="1"/>
  <c r="J1423" i="13"/>
  <c r="K1423" i="13" s="1"/>
  <c r="K1422" i="13"/>
  <c r="J1422" i="13"/>
  <c r="J1421" i="13"/>
  <c r="K1421" i="13" s="1"/>
  <c r="J1420" i="13"/>
  <c r="K1420" i="13" s="1"/>
  <c r="K1419" i="13"/>
  <c r="J1419" i="13"/>
  <c r="K1418" i="13"/>
  <c r="J1418" i="13"/>
  <c r="J1417" i="13"/>
  <c r="K1417" i="13" s="1"/>
  <c r="J1416" i="13"/>
  <c r="K1416" i="13" s="1"/>
  <c r="K1415" i="13"/>
  <c r="J1415" i="13"/>
  <c r="K1414" i="13"/>
  <c r="J1414" i="13"/>
  <c r="J1413" i="13"/>
  <c r="K1413" i="13" s="1"/>
  <c r="J1412" i="13"/>
  <c r="K1412" i="13" s="1"/>
  <c r="K1411" i="13"/>
  <c r="J1411" i="13"/>
  <c r="K1410" i="13"/>
  <c r="J1410" i="13"/>
  <c r="J1409" i="13"/>
  <c r="K1409" i="13" s="1"/>
  <c r="J1408" i="13"/>
  <c r="K1408" i="13" s="1"/>
  <c r="J1407" i="13"/>
  <c r="K1407" i="13" s="1"/>
  <c r="K1406" i="13"/>
  <c r="J1406" i="13"/>
  <c r="J1405" i="13"/>
  <c r="K1405" i="13" s="1"/>
  <c r="J1404" i="13"/>
  <c r="K1404" i="13" s="1"/>
  <c r="K1403" i="13"/>
  <c r="J1403" i="13"/>
  <c r="L1402" i="13"/>
  <c r="M1402" i="13" s="1"/>
  <c r="L1403" i="13" s="1"/>
  <c r="M1403" i="13" s="1"/>
  <c r="L1404" i="13" s="1"/>
  <c r="M1404" i="13" s="1"/>
  <c r="L1405" i="13" s="1"/>
  <c r="M1405" i="13" s="1"/>
  <c r="L1406" i="13" s="1"/>
  <c r="M1406" i="13" s="1"/>
  <c r="L1407" i="13" s="1"/>
  <c r="M1407" i="13" s="1"/>
  <c r="L1408" i="13" s="1"/>
  <c r="M1408" i="13" s="1"/>
  <c r="L1409" i="13" s="1"/>
  <c r="M1409" i="13" s="1"/>
  <c r="L1410" i="13" s="1"/>
  <c r="M1410" i="13" s="1"/>
  <c r="L1411" i="13" s="1"/>
  <c r="M1411" i="13" s="1"/>
  <c r="L1412" i="13" s="1"/>
  <c r="M1412" i="13" s="1"/>
  <c r="L1413" i="13" s="1"/>
  <c r="M1413" i="13" s="1"/>
  <c r="L1414" i="13" s="1"/>
  <c r="M1414" i="13" s="1"/>
  <c r="L1415" i="13" s="1"/>
  <c r="M1415" i="13" s="1"/>
  <c r="L1416" i="13" s="1"/>
  <c r="M1416" i="13" s="1"/>
  <c r="L1417" i="13" s="1"/>
  <c r="M1417" i="13" s="1"/>
  <c r="L1418" i="13" s="1"/>
  <c r="M1418" i="13" s="1"/>
  <c r="L1419" i="13" s="1"/>
  <c r="M1419" i="13" s="1"/>
  <c r="L1420" i="13" s="1"/>
  <c r="M1420" i="13" s="1"/>
  <c r="L1421" i="13" s="1"/>
  <c r="M1421" i="13" s="1"/>
  <c r="L1422" i="13" s="1"/>
  <c r="M1422" i="13" s="1"/>
  <c r="L1423" i="13" s="1"/>
  <c r="M1423" i="13" s="1"/>
  <c r="L1424" i="13" s="1"/>
  <c r="M1424" i="13" s="1"/>
  <c r="L1425" i="13" s="1"/>
  <c r="M1425" i="13" s="1"/>
  <c r="L1426" i="13" s="1"/>
  <c r="M1426" i="13" s="1"/>
  <c r="L1427" i="13" s="1"/>
  <c r="M1427" i="13" s="1"/>
  <c r="L1428" i="13" s="1"/>
  <c r="M1428" i="13" s="1"/>
  <c r="L1429" i="13" s="1"/>
  <c r="M1429" i="13" s="1"/>
  <c r="L1430" i="13" s="1"/>
  <c r="M1430" i="13" s="1"/>
  <c r="L1431" i="13" s="1"/>
  <c r="M1431" i="13" s="1"/>
  <c r="L1432" i="13" s="1"/>
  <c r="M1432" i="13" s="1"/>
  <c r="L1433" i="13" s="1"/>
  <c r="M1433" i="13" s="1"/>
  <c r="L1434" i="13" s="1"/>
  <c r="M1434" i="13" s="1"/>
  <c r="L1435" i="13" s="1"/>
  <c r="M1435" i="13" s="1"/>
  <c r="L1436" i="13" s="1"/>
  <c r="M1436" i="13" s="1"/>
  <c r="L1437" i="13" s="1"/>
  <c r="M1437" i="13" s="1"/>
  <c r="L1438" i="13" s="1"/>
  <c r="M1438" i="13" s="1"/>
  <c r="L1439" i="13" s="1"/>
  <c r="M1439" i="13" s="1"/>
  <c r="L1440" i="13" s="1"/>
  <c r="M1440" i="13" s="1"/>
  <c r="L1441" i="13" s="1"/>
  <c r="M1441" i="13" s="1"/>
  <c r="K1402" i="13"/>
  <c r="J1402" i="13"/>
  <c r="J1401" i="13"/>
  <c r="K1401" i="13" s="1"/>
  <c r="J1400" i="13"/>
  <c r="K1400" i="13" s="1"/>
  <c r="K1399" i="13"/>
  <c r="J1399" i="13"/>
  <c r="K1398" i="13"/>
  <c r="J1398" i="13"/>
  <c r="J1397" i="13"/>
  <c r="K1397" i="13" s="1"/>
  <c r="J1396" i="13"/>
  <c r="K1396" i="13" s="1"/>
  <c r="K1395" i="13"/>
  <c r="J1395" i="13"/>
  <c r="K1394" i="13"/>
  <c r="J1394" i="13"/>
  <c r="K1393" i="13"/>
  <c r="J1393" i="13"/>
  <c r="K1392" i="13"/>
  <c r="J1392" i="13"/>
  <c r="J1391" i="13"/>
  <c r="K1391" i="13" s="1"/>
  <c r="K1390" i="13"/>
  <c r="J1390" i="13"/>
  <c r="J1389" i="13"/>
  <c r="K1389" i="13" s="1"/>
  <c r="J1388" i="13"/>
  <c r="K1388" i="13" s="1"/>
  <c r="K1387" i="13"/>
  <c r="J1387" i="13"/>
  <c r="K1386" i="13"/>
  <c r="J1386" i="13"/>
  <c r="K1385" i="13"/>
  <c r="J1385" i="13"/>
  <c r="J1384" i="13"/>
  <c r="K1384" i="13" s="1"/>
  <c r="J1383" i="13"/>
  <c r="K1383" i="13" s="1"/>
  <c r="K1382" i="13"/>
  <c r="J1382" i="13"/>
  <c r="K1381" i="13"/>
  <c r="J1381" i="13"/>
  <c r="K1380" i="13"/>
  <c r="J1380" i="13"/>
  <c r="J1379" i="13"/>
  <c r="K1379" i="13" s="1"/>
  <c r="K1378" i="13"/>
  <c r="J1378" i="13"/>
  <c r="J1377" i="13"/>
  <c r="K1377" i="13" s="1"/>
  <c r="K1376" i="13"/>
  <c r="J1376" i="13"/>
  <c r="J1375" i="13"/>
  <c r="K1375" i="13" s="1"/>
  <c r="K1374" i="13"/>
  <c r="J1374" i="13"/>
  <c r="K1373" i="13"/>
  <c r="J1373" i="13"/>
  <c r="J1372" i="13"/>
  <c r="K1372" i="13" s="1"/>
  <c r="J1371" i="13"/>
  <c r="K1371" i="13" s="1"/>
  <c r="K1370" i="13"/>
  <c r="J1370" i="13"/>
  <c r="K1369" i="13"/>
  <c r="J1369" i="13"/>
  <c r="J1368" i="13"/>
  <c r="K1368" i="13" s="1"/>
  <c r="J1367" i="13"/>
  <c r="K1367" i="13" s="1"/>
  <c r="K1366" i="13"/>
  <c r="J1366" i="13"/>
  <c r="J1365" i="13"/>
  <c r="K1365" i="13" s="1"/>
  <c r="K1364" i="13"/>
  <c r="J1364" i="13"/>
  <c r="J1363" i="13"/>
  <c r="K1363" i="13" s="1"/>
  <c r="M1362" i="13"/>
  <c r="L1363" i="13" s="1"/>
  <c r="M1363" i="13" s="1"/>
  <c r="L1364" i="13" s="1"/>
  <c r="M1364" i="13" s="1"/>
  <c r="L1365" i="13" s="1"/>
  <c r="M1365" i="13" s="1"/>
  <c r="L1366" i="13" s="1"/>
  <c r="M1366" i="13" s="1"/>
  <c r="L1367" i="13" s="1"/>
  <c r="M1367" i="13" s="1"/>
  <c r="L1368" i="13" s="1"/>
  <c r="M1368" i="13" s="1"/>
  <c r="L1369" i="13" s="1"/>
  <c r="M1369" i="13" s="1"/>
  <c r="L1370" i="13" s="1"/>
  <c r="M1370" i="13" s="1"/>
  <c r="L1371" i="13" s="1"/>
  <c r="M1371" i="13" s="1"/>
  <c r="L1372" i="13" s="1"/>
  <c r="M1372" i="13" s="1"/>
  <c r="L1373" i="13" s="1"/>
  <c r="M1373" i="13" s="1"/>
  <c r="L1374" i="13" s="1"/>
  <c r="M1374" i="13" s="1"/>
  <c r="L1375" i="13" s="1"/>
  <c r="M1375" i="13" s="1"/>
  <c r="L1376" i="13" s="1"/>
  <c r="M1376" i="13" s="1"/>
  <c r="L1377" i="13" s="1"/>
  <c r="M1377" i="13" s="1"/>
  <c r="L1378" i="13" s="1"/>
  <c r="M1378" i="13" s="1"/>
  <c r="L1379" i="13" s="1"/>
  <c r="M1379" i="13" s="1"/>
  <c r="L1380" i="13" s="1"/>
  <c r="M1380" i="13" s="1"/>
  <c r="L1381" i="13" s="1"/>
  <c r="M1381" i="13" s="1"/>
  <c r="L1382" i="13" s="1"/>
  <c r="M1382" i="13" s="1"/>
  <c r="L1383" i="13" s="1"/>
  <c r="M1383" i="13" s="1"/>
  <c r="L1384" i="13" s="1"/>
  <c r="M1384" i="13" s="1"/>
  <c r="L1385" i="13" s="1"/>
  <c r="M1385" i="13" s="1"/>
  <c r="L1386" i="13" s="1"/>
  <c r="M1386" i="13" s="1"/>
  <c r="L1387" i="13" s="1"/>
  <c r="M1387" i="13" s="1"/>
  <c r="L1388" i="13" s="1"/>
  <c r="M1388" i="13" s="1"/>
  <c r="L1389" i="13" s="1"/>
  <c r="M1389" i="13" s="1"/>
  <c r="L1390" i="13" s="1"/>
  <c r="M1390" i="13" s="1"/>
  <c r="L1391" i="13" s="1"/>
  <c r="M1391" i="13" s="1"/>
  <c r="L1392" i="13" s="1"/>
  <c r="M1392" i="13" s="1"/>
  <c r="L1393" i="13" s="1"/>
  <c r="M1393" i="13" s="1"/>
  <c r="L1394" i="13" s="1"/>
  <c r="M1394" i="13" s="1"/>
  <c r="L1395" i="13" s="1"/>
  <c r="M1395" i="13" s="1"/>
  <c r="L1396" i="13" s="1"/>
  <c r="M1396" i="13" s="1"/>
  <c r="L1397" i="13" s="1"/>
  <c r="M1397" i="13" s="1"/>
  <c r="L1398" i="13" s="1"/>
  <c r="M1398" i="13" s="1"/>
  <c r="L1399" i="13" s="1"/>
  <c r="M1399" i="13" s="1"/>
  <c r="L1400" i="13" s="1"/>
  <c r="M1400" i="13" s="1"/>
  <c r="L1401" i="13" s="1"/>
  <c r="M1401" i="13" s="1"/>
  <c r="L1362" i="13"/>
  <c r="K1362" i="13"/>
  <c r="J1362" i="13"/>
  <c r="J1361" i="13"/>
  <c r="K1361" i="13" s="1"/>
  <c r="K1360" i="13"/>
  <c r="J1360" i="13"/>
  <c r="K1359" i="13"/>
  <c r="J1359" i="13"/>
  <c r="K1358" i="13"/>
  <c r="J1358" i="13"/>
  <c r="K1357" i="13"/>
  <c r="J1357" i="13"/>
  <c r="K1356" i="13"/>
  <c r="J1356" i="13"/>
  <c r="J1355" i="13"/>
  <c r="K1355" i="13" s="1"/>
  <c r="K1354" i="13"/>
  <c r="J1354" i="13"/>
  <c r="J1353" i="13"/>
  <c r="K1353" i="13" s="1"/>
  <c r="J1352" i="13"/>
  <c r="K1352" i="13" s="1"/>
  <c r="K1351" i="13"/>
  <c r="J1351" i="13"/>
  <c r="K1350" i="13"/>
  <c r="J1350" i="13"/>
  <c r="K1349" i="13"/>
  <c r="J1349" i="13"/>
  <c r="J1348" i="13"/>
  <c r="K1348" i="13" s="1"/>
  <c r="J1347" i="13"/>
  <c r="K1347" i="13" s="1"/>
  <c r="K1346" i="13"/>
  <c r="J1346" i="13"/>
  <c r="K1345" i="13"/>
  <c r="J1345" i="13"/>
  <c r="J1344" i="13"/>
  <c r="K1344" i="13" s="1"/>
  <c r="K1343" i="13"/>
  <c r="J1343" i="13"/>
  <c r="K1342" i="13"/>
  <c r="J1342" i="13"/>
  <c r="J1341" i="13"/>
  <c r="K1341" i="13" s="1"/>
  <c r="K1340" i="13"/>
  <c r="J1340" i="13"/>
  <c r="J1339" i="13"/>
  <c r="K1339" i="13" s="1"/>
  <c r="K1338" i="13"/>
  <c r="J1338" i="13"/>
  <c r="J1337" i="13"/>
  <c r="K1337" i="13" s="1"/>
  <c r="J1336" i="13"/>
  <c r="K1336" i="13" s="1"/>
  <c r="J1335" i="13"/>
  <c r="K1335" i="13" s="1"/>
  <c r="J1334" i="13"/>
  <c r="K1334" i="13" s="1"/>
  <c r="J1333" i="13"/>
  <c r="K1333" i="13" s="1"/>
  <c r="J1332" i="13"/>
  <c r="K1332" i="13" s="1"/>
  <c r="J1331" i="13"/>
  <c r="K1331" i="13" s="1"/>
  <c r="J1330" i="13"/>
  <c r="K1330" i="13" s="1"/>
  <c r="J1329" i="13"/>
  <c r="K1329" i="13" s="1"/>
  <c r="J1328" i="13"/>
  <c r="K1328" i="13" s="1"/>
  <c r="J1327" i="13"/>
  <c r="K1327" i="13" s="1"/>
  <c r="J1326" i="13"/>
  <c r="K1326" i="13" s="1"/>
  <c r="K1325" i="13"/>
  <c r="J1325" i="13"/>
  <c r="J1324" i="13"/>
  <c r="K1324" i="13" s="1"/>
  <c r="J1323" i="13"/>
  <c r="K1323" i="13" s="1"/>
  <c r="L1322" i="13"/>
  <c r="M1322" i="13" s="1"/>
  <c r="L1323" i="13" s="1"/>
  <c r="M1323" i="13" s="1"/>
  <c r="L1324" i="13" s="1"/>
  <c r="J1322" i="13"/>
  <c r="K1322" i="13" s="1"/>
  <c r="K1321" i="13"/>
  <c r="J1321" i="13"/>
  <c r="J1320" i="13"/>
  <c r="K1320" i="13" s="1"/>
  <c r="J1319" i="13"/>
  <c r="K1319" i="13" s="1"/>
  <c r="J1318" i="13"/>
  <c r="K1318" i="13" s="1"/>
  <c r="K1317" i="13"/>
  <c r="J1317" i="13"/>
  <c r="K1316" i="13"/>
  <c r="J1316" i="13"/>
  <c r="J1315" i="13"/>
  <c r="K1315" i="13" s="1"/>
  <c r="J1314" i="13"/>
  <c r="K1314" i="13" s="1"/>
  <c r="J1313" i="13"/>
  <c r="K1313" i="13" s="1"/>
  <c r="K1312" i="13"/>
  <c r="J1312" i="13"/>
  <c r="K1311" i="13"/>
  <c r="J1311" i="13"/>
  <c r="J1310" i="13"/>
  <c r="K1310" i="13" s="1"/>
  <c r="K1309" i="13"/>
  <c r="J1309" i="13"/>
  <c r="J1308" i="13"/>
  <c r="K1308" i="13" s="1"/>
  <c r="J1307" i="13"/>
  <c r="K1307" i="13" s="1"/>
  <c r="J1306" i="13"/>
  <c r="K1306" i="13" s="1"/>
  <c r="J1305" i="13"/>
  <c r="K1305" i="13" s="1"/>
  <c r="K1304" i="13"/>
  <c r="J1304" i="13"/>
  <c r="K1303" i="13"/>
  <c r="J1303" i="13"/>
  <c r="J1302" i="13"/>
  <c r="K1302" i="13" s="1"/>
  <c r="K1301" i="13"/>
  <c r="J1301" i="13"/>
  <c r="K1300" i="13"/>
  <c r="J1300" i="13"/>
  <c r="J1299" i="13"/>
  <c r="K1299" i="13" s="1"/>
  <c r="J1298" i="13"/>
  <c r="K1298" i="13" s="1"/>
  <c r="K1297" i="13"/>
  <c r="J1297" i="13"/>
  <c r="J1296" i="13"/>
  <c r="K1296" i="13" s="1"/>
  <c r="J1295" i="13"/>
  <c r="K1295" i="13" s="1"/>
  <c r="J1294" i="13"/>
  <c r="K1294" i="13" s="1"/>
  <c r="K1293" i="13"/>
  <c r="J1293" i="13"/>
  <c r="K1292" i="13"/>
  <c r="J1292" i="13"/>
  <c r="J1291" i="13"/>
  <c r="K1291" i="13" s="1"/>
  <c r="J1290" i="13"/>
  <c r="K1290" i="13" s="1"/>
  <c r="J1289" i="13"/>
  <c r="K1289" i="13" s="1"/>
  <c r="K1288" i="13"/>
  <c r="J1288" i="13"/>
  <c r="K1287" i="13"/>
  <c r="J1287" i="13"/>
  <c r="J1286" i="13"/>
  <c r="K1286" i="13" s="1"/>
  <c r="J1285" i="13"/>
  <c r="K1285" i="13" s="1"/>
  <c r="K1284" i="13"/>
  <c r="J1284" i="13"/>
  <c r="L1283" i="13"/>
  <c r="J1283" i="13"/>
  <c r="K1283" i="13" s="1"/>
  <c r="M1282" i="13"/>
  <c r="L1282" i="13"/>
  <c r="J1282" i="13"/>
  <c r="K1282" i="13" s="1"/>
  <c r="K1281" i="13"/>
  <c r="J1281" i="13"/>
  <c r="J1280" i="13"/>
  <c r="K1280" i="13" s="1"/>
  <c r="J1279" i="13"/>
  <c r="K1279" i="13" s="1"/>
  <c r="J1278" i="13"/>
  <c r="K1278" i="13" s="1"/>
  <c r="J1277" i="13"/>
  <c r="K1277" i="13" s="1"/>
  <c r="J1276" i="13"/>
  <c r="K1276" i="13" s="1"/>
  <c r="J1275" i="13"/>
  <c r="K1275" i="13" s="1"/>
  <c r="J1274" i="13"/>
  <c r="K1274" i="13" s="1"/>
  <c r="J1273" i="13"/>
  <c r="K1273" i="13" s="1"/>
  <c r="K1272" i="13"/>
  <c r="J1272" i="13"/>
  <c r="K1271" i="13"/>
  <c r="J1271" i="13"/>
  <c r="J1270" i="13"/>
  <c r="K1270" i="13" s="1"/>
  <c r="K1269" i="13"/>
  <c r="J1269" i="13"/>
  <c r="J1268" i="13"/>
  <c r="K1268" i="13" s="1"/>
  <c r="J1267" i="13"/>
  <c r="K1267" i="13" s="1"/>
  <c r="J1266" i="13"/>
  <c r="K1266" i="13" s="1"/>
  <c r="K1265" i="13"/>
  <c r="J1265" i="13"/>
  <c r="J1264" i="13"/>
  <c r="K1264" i="13" s="1"/>
  <c r="J1263" i="13"/>
  <c r="K1263" i="13" s="1"/>
  <c r="J1262" i="13"/>
  <c r="K1262" i="13" s="1"/>
  <c r="K1261" i="13"/>
  <c r="J1261" i="13"/>
  <c r="K1260" i="13"/>
  <c r="J1260" i="13"/>
  <c r="J1259" i="13"/>
  <c r="K1259" i="13" s="1"/>
  <c r="J1258" i="13"/>
  <c r="K1258" i="13" s="1"/>
  <c r="J1257" i="13"/>
  <c r="K1257" i="13" s="1"/>
  <c r="K1256" i="13"/>
  <c r="J1256" i="13"/>
  <c r="K1255" i="13"/>
  <c r="J1255" i="13"/>
  <c r="J1254" i="13"/>
  <c r="K1254" i="13" s="1"/>
  <c r="J1253" i="13"/>
  <c r="K1253" i="13" s="1"/>
  <c r="K1252" i="13"/>
  <c r="J1252" i="13"/>
  <c r="J1251" i="13"/>
  <c r="K1251" i="13" s="1"/>
  <c r="J1250" i="13"/>
  <c r="K1250" i="13" s="1"/>
  <c r="K1249" i="13"/>
  <c r="J1249" i="13"/>
  <c r="J1248" i="13"/>
  <c r="K1248" i="13" s="1"/>
  <c r="J1247" i="13"/>
  <c r="K1247" i="13" s="1"/>
  <c r="J1246" i="13"/>
  <c r="K1246" i="13" s="1"/>
  <c r="J1245" i="13"/>
  <c r="K1245" i="13" s="1"/>
  <c r="J1244" i="13"/>
  <c r="K1244" i="13" s="1"/>
  <c r="K1243" i="13"/>
  <c r="J1243" i="13"/>
  <c r="L1242" i="13"/>
  <c r="M1242" i="13" s="1"/>
  <c r="L1243" i="13" s="1"/>
  <c r="M1243" i="13" s="1"/>
  <c r="L1244" i="13" s="1"/>
  <c r="M1244" i="13" s="1"/>
  <c r="L1245" i="13" s="1"/>
  <c r="M1245" i="13" s="1"/>
  <c r="L1246" i="13" s="1"/>
  <c r="M1246" i="13" s="1"/>
  <c r="L1247" i="13" s="1"/>
  <c r="M1247" i="13" s="1"/>
  <c r="L1248" i="13" s="1"/>
  <c r="M1248" i="13" s="1"/>
  <c r="L1249" i="13" s="1"/>
  <c r="M1249" i="13" s="1"/>
  <c r="L1250" i="13" s="1"/>
  <c r="M1250" i="13" s="1"/>
  <c r="L1251" i="13" s="1"/>
  <c r="J1242" i="13"/>
  <c r="K1242" i="13" s="1"/>
  <c r="J1241" i="13"/>
  <c r="K1241" i="13" s="1"/>
  <c r="K1240" i="13"/>
  <c r="J1240" i="13"/>
  <c r="K1239" i="13"/>
  <c r="J1239" i="13"/>
  <c r="J1238" i="13"/>
  <c r="K1238" i="13" s="1"/>
  <c r="K1237" i="13"/>
  <c r="J1237" i="13"/>
  <c r="J1236" i="13"/>
  <c r="K1236" i="13" s="1"/>
  <c r="J1235" i="13"/>
  <c r="K1235" i="13" s="1"/>
  <c r="J1234" i="13"/>
  <c r="K1234" i="13" s="1"/>
  <c r="K1233" i="13"/>
  <c r="J1233" i="13"/>
  <c r="J1232" i="13"/>
  <c r="K1232" i="13" s="1"/>
  <c r="J1231" i="13"/>
  <c r="K1231" i="13" s="1"/>
  <c r="J1230" i="13"/>
  <c r="K1230" i="13" s="1"/>
  <c r="K1229" i="13"/>
  <c r="J1229" i="13"/>
  <c r="K1228" i="13"/>
  <c r="J1228" i="13"/>
  <c r="J1227" i="13"/>
  <c r="K1227" i="13" s="1"/>
  <c r="J1226" i="13"/>
  <c r="K1226" i="13" s="1"/>
  <c r="J1225" i="13"/>
  <c r="K1225" i="13" s="1"/>
  <c r="K1224" i="13"/>
  <c r="J1224" i="13"/>
  <c r="K1223" i="13"/>
  <c r="J1223" i="13"/>
  <c r="J1222" i="13"/>
  <c r="K1222" i="13" s="1"/>
  <c r="J1221" i="13"/>
  <c r="K1221" i="13" s="1"/>
  <c r="K1220" i="13"/>
  <c r="J1220" i="13"/>
  <c r="J1219" i="13"/>
  <c r="K1219" i="13" s="1"/>
  <c r="J1218" i="13"/>
  <c r="K1218" i="13" s="1"/>
  <c r="K1217" i="13"/>
  <c r="J1217" i="13"/>
  <c r="J1216" i="13"/>
  <c r="K1216" i="13" s="1"/>
  <c r="J1215" i="13"/>
  <c r="K1215" i="13" s="1"/>
  <c r="J1214" i="13"/>
  <c r="K1214" i="13" s="1"/>
  <c r="J1213" i="13"/>
  <c r="K1213" i="13" s="1"/>
  <c r="J1212" i="13"/>
  <c r="K1212" i="13" s="1"/>
  <c r="J1211" i="13"/>
  <c r="K1211" i="13" s="1"/>
  <c r="J1210" i="13"/>
  <c r="K1210" i="13" s="1"/>
  <c r="J1209" i="13"/>
  <c r="K1209" i="13" s="1"/>
  <c r="K1208" i="13"/>
  <c r="J1208" i="13"/>
  <c r="K1207" i="13"/>
  <c r="J1207" i="13"/>
  <c r="J1206" i="13"/>
  <c r="K1206" i="13" s="1"/>
  <c r="K1205" i="13"/>
  <c r="J1205" i="13"/>
  <c r="J1204" i="13"/>
  <c r="K1204" i="13" s="1"/>
  <c r="J1203" i="13"/>
  <c r="K1203" i="13" s="1"/>
  <c r="L1202" i="13"/>
  <c r="J1202" i="13"/>
  <c r="K1202" i="13" s="1"/>
  <c r="M1202" i="13" s="1"/>
  <c r="L1203" i="13" s="1"/>
  <c r="M1203" i="13" s="1"/>
  <c r="L1204" i="13" s="1"/>
  <c r="M1204" i="13" s="1"/>
  <c r="L1205" i="13" s="1"/>
  <c r="M1205" i="13" s="1"/>
  <c r="L1206" i="13" s="1"/>
  <c r="M1206" i="13" s="1"/>
  <c r="L1207" i="13" s="1"/>
  <c r="M1207" i="13" s="1"/>
  <c r="L1208" i="13" s="1"/>
  <c r="M1208" i="13" s="1"/>
  <c r="L1209" i="13" s="1"/>
  <c r="M1209" i="13" s="1"/>
  <c r="L1210" i="13" s="1"/>
  <c r="M1210" i="13" s="1"/>
  <c r="L1211" i="13" s="1"/>
  <c r="M1211" i="13" s="1"/>
  <c r="L1212" i="13" s="1"/>
  <c r="M1212" i="13" s="1"/>
  <c r="L1213" i="13" s="1"/>
  <c r="M1213" i="13" s="1"/>
  <c r="L1214" i="13" s="1"/>
  <c r="M1214" i="13" s="1"/>
  <c r="L1215" i="13" s="1"/>
  <c r="M1215" i="13" s="1"/>
  <c r="L1216" i="13" s="1"/>
  <c r="M1216" i="13" s="1"/>
  <c r="L1217" i="13" s="1"/>
  <c r="M1217" i="13" s="1"/>
  <c r="L1218" i="13" s="1"/>
  <c r="M1218" i="13" s="1"/>
  <c r="L1219" i="13" s="1"/>
  <c r="M1219" i="13" s="1"/>
  <c r="L1220" i="13" s="1"/>
  <c r="M1220" i="13" s="1"/>
  <c r="L1221" i="13" s="1"/>
  <c r="M1221" i="13" s="1"/>
  <c r="L1222" i="13" s="1"/>
  <c r="M1222" i="13" s="1"/>
  <c r="L1223" i="13" s="1"/>
  <c r="M1223" i="13" s="1"/>
  <c r="L1224" i="13" s="1"/>
  <c r="M1224" i="13" s="1"/>
  <c r="L1225" i="13" s="1"/>
  <c r="M1225" i="13" s="1"/>
  <c r="L1226" i="13" s="1"/>
  <c r="M1226" i="13" s="1"/>
  <c r="L1227" i="13" s="1"/>
  <c r="M1227" i="13" s="1"/>
  <c r="L1228" i="13" s="1"/>
  <c r="M1228" i="13" s="1"/>
  <c r="L1229" i="13" s="1"/>
  <c r="M1229" i="13" s="1"/>
  <c r="L1230" i="13" s="1"/>
  <c r="M1230" i="13" s="1"/>
  <c r="L1231" i="13" s="1"/>
  <c r="M1231" i="13" s="1"/>
  <c r="L1232" i="13" s="1"/>
  <c r="M1232" i="13" s="1"/>
  <c r="L1233" i="13" s="1"/>
  <c r="M1233" i="13" s="1"/>
  <c r="L1234" i="13" s="1"/>
  <c r="M1234" i="13" s="1"/>
  <c r="L1235" i="13" s="1"/>
  <c r="M1235" i="13" s="1"/>
  <c r="L1236" i="13" s="1"/>
  <c r="M1236" i="13" s="1"/>
  <c r="L1237" i="13" s="1"/>
  <c r="M1237" i="13" s="1"/>
  <c r="L1238" i="13" s="1"/>
  <c r="M1238" i="13" s="1"/>
  <c r="L1239" i="13" s="1"/>
  <c r="M1239" i="13" s="1"/>
  <c r="L1240" i="13" s="1"/>
  <c r="M1240" i="13" s="1"/>
  <c r="L1241" i="13" s="1"/>
  <c r="M1241" i="13" s="1"/>
  <c r="K1201" i="13"/>
  <c r="J1201" i="13"/>
  <c r="J1200" i="13"/>
  <c r="K1200" i="13" s="1"/>
  <c r="J1199" i="13"/>
  <c r="K1199" i="13" s="1"/>
  <c r="J1198" i="13"/>
  <c r="K1198" i="13" s="1"/>
  <c r="K1197" i="13"/>
  <c r="J1197" i="13"/>
  <c r="K1196" i="13"/>
  <c r="J1196" i="13"/>
  <c r="J1195" i="13"/>
  <c r="K1195" i="13" s="1"/>
  <c r="J1194" i="13"/>
  <c r="K1194" i="13" s="1"/>
  <c r="J1193" i="13"/>
  <c r="K1193" i="13" s="1"/>
  <c r="K1192" i="13"/>
  <c r="J1192" i="13"/>
  <c r="K1191" i="13"/>
  <c r="J1191" i="13"/>
  <c r="J1190" i="13"/>
  <c r="K1190" i="13" s="1"/>
  <c r="J1189" i="13"/>
  <c r="K1189" i="13" s="1"/>
  <c r="J1188" i="13"/>
  <c r="K1188" i="13" s="1"/>
  <c r="J1187" i="13"/>
  <c r="K1187" i="13" s="1"/>
  <c r="J1186" i="13"/>
  <c r="K1186" i="13" s="1"/>
  <c r="K1185" i="13"/>
  <c r="J1185" i="13"/>
  <c r="J1184" i="13"/>
  <c r="K1184" i="13" s="1"/>
  <c r="J1183" i="13"/>
  <c r="K1183" i="13" s="1"/>
  <c r="J1182" i="13"/>
  <c r="K1182" i="13" s="1"/>
  <c r="J1181" i="13"/>
  <c r="K1181" i="13" s="1"/>
  <c r="J1180" i="13"/>
  <c r="K1180" i="13" s="1"/>
  <c r="J1179" i="13"/>
  <c r="K1179" i="13" s="1"/>
  <c r="J1178" i="13"/>
  <c r="K1178" i="13" s="1"/>
  <c r="J1177" i="13"/>
  <c r="K1177" i="13" s="1"/>
  <c r="K1176" i="13"/>
  <c r="J1176" i="13"/>
  <c r="K1175" i="13"/>
  <c r="J1175" i="13"/>
  <c r="J1174" i="13"/>
  <c r="K1174" i="13" s="1"/>
  <c r="K1173" i="13"/>
  <c r="J1173" i="13"/>
  <c r="J1172" i="13"/>
  <c r="K1172" i="13" s="1"/>
  <c r="J1171" i="13"/>
  <c r="K1171" i="13" s="1"/>
  <c r="J1170" i="13"/>
  <c r="K1170" i="13" s="1"/>
  <c r="K1169" i="13"/>
  <c r="J1169" i="13"/>
  <c r="J1168" i="13"/>
  <c r="K1168" i="13" s="1"/>
  <c r="K1167" i="13"/>
  <c r="J1167" i="13"/>
  <c r="J1166" i="13"/>
  <c r="K1166" i="13" s="1"/>
  <c r="K1165" i="13"/>
  <c r="J1165" i="13"/>
  <c r="K1164" i="13"/>
  <c r="J1164" i="13"/>
  <c r="J1163" i="13"/>
  <c r="K1163" i="13" s="1"/>
  <c r="M1162" i="13"/>
  <c r="L1163" i="13" s="1"/>
  <c r="M1163" i="13" s="1"/>
  <c r="L1164" i="13" s="1"/>
  <c r="M1164" i="13" s="1"/>
  <c r="L1165" i="13" s="1"/>
  <c r="M1165" i="13" s="1"/>
  <c r="L1166" i="13" s="1"/>
  <c r="M1166" i="13" s="1"/>
  <c r="L1167" i="13" s="1"/>
  <c r="M1167" i="13" s="1"/>
  <c r="L1168" i="13" s="1"/>
  <c r="M1168" i="13" s="1"/>
  <c r="L1169" i="13" s="1"/>
  <c r="M1169" i="13" s="1"/>
  <c r="L1170" i="13" s="1"/>
  <c r="M1170" i="13" s="1"/>
  <c r="L1171" i="13" s="1"/>
  <c r="M1171" i="13" s="1"/>
  <c r="L1172" i="13" s="1"/>
  <c r="M1172" i="13" s="1"/>
  <c r="L1173" i="13" s="1"/>
  <c r="M1173" i="13" s="1"/>
  <c r="L1174" i="13" s="1"/>
  <c r="M1174" i="13" s="1"/>
  <c r="L1175" i="13" s="1"/>
  <c r="M1175" i="13" s="1"/>
  <c r="L1176" i="13" s="1"/>
  <c r="M1176" i="13" s="1"/>
  <c r="L1177" i="13" s="1"/>
  <c r="M1177" i="13" s="1"/>
  <c r="L1178" i="13" s="1"/>
  <c r="M1178" i="13" s="1"/>
  <c r="L1179" i="13" s="1"/>
  <c r="M1179" i="13" s="1"/>
  <c r="L1180" i="13" s="1"/>
  <c r="M1180" i="13" s="1"/>
  <c r="L1181" i="13" s="1"/>
  <c r="M1181" i="13" s="1"/>
  <c r="L1182" i="13" s="1"/>
  <c r="M1182" i="13" s="1"/>
  <c r="L1183" i="13" s="1"/>
  <c r="M1183" i="13" s="1"/>
  <c r="L1184" i="13" s="1"/>
  <c r="M1184" i="13" s="1"/>
  <c r="L1185" i="13" s="1"/>
  <c r="M1185" i="13" s="1"/>
  <c r="L1186" i="13" s="1"/>
  <c r="M1186" i="13" s="1"/>
  <c r="L1187" i="13" s="1"/>
  <c r="M1187" i="13" s="1"/>
  <c r="L1188" i="13" s="1"/>
  <c r="M1188" i="13" s="1"/>
  <c r="L1189" i="13" s="1"/>
  <c r="M1189" i="13" s="1"/>
  <c r="L1190" i="13" s="1"/>
  <c r="M1190" i="13" s="1"/>
  <c r="L1191" i="13" s="1"/>
  <c r="M1191" i="13" s="1"/>
  <c r="L1192" i="13" s="1"/>
  <c r="M1192" i="13" s="1"/>
  <c r="L1193" i="13" s="1"/>
  <c r="M1193" i="13" s="1"/>
  <c r="L1194" i="13" s="1"/>
  <c r="M1194" i="13" s="1"/>
  <c r="L1195" i="13" s="1"/>
  <c r="M1195" i="13" s="1"/>
  <c r="L1196" i="13" s="1"/>
  <c r="M1196" i="13" s="1"/>
  <c r="L1197" i="13" s="1"/>
  <c r="M1197" i="13" s="1"/>
  <c r="L1198" i="13" s="1"/>
  <c r="M1198" i="13" s="1"/>
  <c r="L1199" i="13" s="1"/>
  <c r="M1199" i="13" s="1"/>
  <c r="L1200" i="13" s="1"/>
  <c r="M1200" i="13" s="1"/>
  <c r="L1201" i="13" s="1"/>
  <c r="M1201" i="13" s="1"/>
  <c r="L1162" i="13"/>
  <c r="J1162" i="13"/>
  <c r="K1162" i="13" s="1"/>
  <c r="J1161" i="13"/>
  <c r="K1161" i="13" s="1"/>
  <c r="K1160" i="13"/>
  <c r="J1160" i="13"/>
  <c r="K1159" i="13"/>
  <c r="J1159" i="13"/>
  <c r="J1158" i="13"/>
  <c r="K1158" i="13" s="1"/>
  <c r="J1157" i="13"/>
  <c r="K1157" i="13" s="1"/>
  <c r="K1156" i="13"/>
  <c r="J1156" i="13"/>
  <c r="J1155" i="13"/>
  <c r="K1155" i="13" s="1"/>
  <c r="J1154" i="13"/>
  <c r="K1154" i="13" s="1"/>
  <c r="K1153" i="13"/>
  <c r="J1153" i="13"/>
  <c r="J1152" i="13"/>
  <c r="K1152" i="13" s="1"/>
  <c r="K1151" i="13"/>
  <c r="J1151" i="13"/>
  <c r="J1150" i="13"/>
  <c r="K1150" i="13" s="1"/>
  <c r="J1149" i="13"/>
  <c r="K1149" i="13" s="1"/>
  <c r="K1148" i="13"/>
  <c r="J1148" i="13"/>
  <c r="K1147" i="13"/>
  <c r="J1147" i="13"/>
  <c r="J1146" i="13"/>
  <c r="K1146" i="13" s="1"/>
  <c r="J1145" i="13"/>
  <c r="K1145" i="13" s="1"/>
  <c r="K1144" i="13"/>
  <c r="J1144" i="13"/>
  <c r="K1143" i="13"/>
  <c r="J1143" i="13"/>
  <c r="J1142" i="13"/>
  <c r="K1142" i="13" s="1"/>
  <c r="K1141" i="13"/>
  <c r="J1141" i="13"/>
  <c r="J1140" i="13"/>
  <c r="K1140" i="13" s="1"/>
  <c r="J1139" i="13"/>
  <c r="K1139" i="13" s="1"/>
  <c r="J1138" i="13"/>
  <c r="K1138" i="13" s="1"/>
  <c r="K1137" i="13"/>
  <c r="J1137" i="13"/>
  <c r="J1136" i="13"/>
  <c r="K1136" i="13" s="1"/>
  <c r="K1135" i="13"/>
  <c r="J1135" i="13"/>
  <c r="J1134" i="13"/>
  <c r="K1134" i="13" s="1"/>
  <c r="J1133" i="13"/>
  <c r="K1133" i="13" s="1"/>
  <c r="K1132" i="13"/>
  <c r="J1132" i="13"/>
  <c r="J1131" i="13"/>
  <c r="K1131" i="13" s="1"/>
  <c r="J1130" i="13"/>
  <c r="K1130" i="13" s="1"/>
  <c r="J1129" i="13"/>
  <c r="K1129" i="13" s="1"/>
  <c r="K1128" i="13"/>
  <c r="J1128" i="13"/>
  <c r="K1127" i="13"/>
  <c r="J1127" i="13"/>
  <c r="J1126" i="13"/>
  <c r="K1126" i="13" s="1"/>
  <c r="J1125" i="13"/>
  <c r="K1125" i="13" s="1"/>
  <c r="L1124" i="13"/>
  <c r="K1124" i="13"/>
  <c r="J1124" i="13"/>
  <c r="L1123" i="13"/>
  <c r="M1123" i="13" s="1"/>
  <c r="J1123" i="13"/>
  <c r="K1123" i="13" s="1"/>
  <c r="M1122" i="13"/>
  <c r="L1122" i="13"/>
  <c r="J1122" i="13"/>
  <c r="K1122" i="13" s="1"/>
  <c r="K1121" i="13"/>
  <c r="J1121" i="13"/>
  <c r="J1120" i="13"/>
  <c r="K1120" i="13" s="1"/>
  <c r="J1119" i="13"/>
  <c r="K1119" i="13" s="1"/>
  <c r="J1118" i="13"/>
  <c r="K1118" i="13" s="1"/>
  <c r="J1117" i="13"/>
  <c r="K1117" i="13" s="1"/>
  <c r="J1116" i="13"/>
  <c r="K1116" i="13" s="1"/>
  <c r="J1115" i="13"/>
  <c r="K1115" i="13" s="1"/>
  <c r="J1114" i="13"/>
  <c r="K1114" i="13" s="1"/>
  <c r="J1113" i="13"/>
  <c r="K1113" i="13" s="1"/>
  <c r="K1112" i="13"/>
  <c r="J1112" i="13"/>
  <c r="K1111" i="13"/>
  <c r="J1111" i="13"/>
  <c r="J1110" i="13"/>
  <c r="K1110" i="13" s="1"/>
  <c r="J1109" i="13"/>
  <c r="K1109" i="13" s="1"/>
  <c r="J1108" i="13"/>
  <c r="K1108" i="13" s="1"/>
  <c r="J1107" i="13"/>
  <c r="K1107" i="13" s="1"/>
  <c r="J1106" i="13"/>
  <c r="K1106" i="13" s="1"/>
  <c r="K1105" i="13"/>
  <c r="J1105" i="13"/>
  <c r="J1104" i="13"/>
  <c r="K1104" i="13" s="1"/>
  <c r="J1103" i="13"/>
  <c r="K1103" i="13" s="1"/>
  <c r="J1102" i="13"/>
  <c r="K1102" i="13" s="1"/>
  <c r="K1101" i="13"/>
  <c r="J1101" i="13"/>
  <c r="J1100" i="13"/>
  <c r="K1100" i="13" s="1"/>
  <c r="J1099" i="13"/>
  <c r="K1099" i="13" s="1"/>
  <c r="J1098" i="13"/>
  <c r="K1098" i="13" s="1"/>
  <c r="J1097" i="13"/>
  <c r="K1097" i="13" s="1"/>
  <c r="K1096" i="13"/>
  <c r="J1096" i="13"/>
  <c r="K1095" i="13"/>
  <c r="J1095" i="13"/>
  <c r="J1094" i="13"/>
  <c r="K1094" i="13" s="1"/>
  <c r="K1093" i="13"/>
  <c r="J1093" i="13"/>
  <c r="J1092" i="13"/>
  <c r="K1092" i="13" s="1"/>
  <c r="J1091" i="13"/>
  <c r="K1091" i="13" s="1"/>
  <c r="J1090" i="13"/>
  <c r="K1090" i="13" s="1"/>
  <c r="K1089" i="13"/>
  <c r="J1089" i="13"/>
  <c r="J1088" i="13"/>
  <c r="K1088" i="13" s="1"/>
  <c r="K1087" i="13"/>
  <c r="J1087" i="13"/>
  <c r="J1086" i="13"/>
  <c r="K1086" i="13" s="1"/>
  <c r="J1085" i="13"/>
  <c r="K1085" i="13" s="1"/>
  <c r="J1084" i="13"/>
  <c r="K1084" i="13" s="1"/>
  <c r="J1083" i="13"/>
  <c r="K1083" i="13" s="1"/>
  <c r="M1082" i="13"/>
  <c r="L1083" i="13" s="1"/>
  <c r="L1082" i="13"/>
  <c r="J1082" i="13"/>
  <c r="K1082" i="13" s="1"/>
  <c r="J1081" i="13"/>
  <c r="K1081" i="13" s="1"/>
  <c r="J1080" i="13"/>
  <c r="K1080" i="13" s="1"/>
  <c r="K1079" i="13"/>
  <c r="J1079" i="13"/>
  <c r="J1078" i="13"/>
  <c r="K1078" i="13" s="1"/>
  <c r="K1077" i="13"/>
  <c r="J1077" i="13"/>
  <c r="J1076" i="13"/>
  <c r="K1076" i="13" s="1"/>
  <c r="K1075" i="13"/>
  <c r="J1075" i="13"/>
  <c r="K1074" i="13"/>
  <c r="J1074" i="13"/>
  <c r="K1073" i="13"/>
  <c r="J1073" i="13"/>
  <c r="K1072" i="13"/>
  <c r="J1072" i="13"/>
  <c r="K1071" i="13"/>
  <c r="J1071" i="13"/>
  <c r="J1070" i="13"/>
  <c r="K1070" i="13" s="1"/>
  <c r="K1069" i="13"/>
  <c r="J1069" i="13"/>
  <c r="K1068" i="13"/>
  <c r="J1068" i="13"/>
  <c r="K1067" i="13"/>
  <c r="J1067" i="13"/>
  <c r="K1066" i="13"/>
  <c r="J1066" i="13"/>
  <c r="K1065" i="13"/>
  <c r="J1065" i="13"/>
  <c r="J1064" i="13"/>
  <c r="K1064" i="13" s="1"/>
  <c r="K1063" i="13"/>
  <c r="J1063" i="13"/>
  <c r="J1062" i="13"/>
  <c r="K1062" i="13" s="1"/>
  <c r="K1061" i="13"/>
  <c r="J1061" i="13"/>
  <c r="J1060" i="13"/>
  <c r="K1060" i="13" s="1"/>
  <c r="K1059" i="13"/>
  <c r="J1059" i="13"/>
  <c r="K1058" i="13"/>
  <c r="J1058" i="13"/>
  <c r="K1057" i="13"/>
  <c r="J1057" i="13"/>
  <c r="K1056" i="13"/>
  <c r="J1056" i="13"/>
  <c r="K1055" i="13"/>
  <c r="J1055" i="13"/>
  <c r="J1054" i="13"/>
  <c r="K1054" i="13" s="1"/>
  <c r="K1053" i="13"/>
  <c r="J1053" i="13"/>
  <c r="K1052" i="13"/>
  <c r="J1052" i="13"/>
  <c r="K1051" i="13"/>
  <c r="J1051" i="13"/>
  <c r="J1050" i="13"/>
  <c r="K1050" i="13" s="1"/>
  <c r="K1049" i="13"/>
  <c r="J1049" i="13"/>
  <c r="J1048" i="13"/>
  <c r="K1048" i="13" s="1"/>
  <c r="K1047" i="13"/>
  <c r="J1047" i="13"/>
  <c r="K1046" i="13"/>
  <c r="J1046" i="13"/>
  <c r="K1045" i="13"/>
  <c r="J1045" i="13"/>
  <c r="K1044" i="13"/>
  <c r="J1044" i="13"/>
  <c r="M1043" i="13"/>
  <c r="L1044" i="13" s="1"/>
  <c r="M1044" i="13" s="1"/>
  <c r="L1045" i="13" s="1"/>
  <c r="M1045" i="13" s="1"/>
  <c r="L1046" i="13" s="1"/>
  <c r="M1046" i="13" s="1"/>
  <c r="L1047" i="13" s="1"/>
  <c r="M1047" i="13" s="1"/>
  <c r="L1048" i="13" s="1"/>
  <c r="K1043" i="13"/>
  <c r="J1043" i="13"/>
  <c r="L1042" i="13"/>
  <c r="J1042" i="13"/>
  <c r="K1042" i="13" s="1"/>
  <c r="M1042" i="13" s="1"/>
  <c r="L1043" i="13" s="1"/>
  <c r="K1041" i="13"/>
  <c r="J1041" i="13"/>
  <c r="J1040" i="13"/>
  <c r="K1040" i="13" s="1"/>
  <c r="K1039" i="13"/>
  <c r="J1039" i="13"/>
  <c r="K1038" i="13"/>
  <c r="J1038" i="13"/>
  <c r="K1037" i="13"/>
  <c r="J1037" i="13"/>
  <c r="J1036" i="13"/>
  <c r="K1036" i="13" s="1"/>
  <c r="K1035" i="13"/>
  <c r="J1035" i="13"/>
  <c r="K1034" i="13"/>
  <c r="J1034" i="13"/>
  <c r="K1033" i="13"/>
  <c r="J1033" i="13"/>
  <c r="K1032" i="13"/>
  <c r="J1032" i="13"/>
  <c r="K1031" i="13"/>
  <c r="J1031" i="13"/>
  <c r="K1030" i="13"/>
  <c r="J1030" i="13"/>
  <c r="K1029" i="13"/>
  <c r="J1029" i="13"/>
  <c r="K1028" i="13"/>
  <c r="J1028" i="13"/>
  <c r="K1027" i="13"/>
  <c r="J1027" i="13"/>
  <c r="J1026" i="13"/>
  <c r="K1026" i="13" s="1"/>
  <c r="K1025" i="13"/>
  <c r="J1025" i="13"/>
  <c r="J1024" i="13"/>
  <c r="K1024" i="13" s="1"/>
  <c r="K1023" i="13"/>
  <c r="J1023" i="13"/>
  <c r="K1022" i="13"/>
  <c r="J1022" i="13"/>
  <c r="K1021" i="13"/>
  <c r="J1021" i="13"/>
  <c r="J1020" i="13"/>
  <c r="K1020" i="13" s="1"/>
  <c r="K1019" i="13"/>
  <c r="J1019" i="13"/>
  <c r="J1018" i="13"/>
  <c r="K1018" i="13" s="1"/>
  <c r="K1017" i="13"/>
  <c r="J1017" i="13"/>
  <c r="K1016" i="13"/>
  <c r="J1016" i="13"/>
  <c r="K1015" i="13"/>
  <c r="J1015" i="13"/>
  <c r="J1014" i="13"/>
  <c r="K1014" i="13" s="1"/>
  <c r="K1013" i="13"/>
  <c r="J1013" i="13"/>
  <c r="K1012" i="13"/>
  <c r="J1012" i="13"/>
  <c r="K1011" i="13"/>
  <c r="J1011" i="13"/>
  <c r="J1010" i="13"/>
  <c r="K1010" i="13" s="1"/>
  <c r="K1009" i="13"/>
  <c r="J1009" i="13"/>
  <c r="K1008" i="13"/>
  <c r="J1008" i="13"/>
  <c r="J1007" i="13"/>
  <c r="K1007" i="13" s="1"/>
  <c r="J1006" i="13"/>
  <c r="K1006" i="13" s="1"/>
  <c r="K1005" i="13"/>
  <c r="J1005" i="13"/>
  <c r="J1004" i="13"/>
  <c r="K1004" i="13" s="1"/>
  <c r="J1003" i="13"/>
  <c r="K1003" i="13" s="1"/>
  <c r="M1002" i="13"/>
  <c r="L1003" i="13" s="1"/>
  <c r="M1003" i="13" s="1"/>
  <c r="L1004" i="13" s="1"/>
  <c r="M1004" i="13" s="1"/>
  <c r="L1005" i="13" s="1"/>
  <c r="M1005" i="13" s="1"/>
  <c r="L1006" i="13" s="1"/>
  <c r="M1006" i="13" s="1"/>
  <c r="L1007" i="13" s="1"/>
  <c r="M1007" i="13" s="1"/>
  <c r="L1008" i="13" s="1"/>
  <c r="M1008" i="13" s="1"/>
  <c r="L1009" i="13" s="1"/>
  <c r="M1009" i="13" s="1"/>
  <c r="L1010" i="13" s="1"/>
  <c r="M1010" i="13" s="1"/>
  <c r="L1011" i="13" s="1"/>
  <c r="M1011" i="13" s="1"/>
  <c r="L1012" i="13" s="1"/>
  <c r="M1012" i="13" s="1"/>
  <c r="L1013" i="13" s="1"/>
  <c r="M1013" i="13" s="1"/>
  <c r="L1014" i="13" s="1"/>
  <c r="M1014" i="13" s="1"/>
  <c r="L1015" i="13" s="1"/>
  <c r="M1015" i="13" s="1"/>
  <c r="L1016" i="13" s="1"/>
  <c r="M1016" i="13" s="1"/>
  <c r="L1017" i="13" s="1"/>
  <c r="M1017" i="13" s="1"/>
  <c r="L1018" i="13" s="1"/>
  <c r="M1018" i="13" s="1"/>
  <c r="L1019" i="13" s="1"/>
  <c r="M1019" i="13" s="1"/>
  <c r="L1020" i="13" s="1"/>
  <c r="L1002" i="13"/>
  <c r="K1002" i="13"/>
  <c r="J1002" i="13"/>
  <c r="K1001" i="13"/>
  <c r="J1001" i="13"/>
  <c r="K1000" i="13"/>
  <c r="J1000" i="13"/>
  <c r="K999" i="13"/>
  <c r="J999" i="13"/>
  <c r="K998" i="13"/>
  <c r="J998" i="13"/>
  <c r="K997" i="13"/>
  <c r="J997" i="13"/>
  <c r="J996" i="13"/>
  <c r="K996" i="13" s="1"/>
  <c r="K995" i="13"/>
  <c r="J995" i="13"/>
  <c r="K994" i="13"/>
  <c r="J994" i="13"/>
  <c r="K993" i="13"/>
  <c r="J993" i="13"/>
  <c r="K992" i="13"/>
  <c r="J992" i="13"/>
  <c r="K991" i="13"/>
  <c r="J991" i="13"/>
  <c r="J990" i="13"/>
  <c r="K990" i="13" s="1"/>
  <c r="K989" i="13"/>
  <c r="J989" i="13"/>
  <c r="J988" i="13"/>
  <c r="K988" i="13" s="1"/>
  <c r="J987" i="13"/>
  <c r="K987" i="13" s="1"/>
  <c r="J986" i="13"/>
  <c r="K986" i="13" s="1"/>
  <c r="K985" i="13"/>
  <c r="J985" i="13"/>
  <c r="J984" i="13"/>
  <c r="K984" i="13" s="1"/>
  <c r="K983" i="13"/>
  <c r="J983" i="13"/>
  <c r="K982" i="13"/>
  <c r="J982" i="13"/>
  <c r="K981" i="13"/>
  <c r="J981" i="13"/>
  <c r="J980" i="13"/>
  <c r="K980" i="13" s="1"/>
  <c r="J979" i="13"/>
  <c r="K979" i="13" s="1"/>
  <c r="K978" i="13"/>
  <c r="J978" i="13"/>
  <c r="K977" i="13"/>
  <c r="J977" i="13"/>
  <c r="J976" i="13"/>
  <c r="K976" i="13" s="1"/>
  <c r="K975" i="13"/>
  <c r="J975" i="13"/>
  <c r="K974" i="13"/>
  <c r="J974" i="13"/>
  <c r="K973" i="13"/>
  <c r="J973" i="13"/>
  <c r="K972" i="13"/>
  <c r="J972" i="13"/>
  <c r="J971" i="13"/>
  <c r="K971" i="13" s="1"/>
  <c r="J970" i="13"/>
  <c r="K970" i="13" s="1"/>
  <c r="K969" i="13"/>
  <c r="J969" i="13"/>
  <c r="K968" i="13"/>
  <c r="J968" i="13"/>
  <c r="J967" i="13"/>
  <c r="K967" i="13" s="1"/>
  <c r="K966" i="13"/>
  <c r="J966" i="13"/>
  <c r="K965" i="13"/>
  <c r="J965" i="13"/>
  <c r="K964" i="13"/>
  <c r="J964" i="13"/>
  <c r="J963" i="13"/>
  <c r="K963" i="13" s="1"/>
  <c r="L962" i="13"/>
  <c r="J962" i="13"/>
  <c r="K962" i="13" s="1"/>
  <c r="K961" i="13"/>
  <c r="J961" i="13"/>
  <c r="J960" i="13"/>
  <c r="K960" i="13" s="1"/>
  <c r="J959" i="13"/>
  <c r="K959" i="13" s="1"/>
  <c r="K958" i="13"/>
  <c r="J958" i="13"/>
  <c r="K957" i="13"/>
  <c r="J957" i="13"/>
  <c r="J956" i="13"/>
  <c r="K956" i="13" s="1"/>
  <c r="K955" i="13"/>
  <c r="J955" i="13"/>
  <c r="J954" i="13"/>
  <c r="K954" i="13" s="1"/>
  <c r="K953" i="13"/>
  <c r="J953" i="13"/>
  <c r="K952" i="13"/>
  <c r="J952" i="13"/>
  <c r="K951" i="13"/>
  <c r="J951" i="13"/>
  <c r="J950" i="13"/>
  <c r="K950" i="13" s="1"/>
  <c r="K949" i="13"/>
  <c r="J949" i="13"/>
  <c r="K948" i="13"/>
  <c r="J948" i="13"/>
  <c r="K947" i="13"/>
  <c r="J947" i="13"/>
  <c r="J946" i="13"/>
  <c r="K946" i="13" s="1"/>
  <c r="K945" i="13"/>
  <c r="J945" i="13"/>
  <c r="K944" i="13"/>
  <c r="J944" i="13"/>
  <c r="J943" i="13"/>
  <c r="K943" i="13" s="1"/>
  <c r="J942" i="13"/>
  <c r="K942" i="13" s="1"/>
  <c r="K941" i="13"/>
  <c r="J941" i="13"/>
  <c r="J940" i="13"/>
  <c r="K940" i="13" s="1"/>
  <c r="J939" i="13"/>
  <c r="K939" i="13" s="1"/>
  <c r="K938" i="13"/>
  <c r="J938" i="13"/>
  <c r="K937" i="13"/>
  <c r="J937" i="13"/>
  <c r="K936" i="13"/>
  <c r="J936" i="13"/>
  <c r="K935" i="13"/>
  <c r="J935" i="13"/>
  <c r="K934" i="13"/>
  <c r="J934" i="13"/>
  <c r="K933" i="13"/>
  <c r="J933" i="13"/>
  <c r="J932" i="13"/>
  <c r="K932" i="13" s="1"/>
  <c r="K931" i="13"/>
  <c r="J931" i="13"/>
  <c r="K930" i="13"/>
  <c r="J930" i="13"/>
  <c r="K929" i="13"/>
  <c r="J929" i="13"/>
  <c r="K928" i="13"/>
  <c r="J928" i="13"/>
  <c r="K927" i="13"/>
  <c r="J927" i="13"/>
  <c r="J926" i="13"/>
  <c r="K926" i="13" s="1"/>
  <c r="K925" i="13"/>
  <c r="J925" i="13"/>
  <c r="J924" i="13"/>
  <c r="K924" i="13" s="1"/>
  <c r="L923" i="13"/>
  <c r="M923" i="13" s="1"/>
  <c r="L924" i="13" s="1"/>
  <c r="M924" i="13" s="1"/>
  <c r="L925" i="13" s="1"/>
  <c r="M925" i="13" s="1"/>
  <c r="L926" i="13" s="1"/>
  <c r="M926" i="13" s="1"/>
  <c r="L927" i="13" s="1"/>
  <c r="M927" i="13" s="1"/>
  <c r="L928" i="13" s="1"/>
  <c r="M928" i="13" s="1"/>
  <c r="L929" i="13" s="1"/>
  <c r="M929" i="13" s="1"/>
  <c r="L930" i="13" s="1"/>
  <c r="M930" i="13" s="1"/>
  <c r="L931" i="13" s="1"/>
  <c r="M931" i="13" s="1"/>
  <c r="L932" i="13" s="1"/>
  <c r="M932" i="13" s="1"/>
  <c r="L933" i="13" s="1"/>
  <c r="M933" i="13" s="1"/>
  <c r="L934" i="13" s="1"/>
  <c r="M934" i="13" s="1"/>
  <c r="L935" i="13" s="1"/>
  <c r="M935" i="13" s="1"/>
  <c r="L936" i="13" s="1"/>
  <c r="M936" i="13" s="1"/>
  <c r="L937" i="13" s="1"/>
  <c r="M937" i="13" s="1"/>
  <c r="L938" i="13" s="1"/>
  <c r="M938" i="13" s="1"/>
  <c r="L939" i="13" s="1"/>
  <c r="M939" i="13" s="1"/>
  <c r="L940" i="13" s="1"/>
  <c r="M940" i="13" s="1"/>
  <c r="L941" i="13" s="1"/>
  <c r="M941" i="13" s="1"/>
  <c r="L942" i="13" s="1"/>
  <c r="M942" i="13" s="1"/>
  <c r="L943" i="13" s="1"/>
  <c r="M943" i="13" s="1"/>
  <c r="L944" i="13" s="1"/>
  <c r="M944" i="13" s="1"/>
  <c r="L945" i="13" s="1"/>
  <c r="M945" i="13" s="1"/>
  <c r="L946" i="13" s="1"/>
  <c r="M946" i="13" s="1"/>
  <c r="L947" i="13" s="1"/>
  <c r="M947" i="13" s="1"/>
  <c r="L948" i="13" s="1"/>
  <c r="M948" i="13" s="1"/>
  <c r="L949" i="13" s="1"/>
  <c r="M949" i="13" s="1"/>
  <c r="L950" i="13" s="1"/>
  <c r="M950" i="13" s="1"/>
  <c r="L951" i="13" s="1"/>
  <c r="M951" i="13" s="1"/>
  <c r="L952" i="13" s="1"/>
  <c r="M952" i="13" s="1"/>
  <c r="L953" i="13" s="1"/>
  <c r="M953" i="13" s="1"/>
  <c r="L954" i="13" s="1"/>
  <c r="M954" i="13" s="1"/>
  <c r="L955" i="13" s="1"/>
  <c r="M955" i="13" s="1"/>
  <c r="L956" i="13" s="1"/>
  <c r="M956" i="13" s="1"/>
  <c r="L957" i="13" s="1"/>
  <c r="M957" i="13" s="1"/>
  <c r="L958" i="13" s="1"/>
  <c r="M958" i="13" s="1"/>
  <c r="L959" i="13" s="1"/>
  <c r="M959" i="13" s="1"/>
  <c r="L960" i="13" s="1"/>
  <c r="M960" i="13" s="1"/>
  <c r="L961" i="13" s="1"/>
  <c r="M961" i="13" s="1"/>
  <c r="J923" i="13"/>
  <c r="K923" i="13" s="1"/>
  <c r="L922" i="13"/>
  <c r="J922" i="13"/>
  <c r="K922" i="13" s="1"/>
  <c r="M922" i="13" s="1"/>
  <c r="K921" i="13"/>
  <c r="J921" i="13"/>
  <c r="J920" i="13"/>
  <c r="K920" i="13" s="1"/>
  <c r="K919" i="13"/>
  <c r="J919" i="13"/>
  <c r="K918" i="13"/>
  <c r="J918" i="13"/>
  <c r="K917" i="13"/>
  <c r="J917" i="13"/>
  <c r="J916" i="13"/>
  <c r="K916" i="13" s="1"/>
  <c r="J915" i="13"/>
  <c r="K915" i="13" s="1"/>
  <c r="K914" i="13"/>
  <c r="J914" i="13"/>
  <c r="K913" i="13"/>
  <c r="J913" i="13"/>
  <c r="J912" i="13"/>
  <c r="K912" i="13" s="1"/>
  <c r="K911" i="13"/>
  <c r="J911" i="13"/>
  <c r="K910" i="13"/>
  <c r="J910" i="13"/>
  <c r="K909" i="13"/>
  <c r="J909" i="13"/>
  <c r="K908" i="13"/>
  <c r="J908" i="13"/>
  <c r="J907" i="13"/>
  <c r="K907" i="13" s="1"/>
  <c r="J906" i="13"/>
  <c r="K906" i="13" s="1"/>
  <c r="J905" i="13"/>
  <c r="K905" i="13" s="1"/>
  <c r="K904" i="13"/>
  <c r="J904" i="13"/>
  <c r="J903" i="13"/>
  <c r="K903" i="13" s="1"/>
  <c r="K902" i="13"/>
  <c r="J902" i="13"/>
  <c r="K901" i="13"/>
  <c r="J901" i="13"/>
  <c r="K900" i="13"/>
  <c r="J900" i="13"/>
  <c r="J899" i="13"/>
  <c r="K899" i="13" s="1"/>
  <c r="J898" i="13"/>
  <c r="K898" i="13" s="1"/>
  <c r="K897" i="13"/>
  <c r="J897" i="13"/>
  <c r="K896" i="13"/>
  <c r="J896" i="13"/>
  <c r="J895" i="13"/>
  <c r="K895" i="13" s="1"/>
  <c r="J894" i="13"/>
  <c r="K894" i="13" s="1"/>
  <c r="K893" i="13"/>
  <c r="J893" i="13"/>
  <c r="K892" i="13"/>
  <c r="J892" i="13"/>
  <c r="J891" i="13"/>
  <c r="K891" i="13" s="1"/>
  <c r="J890" i="13"/>
  <c r="K890" i="13" s="1"/>
  <c r="K889" i="13"/>
  <c r="J889" i="13"/>
  <c r="K888" i="13"/>
  <c r="J888" i="13"/>
  <c r="J887" i="13"/>
  <c r="K887" i="13" s="1"/>
  <c r="J886" i="13"/>
  <c r="K886" i="13" s="1"/>
  <c r="K885" i="13"/>
  <c r="J885" i="13"/>
  <c r="K884" i="13"/>
  <c r="J884" i="13"/>
  <c r="J883" i="13"/>
  <c r="K883" i="13" s="1"/>
  <c r="L882" i="13"/>
  <c r="M882" i="13" s="1"/>
  <c r="L883" i="13" s="1"/>
  <c r="M883" i="13" s="1"/>
  <c r="L884" i="13" s="1"/>
  <c r="M884" i="13" s="1"/>
  <c r="L885" i="13" s="1"/>
  <c r="M885" i="13" s="1"/>
  <c r="L886" i="13" s="1"/>
  <c r="J882" i="13"/>
  <c r="K882" i="13" s="1"/>
  <c r="K881" i="13"/>
  <c r="J881" i="13"/>
  <c r="K880" i="13"/>
  <c r="J880" i="13"/>
  <c r="J879" i="13"/>
  <c r="K879" i="13" s="1"/>
  <c r="J878" i="13"/>
  <c r="K878" i="13" s="1"/>
  <c r="K877" i="13"/>
  <c r="J877" i="13"/>
  <c r="K876" i="13"/>
  <c r="J876" i="13"/>
  <c r="J875" i="13"/>
  <c r="K875" i="13" s="1"/>
  <c r="J874" i="13"/>
  <c r="K874" i="13" s="1"/>
  <c r="K873" i="13"/>
  <c r="J873" i="13"/>
  <c r="K872" i="13"/>
  <c r="J872" i="13"/>
  <c r="J871" i="13"/>
  <c r="K871" i="13" s="1"/>
  <c r="J870" i="13"/>
  <c r="K870" i="13" s="1"/>
  <c r="K869" i="13"/>
  <c r="J869" i="13"/>
  <c r="K868" i="13"/>
  <c r="J868" i="13"/>
  <c r="J867" i="13"/>
  <c r="K867" i="13" s="1"/>
  <c r="J866" i="13"/>
  <c r="K866" i="13" s="1"/>
  <c r="K865" i="13"/>
  <c r="J865" i="13"/>
  <c r="K864" i="13"/>
  <c r="J864" i="13"/>
  <c r="J863" i="13"/>
  <c r="K863" i="13" s="1"/>
  <c r="J862" i="13"/>
  <c r="K862" i="13" s="1"/>
  <c r="K861" i="13"/>
  <c r="J861" i="13"/>
  <c r="K860" i="13"/>
  <c r="J860" i="13"/>
  <c r="J859" i="13"/>
  <c r="K859" i="13" s="1"/>
  <c r="J858" i="13"/>
  <c r="K858" i="13" s="1"/>
  <c r="K857" i="13"/>
  <c r="J857" i="13"/>
  <c r="K856" i="13"/>
  <c r="J856" i="13"/>
  <c r="J855" i="13"/>
  <c r="K855" i="13" s="1"/>
  <c r="J854" i="13"/>
  <c r="K854" i="13" s="1"/>
  <c r="K853" i="13"/>
  <c r="J853" i="13"/>
  <c r="K852" i="13"/>
  <c r="J852" i="13"/>
  <c r="J851" i="13"/>
  <c r="K851" i="13" s="1"/>
  <c r="J850" i="13"/>
  <c r="K850" i="13" s="1"/>
  <c r="K849" i="13"/>
  <c r="J849" i="13"/>
  <c r="K848" i="13"/>
  <c r="J848" i="13"/>
  <c r="J847" i="13"/>
  <c r="K847" i="13" s="1"/>
  <c r="J846" i="13"/>
  <c r="K846" i="13" s="1"/>
  <c r="K845" i="13"/>
  <c r="J845" i="13"/>
  <c r="K844" i="13"/>
  <c r="J844" i="13"/>
  <c r="J843" i="13"/>
  <c r="K843" i="13" s="1"/>
  <c r="L842" i="13"/>
  <c r="J842" i="13"/>
  <c r="K842" i="13" s="1"/>
  <c r="K841" i="13"/>
  <c r="J841" i="13"/>
  <c r="K840" i="13"/>
  <c r="J840" i="13"/>
  <c r="J839" i="13"/>
  <c r="K839" i="13" s="1"/>
  <c r="J838" i="13"/>
  <c r="K838" i="13" s="1"/>
  <c r="K837" i="13"/>
  <c r="J837" i="13"/>
  <c r="J836" i="13"/>
  <c r="K836" i="13" s="1"/>
  <c r="J835" i="13"/>
  <c r="K835" i="13" s="1"/>
  <c r="J834" i="13"/>
  <c r="K834" i="13" s="1"/>
  <c r="K833" i="13"/>
  <c r="J833" i="13"/>
  <c r="K832" i="13"/>
  <c r="J832" i="13"/>
  <c r="J831" i="13"/>
  <c r="K831" i="13" s="1"/>
  <c r="J830" i="13"/>
  <c r="K830" i="13" s="1"/>
  <c r="K829" i="13"/>
  <c r="J829" i="13"/>
  <c r="J828" i="13"/>
  <c r="K828" i="13" s="1"/>
  <c r="J827" i="13"/>
  <c r="K827" i="13" s="1"/>
  <c r="J826" i="13"/>
  <c r="K826" i="13" s="1"/>
  <c r="K825" i="13"/>
  <c r="J825" i="13"/>
  <c r="K824" i="13"/>
  <c r="J824" i="13"/>
  <c r="J823" i="13"/>
  <c r="K823" i="13" s="1"/>
  <c r="J822" i="13"/>
  <c r="K822" i="13" s="1"/>
  <c r="K821" i="13"/>
  <c r="J821" i="13"/>
  <c r="J820" i="13"/>
  <c r="K820" i="13" s="1"/>
  <c r="J819" i="13"/>
  <c r="K819" i="13" s="1"/>
  <c r="J818" i="13"/>
  <c r="K818" i="13" s="1"/>
  <c r="K817" i="13"/>
  <c r="J817" i="13"/>
  <c r="J816" i="13"/>
  <c r="K816" i="13" s="1"/>
  <c r="J815" i="13"/>
  <c r="K815" i="13" s="1"/>
  <c r="J814" i="13"/>
  <c r="K814" i="13" s="1"/>
  <c r="K813" i="13"/>
  <c r="J813" i="13"/>
  <c r="J812" i="13"/>
  <c r="K812" i="13" s="1"/>
  <c r="J811" i="13"/>
  <c r="K811" i="13" s="1"/>
  <c r="J810" i="13"/>
  <c r="K810" i="13" s="1"/>
  <c r="K809" i="13"/>
  <c r="J809" i="13"/>
  <c r="J808" i="13"/>
  <c r="K808" i="13" s="1"/>
  <c r="J807" i="13"/>
  <c r="K807" i="13" s="1"/>
  <c r="J806" i="13"/>
  <c r="K806" i="13" s="1"/>
  <c r="K805" i="13"/>
  <c r="J805" i="13"/>
  <c r="K804" i="13"/>
  <c r="J804" i="13"/>
  <c r="J803" i="13"/>
  <c r="K803" i="13" s="1"/>
  <c r="M802" i="13"/>
  <c r="L803" i="13" s="1"/>
  <c r="M803" i="13" s="1"/>
  <c r="L804" i="13" s="1"/>
  <c r="M804" i="13" s="1"/>
  <c r="L805" i="13" s="1"/>
  <c r="M805" i="13" s="1"/>
  <c r="L806" i="13" s="1"/>
  <c r="M806" i="13" s="1"/>
  <c r="L807" i="13" s="1"/>
  <c r="M807" i="13" s="1"/>
  <c r="L808" i="13" s="1"/>
  <c r="M808" i="13" s="1"/>
  <c r="L809" i="13" s="1"/>
  <c r="M809" i="13" s="1"/>
  <c r="L810" i="13" s="1"/>
  <c r="M810" i="13" s="1"/>
  <c r="L811" i="13" s="1"/>
  <c r="M811" i="13" s="1"/>
  <c r="L812" i="13" s="1"/>
  <c r="M812" i="13" s="1"/>
  <c r="L813" i="13" s="1"/>
  <c r="M813" i="13" s="1"/>
  <c r="L814" i="13" s="1"/>
  <c r="M814" i="13" s="1"/>
  <c r="L815" i="13" s="1"/>
  <c r="M815" i="13" s="1"/>
  <c r="L816" i="13" s="1"/>
  <c r="M816" i="13" s="1"/>
  <c r="L817" i="13" s="1"/>
  <c r="M817" i="13" s="1"/>
  <c r="L818" i="13" s="1"/>
  <c r="M818" i="13" s="1"/>
  <c r="L819" i="13" s="1"/>
  <c r="M819" i="13" s="1"/>
  <c r="L820" i="13" s="1"/>
  <c r="M820" i="13" s="1"/>
  <c r="L821" i="13" s="1"/>
  <c r="M821" i="13" s="1"/>
  <c r="L822" i="13" s="1"/>
  <c r="M822" i="13" s="1"/>
  <c r="L823" i="13" s="1"/>
  <c r="M823" i="13" s="1"/>
  <c r="L824" i="13" s="1"/>
  <c r="M824" i="13" s="1"/>
  <c r="L825" i="13" s="1"/>
  <c r="M825" i="13" s="1"/>
  <c r="L826" i="13" s="1"/>
  <c r="M826" i="13" s="1"/>
  <c r="L827" i="13" s="1"/>
  <c r="M827" i="13" s="1"/>
  <c r="L828" i="13" s="1"/>
  <c r="M828" i="13" s="1"/>
  <c r="L829" i="13" s="1"/>
  <c r="M829" i="13" s="1"/>
  <c r="L830" i="13" s="1"/>
  <c r="M830" i="13" s="1"/>
  <c r="L831" i="13" s="1"/>
  <c r="M831" i="13" s="1"/>
  <c r="L832" i="13" s="1"/>
  <c r="M832" i="13" s="1"/>
  <c r="L833" i="13" s="1"/>
  <c r="M833" i="13" s="1"/>
  <c r="L834" i="13" s="1"/>
  <c r="M834" i="13" s="1"/>
  <c r="L835" i="13" s="1"/>
  <c r="M835" i="13" s="1"/>
  <c r="L836" i="13" s="1"/>
  <c r="M836" i="13" s="1"/>
  <c r="L837" i="13" s="1"/>
  <c r="M837" i="13" s="1"/>
  <c r="L838" i="13" s="1"/>
  <c r="M838" i="13" s="1"/>
  <c r="L839" i="13" s="1"/>
  <c r="M839" i="13" s="1"/>
  <c r="L840" i="13" s="1"/>
  <c r="M840" i="13" s="1"/>
  <c r="L841" i="13" s="1"/>
  <c r="M841" i="13" s="1"/>
  <c r="I22" i="14" s="1"/>
  <c r="N22" i="14" s="1"/>
  <c r="L802" i="13"/>
  <c r="J802" i="13"/>
  <c r="K802" i="13" s="1"/>
  <c r="K801" i="13"/>
  <c r="J801" i="13"/>
  <c r="J800" i="13"/>
  <c r="K800" i="13" s="1"/>
  <c r="J799" i="13"/>
  <c r="K799" i="13" s="1"/>
  <c r="J798" i="13"/>
  <c r="K798" i="13" s="1"/>
  <c r="K797" i="13"/>
  <c r="J797" i="13"/>
  <c r="K796" i="13"/>
  <c r="J796" i="13"/>
  <c r="J795" i="13"/>
  <c r="K795" i="13" s="1"/>
  <c r="J794" i="13"/>
  <c r="K794" i="13" s="1"/>
  <c r="K793" i="13"/>
  <c r="J793" i="13"/>
  <c r="J792" i="13"/>
  <c r="K792" i="13" s="1"/>
  <c r="J791" i="13"/>
  <c r="K791" i="13" s="1"/>
  <c r="J790" i="13"/>
  <c r="K790" i="13" s="1"/>
  <c r="K789" i="13"/>
  <c r="J789" i="13"/>
  <c r="J788" i="13"/>
  <c r="K788" i="13" s="1"/>
  <c r="J787" i="13"/>
  <c r="K787" i="13" s="1"/>
  <c r="J786" i="13"/>
  <c r="K786" i="13" s="1"/>
  <c r="K785" i="13"/>
  <c r="J785" i="13"/>
  <c r="J784" i="13"/>
  <c r="K784" i="13" s="1"/>
  <c r="J783" i="13"/>
  <c r="K783" i="13" s="1"/>
  <c r="J782" i="13"/>
  <c r="K782" i="13" s="1"/>
  <c r="K781" i="13"/>
  <c r="J781" i="13"/>
  <c r="J780" i="13"/>
  <c r="K780" i="13" s="1"/>
  <c r="J779" i="13"/>
  <c r="K779" i="13" s="1"/>
  <c r="J778" i="13"/>
  <c r="K778" i="13" s="1"/>
  <c r="K777" i="13"/>
  <c r="J777" i="13"/>
  <c r="J776" i="13"/>
  <c r="K776" i="13" s="1"/>
  <c r="J775" i="13"/>
  <c r="K775" i="13" s="1"/>
  <c r="J774" i="13"/>
  <c r="K774" i="13" s="1"/>
  <c r="K773" i="13"/>
  <c r="J773" i="13"/>
  <c r="J772" i="13"/>
  <c r="K772" i="13" s="1"/>
  <c r="J771" i="13"/>
  <c r="K771" i="13" s="1"/>
  <c r="J770" i="13"/>
  <c r="K770" i="13" s="1"/>
  <c r="K769" i="13"/>
  <c r="J769" i="13"/>
  <c r="L768" i="13"/>
  <c r="M768" i="13" s="1"/>
  <c r="L769" i="13" s="1"/>
  <c r="M769" i="13" s="1"/>
  <c r="L770" i="13" s="1"/>
  <c r="M770" i="13" s="1"/>
  <c r="L771" i="13" s="1"/>
  <c r="M771" i="13" s="1"/>
  <c r="L772" i="13" s="1"/>
  <c r="M772" i="13" s="1"/>
  <c r="L773" i="13" s="1"/>
  <c r="M773" i="13" s="1"/>
  <c r="L774" i="13" s="1"/>
  <c r="M774" i="13" s="1"/>
  <c r="L775" i="13" s="1"/>
  <c r="M775" i="13" s="1"/>
  <c r="L776" i="13" s="1"/>
  <c r="M776" i="13" s="1"/>
  <c r="L777" i="13" s="1"/>
  <c r="M777" i="13" s="1"/>
  <c r="L778" i="13" s="1"/>
  <c r="M778" i="13" s="1"/>
  <c r="L779" i="13" s="1"/>
  <c r="M779" i="13" s="1"/>
  <c r="L780" i="13" s="1"/>
  <c r="M780" i="13" s="1"/>
  <c r="L781" i="13" s="1"/>
  <c r="M781" i="13" s="1"/>
  <c r="L782" i="13" s="1"/>
  <c r="M782" i="13" s="1"/>
  <c r="L783" i="13" s="1"/>
  <c r="M783" i="13" s="1"/>
  <c r="L784" i="13" s="1"/>
  <c r="M784" i="13" s="1"/>
  <c r="L785" i="13" s="1"/>
  <c r="M785" i="13" s="1"/>
  <c r="L786" i="13" s="1"/>
  <c r="M786" i="13" s="1"/>
  <c r="L787" i="13" s="1"/>
  <c r="M787" i="13" s="1"/>
  <c r="L788" i="13" s="1"/>
  <c r="M788" i="13" s="1"/>
  <c r="L789" i="13" s="1"/>
  <c r="M789" i="13" s="1"/>
  <c r="L790" i="13" s="1"/>
  <c r="M790" i="13" s="1"/>
  <c r="L791" i="13" s="1"/>
  <c r="M791" i="13" s="1"/>
  <c r="L792" i="13" s="1"/>
  <c r="M792" i="13" s="1"/>
  <c r="L793" i="13" s="1"/>
  <c r="M793" i="13" s="1"/>
  <c r="L794" i="13" s="1"/>
  <c r="M794" i="13" s="1"/>
  <c r="L795" i="13" s="1"/>
  <c r="M795" i="13" s="1"/>
  <c r="L796" i="13" s="1"/>
  <c r="M796" i="13" s="1"/>
  <c r="L797" i="13" s="1"/>
  <c r="M797" i="13" s="1"/>
  <c r="L798" i="13" s="1"/>
  <c r="M798" i="13" s="1"/>
  <c r="L799" i="13" s="1"/>
  <c r="M799" i="13" s="1"/>
  <c r="L800" i="13" s="1"/>
  <c r="M800" i="13" s="1"/>
  <c r="L801" i="13" s="1"/>
  <c r="M801" i="13" s="1"/>
  <c r="J768" i="13"/>
  <c r="K768" i="13" s="1"/>
  <c r="J767" i="13"/>
  <c r="K767" i="13" s="1"/>
  <c r="J766" i="13"/>
  <c r="K766" i="13" s="1"/>
  <c r="K765" i="13"/>
  <c r="J765" i="13"/>
  <c r="K764" i="13"/>
  <c r="J764" i="13"/>
  <c r="J763" i="13"/>
  <c r="K763" i="13" s="1"/>
  <c r="L762" i="13"/>
  <c r="J762" i="13"/>
  <c r="K762" i="13" s="1"/>
  <c r="M762" i="13" s="1"/>
  <c r="L763" i="13" s="1"/>
  <c r="M763" i="13" s="1"/>
  <c r="L764" i="13" s="1"/>
  <c r="M764" i="13" s="1"/>
  <c r="L765" i="13" s="1"/>
  <c r="M765" i="13" s="1"/>
  <c r="L766" i="13" s="1"/>
  <c r="M766" i="13" s="1"/>
  <c r="L767" i="13" s="1"/>
  <c r="M767" i="13" s="1"/>
  <c r="K761" i="13"/>
  <c r="J761" i="13"/>
  <c r="J760" i="13"/>
  <c r="K760" i="13" s="1"/>
  <c r="J759" i="13"/>
  <c r="K759" i="13" s="1"/>
  <c r="J758" i="13"/>
  <c r="K758" i="13" s="1"/>
  <c r="K757" i="13"/>
  <c r="J757" i="13"/>
  <c r="K756" i="13"/>
  <c r="J756" i="13"/>
  <c r="J755" i="13"/>
  <c r="K755" i="13" s="1"/>
  <c r="J754" i="13"/>
  <c r="K754" i="13" s="1"/>
  <c r="K753" i="13"/>
  <c r="J753" i="13"/>
  <c r="K752" i="13"/>
  <c r="J752" i="13"/>
  <c r="J751" i="13"/>
  <c r="K751" i="13" s="1"/>
  <c r="J750" i="13"/>
  <c r="K750" i="13" s="1"/>
  <c r="K749" i="13"/>
  <c r="J749" i="13"/>
  <c r="K748" i="13"/>
  <c r="J748" i="13"/>
  <c r="J747" i="13"/>
  <c r="K747" i="13" s="1"/>
  <c r="J746" i="13"/>
  <c r="K746" i="13" s="1"/>
  <c r="K745" i="13"/>
  <c r="J745" i="13"/>
  <c r="J744" i="13"/>
  <c r="K744" i="13" s="1"/>
  <c r="J743" i="13"/>
  <c r="K743" i="13" s="1"/>
  <c r="J742" i="13"/>
  <c r="K742" i="13" s="1"/>
  <c r="K741" i="13"/>
  <c r="J741" i="13"/>
  <c r="J740" i="13"/>
  <c r="K740" i="13" s="1"/>
  <c r="J739" i="13"/>
  <c r="K739" i="13" s="1"/>
  <c r="J738" i="13"/>
  <c r="K738" i="13" s="1"/>
  <c r="K737" i="13"/>
  <c r="J737" i="13"/>
  <c r="K736" i="13"/>
  <c r="J736" i="13"/>
  <c r="J735" i="13"/>
  <c r="K735" i="13" s="1"/>
  <c r="K734" i="13"/>
  <c r="J734" i="13"/>
  <c r="K733" i="13"/>
  <c r="J733" i="13"/>
  <c r="K732" i="13"/>
  <c r="J732" i="13"/>
  <c r="J731" i="13"/>
  <c r="K731" i="13" s="1"/>
  <c r="J730" i="13"/>
  <c r="K730" i="13" s="1"/>
  <c r="K729" i="13"/>
  <c r="J729" i="13"/>
  <c r="K728" i="13"/>
  <c r="J728" i="13"/>
  <c r="J727" i="13"/>
  <c r="K727" i="13" s="1"/>
  <c r="J726" i="13"/>
  <c r="K726" i="13" s="1"/>
  <c r="K725" i="13"/>
  <c r="J725" i="13"/>
  <c r="J724" i="13"/>
  <c r="K724" i="13" s="1"/>
  <c r="J723" i="13"/>
  <c r="K723" i="13" s="1"/>
  <c r="L722" i="13"/>
  <c r="J722" i="13"/>
  <c r="K722" i="13" s="1"/>
  <c r="M722" i="13" s="1"/>
  <c r="L723" i="13" s="1"/>
  <c r="M723" i="13" s="1"/>
  <c r="L724" i="13" s="1"/>
  <c r="M724" i="13" s="1"/>
  <c r="L725" i="13" s="1"/>
  <c r="M725" i="13" s="1"/>
  <c r="L726" i="13" s="1"/>
  <c r="M726" i="13" s="1"/>
  <c r="L727" i="13" s="1"/>
  <c r="M727" i="13" s="1"/>
  <c r="L728" i="13" s="1"/>
  <c r="M728" i="13" s="1"/>
  <c r="L729" i="13" s="1"/>
  <c r="M729" i="13" s="1"/>
  <c r="L730" i="13" s="1"/>
  <c r="M730" i="13" s="1"/>
  <c r="L731" i="13" s="1"/>
  <c r="M731" i="13" s="1"/>
  <c r="L732" i="13" s="1"/>
  <c r="M732" i="13" s="1"/>
  <c r="L733" i="13" s="1"/>
  <c r="M733" i="13" s="1"/>
  <c r="L734" i="13" s="1"/>
  <c r="M734" i="13" s="1"/>
  <c r="L735" i="13" s="1"/>
  <c r="M735" i="13" s="1"/>
  <c r="L736" i="13" s="1"/>
  <c r="M736" i="13" s="1"/>
  <c r="L737" i="13" s="1"/>
  <c r="M737" i="13" s="1"/>
  <c r="L738" i="13" s="1"/>
  <c r="M738" i="13" s="1"/>
  <c r="L739" i="13" s="1"/>
  <c r="M739" i="13" s="1"/>
  <c r="L740" i="13" s="1"/>
  <c r="M740" i="13" s="1"/>
  <c r="L741" i="13" s="1"/>
  <c r="M741" i="13" s="1"/>
  <c r="L742" i="13" s="1"/>
  <c r="M742" i="13" s="1"/>
  <c r="L743" i="13" s="1"/>
  <c r="M743" i="13" s="1"/>
  <c r="L744" i="13" s="1"/>
  <c r="M744" i="13" s="1"/>
  <c r="L745" i="13" s="1"/>
  <c r="M745" i="13" s="1"/>
  <c r="L746" i="13" s="1"/>
  <c r="M746" i="13" s="1"/>
  <c r="L747" i="13" s="1"/>
  <c r="M747" i="13" s="1"/>
  <c r="L748" i="13" s="1"/>
  <c r="M748" i="13" s="1"/>
  <c r="L749" i="13" s="1"/>
  <c r="M749" i="13" s="1"/>
  <c r="L750" i="13" s="1"/>
  <c r="M750" i="13" s="1"/>
  <c r="L751" i="13" s="1"/>
  <c r="M751" i="13" s="1"/>
  <c r="L752" i="13" s="1"/>
  <c r="M752" i="13" s="1"/>
  <c r="L753" i="13" s="1"/>
  <c r="M753" i="13" s="1"/>
  <c r="L754" i="13" s="1"/>
  <c r="M754" i="13" s="1"/>
  <c r="L755" i="13" s="1"/>
  <c r="M755" i="13" s="1"/>
  <c r="L756" i="13" s="1"/>
  <c r="M756" i="13" s="1"/>
  <c r="L757" i="13" s="1"/>
  <c r="M757" i="13" s="1"/>
  <c r="L758" i="13" s="1"/>
  <c r="M758" i="13" s="1"/>
  <c r="L759" i="13" s="1"/>
  <c r="M759" i="13" s="1"/>
  <c r="L760" i="13" s="1"/>
  <c r="M760" i="13" s="1"/>
  <c r="L761" i="13" s="1"/>
  <c r="M761" i="13" s="1"/>
  <c r="K721" i="13"/>
  <c r="J721" i="13"/>
  <c r="J720" i="13"/>
  <c r="K720" i="13" s="1"/>
  <c r="J719" i="13"/>
  <c r="K719" i="13" s="1"/>
  <c r="K718" i="13"/>
  <c r="J718" i="13"/>
  <c r="K717" i="13"/>
  <c r="J717" i="13"/>
  <c r="K716" i="13"/>
  <c r="J716" i="13"/>
  <c r="J715" i="13"/>
  <c r="K715" i="13" s="1"/>
  <c r="J714" i="13"/>
  <c r="K714" i="13" s="1"/>
  <c r="K713" i="13"/>
  <c r="J713" i="13"/>
  <c r="K712" i="13"/>
  <c r="J712" i="13"/>
  <c r="J711" i="13"/>
  <c r="K711" i="13" s="1"/>
  <c r="J710" i="13"/>
  <c r="K710" i="13" s="1"/>
  <c r="K709" i="13"/>
  <c r="J709" i="13"/>
  <c r="K708" i="13"/>
  <c r="J708" i="13"/>
  <c r="J707" i="13"/>
  <c r="K707" i="13" s="1"/>
  <c r="J706" i="13"/>
  <c r="K706" i="13" s="1"/>
  <c r="J705" i="13"/>
  <c r="K705" i="13" s="1"/>
  <c r="K704" i="13"/>
  <c r="J704" i="13"/>
  <c r="K703" i="13"/>
  <c r="J703" i="13"/>
  <c r="K702" i="13"/>
  <c r="J702" i="13"/>
  <c r="K701" i="13"/>
  <c r="J701" i="13"/>
  <c r="K700" i="13"/>
  <c r="J700" i="13"/>
  <c r="J699" i="13"/>
  <c r="K699" i="13" s="1"/>
  <c r="J698" i="13"/>
  <c r="K698" i="13" s="1"/>
  <c r="J697" i="13"/>
  <c r="K697" i="13" s="1"/>
  <c r="J696" i="13"/>
  <c r="K696" i="13" s="1"/>
  <c r="K695" i="13"/>
  <c r="J695" i="13"/>
  <c r="K694" i="13"/>
  <c r="J694" i="13"/>
  <c r="J693" i="13"/>
  <c r="K693" i="13" s="1"/>
  <c r="J692" i="13"/>
  <c r="K692" i="13" s="1"/>
  <c r="J691" i="13"/>
  <c r="K691" i="13" s="1"/>
  <c r="J690" i="13"/>
  <c r="K690" i="13" s="1"/>
  <c r="J689" i="13"/>
  <c r="K689" i="13" s="1"/>
  <c r="K688" i="13"/>
  <c r="J688" i="13"/>
  <c r="K687" i="13"/>
  <c r="J687" i="13"/>
  <c r="K686" i="13"/>
  <c r="J686" i="13"/>
  <c r="J685" i="13"/>
  <c r="K685" i="13" s="1"/>
  <c r="J684" i="13"/>
  <c r="K684" i="13" s="1"/>
  <c r="K683" i="13"/>
  <c r="J683" i="13"/>
  <c r="L682" i="13"/>
  <c r="J682" i="13"/>
  <c r="K682" i="13" s="1"/>
  <c r="J681" i="13"/>
  <c r="K681" i="13" s="1"/>
  <c r="J680" i="13"/>
  <c r="K680" i="13" s="1"/>
  <c r="J679" i="13"/>
  <c r="K679" i="13" s="1"/>
  <c r="K678" i="13"/>
  <c r="J678" i="13"/>
  <c r="K677" i="13"/>
  <c r="J677" i="13"/>
  <c r="J676" i="13"/>
  <c r="K676" i="13" s="1"/>
  <c r="J675" i="13"/>
  <c r="K675" i="13" s="1"/>
  <c r="J674" i="13"/>
  <c r="K674" i="13" s="1"/>
  <c r="J673" i="13"/>
  <c r="K673" i="13" s="1"/>
  <c r="J672" i="13"/>
  <c r="K672" i="13" s="1"/>
  <c r="K671" i="13"/>
  <c r="J671" i="13"/>
  <c r="K670" i="13"/>
  <c r="J670" i="13"/>
  <c r="K669" i="13"/>
  <c r="J669" i="13"/>
  <c r="J668" i="13"/>
  <c r="K668" i="13" s="1"/>
  <c r="J667" i="13"/>
  <c r="K667" i="13" s="1"/>
  <c r="K666" i="13"/>
  <c r="J666" i="13"/>
  <c r="J665" i="13"/>
  <c r="K665" i="13" s="1"/>
  <c r="K664" i="13"/>
  <c r="J664" i="13"/>
  <c r="J663" i="13"/>
  <c r="K663" i="13" s="1"/>
  <c r="J662" i="13"/>
  <c r="K662" i="13" s="1"/>
  <c r="K661" i="13"/>
  <c r="J661" i="13"/>
  <c r="J660" i="13"/>
  <c r="K660" i="13" s="1"/>
  <c r="J659" i="13"/>
  <c r="K659" i="13" s="1"/>
  <c r="J658" i="13"/>
  <c r="K658" i="13" s="1"/>
  <c r="J657" i="13"/>
  <c r="K657" i="13" s="1"/>
  <c r="K656" i="13"/>
  <c r="J656" i="13"/>
  <c r="J655" i="13"/>
  <c r="K655" i="13" s="1"/>
  <c r="K654" i="13"/>
  <c r="J654" i="13"/>
  <c r="K653" i="13"/>
  <c r="J653" i="13"/>
  <c r="J652" i="13"/>
  <c r="K652" i="13" s="1"/>
  <c r="J651" i="13"/>
  <c r="K651" i="13" s="1"/>
  <c r="J650" i="13"/>
  <c r="K650" i="13" s="1"/>
  <c r="K649" i="13"/>
  <c r="J649" i="13"/>
  <c r="K648" i="13"/>
  <c r="J648" i="13"/>
  <c r="K647" i="13"/>
  <c r="J647" i="13"/>
  <c r="J646" i="13"/>
  <c r="K646" i="13" s="1"/>
  <c r="J645" i="13"/>
  <c r="K645" i="13" s="1"/>
  <c r="J644" i="13"/>
  <c r="K644" i="13" s="1"/>
  <c r="J643" i="13"/>
  <c r="K643" i="13" s="1"/>
  <c r="L642" i="13"/>
  <c r="J642" i="13"/>
  <c r="K642" i="13" s="1"/>
  <c r="J641" i="13"/>
  <c r="K641" i="13" s="1"/>
  <c r="K640" i="13"/>
  <c r="J640" i="13"/>
  <c r="K639" i="13"/>
  <c r="J639" i="13"/>
  <c r="J638" i="13"/>
  <c r="K638" i="13" s="1"/>
  <c r="K637" i="13"/>
  <c r="J637" i="13"/>
  <c r="K636" i="13"/>
  <c r="J636" i="13"/>
  <c r="J635" i="13"/>
  <c r="K635" i="13" s="1"/>
  <c r="J634" i="13"/>
  <c r="K634" i="13" s="1"/>
  <c r="J633" i="13"/>
  <c r="K633" i="13" s="1"/>
  <c r="J632" i="13"/>
  <c r="K632" i="13" s="1"/>
  <c r="K631" i="13"/>
  <c r="J631" i="13"/>
  <c r="K630" i="13"/>
  <c r="J630" i="13"/>
  <c r="J629" i="13"/>
  <c r="K629" i="13" s="1"/>
  <c r="J628" i="13"/>
  <c r="K628" i="13" s="1"/>
  <c r="J627" i="13"/>
  <c r="K627" i="13" s="1"/>
  <c r="J626" i="13"/>
  <c r="K626" i="13" s="1"/>
  <c r="J625" i="13"/>
  <c r="K625" i="13" s="1"/>
  <c r="K624" i="13"/>
  <c r="J624" i="13"/>
  <c r="K623" i="13"/>
  <c r="J623" i="13"/>
  <c r="K622" i="13"/>
  <c r="J622" i="13"/>
  <c r="J621" i="13"/>
  <c r="K621" i="13" s="1"/>
  <c r="J620" i="13"/>
  <c r="K620" i="13" s="1"/>
  <c r="K619" i="13"/>
  <c r="J619" i="13"/>
  <c r="J618" i="13"/>
  <c r="K618" i="13" s="1"/>
  <c r="J617" i="13"/>
  <c r="K617" i="13" s="1"/>
  <c r="J616" i="13"/>
  <c r="K616" i="13" s="1"/>
  <c r="J615" i="13"/>
  <c r="K615" i="13" s="1"/>
  <c r="K614" i="13"/>
  <c r="J614" i="13"/>
  <c r="K613" i="13"/>
  <c r="J613" i="13"/>
  <c r="J612" i="13"/>
  <c r="K612" i="13" s="1"/>
  <c r="J611" i="13"/>
  <c r="K611" i="13" s="1"/>
  <c r="J610" i="13"/>
  <c r="K610" i="13" s="1"/>
  <c r="J609" i="13"/>
  <c r="K609" i="13" s="1"/>
  <c r="J608" i="13"/>
  <c r="K608" i="13" s="1"/>
  <c r="K607" i="13"/>
  <c r="J607" i="13"/>
  <c r="K606" i="13"/>
  <c r="J606" i="13"/>
  <c r="K605" i="13"/>
  <c r="J605" i="13"/>
  <c r="J604" i="13"/>
  <c r="K604" i="13" s="1"/>
  <c r="J603" i="13"/>
  <c r="K603" i="13" s="1"/>
  <c r="L602" i="13"/>
  <c r="K602" i="13"/>
  <c r="J602" i="13"/>
  <c r="J601" i="13"/>
  <c r="K601" i="13" s="1"/>
  <c r="K600" i="13"/>
  <c r="J600" i="13"/>
  <c r="J599" i="13"/>
  <c r="K599" i="13" s="1"/>
  <c r="J598" i="13"/>
  <c r="K598" i="13" s="1"/>
  <c r="K597" i="13"/>
  <c r="J597" i="13"/>
  <c r="J596" i="13"/>
  <c r="K596" i="13" s="1"/>
  <c r="J595" i="13"/>
  <c r="K595" i="13" s="1"/>
  <c r="J594" i="13"/>
  <c r="K594" i="13" s="1"/>
  <c r="J593" i="13"/>
  <c r="K593" i="13" s="1"/>
  <c r="K592" i="13"/>
  <c r="J592" i="13"/>
  <c r="J591" i="13"/>
  <c r="K591" i="13" s="1"/>
  <c r="K590" i="13"/>
  <c r="J590" i="13"/>
  <c r="K589" i="13"/>
  <c r="J589" i="13"/>
  <c r="J588" i="13"/>
  <c r="K588" i="13" s="1"/>
  <c r="J587" i="13"/>
  <c r="K587" i="13" s="1"/>
  <c r="J586" i="13"/>
  <c r="K586" i="13" s="1"/>
  <c r="J585" i="13"/>
  <c r="K585" i="13" s="1"/>
  <c r="K584" i="13"/>
  <c r="J584" i="13"/>
  <c r="K583" i="13"/>
  <c r="J583" i="13"/>
  <c r="J582" i="13"/>
  <c r="K582" i="13" s="1"/>
  <c r="J581" i="13"/>
  <c r="K581" i="13" s="1"/>
  <c r="J580" i="13"/>
  <c r="K580" i="13" s="1"/>
  <c r="J579" i="13"/>
  <c r="K579" i="13" s="1"/>
  <c r="J578" i="13"/>
  <c r="K578" i="13" s="1"/>
  <c r="J577" i="13"/>
  <c r="K577" i="13" s="1"/>
  <c r="K576" i="13"/>
  <c r="J576" i="13"/>
  <c r="K575" i="13"/>
  <c r="J575" i="13"/>
  <c r="J574" i="13"/>
  <c r="K574" i="13" s="1"/>
  <c r="K573" i="13"/>
  <c r="J573" i="13"/>
  <c r="J572" i="13"/>
  <c r="K572" i="13" s="1"/>
  <c r="J571" i="13"/>
  <c r="K571" i="13" s="1"/>
  <c r="J570" i="13"/>
  <c r="K570" i="13" s="1"/>
  <c r="J569" i="13"/>
  <c r="K569" i="13" s="1"/>
  <c r="K568" i="13"/>
  <c r="J568" i="13"/>
  <c r="J567" i="13"/>
  <c r="K567" i="13" s="1"/>
  <c r="J566" i="13"/>
  <c r="K566" i="13" s="1"/>
  <c r="J565" i="13"/>
  <c r="K565" i="13" s="1"/>
  <c r="J564" i="13"/>
  <c r="K564" i="13" s="1"/>
  <c r="J563" i="13"/>
  <c r="K563" i="13" s="1"/>
  <c r="L562" i="13"/>
  <c r="J562" i="13"/>
  <c r="K562" i="13" s="1"/>
  <c r="J561" i="13"/>
  <c r="K561" i="13" s="1"/>
  <c r="J560" i="13"/>
  <c r="K560" i="13" s="1"/>
  <c r="J559" i="13"/>
  <c r="K559" i="13" s="1"/>
  <c r="J558" i="13"/>
  <c r="K558" i="13" s="1"/>
  <c r="J557" i="13"/>
  <c r="K557" i="13" s="1"/>
  <c r="J556" i="13"/>
  <c r="K556" i="13" s="1"/>
  <c r="J555" i="13"/>
  <c r="K555" i="13" s="1"/>
  <c r="J554" i="13"/>
  <c r="K554" i="13" s="1"/>
  <c r="J553" i="13"/>
  <c r="K553" i="13" s="1"/>
  <c r="J552" i="13"/>
  <c r="K552" i="13" s="1"/>
  <c r="J551" i="13"/>
  <c r="K551" i="13" s="1"/>
  <c r="J550" i="13"/>
  <c r="K550" i="13" s="1"/>
  <c r="J549" i="13"/>
  <c r="K549" i="13" s="1"/>
  <c r="J548" i="13"/>
  <c r="K548" i="13" s="1"/>
  <c r="J547" i="13"/>
  <c r="K547" i="13" s="1"/>
  <c r="J546" i="13"/>
  <c r="K546" i="13" s="1"/>
  <c r="J545" i="13"/>
  <c r="K545" i="13" s="1"/>
  <c r="J544" i="13"/>
  <c r="K544" i="13" s="1"/>
  <c r="J543" i="13"/>
  <c r="K543" i="13" s="1"/>
  <c r="J542" i="13"/>
  <c r="K542" i="13" s="1"/>
  <c r="J541" i="13"/>
  <c r="K541" i="13" s="1"/>
  <c r="J540" i="13"/>
  <c r="K540" i="13" s="1"/>
  <c r="J539" i="13"/>
  <c r="K539" i="13" s="1"/>
  <c r="J538" i="13"/>
  <c r="K538" i="13" s="1"/>
  <c r="J537" i="13"/>
  <c r="K537" i="13" s="1"/>
  <c r="K536" i="13"/>
  <c r="J536" i="13"/>
  <c r="J535" i="13"/>
  <c r="K535" i="13" s="1"/>
  <c r="J534" i="13"/>
  <c r="K534" i="13" s="1"/>
  <c r="J533" i="13"/>
  <c r="K533" i="13" s="1"/>
  <c r="J532" i="13"/>
  <c r="K532" i="13" s="1"/>
  <c r="J531" i="13"/>
  <c r="K531" i="13" s="1"/>
  <c r="J530" i="13"/>
  <c r="K530" i="13" s="1"/>
  <c r="J529" i="13"/>
  <c r="K529" i="13" s="1"/>
  <c r="J528" i="13"/>
  <c r="K528" i="13" s="1"/>
  <c r="J527" i="13"/>
  <c r="K527" i="13" s="1"/>
  <c r="J526" i="13"/>
  <c r="K526" i="13" s="1"/>
  <c r="J525" i="13"/>
  <c r="K525" i="13" s="1"/>
  <c r="J524" i="13"/>
  <c r="K524" i="13" s="1"/>
  <c r="J523" i="13"/>
  <c r="K523" i="13" s="1"/>
  <c r="L522" i="13"/>
  <c r="M522" i="13" s="1"/>
  <c r="L523" i="13" s="1"/>
  <c r="M523" i="13" s="1"/>
  <c r="L524" i="13" s="1"/>
  <c r="J522" i="13"/>
  <c r="K522" i="13" s="1"/>
  <c r="J521" i="13"/>
  <c r="K521" i="13" s="1"/>
  <c r="J520" i="13"/>
  <c r="K520" i="13" s="1"/>
  <c r="J519" i="13"/>
  <c r="K519" i="13" s="1"/>
  <c r="J518" i="13"/>
  <c r="K518" i="13" s="1"/>
  <c r="J517" i="13"/>
  <c r="K517" i="13" s="1"/>
  <c r="J516" i="13"/>
  <c r="K516" i="13" s="1"/>
  <c r="J515" i="13"/>
  <c r="K515" i="13" s="1"/>
  <c r="J514" i="13"/>
  <c r="K514" i="13" s="1"/>
  <c r="J513" i="13"/>
  <c r="K513" i="13" s="1"/>
  <c r="J512" i="13"/>
  <c r="K512" i="13" s="1"/>
  <c r="J511" i="13"/>
  <c r="K511" i="13" s="1"/>
  <c r="J510" i="13"/>
  <c r="K510" i="13" s="1"/>
  <c r="J509" i="13"/>
  <c r="K509" i="13" s="1"/>
  <c r="J508" i="13"/>
  <c r="K508" i="13" s="1"/>
  <c r="J507" i="13"/>
  <c r="K507" i="13" s="1"/>
  <c r="J506" i="13"/>
  <c r="K506" i="13" s="1"/>
  <c r="J505" i="13"/>
  <c r="K505" i="13" s="1"/>
  <c r="K504" i="13"/>
  <c r="J504" i="13"/>
  <c r="J503" i="13"/>
  <c r="K503" i="13" s="1"/>
  <c r="J502" i="13"/>
  <c r="K502" i="13" s="1"/>
  <c r="J501" i="13"/>
  <c r="K501" i="13" s="1"/>
  <c r="J500" i="13"/>
  <c r="K500" i="13" s="1"/>
  <c r="J499" i="13"/>
  <c r="K499" i="13" s="1"/>
  <c r="J498" i="13"/>
  <c r="K498" i="13" s="1"/>
  <c r="J497" i="13"/>
  <c r="K497" i="13" s="1"/>
  <c r="J496" i="13"/>
  <c r="K496" i="13" s="1"/>
  <c r="J495" i="13"/>
  <c r="K495" i="13" s="1"/>
  <c r="J494" i="13"/>
  <c r="K494" i="13" s="1"/>
  <c r="J493" i="13"/>
  <c r="K493" i="13" s="1"/>
  <c r="J492" i="13"/>
  <c r="K492" i="13" s="1"/>
  <c r="J491" i="13"/>
  <c r="K491" i="13" s="1"/>
  <c r="J490" i="13"/>
  <c r="K490" i="13" s="1"/>
  <c r="J489" i="13"/>
  <c r="K489" i="13" s="1"/>
  <c r="J488" i="13"/>
  <c r="K488" i="13" s="1"/>
  <c r="J487" i="13"/>
  <c r="K487" i="13" s="1"/>
  <c r="J486" i="13"/>
  <c r="K486" i="13" s="1"/>
  <c r="J485" i="13"/>
  <c r="K485" i="13" s="1"/>
  <c r="J484" i="13"/>
  <c r="K484" i="13" s="1"/>
  <c r="J483" i="13"/>
  <c r="K483" i="13" s="1"/>
  <c r="L482" i="13"/>
  <c r="M482" i="13" s="1"/>
  <c r="L483" i="13" s="1"/>
  <c r="J482" i="13"/>
  <c r="K482" i="13" s="1"/>
  <c r="J481" i="13"/>
  <c r="K481" i="13" s="1"/>
  <c r="J480" i="13"/>
  <c r="K480" i="13" s="1"/>
  <c r="J479" i="13"/>
  <c r="K479" i="13" s="1"/>
  <c r="J478" i="13"/>
  <c r="K478" i="13" s="1"/>
  <c r="J477" i="13"/>
  <c r="K477" i="13" s="1"/>
  <c r="J476" i="13"/>
  <c r="K476" i="13" s="1"/>
  <c r="J475" i="13"/>
  <c r="K475" i="13" s="1"/>
  <c r="J474" i="13"/>
  <c r="K474" i="13" s="1"/>
  <c r="J473" i="13"/>
  <c r="K473" i="13" s="1"/>
  <c r="K472" i="13"/>
  <c r="J472" i="13"/>
  <c r="J471" i="13"/>
  <c r="K471" i="13" s="1"/>
  <c r="J470" i="13"/>
  <c r="K470" i="13" s="1"/>
  <c r="J469" i="13"/>
  <c r="K469" i="13" s="1"/>
  <c r="J468" i="13"/>
  <c r="K468" i="13" s="1"/>
  <c r="J467" i="13"/>
  <c r="K467" i="13" s="1"/>
  <c r="J466" i="13"/>
  <c r="K466" i="13" s="1"/>
  <c r="J465" i="13"/>
  <c r="K465" i="13" s="1"/>
  <c r="J464" i="13"/>
  <c r="K464" i="13" s="1"/>
  <c r="J463" i="13"/>
  <c r="K463" i="13" s="1"/>
  <c r="J462" i="13"/>
  <c r="K462" i="13" s="1"/>
  <c r="J461" i="13"/>
  <c r="K461" i="13" s="1"/>
  <c r="J460" i="13"/>
  <c r="K460" i="13" s="1"/>
  <c r="J459" i="13"/>
  <c r="K459" i="13" s="1"/>
  <c r="J458" i="13"/>
  <c r="K458" i="13" s="1"/>
  <c r="J457" i="13"/>
  <c r="K457" i="13" s="1"/>
  <c r="J456" i="13"/>
  <c r="K456" i="13" s="1"/>
  <c r="J455" i="13"/>
  <c r="K455" i="13" s="1"/>
  <c r="J454" i="13"/>
  <c r="K454" i="13" s="1"/>
  <c r="J453" i="13"/>
  <c r="K453" i="13" s="1"/>
  <c r="J452" i="13"/>
  <c r="K452" i="13" s="1"/>
  <c r="J451" i="13"/>
  <c r="K451" i="13" s="1"/>
  <c r="J450" i="13"/>
  <c r="K450" i="13" s="1"/>
  <c r="J449" i="13"/>
  <c r="K449" i="13" s="1"/>
  <c r="K448" i="13"/>
  <c r="J448" i="13"/>
  <c r="J447" i="13"/>
  <c r="K447" i="13" s="1"/>
  <c r="J446" i="13"/>
  <c r="K446" i="13" s="1"/>
  <c r="J445" i="13"/>
  <c r="K445" i="13" s="1"/>
  <c r="J444" i="13"/>
  <c r="K444" i="13" s="1"/>
  <c r="J443" i="13"/>
  <c r="K443" i="13" s="1"/>
  <c r="L442" i="13"/>
  <c r="M442" i="13" s="1"/>
  <c r="L443" i="13" s="1"/>
  <c r="M443" i="13" s="1"/>
  <c r="L444" i="13" s="1"/>
  <c r="M444" i="13" s="1"/>
  <c r="L445" i="13" s="1"/>
  <c r="M445" i="13" s="1"/>
  <c r="L446" i="13" s="1"/>
  <c r="M446" i="13" s="1"/>
  <c r="L447" i="13" s="1"/>
  <c r="M447" i="13" s="1"/>
  <c r="L448" i="13" s="1"/>
  <c r="M448" i="13" s="1"/>
  <c r="L449" i="13" s="1"/>
  <c r="M449" i="13" s="1"/>
  <c r="L450" i="13" s="1"/>
  <c r="M450" i="13" s="1"/>
  <c r="L451" i="13" s="1"/>
  <c r="M451" i="13" s="1"/>
  <c r="L452" i="13" s="1"/>
  <c r="M452" i="13" s="1"/>
  <c r="L453" i="13" s="1"/>
  <c r="M453" i="13" s="1"/>
  <c r="L454" i="13" s="1"/>
  <c r="M454" i="13" s="1"/>
  <c r="L455" i="13" s="1"/>
  <c r="M455" i="13" s="1"/>
  <c r="L456" i="13" s="1"/>
  <c r="M456" i="13" s="1"/>
  <c r="L457" i="13" s="1"/>
  <c r="M457" i="13" s="1"/>
  <c r="L458" i="13" s="1"/>
  <c r="M458" i="13" s="1"/>
  <c r="L459" i="13" s="1"/>
  <c r="M459" i="13" s="1"/>
  <c r="L460" i="13" s="1"/>
  <c r="M460" i="13" s="1"/>
  <c r="L461" i="13" s="1"/>
  <c r="M461" i="13" s="1"/>
  <c r="L462" i="13" s="1"/>
  <c r="M462" i="13" s="1"/>
  <c r="L463" i="13" s="1"/>
  <c r="M463" i="13" s="1"/>
  <c r="L464" i="13" s="1"/>
  <c r="M464" i="13" s="1"/>
  <c r="L465" i="13" s="1"/>
  <c r="M465" i="13" s="1"/>
  <c r="L466" i="13" s="1"/>
  <c r="M466" i="13" s="1"/>
  <c r="L467" i="13" s="1"/>
  <c r="M467" i="13" s="1"/>
  <c r="L468" i="13" s="1"/>
  <c r="M468" i="13" s="1"/>
  <c r="L469" i="13" s="1"/>
  <c r="M469" i="13" s="1"/>
  <c r="L470" i="13" s="1"/>
  <c r="M470" i="13" s="1"/>
  <c r="L471" i="13" s="1"/>
  <c r="M471" i="13" s="1"/>
  <c r="L472" i="13" s="1"/>
  <c r="M472" i="13" s="1"/>
  <c r="L473" i="13" s="1"/>
  <c r="M473" i="13" s="1"/>
  <c r="L474" i="13" s="1"/>
  <c r="M474" i="13" s="1"/>
  <c r="L475" i="13" s="1"/>
  <c r="M475" i="13" s="1"/>
  <c r="L476" i="13" s="1"/>
  <c r="M476" i="13" s="1"/>
  <c r="L477" i="13" s="1"/>
  <c r="M477" i="13" s="1"/>
  <c r="L478" i="13" s="1"/>
  <c r="M478" i="13" s="1"/>
  <c r="L479" i="13" s="1"/>
  <c r="M479" i="13" s="1"/>
  <c r="L480" i="13" s="1"/>
  <c r="J442" i="13"/>
  <c r="K442" i="13" s="1"/>
  <c r="J441" i="13"/>
  <c r="K441" i="13" s="1"/>
  <c r="K440" i="13"/>
  <c r="J440" i="13"/>
  <c r="J439" i="13"/>
  <c r="K439" i="13" s="1"/>
  <c r="J438" i="13"/>
  <c r="K438" i="13" s="1"/>
  <c r="J437" i="13"/>
  <c r="K437" i="13" s="1"/>
  <c r="J436" i="13"/>
  <c r="K436" i="13" s="1"/>
  <c r="J435" i="13"/>
  <c r="K435" i="13" s="1"/>
  <c r="J434" i="13"/>
  <c r="K434" i="13" s="1"/>
  <c r="J433" i="13"/>
  <c r="K433" i="13" s="1"/>
  <c r="K432" i="13"/>
  <c r="J432" i="13"/>
  <c r="J431" i="13"/>
  <c r="K431" i="13" s="1"/>
  <c r="J430" i="13"/>
  <c r="K430" i="13" s="1"/>
  <c r="J429" i="13"/>
  <c r="K429" i="13" s="1"/>
  <c r="J428" i="13"/>
  <c r="K428" i="13" s="1"/>
  <c r="J427" i="13"/>
  <c r="K427" i="13" s="1"/>
  <c r="J426" i="13"/>
  <c r="K426" i="13" s="1"/>
  <c r="J425" i="13"/>
  <c r="K425" i="13" s="1"/>
  <c r="J424" i="13"/>
  <c r="K424" i="13" s="1"/>
  <c r="J423" i="13"/>
  <c r="K423" i="13" s="1"/>
  <c r="J422" i="13"/>
  <c r="K422" i="13" s="1"/>
  <c r="J421" i="13"/>
  <c r="K421" i="13" s="1"/>
  <c r="J420" i="13"/>
  <c r="K420" i="13" s="1"/>
  <c r="J419" i="13"/>
  <c r="K419" i="13" s="1"/>
  <c r="J418" i="13"/>
  <c r="K418" i="13" s="1"/>
  <c r="J417" i="13"/>
  <c r="K417" i="13" s="1"/>
  <c r="J416" i="13"/>
  <c r="K416" i="13" s="1"/>
  <c r="J415" i="13"/>
  <c r="K415" i="13" s="1"/>
  <c r="J414" i="13"/>
  <c r="K414" i="13" s="1"/>
  <c r="J413" i="13"/>
  <c r="K413" i="13" s="1"/>
  <c r="J412" i="13"/>
  <c r="K412" i="13" s="1"/>
  <c r="J411" i="13"/>
  <c r="K411" i="13" s="1"/>
  <c r="J410" i="13"/>
  <c r="K410" i="13" s="1"/>
  <c r="J409" i="13"/>
  <c r="K409" i="13" s="1"/>
  <c r="J408" i="13"/>
  <c r="K408" i="13" s="1"/>
  <c r="J407" i="13"/>
  <c r="K407" i="13" s="1"/>
  <c r="J406" i="13"/>
  <c r="K406" i="13" s="1"/>
  <c r="J405" i="13"/>
  <c r="K405" i="13" s="1"/>
  <c r="J404" i="13"/>
  <c r="K404" i="13" s="1"/>
  <c r="J403" i="13"/>
  <c r="K403" i="13" s="1"/>
  <c r="L402" i="13"/>
  <c r="J402" i="13"/>
  <c r="K402" i="13" s="1"/>
  <c r="J401" i="13"/>
  <c r="K401" i="13" s="1"/>
  <c r="J400" i="13"/>
  <c r="K400" i="13" s="1"/>
  <c r="J399" i="13"/>
  <c r="K399" i="13" s="1"/>
  <c r="J398" i="13"/>
  <c r="K398" i="13" s="1"/>
  <c r="J397" i="13"/>
  <c r="K397" i="13" s="1"/>
  <c r="J396" i="13"/>
  <c r="K396" i="13" s="1"/>
  <c r="J395" i="13"/>
  <c r="K395" i="13" s="1"/>
  <c r="J394" i="13"/>
  <c r="K394" i="13" s="1"/>
  <c r="J393" i="13"/>
  <c r="K393" i="13" s="1"/>
  <c r="J392" i="13"/>
  <c r="K392" i="13" s="1"/>
  <c r="J391" i="13"/>
  <c r="K391" i="13" s="1"/>
  <c r="J390" i="13"/>
  <c r="K390" i="13" s="1"/>
  <c r="K389" i="13"/>
  <c r="J389" i="13"/>
  <c r="J388" i="13"/>
  <c r="K388" i="13" s="1"/>
  <c r="J387" i="13"/>
  <c r="K387" i="13" s="1"/>
  <c r="J386" i="13"/>
  <c r="K386" i="13" s="1"/>
  <c r="J385" i="13"/>
  <c r="K385" i="13" s="1"/>
  <c r="J384" i="13"/>
  <c r="K384" i="13" s="1"/>
  <c r="K383" i="13"/>
  <c r="J383" i="13"/>
  <c r="J382" i="13"/>
  <c r="K382" i="13" s="1"/>
  <c r="J381" i="13"/>
  <c r="K381" i="13" s="1"/>
  <c r="J380" i="13"/>
  <c r="K380" i="13" s="1"/>
  <c r="K379" i="13"/>
  <c r="J379" i="13"/>
  <c r="J378" i="13"/>
  <c r="K378" i="13" s="1"/>
  <c r="J377" i="13"/>
  <c r="K377" i="13" s="1"/>
  <c r="K376" i="13"/>
  <c r="J376" i="13"/>
  <c r="J375" i="13"/>
  <c r="K375" i="13" s="1"/>
  <c r="J374" i="13"/>
  <c r="K374" i="13" s="1"/>
  <c r="K373" i="13"/>
  <c r="J373" i="13"/>
  <c r="K372" i="13"/>
  <c r="J372" i="13"/>
  <c r="K371" i="13"/>
  <c r="J371" i="13"/>
  <c r="J370" i="13"/>
  <c r="K370" i="13" s="1"/>
  <c r="K369" i="13"/>
  <c r="J369" i="13"/>
  <c r="K368" i="13"/>
  <c r="J368" i="13"/>
  <c r="K367" i="13"/>
  <c r="J367" i="13"/>
  <c r="J366" i="13"/>
  <c r="K366" i="13" s="1"/>
  <c r="J365" i="13"/>
  <c r="K365" i="13" s="1"/>
  <c r="J364" i="13"/>
  <c r="K364" i="13" s="1"/>
  <c r="K363" i="13"/>
  <c r="J363" i="13"/>
  <c r="L362" i="13"/>
  <c r="M362" i="13" s="1"/>
  <c r="L363" i="13" s="1"/>
  <c r="M363" i="13" s="1"/>
  <c r="L364" i="13" s="1"/>
  <c r="J362" i="13"/>
  <c r="K362" i="13" s="1"/>
  <c r="J361" i="13"/>
  <c r="K361" i="13" s="1"/>
  <c r="K360" i="13"/>
  <c r="J360" i="13"/>
  <c r="J359" i="13"/>
  <c r="K359" i="13" s="1"/>
  <c r="J358" i="13"/>
  <c r="K358" i="13" s="1"/>
  <c r="K357" i="13"/>
  <c r="J357" i="13"/>
  <c r="K356" i="13"/>
  <c r="J356" i="13"/>
  <c r="K355" i="13"/>
  <c r="J355" i="13"/>
  <c r="J354" i="13"/>
  <c r="K354" i="13" s="1"/>
  <c r="K353" i="13"/>
  <c r="J353" i="13"/>
  <c r="K352" i="13"/>
  <c r="J352" i="13"/>
  <c r="K351" i="13"/>
  <c r="J351" i="13"/>
  <c r="J350" i="13"/>
  <c r="K350" i="13" s="1"/>
  <c r="J349" i="13"/>
  <c r="K349" i="13" s="1"/>
  <c r="J348" i="13"/>
  <c r="K348" i="13" s="1"/>
  <c r="K347" i="13"/>
  <c r="J347" i="13"/>
  <c r="J346" i="13"/>
  <c r="K346" i="13" s="1"/>
  <c r="J345" i="13"/>
  <c r="K345" i="13" s="1"/>
  <c r="K344" i="13"/>
  <c r="J344" i="13"/>
  <c r="J343" i="13"/>
  <c r="K343" i="13" s="1"/>
  <c r="J342" i="13"/>
  <c r="K342" i="13" s="1"/>
  <c r="K341" i="13"/>
  <c r="J341" i="13"/>
  <c r="J340" i="13"/>
  <c r="K340" i="13" s="1"/>
  <c r="J339" i="13"/>
  <c r="K339" i="13" s="1"/>
  <c r="J338" i="13"/>
  <c r="K338" i="13" s="1"/>
  <c r="J337" i="13"/>
  <c r="K337" i="13" s="1"/>
  <c r="K336" i="13"/>
  <c r="J336" i="13"/>
  <c r="J335" i="13"/>
  <c r="K335" i="13" s="1"/>
  <c r="J334" i="13"/>
  <c r="K334" i="13" s="1"/>
  <c r="J333" i="13"/>
  <c r="K333" i="13" s="1"/>
  <c r="J332" i="13"/>
  <c r="K332" i="13" s="1"/>
  <c r="J331" i="13"/>
  <c r="K331" i="13" s="1"/>
  <c r="J330" i="13"/>
  <c r="K330" i="13" s="1"/>
  <c r="J329" i="13"/>
  <c r="K329" i="13" s="1"/>
  <c r="J328" i="13"/>
  <c r="K328" i="13" s="1"/>
  <c r="K327" i="13"/>
  <c r="J327" i="13"/>
  <c r="J326" i="13"/>
  <c r="K326" i="13" s="1"/>
  <c r="J325" i="13"/>
  <c r="K325" i="13" s="1"/>
  <c r="J324" i="13"/>
  <c r="K324" i="13" s="1"/>
  <c r="K323" i="13"/>
  <c r="J323" i="13"/>
  <c r="L322" i="13"/>
  <c r="J322" i="13"/>
  <c r="K322" i="13" s="1"/>
  <c r="J321" i="13"/>
  <c r="K321" i="13" s="1"/>
  <c r="J320" i="13"/>
  <c r="K320" i="13" s="1"/>
  <c r="J319" i="13"/>
  <c r="K319" i="13" s="1"/>
  <c r="J318" i="13"/>
  <c r="K318" i="13" s="1"/>
  <c r="K317" i="13"/>
  <c r="J317" i="13"/>
  <c r="J316" i="13"/>
  <c r="K316" i="13" s="1"/>
  <c r="J315" i="13"/>
  <c r="K315" i="13" s="1"/>
  <c r="J314" i="13"/>
  <c r="K314" i="13" s="1"/>
  <c r="K313" i="13"/>
  <c r="J313" i="13"/>
  <c r="K312" i="13"/>
  <c r="J312" i="13"/>
  <c r="K311" i="13"/>
  <c r="J311" i="13"/>
  <c r="J310" i="13"/>
  <c r="K310" i="13" s="1"/>
  <c r="J309" i="13"/>
  <c r="K309" i="13" s="1"/>
  <c r="K308" i="13"/>
  <c r="J308" i="13"/>
  <c r="J307" i="13"/>
  <c r="K307" i="13" s="1"/>
  <c r="J306" i="13"/>
  <c r="K306" i="13" s="1"/>
  <c r="J305" i="13"/>
  <c r="K305" i="13" s="1"/>
  <c r="J304" i="13"/>
  <c r="K304" i="13" s="1"/>
  <c r="K303" i="13"/>
  <c r="J303" i="13"/>
  <c r="J302" i="13"/>
  <c r="K302" i="13" s="1"/>
  <c r="K301" i="13"/>
  <c r="J301" i="13"/>
  <c r="J300" i="13"/>
  <c r="K300" i="13" s="1"/>
  <c r="J299" i="13"/>
  <c r="K299" i="13" s="1"/>
  <c r="J298" i="13"/>
  <c r="K298" i="13" s="1"/>
  <c r="J297" i="13"/>
  <c r="K297" i="13" s="1"/>
  <c r="K296" i="13"/>
  <c r="J296" i="13"/>
  <c r="K295" i="13"/>
  <c r="J295" i="13"/>
  <c r="J294" i="13"/>
  <c r="K294" i="13" s="1"/>
  <c r="K293" i="13"/>
  <c r="J293" i="13"/>
  <c r="J292" i="13"/>
  <c r="K292" i="13" s="1"/>
  <c r="K291" i="13"/>
  <c r="J291" i="13"/>
  <c r="J290" i="13"/>
  <c r="K290" i="13" s="1"/>
  <c r="J289" i="13"/>
  <c r="K289" i="13" s="1"/>
  <c r="K288" i="13"/>
  <c r="J288" i="13"/>
  <c r="K287" i="13"/>
  <c r="J287" i="13"/>
  <c r="J286" i="13"/>
  <c r="K286" i="13" s="1"/>
  <c r="K285" i="13"/>
  <c r="J285" i="13"/>
  <c r="J284" i="13"/>
  <c r="K284" i="13" s="1"/>
  <c r="J283" i="13"/>
  <c r="K283" i="13" s="1"/>
  <c r="L282" i="13"/>
  <c r="J282" i="13"/>
  <c r="K282" i="13" s="1"/>
  <c r="K281" i="13"/>
  <c r="J281" i="13"/>
  <c r="K280" i="13"/>
  <c r="J280" i="13"/>
  <c r="J279" i="13"/>
  <c r="K279" i="13" s="1"/>
  <c r="J278" i="13"/>
  <c r="K278" i="13" s="1"/>
  <c r="K277" i="13"/>
  <c r="J277" i="13"/>
  <c r="K276" i="13"/>
  <c r="J276" i="13"/>
  <c r="J275" i="13"/>
  <c r="K275" i="13" s="1"/>
  <c r="J274" i="13"/>
  <c r="K274" i="13" s="1"/>
  <c r="J273" i="13"/>
  <c r="K273" i="13" s="1"/>
  <c r="K272" i="13"/>
  <c r="J272" i="13"/>
  <c r="J271" i="13"/>
  <c r="K271" i="13" s="1"/>
  <c r="J270" i="13"/>
  <c r="K270" i="13" s="1"/>
  <c r="J269" i="13"/>
  <c r="K269" i="13" s="1"/>
  <c r="J268" i="13"/>
  <c r="K268" i="13" s="1"/>
  <c r="J267" i="13"/>
  <c r="K267" i="13" s="1"/>
  <c r="J266" i="13"/>
  <c r="K266" i="13" s="1"/>
  <c r="J265" i="13"/>
  <c r="K265" i="13" s="1"/>
  <c r="J264" i="13"/>
  <c r="K264" i="13" s="1"/>
  <c r="K263" i="13"/>
  <c r="J263" i="13"/>
  <c r="J262" i="13"/>
  <c r="K262" i="13" s="1"/>
  <c r="J261" i="13"/>
  <c r="K261" i="13" s="1"/>
  <c r="J260" i="13"/>
  <c r="K260" i="13" s="1"/>
  <c r="K259" i="13"/>
  <c r="J259" i="13"/>
  <c r="J258" i="13"/>
  <c r="K258" i="13" s="1"/>
  <c r="K257" i="13"/>
  <c r="J257" i="13"/>
  <c r="K256" i="13"/>
  <c r="J256" i="13"/>
  <c r="J255" i="13"/>
  <c r="K255" i="13" s="1"/>
  <c r="J254" i="13"/>
  <c r="K254" i="13" s="1"/>
  <c r="J253" i="13"/>
  <c r="K253" i="13" s="1"/>
  <c r="J252" i="13"/>
  <c r="K252" i="13" s="1"/>
  <c r="J251" i="13"/>
  <c r="K251" i="13" s="1"/>
  <c r="J250" i="13"/>
  <c r="K250" i="13" s="1"/>
  <c r="J249" i="13"/>
  <c r="K249" i="13" s="1"/>
  <c r="K248" i="13"/>
  <c r="J248" i="13"/>
  <c r="K247" i="13"/>
  <c r="J247" i="13"/>
  <c r="J246" i="13"/>
  <c r="K246" i="13" s="1"/>
  <c r="J245" i="13"/>
  <c r="K245" i="13" s="1"/>
  <c r="K244" i="13"/>
  <c r="J244" i="13"/>
  <c r="J243" i="13"/>
  <c r="K243" i="13" s="1"/>
  <c r="M242" i="13"/>
  <c r="L243" i="13" s="1"/>
  <c r="L242" i="13"/>
  <c r="J242" i="13"/>
  <c r="K242" i="13" s="1"/>
  <c r="K241" i="13"/>
  <c r="J241" i="13"/>
  <c r="K240" i="13"/>
  <c r="J240" i="13"/>
  <c r="K239" i="13"/>
  <c r="J239" i="13"/>
  <c r="J238" i="13"/>
  <c r="K238" i="13" s="1"/>
  <c r="J237" i="13"/>
  <c r="K237" i="13" s="1"/>
  <c r="K236" i="13"/>
  <c r="J236" i="13"/>
  <c r="K235" i="13"/>
  <c r="J235" i="13"/>
  <c r="J234" i="13"/>
  <c r="K234" i="13" s="1"/>
  <c r="J233" i="13"/>
  <c r="K233" i="13" s="1"/>
  <c r="J232" i="13"/>
  <c r="K232" i="13" s="1"/>
  <c r="K231" i="13"/>
  <c r="J231" i="13"/>
  <c r="J230" i="13"/>
  <c r="K230" i="13" s="1"/>
  <c r="J229" i="13"/>
  <c r="K229" i="13" s="1"/>
  <c r="J228" i="13"/>
  <c r="K228" i="13" s="1"/>
  <c r="K227" i="13"/>
  <c r="J227" i="13"/>
  <c r="J226" i="13"/>
  <c r="K226" i="13" s="1"/>
  <c r="K225" i="13"/>
  <c r="J225" i="13"/>
  <c r="K224" i="13"/>
  <c r="J224" i="13"/>
  <c r="J223" i="13"/>
  <c r="K223" i="13" s="1"/>
  <c r="J222" i="13"/>
  <c r="K222" i="13" s="1"/>
  <c r="J221" i="13"/>
  <c r="K221" i="13" s="1"/>
  <c r="J220" i="13"/>
  <c r="K220" i="13" s="1"/>
  <c r="J219" i="13"/>
  <c r="K219" i="13" s="1"/>
  <c r="J218" i="13"/>
  <c r="K218" i="13" s="1"/>
  <c r="J217" i="13"/>
  <c r="K217" i="13" s="1"/>
  <c r="K216" i="13"/>
  <c r="J216" i="13"/>
  <c r="K215" i="13"/>
  <c r="J215" i="13"/>
  <c r="J214" i="13"/>
  <c r="K214" i="13" s="1"/>
  <c r="J213" i="13"/>
  <c r="K213" i="13" s="1"/>
  <c r="K212" i="13"/>
  <c r="J212" i="13"/>
  <c r="J211" i="13"/>
  <c r="K211" i="13" s="1"/>
  <c r="J210" i="13"/>
  <c r="K210" i="13" s="1"/>
  <c r="K209" i="13"/>
  <c r="J209" i="13"/>
  <c r="K208" i="13"/>
  <c r="J208" i="13"/>
  <c r="K207" i="13"/>
  <c r="J207" i="13"/>
  <c r="J206" i="13"/>
  <c r="K206" i="13" s="1"/>
  <c r="J205" i="13"/>
  <c r="K205" i="13" s="1"/>
  <c r="K204" i="13"/>
  <c r="J204" i="13"/>
  <c r="K203" i="13"/>
  <c r="J203" i="13"/>
  <c r="M202" i="13"/>
  <c r="L203" i="13" s="1"/>
  <c r="M203" i="13" s="1"/>
  <c r="L204" i="13" s="1"/>
  <c r="M204" i="13" s="1"/>
  <c r="L205" i="13" s="1"/>
  <c r="L202" i="13"/>
  <c r="J202" i="13"/>
  <c r="K202" i="13" s="1"/>
  <c r="J201" i="13"/>
  <c r="K201" i="13" s="1"/>
  <c r="J200" i="13"/>
  <c r="K200" i="13" s="1"/>
  <c r="K199" i="13"/>
  <c r="J199" i="13"/>
  <c r="J198" i="13"/>
  <c r="K198" i="13" s="1"/>
  <c r="J197" i="13"/>
  <c r="K197" i="13" s="1"/>
  <c r="J196" i="13"/>
  <c r="K196" i="13" s="1"/>
  <c r="K195" i="13"/>
  <c r="J195" i="13"/>
  <c r="J194" i="13"/>
  <c r="K194" i="13" s="1"/>
  <c r="K193" i="13"/>
  <c r="J193" i="13"/>
  <c r="K192" i="13"/>
  <c r="J192" i="13"/>
  <c r="J191" i="13"/>
  <c r="K191" i="13" s="1"/>
  <c r="J190" i="13"/>
  <c r="K190" i="13" s="1"/>
  <c r="J189" i="13"/>
  <c r="K189" i="13" s="1"/>
  <c r="J188" i="13"/>
  <c r="K188" i="13" s="1"/>
  <c r="J187" i="13"/>
  <c r="K187" i="13" s="1"/>
  <c r="J186" i="13"/>
  <c r="K186" i="13" s="1"/>
  <c r="J185" i="13"/>
  <c r="K185" i="13" s="1"/>
  <c r="K184" i="13"/>
  <c r="J184" i="13"/>
  <c r="K183" i="13"/>
  <c r="J183" i="13"/>
  <c r="J182" i="13"/>
  <c r="K182" i="13" s="1"/>
  <c r="J181" i="13"/>
  <c r="K181" i="13" s="1"/>
  <c r="K180" i="13"/>
  <c r="J180" i="13"/>
  <c r="J179" i="13"/>
  <c r="K179" i="13" s="1"/>
  <c r="J178" i="13"/>
  <c r="K178" i="13" s="1"/>
  <c r="K177" i="13"/>
  <c r="J177" i="13"/>
  <c r="K176" i="13"/>
  <c r="J176" i="13"/>
  <c r="K175" i="13"/>
  <c r="J175" i="13"/>
  <c r="J174" i="13"/>
  <c r="K174" i="13" s="1"/>
  <c r="J173" i="13"/>
  <c r="K173" i="13" s="1"/>
  <c r="K172" i="13"/>
  <c r="J172" i="13"/>
  <c r="K171" i="13"/>
  <c r="J171" i="13"/>
  <c r="J170" i="13"/>
  <c r="K170" i="13" s="1"/>
  <c r="J169" i="13"/>
  <c r="K169" i="13" s="1"/>
  <c r="J168" i="13"/>
  <c r="K168" i="13" s="1"/>
  <c r="K167" i="13"/>
  <c r="J167" i="13"/>
  <c r="J166" i="13"/>
  <c r="K166" i="13" s="1"/>
  <c r="J165" i="13"/>
  <c r="K165" i="13" s="1"/>
  <c r="J164" i="13"/>
  <c r="K164" i="13" s="1"/>
  <c r="K163" i="13"/>
  <c r="J163" i="13"/>
  <c r="L162" i="13"/>
  <c r="J162" i="13"/>
  <c r="K162" i="13" s="1"/>
  <c r="M162" i="13" s="1"/>
  <c r="L163" i="13" s="1"/>
  <c r="M163" i="13" s="1"/>
  <c r="L164" i="13" s="1"/>
  <c r="J161" i="13"/>
  <c r="K161" i="13" s="1"/>
  <c r="K160" i="13"/>
  <c r="J160" i="13"/>
  <c r="J159" i="13"/>
  <c r="K159" i="13" s="1"/>
  <c r="J158" i="13"/>
  <c r="K158" i="13" s="1"/>
  <c r="J157" i="13"/>
  <c r="K157" i="13" s="1"/>
  <c r="J156" i="13"/>
  <c r="K156" i="13" s="1"/>
  <c r="J155" i="13"/>
  <c r="K155" i="13" s="1"/>
  <c r="J154" i="13"/>
  <c r="K154" i="13" s="1"/>
  <c r="J153" i="13"/>
  <c r="K153" i="13" s="1"/>
  <c r="K152" i="13"/>
  <c r="J152" i="13"/>
  <c r="K151" i="13"/>
  <c r="J151" i="13"/>
  <c r="J150" i="13"/>
  <c r="K150" i="13" s="1"/>
  <c r="J149" i="13"/>
  <c r="K149" i="13" s="1"/>
  <c r="K148" i="13"/>
  <c r="J148" i="13"/>
  <c r="J147" i="13"/>
  <c r="K147" i="13" s="1"/>
  <c r="J146" i="13"/>
  <c r="K146" i="13" s="1"/>
  <c r="K145" i="13"/>
  <c r="J145" i="13"/>
  <c r="K144" i="13"/>
  <c r="J144" i="13"/>
  <c r="K143" i="13"/>
  <c r="J143" i="13"/>
  <c r="J142" i="13"/>
  <c r="K142" i="13" s="1"/>
  <c r="J141" i="13"/>
  <c r="K141" i="13" s="1"/>
  <c r="K140" i="13"/>
  <c r="J140" i="13"/>
  <c r="K139" i="13"/>
  <c r="J139" i="13"/>
  <c r="J138" i="13"/>
  <c r="K138" i="13" s="1"/>
  <c r="J137" i="13"/>
  <c r="K137" i="13" s="1"/>
  <c r="J136" i="13"/>
  <c r="K136" i="13" s="1"/>
  <c r="K135" i="13"/>
  <c r="J135" i="13"/>
  <c r="J134" i="13"/>
  <c r="K134" i="13" s="1"/>
  <c r="J133" i="13"/>
  <c r="K133" i="13" s="1"/>
  <c r="J132" i="13"/>
  <c r="K132" i="13" s="1"/>
  <c r="K131" i="13"/>
  <c r="J131" i="13"/>
  <c r="J130" i="13"/>
  <c r="K130" i="13" s="1"/>
  <c r="J129" i="13"/>
  <c r="K129" i="13" s="1"/>
  <c r="K128" i="13"/>
  <c r="J128" i="13"/>
  <c r="J127" i="13"/>
  <c r="K127" i="13" s="1"/>
  <c r="J126" i="13"/>
  <c r="K126" i="13" s="1"/>
  <c r="J125" i="13"/>
  <c r="K125" i="13" s="1"/>
  <c r="J124" i="13"/>
  <c r="K124" i="13" s="1"/>
  <c r="J123" i="13"/>
  <c r="K123" i="13" s="1"/>
  <c r="L122" i="13"/>
  <c r="M122" i="13" s="1"/>
  <c r="L123" i="13" s="1"/>
  <c r="J122" i="13"/>
  <c r="K122" i="13" s="1"/>
  <c r="J121" i="13"/>
  <c r="K121" i="13" s="1"/>
  <c r="K120" i="13"/>
  <c r="J120" i="13"/>
  <c r="K119" i="13"/>
  <c r="J119" i="13"/>
  <c r="J118" i="13"/>
  <c r="K118" i="13" s="1"/>
  <c r="J117" i="13"/>
  <c r="K117" i="13" s="1"/>
  <c r="K116" i="13"/>
  <c r="J116" i="13"/>
  <c r="J115" i="13"/>
  <c r="K115" i="13" s="1"/>
  <c r="J114" i="13"/>
  <c r="K114" i="13" s="1"/>
  <c r="K113" i="13"/>
  <c r="J113" i="13"/>
  <c r="K112" i="13"/>
  <c r="J112" i="13"/>
  <c r="K111" i="13"/>
  <c r="J111" i="13"/>
  <c r="J110" i="13"/>
  <c r="K110" i="13" s="1"/>
  <c r="J109" i="13"/>
  <c r="K109" i="13" s="1"/>
  <c r="K108" i="13"/>
  <c r="J108" i="13"/>
  <c r="K107" i="13"/>
  <c r="J107" i="13"/>
  <c r="J106" i="13"/>
  <c r="K106" i="13" s="1"/>
  <c r="J105" i="13"/>
  <c r="K105" i="13" s="1"/>
  <c r="J104" i="13"/>
  <c r="K104" i="13" s="1"/>
  <c r="K103" i="13"/>
  <c r="J103" i="13"/>
  <c r="J102" i="13"/>
  <c r="K102" i="13" s="1"/>
  <c r="J101" i="13"/>
  <c r="K101" i="13" s="1"/>
  <c r="J100" i="13"/>
  <c r="K100" i="13" s="1"/>
  <c r="K99" i="13"/>
  <c r="J99" i="13"/>
  <c r="J98" i="13"/>
  <c r="K98" i="13" s="1"/>
  <c r="J97" i="13"/>
  <c r="K97" i="13" s="1"/>
  <c r="K96" i="13"/>
  <c r="J96" i="13"/>
  <c r="J95" i="13"/>
  <c r="K95" i="13" s="1"/>
  <c r="J94" i="13"/>
  <c r="K94" i="13" s="1"/>
  <c r="J93" i="13"/>
  <c r="K93" i="13" s="1"/>
  <c r="J92" i="13"/>
  <c r="K92" i="13" s="1"/>
  <c r="J91" i="13"/>
  <c r="K91" i="13" s="1"/>
  <c r="J90" i="13"/>
  <c r="K90" i="13" s="1"/>
  <c r="J89" i="13"/>
  <c r="K89" i="13" s="1"/>
  <c r="K88" i="13"/>
  <c r="J88" i="13"/>
  <c r="K87" i="13"/>
  <c r="J87" i="13"/>
  <c r="J86" i="13"/>
  <c r="K86" i="13" s="1"/>
  <c r="J85" i="13"/>
  <c r="K85" i="13" s="1"/>
  <c r="K84" i="13"/>
  <c r="J84" i="13"/>
  <c r="J83" i="13"/>
  <c r="K83" i="13" s="1"/>
  <c r="M82" i="13"/>
  <c r="L83" i="13" s="1"/>
  <c r="M83" i="13" s="1"/>
  <c r="L84" i="13" s="1"/>
  <c r="M84" i="13" s="1"/>
  <c r="L85" i="13" s="1"/>
  <c r="M85" i="13" s="1"/>
  <c r="L86" i="13" s="1"/>
  <c r="M86" i="13" s="1"/>
  <c r="L87" i="13" s="1"/>
  <c r="M87" i="13" s="1"/>
  <c r="L88" i="13" s="1"/>
  <c r="M88" i="13" s="1"/>
  <c r="L89" i="13" s="1"/>
  <c r="M89" i="13" s="1"/>
  <c r="L90" i="13" s="1"/>
  <c r="M90" i="13" s="1"/>
  <c r="L91" i="13" s="1"/>
  <c r="M91" i="13" s="1"/>
  <c r="L92" i="13" s="1"/>
  <c r="M92" i="13" s="1"/>
  <c r="L93" i="13" s="1"/>
  <c r="M93" i="13" s="1"/>
  <c r="L94" i="13" s="1"/>
  <c r="M94" i="13" s="1"/>
  <c r="L95" i="13" s="1"/>
  <c r="M95" i="13" s="1"/>
  <c r="L96" i="13" s="1"/>
  <c r="M96" i="13" s="1"/>
  <c r="L97" i="13" s="1"/>
  <c r="M97" i="13" s="1"/>
  <c r="L98" i="13" s="1"/>
  <c r="M98" i="13" s="1"/>
  <c r="L99" i="13" s="1"/>
  <c r="M99" i="13" s="1"/>
  <c r="L100" i="13" s="1"/>
  <c r="M100" i="13" s="1"/>
  <c r="L101" i="13" s="1"/>
  <c r="L82" i="13"/>
  <c r="J82" i="13"/>
  <c r="K82" i="13" s="1"/>
  <c r="K81" i="13"/>
  <c r="J81" i="13"/>
  <c r="K80" i="13"/>
  <c r="J80" i="13"/>
  <c r="K79" i="13"/>
  <c r="J79" i="13"/>
  <c r="J78" i="13"/>
  <c r="K78" i="13" s="1"/>
  <c r="J77" i="13"/>
  <c r="K77" i="13" s="1"/>
  <c r="K76" i="13"/>
  <c r="J76" i="13"/>
  <c r="K75" i="13"/>
  <c r="J75" i="13"/>
  <c r="J74" i="13"/>
  <c r="K74" i="13" s="1"/>
  <c r="J73" i="13"/>
  <c r="K73" i="13" s="1"/>
  <c r="J72" i="13"/>
  <c r="K72" i="13" s="1"/>
  <c r="K71" i="13"/>
  <c r="J71" i="13"/>
  <c r="J70" i="13"/>
  <c r="K70" i="13" s="1"/>
  <c r="J69" i="13"/>
  <c r="K69" i="13" s="1"/>
  <c r="J68" i="13"/>
  <c r="K68" i="13" s="1"/>
  <c r="K67" i="13"/>
  <c r="J67" i="13"/>
  <c r="J66" i="13"/>
  <c r="K66" i="13" s="1"/>
  <c r="J65" i="13"/>
  <c r="K65" i="13" s="1"/>
  <c r="K64" i="13"/>
  <c r="J64" i="13"/>
  <c r="J63" i="13"/>
  <c r="K63" i="13" s="1"/>
  <c r="J62" i="13"/>
  <c r="K62" i="13" s="1"/>
  <c r="J61" i="13"/>
  <c r="K61" i="13" s="1"/>
  <c r="J60" i="13"/>
  <c r="K60" i="13" s="1"/>
  <c r="J59" i="13"/>
  <c r="K59" i="13" s="1"/>
  <c r="J58" i="13"/>
  <c r="K58" i="13" s="1"/>
  <c r="J57" i="13"/>
  <c r="K57" i="13" s="1"/>
  <c r="K56" i="13"/>
  <c r="J56" i="13"/>
  <c r="K55" i="13"/>
  <c r="J55" i="13"/>
  <c r="J54" i="13"/>
  <c r="K54" i="13" s="1"/>
  <c r="K53" i="13"/>
  <c r="J53" i="13"/>
  <c r="J52" i="13"/>
  <c r="K52" i="13" s="1"/>
  <c r="J51" i="13"/>
  <c r="K51" i="13" s="1"/>
  <c r="J50" i="13"/>
  <c r="K50" i="13" s="1"/>
  <c r="J49" i="13"/>
  <c r="K49" i="13" s="1"/>
  <c r="J48" i="13"/>
  <c r="K48" i="13" s="1"/>
  <c r="J47" i="13"/>
  <c r="K47" i="13" s="1"/>
  <c r="J46" i="13"/>
  <c r="K46" i="13" s="1"/>
  <c r="J45" i="13"/>
  <c r="K45" i="13" s="1"/>
  <c r="J44" i="13"/>
  <c r="K44" i="13" s="1"/>
  <c r="J43" i="13"/>
  <c r="K43" i="13" s="1"/>
  <c r="L42" i="13"/>
  <c r="J42" i="13"/>
  <c r="K42" i="13" s="1"/>
  <c r="J41" i="13"/>
  <c r="K41" i="13" s="1"/>
  <c r="J40" i="13"/>
  <c r="K40" i="13" s="1"/>
  <c r="J39" i="13"/>
  <c r="K39" i="13" s="1"/>
  <c r="J38" i="13"/>
  <c r="K38" i="13" s="1"/>
  <c r="J37" i="13"/>
  <c r="K37" i="13" s="1"/>
  <c r="J36" i="13"/>
  <c r="K36" i="13" s="1"/>
  <c r="J35" i="13"/>
  <c r="K35" i="13" s="1"/>
  <c r="J34" i="13"/>
  <c r="K34" i="13" s="1"/>
  <c r="J33" i="13"/>
  <c r="K33" i="13" s="1"/>
  <c r="J32" i="13"/>
  <c r="K32" i="13" s="1"/>
  <c r="J31" i="13"/>
  <c r="K31" i="13" s="1"/>
  <c r="J30" i="13"/>
  <c r="K30" i="13" s="1"/>
  <c r="J29" i="13"/>
  <c r="K29" i="13" s="1"/>
  <c r="J28" i="13"/>
  <c r="K28" i="13" s="1"/>
  <c r="J27" i="13"/>
  <c r="K27" i="13" s="1"/>
  <c r="J26" i="13"/>
  <c r="K26" i="13" s="1"/>
  <c r="J25" i="13"/>
  <c r="K25" i="13" s="1"/>
  <c r="J24" i="13"/>
  <c r="K24" i="13" s="1"/>
  <c r="J23" i="13"/>
  <c r="K23" i="13" s="1"/>
  <c r="J22" i="13"/>
  <c r="K22" i="13" s="1"/>
  <c r="J21" i="13"/>
  <c r="K21" i="13" s="1"/>
  <c r="J20" i="13"/>
  <c r="K20" i="13" s="1"/>
  <c r="J19" i="13"/>
  <c r="K19" i="13" s="1"/>
  <c r="J18" i="13"/>
  <c r="K18" i="13" s="1"/>
  <c r="J17" i="13"/>
  <c r="K17" i="13" s="1"/>
  <c r="J16" i="13"/>
  <c r="K16" i="13" s="1"/>
  <c r="J15" i="13"/>
  <c r="K15" i="13" s="1"/>
  <c r="J14" i="13"/>
  <c r="K14" i="13" s="1"/>
  <c r="J13" i="13"/>
  <c r="K13" i="13" s="1"/>
  <c r="J12" i="13"/>
  <c r="K12" i="13" s="1"/>
  <c r="J11" i="13"/>
  <c r="K11" i="13" s="1"/>
  <c r="J10" i="13"/>
  <c r="K10" i="13" s="1"/>
  <c r="J9" i="13"/>
  <c r="K9" i="13" s="1"/>
  <c r="J8" i="13"/>
  <c r="K8" i="13" s="1"/>
  <c r="J7" i="13"/>
  <c r="K7" i="13" s="1"/>
  <c r="J6" i="13"/>
  <c r="K6" i="13" s="1"/>
  <c r="J5" i="13"/>
  <c r="K5" i="13" s="1"/>
  <c r="J4" i="13"/>
  <c r="K4" i="13" s="1"/>
  <c r="J3" i="13"/>
  <c r="K3" i="13" s="1"/>
  <c r="L2" i="13"/>
  <c r="M2" i="13" s="1"/>
  <c r="L3" i="13" s="1"/>
  <c r="M3" i="13" s="1"/>
  <c r="L4" i="13" s="1"/>
  <c r="J2" i="13"/>
  <c r="K2" i="13" s="1"/>
  <c r="I52" i="14"/>
  <c r="J52" i="14" s="1"/>
  <c r="I50" i="14"/>
  <c r="N50" i="14" s="1"/>
  <c r="I47" i="14"/>
  <c r="N47" i="14" s="1"/>
  <c r="I42" i="14"/>
  <c r="N42" i="14" s="1"/>
  <c r="N41" i="14"/>
  <c r="I41" i="14"/>
  <c r="J41" i="14" s="1"/>
  <c r="I40" i="14"/>
  <c r="N40" i="14" s="1"/>
  <c r="N37" i="14"/>
  <c r="J37" i="14"/>
  <c r="L37" i="14" s="1"/>
  <c r="I37" i="14"/>
  <c r="I36" i="14"/>
  <c r="N36" i="14" s="1"/>
  <c r="N32" i="14"/>
  <c r="J32" i="14"/>
  <c r="L32" i="14" s="1"/>
  <c r="I32" i="14"/>
  <c r="I31" i="14"/>
  <c r="J31" i="14" s="1"/>
  <c r="L31" i="14" s="1"/>
  <c r="I25" i="14"/>
  <c r="N25" i="14" s="1"/>
  <c r="J24" i="14"/>
  <c r="J21" i="14"/>
  <c r="I21" i="14"/>
  <c r="N21" i="14" s="1"/>
  <c r="N20" i="14"/>
  <c r="I20" i="14"/>
  <c r="J16" i="14"/>
  <c r="J14" i="14"/>
  <c r="J11" i="14"/>
  <c r="J10" i="14"/>
  <c r="J6" i="14"/>
  <c r="S27" i="10"/>
  <c r="R27" i="10"/>
  <c r="O27" i="10"/>
  <c r="L27" i="10"/>
  <c r="I27" i="10"/>
  <c r="F27" i="10"/>
  <c r="S26" i="10"/>
  <c r="R26" i="10"/>
  <c r="O26" i="10"/>
  <c r="L26" i="10"/>
  <c r="I26" i="10"/>
  <c r="F26" i="10"/>
  <c r="S25" i="10"/>
  <c r="R25" i="10"/>
  <c r="O25" i="10"/>
  <c r="L25" i="10"/>
  <c r="I25" i="10"/>
  <c r="F25" i="10"/>
  <c r="R24" i="10"/>
  <c r="O24" i="10"/>
  <c r="L24" i="10"/>
  <c r="S24" i="10" s="1"/>
  <c r="I24" i="10"/>
  <c r="F24" i="10"/>
  <c r="R23" i="10"/>
  <c r="O23" i="10"/>
  <c r="L23" i="10"/>
  <c r="S23" i="10" s="1"/>
  <c r="I23" i="10"/>
  <c r="F23" i="10"/>
  <c r="R22" i="10"/>
  <c r="O22" i="10"/>
  <c r="L22" i="10"/>
  <c r="S22" i="10" s="1"/>
  <c r="I22" i="10"/>
  <c r="F22" i="10"/>
  <c r="R21" i="10"/>
  <c r="O21" i="10"/>
  <c r="L21" i="10"/>
  <c r="S21" i="10" s="1"/>
  <c r="I21" i="10"/>
  <c r="F21" i="10"/>
  <c r="R20" i="10"/>
  <c r="O20" i="10"/>
  <c r="L20" i="10"/>
  <c r="S20" i="10" s="1"/>
  <c r="I20" i="10"/>
  <c r="F20" i="10"/>
  <c r="S19" i="10"/>
  <c r="R19" i="10"/>
  <c r="O19" i="10"/>
  <c r="L19" i="10"/>
  <c r="I19" i="10"/>
  <c r="F19" i="10"/>
  <c r="S18" i="10"/>
  <c r="R18" i="10"/>
  <c r="O18" i="10"/>
  <c r="L18" i="10"/>
  <c r="I18" i="10"/>
  <c r="F18" i="10"/>
  <c r="S17" i="10"/>
  <c r="R17" i="10"/>
  <c r="O17" i="10"/>
  <c r="L17" i="10"/>
  <c r="I17" i="10"/>
  <c r="F17" i="10"/>
  <c r="R16" i="10"/>
  <c r="O16" i="10"/>
  <c r="L16" i="10"/>
  <c r="S16" i="10" s="1"/>
  <c r="I16" i="10"/>
  <c r="F16" i="10"/>
  <c r="R15" i="10"/>
  <c r="O15" i="10"/>
  <c r="L15" i="10"/>
  <c r="S15" i="10" s="1"/>
  <c r="I15" i="10"/>
  <c r="F15" i="10"/>
  <c r="R14" i="10"/>
  <c r="O14" i="10"/>
  <c r="L14" i="10"/>
  <c r="S14" i="10" s="1"/>
  <c r="I14" i="10"/>
  <c r="F14" i="10"/>
  <c r="R13" i="10"/>
  <c r="O13" i="10"/>
  <c r="L13" i="10"/>
  <c r="S13" i="10" s="1"/>
  <c r="I13" i="10"/>
  <c r="F13" i="10"/>
  <c r="R12" i="10"/>
  <c r="O12" i="10"/>
  <c r="L12" i="10"/>
  <c r="S12" i="10" s="1"/>
  <c r="I12" i="10"/>
  <c r="F12" i="10"/>
  <c r="S11" i="10"/>
  <c r="R11" i="10"/>
  <c r="O11" i="10"/>
  <c r="L11" i="10"/>
  <c r="I11" i="10"/>
  <c r="F11" i="10"/>
  <c r="S10" i="10"/>
  <c r="R10" i="10"/>
  <c r="O10" i="10"/>
  <c r="L10" i="10"/>
  <c r="I10" i="10"/>
  <c r="F10" i="10"/>
  <c r="S9" i="10"/>
  <c r="R9" i="10"/>
  <c r="O9" i="10"/>
  <c r="L9" i="10"/>
  <c r="I9" i="10"/>
  <c r="F9" i="10"/>
  <c r="R8" i="10"/>
  <c r="O8" i="10"/>
  <c r="L8" i="10"/>
  <c r="S8" i="10" s="1"/>
  <c r="I8" i="10"/>
  <c r="F8" i="10"/>
  <c r="R7" i="10"/>
  <c r="O7" i="10"/>
  <c r="L7" i="10"/>
  <c r="S7" i="10" s="1"/>
  <c r="I7" i="10"/>
  <c r="F7" i="10"/>
  <c r="R6" i="10"/>
  <c r="O6" i="10"/>
  <c r="L6" i="10"/>
  <c r="S6" i="10" s="1"/>
  <c r="I6" i="10"/>
  <c r="F6" i="10"/>
  <c r="R5" i="10"/>
  <c r="O5" i="10"/>
  <c r="L5" i="10"/>
  <c r="S5" i="10" s="1"/>
  <c r="I5" i="10"/>
  <c r="F5" i="10"/>
  <c r="R4" i="10"/>
  <c r="O4" i="10"/>
  <c r="L4" i="10"/>
  <c r="S4" i="10" s="1"/>
  <c r="I4" i="10"/>
  <c r="F4" i="10"/>
  <c r="S3" i="10"/>
  <c r="R3" i="10"/>
  <c r="O3" i="10"/>
  <c r="L3" i="10"/>
  <c r="I3" i="10"/>
  <c r="F3" i="10"/>
  <c r="S2" i="10"/>
  <c r="R2" i="10"/>
  <c r="O2" i="10"/>
  <c r="L2" i="10"/>
  <c r="I2" i="10"/>
  <c r="F2" i="10"/>
  <c r="J365" i="6"/>
  <c r="H365" i="6"/>
  <c r="J364" i="6"/>
  <c r="H364" i="6"/>
  <c r="J363" i="6"/>
  <c r="H363" i="6"/>
  <c r="J362" i="6"/>
  <c r="H362" i="6"/>
  <c r="J361" i="6"/>
  <c r="H361" i="6"/>
  <c r="J360" i="6"/>
  <c r="H360" i="6"/>
  <c r="J359" i="6"/>
  <c r="H359" i="6"/>
  <c r="J358" i="6"/>
  <c r="H358" i="6"/>
  <c r="J357" i="6"/>
  <c r="H357" i="6"/>
  <c r="J356" i="6"/>
  <c r="H356" i="6"/>
  <c r="J355" i="6"/>
  <c r="H355" i="6"/>
  <c r="J354" i="6"/>
  <c r="H354" i="6"/>
  <c r="J353" i="6"/>
  <c r="H353" i="6"/>
  <c r="J352" i="6"/>
  <c r="H352" i="6"/>
  <c r="J351" i="6"/>
  <c r="H351" i="6"/>
  <c r="J350" i="6"/>
  <c r="H350" i="6"/>
  <c r="J349" i="6"/>
  <c r="H349" i="6"/>
  <c r="J348" i="6"/>
  <c r="H348" i="6"/>
  <c r="J347" i="6"/>
  <c r="H347" i="6"/>
  <c r="J346" i="6"/>
  <c r="H346" i="6"/>
  <c r="J345" i="6"/>
  <c r="H345" i="6"/>
  <c r="J344" i="6"/>
  <c r="H344" i="6"/>
  <c r="J343" i="6"/>
  <c r="H343" i="6"/>
  <c r="J342" i="6"/>
  <c r="H342" i="6"/>
  <c r="J341" i="6"/>
  <c r="H341" i="6"/>
  <c r="J340" i="6"/>
  <c r="H340" i="6"/>
  <c r="J339" i="6"/>
  <c r="H339" i="6"/>
  <c r="J338" i="6"/>
  <c r="H338" i="6"/>
  <c r="J337" i="6"/>
  <c r="H337" i="6"/>
  <c r="J336" i="6"/>
  <c r="H336" i="6"/>
  <c r="J335" i="6"/>
  <c r="H335" i="6"/>
  <c r="J334" i="6"/>
  <c r="H334" i="6"/>
  <c r="J333" i="6"/>
  <c r="H333" i="6"/>
  <c r="J332" i="6"/>
  <c r="H332" i="6"/>
  <c r="J331" i="6"/>
  <c r="H331" i="6"/>
  <c r="J330" i="6"/>
  <c r="H330" i="6"/>
  <c r="J329" i="6"/>
  <c r="H329" i="6"/>
  <c r="J328" i="6"/>
  <c r="H328" i="6"/>
  <c r="J327" i="6"/>
  <c r="H327" i="6"/>
  <c r="J326" i="6"/>
  <c r="H326" i="6"/>
  <c r="J325" i="6"/>
  <c r="H325" i="6"/>
  <c r="J324" i="6"/>
  <c r="H324" i="6"/>
  <c r="J323" i="6"/>
  <c r="H323" i="6"/>
  <c r="J322" i="6"/>
  <c r="H322" i="6"/>
  <c r="J321" i="6"/>
  <c r="H321" i="6"/>
  <c r="J320" i="6"/>
  <c r="H320" i="6"/>
  <c r="J319" i="6"/>
  <c r="H319" i="6"/>
  <c r="J318" i="6"/>
  <c r="H318" i="6"/>
  <c r="J317" i="6"/>
  <c r="H317" i="6"/>
  <c r="J316" i="6"/>
  <c r="H316" i="6"/>
  <c r="J315" i="6"/>
  <c r="H315" i="6"/>
  <c r="J314" i="6"/>
  <c r="H314" i="6"/>
  <c r="J313" i="6"/>
  <c r="H313" i="6"/>
  <c r="J312" i="6"/>
  <c r="H312" i="6"/>
  <c r="J311" i="6"/>
  <c r="H311" i="6"/>
  <c r="J310" i="6"/>
  <c r="H310" i="6"/>
  <c r="J309" i="6"/>
  <c r="H309" i="6"/>
  <c r="J308" i="6"/>
  <c r="H308" i="6"/>
  <c r="J307" i="6"/>
  <c r="H307" i="6"/>
  <c r="J306" i="6"/>
  <c r="H306" i="6"/>
  <c r="J305" i="6"/>
  <c r="H305" i="6"/>
  <c r="J304" i="6"/>
  <c r="H304" i="6"/>
  <c r="J303" i="6"/>
  <c r="H303" i="6"/>
  <c r="J302" i="6"/>
  <c r="H302" i="6"/>
  <c r="J301" i="6"/>
  <c r="H301" i="6"/>
  <c r="J300" i="6"/>
  <c r="H300" i="6"/>
  <c r="J299" i="6"/>
  <c r="H299" i="6"/>
  <c r="J298" i="6"/>
  <c r="H298" i="6"/>
  <c r="J297" i="6"/>
  <c r="H297" i="6"/>
  <c r="J296" i="6"/>
  <c r="H296" i="6"/>
  <c r="J295" i="6"/>
  <c r="H295" i="6"/>
  <c r="J294" i="6"/>
  <c r="H294" i="6"/>
  <c r="J293" i="6"/>
  <c r="H293" i="6"/>
  <c r="J292" i="6"/>
  <c r="H292" i="6"/>
  <c r="J291" i="6"/>
  <c r="H291" i="6"/>
  <c r="J290" i="6"/>
  <c r="H290" i="6"/>
  <c r="J289" i="6"/>
  <c r="H289" i="6"/>
  <c r="J288" i="6"/>
  <c r="H288" i="6"/>
  <c r="J287" i="6"/>
  <c r="H287" i="6"/>
  <c r="J286" i="6"/>
  <c r="H286" i="6"/>
  <c r="J285" i="6"/>
  <c r="H285" i="6"/>
  <c r="J284" i="6"/>
  <c r="H284" i="6"/>
  <c r="J283" i="6"/>
  <c r="H283" i="6"/>
  <c r="J282" i="6"/>
  <c r="H282" i="6"/>
  <c r="J281" i="6"/>
  <c r="H281" i="6"/>
  <c r="J280" i="6"/>
  <c r="H280" i="6"/>
  <c r="J279" i="6"/>
  <c r="H279" i="6"/>
  <c r="J278" i="6"/>
  <c r="H278" i="6"/>
  <c r="J277" i="6"/>
  <c r="H277" i="6"/>
  <c r="J276" i="6"/>
  <c r="H276" i="6"/>
  <c r="J275" i="6"/>
  <c r="H275" i="6"/>
  <c r="J274" i="6"/>
  <c r="H274" i="6"/>
  <c r="J273" i="6"/>
  <c r="H273" i="6"/>
  <c r="J272" i="6"/>
  <c r="H272" i="6"/>
  <c r="J271" i="6"/>
  <c r="H271" i="6"/>
  <c r="J270" i="6"/>
  <c r="H270" i="6"/>
  <c r="J269" i="6"/>
  <c r="H269" i="6"/>
  <c r="J268" i="6"/>
  <c r="H268" i="6"/>
  <c r="J267" i="6"/>
  <c r="H267" i="6"/>
  <c r="J266" i="6"/>
  <c r="H266" i="6"/>
  <c r="J265" i="6"/>
  <c r="H265" i="6"/>
  <c r="J264" i="6"/>
  <c r="H264" i="6"/>
  <c r="J263" i="6"/>
  <c r="H263" i="6"/>
  <c r="J262" i="6"/>
  <c r="H262" i="6"/>
  <c r="J261" i="6"/>
  <c r="H261" i="6"/>
  <c r="J260" i="6"/>
  <c r="H260" i="6"/>
  <c r="J259" i="6"/>
  <c r="H259" i="6"/>
  <c r="J258" i="6"/>
  <c r="H258" i="6"/>
  <c r="J257" i="6"/>
  <c r="H257" i="6"/>
  <c r="J256" i="6"/>
  <c r="H256" i="6"/>
  <c r="J255" i="6"/>
  <c r="H255" i="6"/>
  <c r="J254" i="6"/>
  <c r="H254" i="6"/>
  <c r="J253" i="6"/>
  <c r="H253" i="6"/>
  <c r="J252" i="6"/>
  <c r="H252" i="6"/>
  <c r="J251" i="6"/>
  <c r="H251" i="6"/>
  <c r="J250" i="6"/>
  <c r="H250" i="6"/>
  <c r="J249" i="6"/>
  <c r="H249" i="6"/>
  <c r="J248" i="6"/>
  <c r="H248" i="6"/>
  <c r="J247" i="6"/>
  <c r="H247" i="6"/>
  <c r="J246" i="6"/>
  <c r="H246" i="6"/>
  <c r="J245" i="6"/>
  <c r="H245" i="6"/>
  <c r="J244" i="6"/>
  <c r="H244" i="6"/>
  <c r="J243" i="6"/>
  <c r="H243" i="6"/>
  <c r="J242" i="6"/>
  <c r="H242" i="6"/>
  <c r="J241" i="6"/>
  <c r="H241" i="6"/>
  <c r="J240" i="6"/>
  <c r="H240" i="6"/>
  <c r="J239" i="6"/>
  <c r="H239" i="6"/>
  <c r="J238" i="6"/>
  <c r="H238" i="6"/>
  <c r="J237" i="6"/>
  <c r="H237" i="6"/>
  <c r="J236" i="6"/>
  <c r="H236" i="6"/>
  <c r="J235" i="6"/>
  <c r="H235" i="6"/>
  <c r="J234" i="6"/>
  <c r="H234" i="6"/>
  <c r="J233" i="6"/>
  <c r="H233" i="6"/>
  <c r="J232" i="6"/>
  <c r="H232" i="6"/>
  <c r="J231" i="6"/>
  <c r="H231" i="6"/>
  <c r="J230" i="6"/>
  <c r="H230" i="6"/>
  <c r="J229" i="6"/>
  <c r="H229" i="6"/>
  <c r="J228" i="6"/>
  <c r="H228" i="6"/>
  <c r="J227" i="6"/>
  <c r="H227" i="6"/>
  <c r="J226" i="6"/>
  <c r="H226" i="6"/>
  <c r="J225" i="6"/>
  <c r="H225" i="6"/>
  <c r="J224" i="6"/>
  <c r="H224" i="6"/>
  <c r="J223" i="6"/>
  <c r="H223" i="6"/>
  <c r="J222" i="6"/>
  <c r="H222" i="6"/>
  <c r="J221" i="6"/>
  <c r="H221" i="6"/>
  <c r="J220" i="6"/>
  <c r="H220" i="6"/>
  <c r="J219" i="6"/>
  <c r="H219" i="6"/>
  <c r="J218" i="6"/>
  <c r="H218" i="6"/>
  <c r="J217" i="6"/>
  <c r="H217" i="6"/>
  <c r="J216" i="6"/>
  <c r="H216" i="6"/>
  <c r="J215" i="6"/>
  <c r="H215" i="6"/>
  <c r="J214" i="6"/>
  <c r="H214" i="6"/>
  <c r="J213" i="6"/>
  <c r="H213" i="6"/>
  <c r="J212" i="6"/>
  <c r="H212" i="6"/>
  <c r="J211" i="6"/>
  <c r="H211" i="6"/>
  <c r="J210" i="6"/>
  <c r="H210" i="6"/>
  <c r="J209" i="6"/>
  <c r="H209" i="6"/>
  <c r="J208" i="6"/>
  <c r="H208" i="6"/>
  <c r="J207" i="6"/>
  <c r="H207" i="6"/>
  <c r="J206" i="6"/>
  <c r="H206" i="6"/>
  <c r="J205" i="6"/>
  <c r="H205" i="6"/>
  <c r="J204" i="6"/>
  <c r="H204" i="6"/>
  <c r="J203" i="6"/>
  <c r="H203" i="6"/>
  <c r="J202" i="6"/>
  <c r="H202" i="6"/>
  <c r="J201" i="6"/>
  <c r="H201" i="6"/>
  <c r="J200" i="6"/>
  <c r="H200" i="6"/>
  <c r="J199" i="6"/>
  <c r="H199" i="6"/>
  <c r="J198" i="6"/>
  <c r="H198" i="6"/>
  <c r="J197" i="6"/>
  <c r="H197" i="6"/>
  <c r="J196" i="6"/>
  <c r="H196" i="6"/>
  <c r="J195" i="6"/>
  <c r="H195" i="6"/>
  <c r="J194" i="6"/>
  <c r="H194" i="6"/>
  <c r="J193" i="6"/>
  <c r="H193" i="6"/>
  <c r="J192" i="6"/>
  <c r="H192" i="6"/>
  <c r="J191" i="6"/>
  <c r="H191" i="6"/>
  <c r="J190" i="6"/>
  <c r="H190" i="6"/>
  <c r="J189" i="6"/>
  <c r="H189" i="6"/>
  <c r="J188" i="6"/>
  <c r="H188" i="6"/>
  <c r="J187" i="6"/>
  <c r="H187" i="6"/>
  <c r="J186" i="6"/>
  <c r="H186" i="6"/>
  <c r="J185" i="6"/>
  <c r="H185" i="6"/>
  <c r="J184" i="6"/>
  <c r="H184" i="6"/>
  <c r="J183" i="6"/>
  <c r="H183" i="6"/>
  <c r="J182" i="6"/>
  <c r="H182" i="6"/>
  <c r="J181" i="6"/>
  <c r="H181" i="6"/>
  <c r="J180" i="6"/>
  <c r="H180" i="6"/>
  <c r="J179" i="6"/>
  <c r="H179" i="6"/>
  <c r="J178" i="6"/>
  <c r="H178" i="6"/>
  <c r="J177" i="6"/>
  <c r="H177" i="6"/>
  <c r="J176" i="6"/>
  <c r="H176" i="6"/>
  <c r="J175" i="6"/>
  <c r="H175" i="6"/>
  <c r="J174" i="6"/>
  <c r="H174" i="6"/>
  <c r="J173" i="6"/>
  <c r="H173" i="6"/>
  <c r="J172" i="6"/>
  <c r="H172" i="6"/>
  <c r="J171" i="6"/>
  <c r="H171" i="6"/>
  <c r="J170" i="6"/>
  <c r="H170" i="6"/>
  <c r="J169" i="6"/>
  <c r="H169" i="6"/>
  <c r="J168" i="6"/>
  <c r="H168" i="6"/>
  <c r="J167" i="6"/>
  <c r="H167" i="6"/>
  <c r="J166" i="6"/>
  <c r="H166" i="6"/>
  <c r="J165" i="6"/>
  <c r="H165" i="6"/>
  <c r="J164" i="6"/>
  <c r="H164" i="6"/>
  <c r="J163" i="6"/>
  <c r="H163" i="6"/>
  <c r="J162" i="6"/>
  <c r="H162" i="6"/>
  <c r="J161" i="6"/>
  <c r="H161" i="6"/>
  <c r="J160" i="6"/>
  <c r="H160" i="6"/>
  <c r="J159" i="6"/>
  <c r="H159" i="6"/>
  <c r="J158" i="6"/>
  <c r="H158" i="6"/>
  <c r="J157" i="6"/>
  <c r="H157" i="6"/>
  <c r="J156" i="6"/>
  <c r="H156" i="6"/>
  <c r="J155" i="6"/>
  <c r="H155" i="6"/>
  <c r="J154" i="6"/>
  <c r="H154" i="6"/>
  <c r="J153" i="6"/>
  <c r="H153" i="6"/>
  <c r="J152" i="6"/>
  <c r="H152" i="6"/>
  <c r="J151" i="6"/>
  <c r="H151" i="6"/>
  <c r="J150" i="6"/>
  <c r="H150" i="6"/>
  <c r="J149" i="6"/>
  <c r="H149" i="6"/>
  <c r="J148" i="6"/>
  <c r="H148" i="6"/>
  <c r="J147" i="6"/>
  <c r="H147" i="6"/>
  <c r="J146" i="6"/>
  <c r="H146" i="6"/>
  <c r="J145" i="6"/>
  <c r="H145" i="6"/>
  <c r="J144" i="6"/>
  <c r="H144" i="6"/>
  <c r="J143" i="6"/>
  <c r="H143" i="6"/>
  <c r="J142" i="6"/>
  <c r="H142" i="6"/>
  <c r="J141" i="6"/>
  <c r="H141" i="6"/>
  <c r="J140" i="6"/>
  <c r="H140" i="6"/>
  <c r="J139" i="6"/>
  <c r="H139" i="6"/>
  <c r="J138" i="6"/>
  <c r="H138" i="6"/>
  <c r="J137" i="6"/>
  <c r="H137" i="6"/>
  <c r="J136" i="6"/>
  <c r="H136" i="6"/>
  <c r="J135" i="6"/>
  <c r="H135" i="6"/>
  <c r="J134" i="6"/>
  <c r="H134" i="6"/>
  <c r="J133" i="6"/>
  <c r="H133" i="6"/>
  <c r="J132" i="6"/>
  <c r="H132" i="6"/>
  <c r="J131" i="6"/>
  <c r="H131" i="6"/>
  <c r="J130" i="6"/>
  <c r="H130" i="6"/>
  <c r="J129" i="6"/>
  <c r="H129" i="6"/>
  <c r="J128" i="6"/>
  <c r="H128" i="6"/>
  <c r="J127" i="6"/>
  <c r="H127" i="6"/>
  <c r="J126" i="6"/>
  <c r="H126" i="6"/>
  <c r="J125" i="6"/>
  <c r="H125" i="6"/>
  <c r="J124" i="6"/>
  <c r="H124" i="6"/>
  <c r="J123" i="6"/>
  <c r="H123" i="6"/>
  <c r="J122" i="6"/>
  <c r="H122" i="6"/>
  <c r="J121" i="6"/>
  <c r="H121" i="6"/>
  <c r="J120" i="6"/>
  <c r="H120" i="6"/>
  <c r="J119" i="6"/>
  <c r="H119" i="6"/>
  <c r="J118" i="6"/>
  <c r="H118" i="6"/>
  <c r="J117" i="6"/>
  <c r="H117" i="6"/>
  <c r="J116" i="6"/>
  <c r="H116" i="6"/>
  <c r="J115" i="6"/>
  <c r="H115" i="6"/>
  <c r="J114" i="6"/>
  <c r="H114" i="6"/>
  <c r="J113" i="6"/>
  <c r="H113" i="6"/>
  <c r="J112" i="6"/>
  <c r="H112" i="6"/>
  <c r="J111" i="6"/>
  <c r="H111" i="6"/>
  <c r="J110" i="6"/>
  <c r="H110" i="6"/>
  <c r="J109" i="6"/>
  <c r="H109" i="6"/>
  <c r="J108" i="6"/>
  <c r="H108" i="6"/>
  <c r="J107" i="6"/>
  <c r="H107" i="6"/>
  <c r="J106" i="6"/>
  <c r="H106" i="6"/>
  <c r="J105" i="6"/>
  <c r="H105" i="6"/>
  <c r="J104" i="6"/>
  <c r="H104" i="6"/>
  <c r="J103" i="6"/>
  <c r="H103" i="6"/>
  <c r="J102" i="6"/>
  <c r="H102" i="6"/>
  <c r="J101" i="6"/>
  <c r="H101" i="6"/>
  <c r="J100" i="6"/>
  <c r="H100" i="6"/>
  <c r="J99" i="6"/>
  <c r="H99" i="6"/>
  <c r="J98" i="6"/>
  <c r="H98" i="6"/>
  <c r="J97" i="6"/>
  <c r="H97" i="6"/>
  <c r="J96" i="6"/>
  <c r="H96" i="6"/>
  <c r="J95" i="6"/>
  <c r="H95" i="6"/>
  <c r="J94" i="6"/>
  <c r="H94" i="6"/>
  <c r="J93" i="6"/>
  <c r="H93" i="6"/>
  <c r="J92" i="6"/>
  <c r="H92" i="6"/>
  <c r="J91" i="6"/>
  <c r="H91" i="6"/>
  <c r="J90" i="6"/>
  <c r="H90" i="6"/>
  <c r="J89" i="6"/>
  <c r="H89" i="6"/>
  <c r="J88" i="6"/>
  <c r="H88" i="6"/>
  <c r="J87" i="6"/>
  <c r="H87" i="6"/>
  <c r="J86" i="6"/>
  <c r="H86" i="6"/>
  <c r="J85" i="6"/>
  <c r="H85" i="6"/>
  <c r="J84" i="6"/>
  <c r="H84" i="6"/>
  <c r="J83" i="6"/>
  <c r="H83" i="6"/>
  <c r="J82" i="6"/>
  <c r="H82" i="6"/>
  <c r="J81" i="6"/>
  <c r="H81" i="6"/>
  <c r="J80" i="6"/>
  <c r="H80" i="6"/>
  <c r="J79" i="6"/>
  <c r="H79" i="6"/>
  <c r="J78" i="6"/>
  <c r="H78" i="6"/>
  <c r="J77" i="6"/>
  <c r="H77" i="6"/>
  <c r="J76" i="6"/>
  <c r="H76" i="6"/>
  <c r="J75" i="6"/>
  <c r="H75" i="6"/>
  <c r="J74" i="6"/>
  <c r="H74" i="6"/>
  <c r="J73" i="6"/>
  <c r="H73" i="6"/>
  <c r="J72" i="6"/>
  <c r="H72" i="6"/>
  <c r="J71" i="6"/>
  <c r="H71" i="6"/>
  <c r="J70" i="6"/>
  <c r="H70" i="6"/>
  <c r="J69" i="6"/>
  <c r="H69" i="6"/>
  <c r="J68" i="6"/>
  <c r="H68" i="6"/>
  <c r="J67" i="6"/>
  <c r="H67" i="6"/>
  <c r="J66" i="6"/>
  <c r="H66" i="6"/>
  <c r="J65" i="6"/>
  <c r="H65" i="6"/>
  <c r="J64" i="6"/>
  <c r="H64" i="6"/>
  <c r="J63" i="6"/>
  <c r="H63" i="6"/>
  <c r="J62" i="6"/>
  <c r="H62" i="6"/>
  <c r="J61" i="6"/>
  <c r="H61" i="6"/>
  <c r="J60" i="6"/>
  <c r="H60" i="6"/>
  <c r="J59" i="6"/>
  <c r="H59" i="6"/>
  <c r="J58" i="6"/>
  <c r="H58" i="6"/>
  <c r="J57" i="6"/>
  <c r="H57" i="6"/>
  <c r="J56" i="6"/>
  <c r="H56" i="6"/>
  <c r="J55" i="6"/>
  <c r="H55" i="6"/>
  <c r="J54" i="6"/>
  <c r="H54" i="6"/>
  <c r="J53" i="6"/>
  <c r="H53" i="6"/>
  <c r="J52" i="6"/>
  <c r="H52" i="6"/>
  <c r="J51" i="6"/>
  <c r="H51" i="6"/>
  <c r="J50" i="6"/>
  <c r="H50" i="6"/>
  <c r="J49" i="6"/>
  <c r="H49" i="6"/>
  <c r="J48" i="6"/>
  <c r="H48" i="6"/>
  <c r="J47" i="6"/>
  <c r="H47" i="6"/>
  <c r="J46" i="6"/>
  <c r="H46" i="6"/>
  <c r="J45" i="6"/>
  <c r="H45" i="6"/>
  <c r="J44" i="6"/>
  <c r="H44" i="6"/>
  <c r="J43" i="6"/>
  <c r="H43" i="6"/>
  <c r="J42" i="6"/>
  <c r="H42" i="6"/>
  <c r="J41" i="6"/>
  <c r="H41" i="6"/>
  <c r="J40" i="6"/>
  <c r="H40" i="6"/>
  <c r="J39" i="6"/>
  <c r="H39" i="6"/>
  <c r="J38" i="6"/>
  <c r="H38" i="6"/>
  <c r="J37" i="6"/>
  <c r="H37" i="6"/>
  <c r="J36" i="6"/>
  <c r="H36" i="6"/>
  <c r="J35" i="6"/>
  <c r="H35" i="6"/>
  <c r="J34" i="6"/>
  <c r="H34" i="6"/>
  <c r="J33" i="6"/>
  <c r="H33" i="6"/>
  <c r="J32" i="6"/>
  <c r="H32" i="6"/>
  <c r="J31" i="6"/>
  <c r="H31" i="6"/>
  <c r="J30" i="6"/>
  <c r="H30" i="6"/>
  <c r="J29" i="6"/>
  <c r="H29" i="6"/>
  <c r="J28" i="6"/>
  <c r="H28" i="6"/>
  <c r="J27" i="6"/>
  <c r="H27" i="6"/>
  <c r="J26" i="6"/>
  <c r="H26" i="6"/>
  <c r="J25" i="6"/>
  <c r="H25" i="6"/>
  <c r="J24" i="6"/>
  <c r="H24" i="6"/>
  <c r="J23" i="6"/>
  <c r="H23" i="6"/>
  <c r="J22" i="6"/>
  <c r="H22" i="6"/>
  <c r="J21" i="6"/>
  <c r="H21" i="6"/>
  <c r="J20" i="6"/>
  <c r="H20" i="6"/>
  <c r="J19" i="6"/>
  <c r="H19" i="6"/>
  <c r="J18" i="6"/>
  <c r="H18" i="6"/>
  <c r="J17" i="6"/>
  <c r="H17" i="6"/>
  <c r="J16" i="6"/>
  <c r="H16" i="6"/>
  <c r="J15" i="6"/>
  <c r="H15" i="6"/>
  <c r="J14" i="6"/>
  <c r="H14" i="6"/>
  <c r="J13" i="6"/>
  <c r="H13" i="6"/>
  <c r="J12" i="6"/>
  <c r="H12" i="6"/>
  <c r="J11" i="6"/>
  <c r="H11" i="6"/>
  <c r="J10" i="6"/>
  <c r="H10" i="6"/>
  <c r="J9" i="6"/>
  <c r="H9" i="6"/>
  <c r="J8" i="6"/>
  <c r="H8" i="6"/>
  <c r="J7" i="6"/>
  <c r="H7" i="6"/>
  <c r="J6" i="6"/>
  <c r="H6" i="6"/>
  <c r="J5" i="6"/>
  <c r="H5" i="6"/>
  <c r="J4" i="6"/>
  <c r="H4" i="6"/>
  <c r="J3" i="6"/>
  <c r="H3" i="6"/>
  <c r="J2" i="6"/>
  <c r="H2" i="6"/>
  <c r="V6" i="5"/>
  <c r="U6" i="5"/>
  <c r="T6" i="5"/>
  <c r="S6" i="5"/>
  <c r="V5" i="5"/>
  <c r="U5" i="5"/>
  <c r="T5" i="5"/>
  <c r="S5" i="5"/>
  <c r="X5" i="5" s="1"/>
  <c r="V4" i="5"/>
  <c r="U4" i="5"/>
  <c r="T4" i="5"/>
  <c r="S4" i="5"/>
  <c r="X4" i="5" s="1"/>
  <c r="V3" i="5"/>
  <c r="U3" i="5"/>
  <c r="T3" i="5"/>
  <c r="S3" i="5"/>
  <c r="V2" i="5"/>
  <c r="U2" i="5"/>
  <c r="T2" i="5"/>
  <c r="S2" i="5"/>
  <c r="V7" i="4"/>
  <c r="U7" i="4"/>
  <c r="P7" i="4"/>
  <c r="V6" i="4"/>
  <c r="U6" i="4"/>
  <c r="P6" i="4"/>
  <c r="V5" i="4"/>
  <c r="U5" i="4"/>
  <c r="P5" i="4"/>
  <c r="V4" i="4"/>
  <c r="U4" i="4"/>
  <c r="P4" i="4"/>
  <c r="U3" i="4"/>
  <c r="V3" i="4" s="1"/>
  <c r="P3" i="4"/>
  <c r="U2" i="4"/>
  <c r="C2" i="16" s="1"/>
  <c r="D2" i="16" s="1"/>
  <c r="P2" i="4"/>
  <c r="H6" i="22"/>
  <c r="H5" i="22"/>
  <c r="E3" i="22"/>
  <c r="H3" i="22" s="1"/>
  <c r="H2" i="22"/>
  <c r="E2" i="22"/>
  <c r="N105" i="21"/>
  <c r="N104" i="21"/>
  <c r="N103" i="21"/>
  <c r="N102" i="21"/>
  <c r="N101" i="21"/>
  <c r="N100" i="21"/>
  <c r="N99" i="21"/>
  <c r="N98" i="21"/>
  <c r="N97" i="21"/>
  <c r="N96" i="21"/>
  <c r="N95" i="21"/>
  <c r="M95" i="21"/>
  <c r="N94" i="21"/>
  <c r="N93" i="21"/>
  <c r="N92" i="21"/>
  <c r="N91" i="21"/>
  <c r="N90" i="21"/>
  <c r="N89" i="21"/>
  <c r="N88" i="21"/>
  <c r="N87" i="21"/>
  <c r="N86" i="21"/>
  <c r="N85" i="21"/>
  <c r="M85" i="21"/>
  <c r="N84" i="21"/>
  <c r="N83" i="21"/>
  <c r="N82" i="21"/>
  <c r="N81" i="21"/>
  <c r="N80" i="21"/>
  <c r="M80" i="21"/>
  <c r="N79" i="21"/>
  <c r="N78" i="21"/>
  <c r="N77" i="21"/>
  <c r="N76" i="21"/>
  <c r="N75" i="21"/>
  <c r="N74" i="21"/>
  <c r="N73" i="21"/>
  <c r="N72" i="21"/>
  <c r="N71" i="21"/>
  <c r="N70" i="21"/>
  <c r="N69" i="21"/>
  <c r="M69" i="21"/>
  <c r="N68" i="21"/>
  <c r="N67" i="21"/>
  <c r="N66" i="21"/>
  <c r="N65" i="21"/>
  <c r="N64" i="21"/>
  <c r="N63" i="21"/>
  <c r="N62" i="21"/>
  <c r="N61" i="21"/>
  <c r="N60" i="21"/>
  <c r="N59" i="21"/>
  <c r="M59" i="21"/>
  <c r="N58" i="21"/>
  <c r="N57" i="21"/>
  <c r="N56" i="21"/>
  <c r="N55" i="21"/>
  <c r="N54" i="21"/>
  <c r="M54" i="21"/>
  <c r="N53" i="21"/>
  <c r="N52" i="21"/>
  <c r="N51" i="21"/>
  <c r="N50" i="21"/>
  <c r="N49" i="21"/>
  <c r="N48" i="21"/>
  <c r="N47" i="21"/>
  <c r="N46" i="21"/>
  <c r="N45" i="21"/>
  <c r="N44" i="21"/>
  <c r="N43" i="21"/>
  <c r="M43" i="21"/>
  <c r="N42" i="21"/>
  <c r="N41" i="21"/>
  <c r="N40" i="21"/>
  <c r="N39" i="21"/>
  <c r="N38" i="21"/>
  <c r="N37" i="21"/>
  <c r="N36" i="21"/>
  <c r="N35" i="21"/>
  <c r="N34" i="21"/>
  <c r="N33" i="21"/>
  <c r="M33" i="21"/>
  <c r="N32" i="21"/>
  <c r="N31" i="21"/>
  <c r="N30" i="21"/>
  <c r="N29" i="21"/>
  <c r="N28" i="21"/>
  <c r="M28" i="21"/>
  <c r="N27" i="21"/>
  <c r="N26" i="21"/>
  <c r="N25" i="21"/>
  <c r="N24" i="21"/>
  <c r="N23" i="21"/>
  <c r="N22" i="21"/>
  <c r="N21" i="21"/>
  <c r="N20" i="21"/>
  <c r="N19" i="21"/>
  <c r="N18" i="21"/>
  <c r="N17" i="21"/>
  <c r="M17" i="21"/>
  <c r="N16" i="21"/>
  <c r="N15" i="21"/>
  <c r="N14" i="21"/>
  <c r="N13" i="21"/>
  <c r="N12" i="21"/>
  <c r="N11" i="21"/>
  <c r="N10" i="21"/>
  <c r="N9" i="21"/>
  <c r="N8" i="21"/>
  <c r="N7" i="21"/>
  <c r="M7" i="21"/>
  <c r="N6" i="21"/>
  <c r="N5" i="21"/>
  <c r="N4" i="21"/>
  <c r="N3" i="21"/>
  <c r="N2" i="21"/>
  <c r="M2" i="21"/>
  <c r="B16" i="3"/>
  <c r="B15" i="3"/>
  <c r="B14" i="3"/>
  <c r="B13" i="3"/>
  <c r="B12" i="3"/>
  <c r="B11" i="3"/>
  <c r="B9" i="3"/>
  <c r="B8" i="3"/>
  <c r="AB126" i="7" l="1"/>
  <c r="AB118" i="7"/>
  <c r="AB124" i="7"/>
  <c r="AB116" i="7"/>
  <c r="AB127" i="7"/>
  <c r="AB119" i="7"/>
  <c r="AB111" i="7"/>
  <c r="AB130" i="7"/>
  <c r="AB122" i="7"/>
  <c r="AB114" i="7"/>
  <c r="AB106" i="7"/>
  <c r="AB125" i="7"/>
  <c r="AB109" i="7"/>
  <c r="AB131" i="7"/>
  <c r="AB123" i="7"/>
  <c r="AB117" i="7"/>
  <c r="AB113" i="7"/>
  <c r="AB110" i="7"/>
  <c r="AB115" i="7"/>
  <c r="AB108" i="7"/>
  <c r="AB129" i="7"/>
  <c r="AB121" i="7"/>
  <c r="AB112" i="7"/>
  <c r="AB120" i="7"/>
  <c r="AB107" i="7"/>
  <c r="AB128" i="7"/>
  <c r="J5" i="14"/>
  <c r="K31" i="14"/>
  <c r="J36" i="14"/>
  <c r="Z100" i="7"/>
  <c r="Z92" i="7"/>
  <c r="Z103" i="7"/>
  <c r="Z95" i="7"/>
  <c r="Z102" i="7"/>
  <c r="Z82" i="7"/>
  <c r="Z93" i="7"/>
  <c r="Z85" i="7"/>
  <c r="Z104" i="7"/>
  <c r="Z80" i="7"/>
  <c r="Z90" i="7"/>
  <c r="Z88" i="7"/>
  <c r="Z99" i="7"/>
  <c r="Z97" i="7"/>
  <c r="Z83" i="7"/>
  <c r="Z94" i="7"/>
  <c r="Z86" i="7"/>
  <c r="Z101" i="7"/>
  <c r="Z81" i="7"/>
  <c r="Z98" i="7"/>
  <c r="Z105" i="7"/>
  <c r="Z91" i="7"/>
  <c r="Z89" i="7"/>
  <c r="Z87" i="7"/>
  <c r="Z96" i="7"/>
  <c r="Z84" i="7"/>
  <c r="AA128" i="7"/>
  <c r="AA120" i="7"/>
  <c r="AA127" i="7"/>
  <c r="AA119" i="7"/>
  <c r="AA111" i="7"/>
  <c r="AA130" i="7"/>
  <c r="AA122" i="7"/>
  <c r="AA126" i="7"/>
  <c r="AA118" i="7"/>
  <c r="AA109" i="7"/>
  <c r="AA125" i="7"/>
  <c r="AA106" i="7"/>
  <c r="AA131" i="7"/>
  <c r="AA123" i="7"/>
  <c r="AA124" i="7"/>
  <c r="AA117" i="7"/>
  <c r="AA113" i="7"/>
  <c r="AA110" i="7"/>
  <c r="AA115" i="7"/>
  <c r="AA108" i="7"/>
  <c r="AA129" i="7"/>
  <c r="AA116" i="7"/>
  <c r="AA107" i="7"/>
  <c r="AA114" i="7"/>
  <c r="AA112" i="7"/>
  <c r="AA121" i="7"/>
  <c r="N31" i="14"/>
  <c r="M123" i="13"/>
  <c r="L124" i="13" s="1"/>
  <c r="M124" i="13" s="1"/>
  <c r="L125" i="13" s="1"/>
  <c r="M125" i="13" s="1"/>
  <c r="L126" i="13" s="1"/>
  <c r="M126" i="13" s="1"/>
  <c r="L127" i="13" s="1"/>
  <c r="M127" i="13" s="1"/>
  <c r="L128" i="13" s="1"/>
  <c r="M128" i="13" s="1"/>
  <c r="L129" i="13" s="1"/>
  <c r="M129" i="13" s="1"/>
  <c r="L130" i="13" s="1"/>
  <c r="M130" i="13" s="1"/>
  <c r="L131" i="13" s="1"/>
  <c r="M131" i="13" s="1"/>
  <c r="L132" i="13" s="1"/>
  <c r="M132" i="13" s="1"/>
  <c r="L133" i="13" s="1"/>
  <c r="M133" i="13" s="1"/>
  <c r="L134" i="13" s="1"/>
  <c r="M134" i="13" s="1"/>
  <c r="L135" i="13" s="1"/>
  <c r="M135" i="13" s="1"/>
  <c r="L136" i="13" s="1"/>
  <c r="M136" i="13" s="1"/>
  <c r="L137" i="13" s="1"/>
  <c r="M137" i="13" s="1"/>
  <c r="L138" i="13" s="1"/>
  <c r="M138" i="13" s="1"/>
  <c r="L139" i="13" s="1"/>
  <c r="M139" i="13" s="1"/>
  <c r="L140" i="13" s="1"/>
  <c r="M140" i="13" s="1"/>
  <c r="L141" i="13" s="1"/>
  <c r="M141" i="13" s="1"/>
  <c r="L142" i="13" s="1"/>
  <c r="M142" i="13" s="1"/>
  <c r="L143" i="13" s="1"/>
  <c r="M143" i="13" s="1"/>
  <c r="L144" i="13" s="1"/>
  <c r="M144" i="13" s="1"/>
  <c r="L145" i="13" s="1"/>
  <c r="M145" i="13" s="1"/>
  <c r="L146" i="13" s="1"/>
  <c r="M146" i="13" s="1"/>
  <c r="L147" i="13" s="1"/>
  <c r="M147" i="13" s="1"/>
  <c r="L148" i="13" s="1"/>
  <c r="M148" i="13" s="1"/>
  <c r="L149" i="13" s="1"/>
  <c r="M149" i="13" s="1"/>
  <c r="L150" i="13" s="1"/>
  <c r="M150" i="13" s="1"/>
  <c r="L151" i="13" s="1"/>
  <c r="M151" i="13" s="1"/>
  <c r="L152" i="13" s="1"/>
  <c r="M152" i="13" s="1"/>
  <c r="L153" i="13" s="1"/>
  <c r="M153" i="13" s="1"/>
  <c r="L154" i="13" s="1"/>
  <c r="M154" i="13" s="1"/>
  <c r="L155" i="13" s="1"/>
  <c r="M155" i="13" s="1"/>
  <c r="L156" i="13" s="1"/>
  <c r="M156" i="13" s="1"/>
  <c r="L157" i="13" s="1"/>
  <c r="M157" i="13" s="1"/>
  <c r="L158" i="13" s="1"/>
  <c r="M158" i="13" s="1"/>
  <c r="L159" i="13" s="1"/>
  <c r="M159" i="13" s="1"/>
  <c r="L160" i="13" s="1"/>
  <c r="M160" i="13" s="1"/>
  <c r="L161" i="13" s="1"/>
  <c r="M161" i="13" s="1"/>
  <c r="I5" i="14" s="1"/>
  <c r="N5" i="14" s="1"/>
  <c r="L46" i="7"/>
  <c r="L49" i="7"/>
  <c r="L52" i="7"/>
  <c r="L44" i="7"/>
  <c r="L47" i="7"/>
  <c r="L39" i="7"/>
  <c r="L50" i="7"/>
  <c r="L42" i="7"/>
  <c r="L53" i="7"/>
  <c r="Q53" i="7" s="1"/>
  <c r="L45" i="7"/>
  <c r="L51" i="7"/>
  <c r="Q51" i="7" s="1"/>
  <c r="L43" i="7"/>
  <c r="L32" i="7"/>
  <c r="L38" i="7"/>
  <c r="L31" i="7"/>
  <c r="L37" i="7"/>
  <c r="L41" i="7"/>
  <c r="L40" i="7"/>
  <c r="L30" i="7"/>
  <c r="L48" i="7"/>
  <c r="L36" i="7"/>
  <c r="L29" i="7"/>
  <c r="L35" i="7"/>
  <c r="L28" i="7"/>
  <c r="L34" i="7"/>
  <c r="Q34" i="7" s="1"/>
  <c r="L33" i="7"/>
  <c r="L16" i="14"/>
  <c r="K32" i="14"/>
  <c r="K37" i="14"/>
  <c r="Z51" i="7"/>
  <c r="Z49" i="7"/>
  <c r="Z41" i="7"/>
  <c r="Z52" i="7"/>
  <c r="Z44" i="7"/>
  <c r="Z47" i="7"/>
  <c r="Z39" i="7"/>
  <c r="Z50" i="7"/>
  <c r="Z42" i="7"/>
  <c r="Z48" i="7"/>
  <c r="Z53" i="7"/>
  <c r="Z28" i="7"/>
  <c r="Z34" i="7"/>
  <c r="Z33" i="7"/>
  <c r="Z45" i="7"/>
  <c r="Z32" i="7"/>
  <c r="Z46" i="7"/>
  <c r="Z31" i="7"/>
  <c r="Z38" i="7"/>
  <c r="Z37" i="7"/>
  <c r="Z40" i="7"/>
  <c r="Z30" i="7"/>
  <c r="Z29" i="7"/>
  <c r="Z43" i="7"/>
  <c r="Z35" i="7"/>
  <c r="Z36" i="7"/>
  <c r="AA51" i="7"/>
  <c r="AA43" i="7"/>
  <c r="AA35" i="7"/>
  <c r="AA46" i="7"/>
  <c r="AA38" i="7"/>
  <c r="AA30" i="7"/>
  <c r="AA49" i="7"/>
  <c r="AA41" i="7"/>
  <c r="AA33" i="7"/>
  <c r="AA52" i="7"/>
  <c r="AA44" i="7"/>
  <c r="AA36" i="7"/>
  <c r="AA28" i="7"/>
  <c r="AA47" i="7"/>
  <c r="AA39" i="7"/>
  <c r="AA31" i="7"/>
  <c r="AA50" i="7"/>
  <c r="AA42" i="7"/>
  <c r="AA34" i="7"/>
  <c r="AA53" i="7"/>
  <c r="AA45" i="7"/>
  <c r="AA37" i="7"/>
  <c r="AA29" i="7"/>
  <c r="AA48" i="7"/>
  <c r="AA40" i="7"/>
  <c r="AA32" i="7"/>
  <c r="AB103" i="7"/>
  <c r="AB95" i="7"/>
  <c r="AB98" i="7"/>
  <c r="AB90" i="7"/>
  <c r="AB100" i="7"/>
  <c r="AB93" i="7"/>
  <c r="AB85" i="7"/>
  <c r="AB104" i="7"/>
  <c r="AB80" i="7"/>
  <c r="AB88" i="7"/>
  <c r="AB99" i="7"/>
  <c r="AB97" i="7"/>
  <c r="AB83" i="7"/>
  <c r="AB94" i="7"/>
  <c r="AB86" i="7"/>
  <c r="AB101" i="7"/>
  <c r="AB92" i="7"/>
  <c r="AB81" i="7"/>
  <c r="AB96" i="7"/>
  <c r="AB84" i="7"/>
  <c r="AB102" i="7"/>
  <c r="AB91" i="7"/>
  <c r="AB87" i="7"/>
  <c r="AB82" i="7"/>
  <c r="AB105" i="7"/>
  <c r="AB89" i="7"/>
  <c r="M42" i="13"/>
  <c r="L43" i="13" s="1"/>
  <c r="M43" i="13" s="1"/>
  <c r="L44" i="13" s="1"/>
  <c r="M44" i="13" s="1"/>
  <c r="L45" i="13" s="1"/>
  <c r="M45" i="13" s="1"/>
  <c r="L46" i="13" s="1"/>
  <c r="M46" i="13" s="1"/>
  <c r="L47" i="13" s="1"/>
  <c r="M47" i="13" s="1"/>
  <c r="L48" i="13" s="1"/>
  <c r="M48" i="13" s="1"/>
  <c r="L49" i="13" s="1"/>
  <c r="M49" i="13" s="1"/>
  <c r="L50" i="13" s="1"/>
  <c r="M50" i="13" s="1"/>
  <c r="L51" i="13" s="1"/>
  <c r="M51" i="13" s="1"/>
  <c r="L52" i="13" s="1"/>
  <c r="M52" i="13" s="1"/>
  <c r="L53" i="13" s="1"/>
  <c r="M53" i="13" s="1"/>
  <c r="L54" i="13" s="1"/>
  <c r="M54" i="13" s="1"/>
  <c r="L55" i="13" s="1"/>
  <c r="M55" i="13" s="1"/>
  <c r="L56" i="13" s="1"/>
  <c r="M56" i="13" s="1"/>
  <c r="L57" i="13" s="1"/>
  <c r="M57" i="13" s="1"/>
  <c r="L58" i="13" s="1"/>
  <c r="M58" i="13" s="1"/>
  <c r="L59" i="13" s="1"/>
  <c r="M59" i="13" s="1"/>
  <c r="L60" i="13" s="1"/>
  <c r="M60" i="13" s="1"/>
  <c r="L61" i="13" s="1"/>
  <c r="M61" i="13" s="1"/>
  <c r="L62" i="13" s="1"/>
  <c r="M62" i="13" s="1"/>
  <c r="L63" i="13" s="1"/>
  <c r="M63" i="13" s="1"/>
  <c r="L64" i="13" s="1"/>
  <c r="M64" i="13" s="1"/>
  <c r="L65" i="13" s="1"/>
  <c r="M65" i="13" s="1"/>
  <c r="L66" i="13" s="1"/>
  <c r="M66" i="13" s="1"/>
  <c r="L67" i="13" s="1"/>
  <c r="M67" i="13" s="1"/>
  <c r="L68" i="13" s="1"/>
  <c r="M68" i="13" s="1"/>
  <c r="L69" i="13" s="1"/>
  <c r="M69" i="13" s="1"/>
  <c r="L70" i="13" s="1"/>
  <c r="M70" i="13" s="1"/>
  <c r="L71" i="13" s="1"/>
  <c r="M71" i="13" s="1"/>
  <c r="L72" i="13" s="1"/>
  <c r="M72" i="13" s="1"/>
  <c r="L73" i="13" s="1"/>
  <c r="M73" i="13" s="1"/>
  <c r="L74" i="13" s="1"/>
  <c r="M74" i="13" s="1"/>
  <c r="L75" i="13" s="1"/>
  <c r="M75" i="13" s="1"/>
  <c r="L76" i="13" s="1"/>
  <c r="M76" i="13" s="1"/>
  <c r="L77" i="13" s="1"/>
  <c r="M77" i="13" s="1"/>
  <c r="L78" i="13" s="1"/>
  <c r="M78" i="13" s="1"/>
  <c r="L79" i="13" s="1"/>
  <c r="M79" i="13" s="1"/>
  <c r="L80" i="13" s="1"/>
  <c r="M80" i="13" s="1"/>
  <c r="L81" i="13" s="1"/>
  <c r="M81" i="13" s="1"/>
  <c r="I3" i="14" s="1"/>
  <c r="N3" i="14" s="1"/>
  <c r="M164" i="13"/>
  <c r="L165" i="13" s="1"/>
  <c r="M165" i="13" s="1"/>
  <c r="L166" i="13" s="1"/>
  <c r="M166" i="13" s="1"/>
  <c r="L167" i="13" s="1"/>
  <c r="M167" i="13" s="1"/>
  <c r="L168" i="13" s="1"/>
  <c r="M168" i="13" s="1"/>
  <c r="L169" i="13" s="1"/>
  <c r="M169" i="13" s="1"/>
  <c r="L170" i="13" s="1"/>
  <c r="M170" i="13" s="1"/>
  <c r="L171" i="13" s="1"/>
  <c r="M171" i="13" s="1"/>
  <c r="L172" i="13" s="1"/>
  <c r="M172" i="13" s="1"/>
  <c r="L173" i="13" s="1"/>
  <c r="M173" i="13" s="1"/>
  <c r="L174" i="13" s="1"/>
  <c r="M174" i="13" s="1"/>
  <c r="L175" i="13" s="1"/>
  <c r="M175" i="13" s="1"/>
  <c r="L176" i="13" s="1"/>
  <c r="M176" i="13" s="1"/>
  <c r="L177" i="13" s="1"/>
  <c r="M177" i="13" s="1"/>
  <c r="L178" i="13" s="1"/>
  <c r="M178" i="13" s="1"/>
  <c r="L179" i="13" s="1"/>
  <c r="M179" i="13" s="1"/>
  <c r="L180" i="13" s="1"/>
  <c r="M180" i="13" s="1"/>
  <c r="L181" i="13" s="1"/>
  <c r="M181" i="13" s="1"/>
  <c r="L182" i="13" s="1"/>
  <c r="M182" i="13" s="1"/>
  <c r="L183" i="13" s="1"/>
  <c r="M183" i="13" s="1"/>
  <c r="L184" i="13" s="1"/>
  <c r="M184" i="13" s="1"/>
  <c r="L185" i="13" s="1"/>
  <c r="M185" i="13" s="1"/>
  <c r="L186" i="13" s="1"/>
  <c r="M186" i="13" s="1"/>
  <c r="L187" i="13" s="1"/>
  <c r="M187" i="13" s="1"/>
  <c r="L188" i="13" s="1"/>
  <c r="M188" i="13" s="1"/>
  <c r="L189" i="13" s="1"/>
  <c r="M189" i="13" s="1"/>
  <c r="L190" i="13" s="1"/>
  <c r="M190" i="13" s="1"/>
  <c r="L191" i="13" s="1"/>
  <c r="M191" i="13" s="1"/>
  <c r="L192" i="13" s="1"/>
  <c r="M192" i="13" s="1"/>
  <c r="L193" i="13" s="1"/>
  <c r="M193" i="13" s="1"/>
  <c r="L194" i="13" s="1"/>
  <c r="M194" i="13" s="1"/>
  <c r="L195" i="13" s="1"/>
  <c r="M195" i="13" s="1"/>
  <c r="L196" i="13" s="1"/>
  <c r="M196" i="13" s="1"/>
  <c r="L197" i="13" s="1"/>
  <c r="M197" i="13" s="1"/>
  <c r="L198" i="13" s="1"/>
  <c r="M198" i="13" s="1"/>
  <c r="L199" i="13" s="1"/>
  <c r="M199" i="13" s="1"/>
  <c r="L200" i="13" s="1"/>
  <c r="M200" i="13" s="1"/>
  <c r="L201" i="13" s="1"/>
  <c r="M201" i="13" s="1"/>
  <c r="I6" i="14" s="1"/>
  <c r="AB46" i="7"/>
  <c r="AB49" i="7"/>
  <c r="AB52" i="7"/>
  <c r="AB44" i="7"/>
  <c r="AB47" i="7"/>
  <c r="AB39" i="7"/>
  <c r="AB50" i="7"/>
  <c r="AB42" i="7"/>
  <c r="AB53" i="7"/>
  <c r="AB45" i="7"/>
  <c r="AB37" i="7"/>
  <c r="AB51" i="7"/>
  <c r="AB43" i="7"/>
  <c r="AB34" i="7"/>
  <c r="AB33" i="7"/>
  <c r="AB32" i="7"/>
  <c r="AB31" i="7"/>
  <c r="AB38" i="7"/>
  <c r="AB40" i="7"/>
  <c r="AB30" i="7"/>
  <c r="AB36" i="7"/>
  <c r="AB48" i="7"/>
  <c r="AB35" i="7"/>
  <c r="AB28" i="7"/>
  <c r="AB29" i="7"/>
  <c r="AB41" i="7"/>
  <c r="AA103" i="7"/>
  <c r="AA95" i="7"/>
  <c r="AA102" i="7"/>
  <c r="AA82" i="7"/>
  <c r="AA100" i="7"/>
  <c r="AA93" i="7"/>
  <c r="AA85" i="7"/>
  <c r="AA104" i="7"/>
  <c r="AA80" i="7"/>
  <c r="AA90" i="7"/>
  <c r="AA88" i="7"/>
  <c r="AA99" i="7"/>
  <c r="AA97" i="7"/>
  <c r="AA83" i="7"/>
  <c r="AA94" i="7"/>
  <c r="AA86" i="7"/>
  <c r="AA101" i="7"/>
  <c r="AA92" i="7"/>
  <c r="AA81" i="7"/>
  <c r="AA105" i="7"/>
  <c r="AA91" i="7"/>
  <c r="AA89" i="7"/>
  <c r="AA87" i="7"/>
  <c r="AA96" i="7"/>
  <c r="AA98" i="7"/>
  <c r="AA84" i="7"/>
  <c r="X2" i="5"/>
  <c r="L77" i="7"/>
  <c r="Q77" i="7" s="1"/>
  <c r="L69" i="7"/>
  <c r="L61" i="7"/>
  <c r="L72" i="7"/>
  <c r="L64" i="7"/>
  <c r="L56" i="7"/>
  <c r="Q56" i="7" s="1"/>
  <c r="L78" i="7"/>
  <c r="L76" i="7"/>
  <c r="L68" i="7"/>
  <c r="L60" i="7"/>
  <c r="Q60" i="7" s="1"/>
  <c r="L54" i="7"/>
  <c r="L71" i="7"/>
  <c r="L58" i="7"/>
  <c r="Q58" i="7" s="1"/>
  <c r="L70" i="7"/>
  <c r="L67" i="7"/>
  <c r="L75" i="7"/>
  <c r="L74" i="7"/>
  <c r="L57" i="7"/>
  <c r="L55" i="7"/>
  <c r="L79" i="7"/>
  <c r="L73" i="7"/>
  <c r="Q73" i="7" s="1"/>
  <c r="L66" i="7"/>
  <c r="Q66" i="7" s="1"/>
  <c r="L63" i="7"/>
  <c r="L62" i="7"/>
  <c r="Q62" i="7" s="1"/>
  <c r="L59" i="7"/>
  <c r="L65" i="7"/>
  <c r="Q65" i="7" s="1"/>
  <c r="L103" i="7"/>
  <c r="Q103" i="7" s="1"/>
  <c r="L95" i="7"/>
  <c r="Q95" i="7" s="1"/>
  <c r="L98" i="7"/>
  <c r="L90" i="7"/>
  <c r="L104" i="7"/>
  <c r="L85" i="7"/>
  <c r="L99" i="7"/>
  <c r="L97" i="7"/>
  <c r="L88" i="7"/>
  <c r="Q88" i="7" s="1"/>
  <c r="L80" i="7"/>
  <c r="L83" i="7"/>
  <c r="L92" i="7"/>
  <c r="Q92" i="7" s="1"/>
  <c r="L101" i="7"/>
  <c r="L94" i="7"/>
  <c r="Q94" i="7" s="1"/>
  <c r="L86" i="7"/>
  <c r="L96" i="7"/>
  <c r="L81" i="7"/>
  <c r="L105" i="7"/>
  <c r="L91" i="7"/>
  <c r="L89" i="7"/>
  <c r="L84" i="7"/>
  <c r="L100" i="7"/>
  <c r="L102" i="7"/>
  <c r="L93" i="7"/>
  <c r="L82" i="7"/>
  <c r="L87" i="7"/>
  <c r="L8" i="7"/>
  <c r="L25" i="7"/>
  <c r="L19" i="7"/>
  <c r="L12" i="7"/>
  <c r="L18" i="7"/>
  <c r="L24" i="7"/>
  <c r="L5" i="7"/>
  <c r="L23" i="7"/>
  <c r="L7" i="7"/>
  <c r="L2" i="7"/>
  <c r="L16" i="7"/>
  <c r="L10" i="7"/>
  <c r="L22" i="7"/>
  <c r="L21" i="7"/>
  <c r="L15" i="7"/>
  <c r="L9" i="7"/>
  <c r="L20" i="7"/>
  <c r="L26" i="7"/>
  <c r="L17" i="7"/>
  <c r="L27" i="7"/>
  <c r="Q27" i="7" s="1"/>
  <c r="L11" i="7"/>
  <c r="L4" i="7"/>
  <c r="L3" i="7"/>
  <c r="L6" i="7"/>
  <c r="L13" i="7"/>
  <c r="L14" i="7"/>
  <c r="Z74" i="7"/>
  <c r="Z66" i="7"/>
  <c r="Z58" i="7"/>
  <c r="Z77" i="7"/>
  <c r="Z69" i="7"/>
  <c r="Z61" i="7"/>
  <c r="Z75" i="7"/>
  <c r="Z78" i="7"/>
  <c r="Z73" i="7"/>
  <c r="Z65" i="7"/>
  <c r="Z57" i="7"/>
  <c r="Z76" i="7"/>
  <c r="Z63" i="7"/>
  <c r="Z68" i="7"/>
  <c r="Z79" i="7"/>
  <c r="Z72" i="7"/>
  <c r="Z59" i="7"/>
  <c r="Z56" i="7"/>
  <c r="Z54" i="7"/>
  <c r="Z62" i="7"/>
  <c r="Z64" i="7"/>
  <c r="Z71" i="7"/>
  <c r="Z60" i="7"/>
  <c r="Z67" i="7"/>
  <c r="Z55" i="7"/>
  <c r="Z70" i="7"/>
  <c r="M243" i="13"/>
  <c r="L244" i="13" s="1"/>
  <c r="M244" i="13" s="1"/>
  <c r="L245" i="13" s="1"/>
  <c r="M245" i="13" s="1"/>
  <c r="L246" i="13" s="1"/>
  <c r="M246" i="13" s="1"/>
  <c r="L247" i="13" s="1"/>
  <c r="M247" i="13" s="1"/>
  <c r="L248" i="13" s="1"/>
  <c r="M248" i="13" s="1"/>
  <c r="L249" i="13" s="1"/>
  <c r="M249" i="13" s="1"/>
  <c r="L250" i="13" s="1"/>
  <c r="M250" i="13" s="1"/>
  <c r="L251" i="13" s="1"/>
  <c r="M251" i="13" s="1"/>
  <c r="L252" i="13" s="1"/>
  <c r="M252" i="13" s="1"/>
  <c r="L253" i="13" s="1"/>
  <c r="M253" i="13" s="1"/>
  <c r="L254" i="13" s="1"/>
  <c r="M254" i="13" s="1"/>
  <c r="L255" i="13" s="1"/>
  <c r="M255" i="13" s="1"/>
  <c r="L256" i="13" s="1"/>
  <c r="M256" i="13" s="1"/>
  <c r="L257" i="13" s="1"/>
  <c r="M257" i="13" s="1"/>
  <c r="L258" i="13" s="1"/>
  <c r="M258" i="13" s="1"/>
  <c r="L259" i="13" s="1"/>
  <c r="M259" i="13" s="1"/>
  <c r="L260" i="13" s="1"/>
  <c r="M260" i="13" s="1"/>
  <c r="L261" i="13" s="1"/>
  <c r="M261" i="13" s="1"/>
  <c r="L262" i="13" s="1"/>
  <c r="M262" i="13" s="1"/>
  <c r="L263" i="13" s="1"/>
  <c r="M263" i="13" s="1"/>
  <c r="L264" i="13" s="1"/>
  <c r="M264" i="13" s="1"/>
  <c r="L265" i="13" s="1"/>
  <c r="M265" i="13" s="1"/>
  <c r="L266" i="13" s="1"/>
  <c r="M266" i="13" s="1"/>
  <c r="L267" i="13" s="1"/>
  <c r="M267" i="13" s="1"/>
  <c r="L268" i="13" s="1"/>
  <c r="M268" i="13" s="1"/>
  <c r="L269" i="13" s="1"/>
  <c r="M269" i="13" s="1"/>
  <c r="L270" i="13" s="1"/>
  <c r="M270" i="13" s="1"/>
  <c r="L271" i="13" s="1"/>
  <c r="M271" i="13" s="1"/>
  <c r="L272" i="13" s="1"/>
  <c r="M272" i="13" s="1"/>
  <c r="L273" i="13" s="1"/>
  <c r="M273" i="13" s="1"/>
  <c r="L274" i="13" s="1"/>
  <c r="M274" i="13" s="1"/>
  <c r="L275" i="13" s="1"/>
  <c r="M275" i="13" s="1"/>
  <c r="L276" i="13" s="1"/>
  <c r="M276" i="13" s="1"/>
  <c r="L277" i="13" s="1"/>
  <c r="M277" i="13" s="1"/>
  <c r="L278" i="13" s="1"/>
  <c r="M278" i="13" s="1"/>
  <c r="L279" i="13" s="1"/>
  <c r="M279" i="13" s="1"/>
  <c r="L280" i="13" s="1"/>
  <c r="M280" i="13" s="1"/>
  <c r="L281" i="13" s="1"/>
  <c r="M281" i="13" s="1"/>
  <c r="I8" i="14" s="1"/>
  <c r="N8" i="14" s="1"/>
  <c r="AA74" i="7"/>
  <c r="AA77" i="7"/>
  <c r="AA69" i="7"/>
  <c r="AA61" i="7"/>
  <c r="AA75" i="7"/>
  <c r="AA78" i="7"/>
  <c r="AA70" i="7"/>
  <c r="AA73" i="7"/>
  <c r="AA65" i="7"/>
  <c r="AA79" i="7"/>
  <c r="AA66" i="7"/>
  <c r="AA68" i="7"/>
  <c r="AA72" i="7"/>
  <c r="AA59" i="7"/>
  <c r="AA56" i="7"/>
  <c r="AA54" i="7"/>
  <c r="AA62" i="7"/>
  <c r="AA64" i="7"/>
  <c r="AA71" i="7"/>
  <c r="AA60" i="7"/>
  <c r="AA67" i="7"/>
  <c r="AA58" i="7"/>
  <c r="AA55" i="7"/>
  <c r="AA76" i="7"/>
  <c r="AA63" i="7"/>
  <c r="AA57" i="7"/>
  <c r="L21" i="14"/>
  <c r="M101" i="13"/>
  <c r="L102" i="13" s="1"/>
  <c r="M102" i="13" s="1"/>
  <c r="L103" i="13" s="1"/>
  <c r="M103" i="13" s="1"/>
  <c r="L104" i="13" s="1"/>
  <c r="M104" i="13" s="1"/>
  <c r="L105" i="13" s="1"/>
  <c r="M105" i="13" s="1"/>
  <c r="L106" i="13" s="1"/>
  <c r="M106" i="13" s="1"/>
  <c r="L107" i="13" s="1"/>
  <c r="M107" i="13" s="1"/>
  <c r="L108" i="13" s="1"/>
  <c r="M108" i="13" s="1"/>
  <c r="L109" i="13" s="1"/>
  <c r="M109" i="13" s="1"/>
  <c r="L110" i="13" s="1"/>
  <c r="M110" i="13" s="1"/>
  <c r="L111" i="13" s="1"/>
  <c r="M111" i="13" s="1"/>
  <c r="L112" i="13" s="1"/>
  <c r="M112" i="13" s="1"/>
  <c r="L113" i="13" s="1"/>
  <c r="M113" i="13" s="1"/>
  <c r="L114" i="13" s="1"/>
  <c r="M114" i="13" s="1"/>
  <c r="L115" i="13" s="1"/>
  <c r="M115" i="13" s="1"/>
  <c r="L116" i="13" s="1"/>
  <c r="M116" i="13" s="1"/>
  <c r="L117" i="13" s="1"/>
  <c r="M117" i="13" s="1"/>
  <c r="L118" i="13" s="1"/>
  <c r="M118" i="13" s="1"/>
  <c r="L119" i="13" s="1"/>
  <c r="M119" i="13" s="1"/>
  <c r="L120" i="13" s="1"/>
  <c r="M120" i="13" s="1"/>
  <c r="L121" i="13" s="1"/>
  <c r="M121" i="13" s="1"/>
  <c r="I4" i="14" s="1"/>
  <c r="N4" i="14" s="1"/>
  <c r="M480" i="13"/>
  <c r="L481" i="13" s="1"/>
  <c r="M481" i="13" s="1"/>
  <c r="I13" i="14" s="1"/>
  <c r="N13" i="14" s="1"/>
  <c r="L52" i="14"/>
  <c r="K52" i="14"/>
  <c r="AB15" i="7"/>
  <c r="AB21" i="7"/>
  <c r="AB9" i="7"/>
  <c r="AB27" i="7"/>
  <c r="AB20" i="7"/>
  <c r="AB14" i="7"/>
  <c r="AB8" i="7"/>
  <c r="AB26" i="7"/>
  <c r="AB19" i="7"/>
  <c r="AB25" i="7"/>
  <c r="AB12" i="7"/>
  <c r="AB5" i="7"/>
  <c r="AB24" i="7"/>
  <c r="AB18" i="7"/>
  <c r="AB11" i="7"/>
  <c r="AB17" i="7"/>
  <c r="AB23" i="7"/>
  <c r="AB4" i="7"/>
  <c r="AB22" i="7"/>
  <c r="AB16" i="7"/>
  <c r="AB10" i="7"/>
  <c r="AB3" i="7"/>
  <c r="AB2" i="7"/>
  <c r="AB7" i="7"/>
  <c r="AB13" i="7"/>
  <c r="AB6" i="7"/>
  <c r="X6" i="5"/>
  <c r="K21" i="14"/>
  <c r="M364" i="13"/>
  <c r="L365" i="13" s="1"/>
  <c r="M365" i="13" s="1"/>
  <c r="L366" i="13" s="1"/>
  <c r="M366" i="13" s="1"/>
  <c r="L367" i="13" s="1"/>
  <c r="M367" i="13" s="1"/>
  <c r="L368" i="13" s="1"/>
  <c r="M368" i="13" s="1"/>
  <c r="L369" i="13" s="1"/>
  <c r="M369" i="13" s="1"/>
  <c r="L370" i="13" s="1"/>
  <c r="M370" i="13" s="1"/>
  <c r="L371" i="13" s="1"/>
  <c r="M371" i="13" s="1"/>
  <c r="L372" i="13" s="1"/>
  <c r="M372" i="13" s="1"/>
  <c r="L373" i="13" s="1"/>
  <c r="M373" i="13" s="1"/>
  <c r="L374" i="13" s="1"/>
  <c r="M374" i="13" s="1"/>
  <c r="L375" i="13" s="1"/>
  <c r="M375" i="13" s="1"/>
  <c r="L376" i="13" s="1"/>
  <c r="M376" i="13" s="1"/>
  <c r="L377" i="13" s="1"/>
  <c r="M377" i="13" s="1"/>
  <c r="L378" i="13" s="1"/>
  <c r="M378" i="13" s="1"/>
  <c r="L379" i="13" s="1"/>
  <c r="M379" i="13" s="1"/>
  <c r="L380" i="13" s="1"/>
  <c r="M380" i="13" s="1"/>
  <c r="L381" i="13" s="1"/>
  <c r="M381" i="13" s="1"/>
  <c r="L382" i="13" s="1"/>
  <c r="M382" i="13" s="1"/>
  <c r="L383" i="13" s="1"/>
  <c r="M383" i="13" s="1"/>
  <c r="L384" i="13" s="1"/>
  <c r="M384" i="13" s="1"/>
  <c r="L385" i="13" s="1"/>
  <c r="M385" i="13" s="1"/>
  <c r="L386" i="13" s="1"/>
  <c r="M386" i="13" s="1"/>
  <c r="L387" i="13" s="1"/>
  <c r="M387" i="13" s="1"/>
  <c r="L388" i="13" s="1"/>
  <c r="M388" i="13" s="1"/>
  <c r="L389" i="13" s="1"/>
  <c r="M389" i="13" s="1"/>
  <c r="L390" i="13" s="1"/>
  <c r="M390" i="13" s="1"/>
  <c r="L391" i="13" s="1"/>
  <c r="M391" i="13" s="1"/>
  <c r="L392" i="13" s="1"/>
  <c r="M392" i="13" s="1"/>
  <c r="L393" i="13" s="1"/>
  <c r="M393" i="13" s="1"/>
  <c r="L394" i="13" s="1"/>
  <c r="M394" i="13" s="1"/>
  <c r="L395" i="13" s="1"/>
  <c r="M395" i="13" s="1"/>
  <c r="L396" i="13" s="1"/>
  <c r="M396" i="13" s="1"/>
  <c r="L397" i="13" s="1"/>
  <c r="M397" i="13" s="1"/>
  <c r="L398" i="13" s="1"/>
  <c r="M398" i="13" s="1"/>
  <c r="L399" i="13" s="1"/>
  <c r="M399" i="13" s="1"/>
  <c r="L400" i="13" s="1"/>
  <c r="M400" i="13" s="1"/>
  <c r="L401" i="13" s="1"/>
  <c r="M401" i="13" s="1"/>
  <c r="I11" i="14" s="1"/>
  <c r="AB77" i="7"/>
  <c r="AB69" i="7"/>
  <c r="AB61" i="7"/>
  <c r="AB72" i="7"/>
  <c r="AB64" i="7"/>
  <c r="AB56" i="7"/>
  <c r="AB78" i="7"/>
  <c r="AB76" i="7"/>
  <c r="AB68" i="7"/>
  <c r="AB60" i="7"/>
  <c r="AB75" i="7"/>
  <c r="AB65" i="7"/>
  <c r="AB59" i="7"/>
  <c r="AB79" i="7"/>
  <c r="AB54" i="7"/>
  <c r="AB62" i="7"/>
  <c r="AB71" i="7"/>
  <c r="AB67" i="7"/>
  <c r="AB58" i="7"/>
  <c r="AB55" i="7"/>
  <c r="AB70" i="7"/>
  <c r="AB57" i="7"/>
  <c r="AB63" i="7"/>
  <c r="AB74" i="7"/>
  <c r="AB73" i="7"/>
  <c r="AB66" i="7"/>
  <c r="X3" i="5"/>
  <c r="C2" i="9"/>
  <c r="M4" i="13"/>
  <c r="L5" i="13" s="1"/>
  <c r="M5" i="13" s="1"/>
  <c r="L6" i="13" s="1"/>
  <c r="M6" i="13" s="1"/>
  <c r="L7" i="13" s="1"/>
  <c r="M7" i="13" s="1"/>
  <c r="L8" i="13" s="1"/>
  <c r="M8" i="13" s="1"/>
  <c r="L9" i="13" s="1"/>
  <c r="M9" i="13" s="1"/>
  <c r="L10" i="13" s="1"/>
  <c r="M10" i="13" s="1"/>
  <c r="L11" i="13" s="1"/>
  <c r="M11" i="13" s="1"/>
  <c r="L12" i="13" s="1"/>
  <c r="M12" i="13" s="1"/>
  <c r="L13" i="13" s="1"/>
  <c r="M13" i="13" s="1"/>
  <c r="L14" i="13" s="1"/>
  <c r="M14" i="13" s="1"/>
  <c r="L15" i="13" s="1"/>
  <c r="M15" i="13" s="1"/>
  <c r="L16" i="13" s="1"/>
  <c r="M16" i="13" s="1"/>
  <c r="L17" i="13" s="1"/>
  <c r="M17" i="13" s="1"/>
  <c r="L18" i="13" s="1"/>
  <c r="M18" i="13" s="1"/>
  <c r="L19" i="13" s="1"/>
  <c r="M19" i="13" s="1"/>
  <c r="L20" i="13" s="1"/>
  <c r="M20" i="13" s="1"/>
  <c r="L21" i="13" s="1"/>
  <c r="M21" i="13" s="1"/>
  <c r="L22" i="13" s="1"/>
  <c r="M22" i="13" s="1"/>
  <c r="L23" i="13" s="1"/>
  <c r="M23" i="13" s="1"/>
  <c r="L24" i="13" s="1"/>
  <c r="M24" i="13" s="1"/>
  <c r="L25" i="13" s="1"/>
  <c r="M25" i="13" s="1"/>
  <c r="L26" i="13" s="1"/>
  <c r="M26" i="13" s="1"/>
  <c r="L27" i="13" s="1"/>
  <c r="M27" i="13" s="1"/>
  <c r="L28" i="13" s="1"/>
  <c r="M28" i="13" s="1"/>
  <c r="L29" i="13" s="1"/>
  <c r="M29" i="13" s="1"/>
  <c r="L30" i="13" s="1"/>
  <c r="M30" i="13" s="1"/>
  <c r="L31" i="13" s="1"/>
  <c r="M31" i="13" s="1"/>
  <c r="L32" i="13" s="1"/>
  <c r="M32" i="13" s="1"/>
  <c r="L33" i="13" s="1"/>
  <c r="M33" i="13" s="1"/>
  <c r="L34" i="13" s="1"/>
  <c r="M34" i="13" s="1"/>
  <c r="L35" i="13" s="1"/>
  <c r="M35" i="13" s="1"/>
  <c r="L36" i="13" s="1"/>
  <c r="M36" i="13" s="1"/>
  <c r="L37" i="13" s="1"/>
  <c r="M37" i="13" s="1"/>
  <c r="L38" i="13" s="1"/>
  <c r="M38" i="13" s="1"/>
  <c r="L39" i="13" s="1"/>
  <c r="M39" i="13" s="1"/>
  <c r="L40" i="13" s="1"/>
  <c r="M40" i="13" s="1"/>
  <c r="L41" i="13" s="1"/>
  <c r="M41" i="13" s="1"/>
  <c r="I2" i="14" s="1"/>
  <c r="N2" i="14" s="1"/>
  <c r="L41" i="14"/>
  <c r="K41" i="14"/>
  <c r="Z22" i="7"/>
  <c r="Z15" i="7"/>
  <c r="Z21" i="7"/>
  <c r="Z9" i="7"/>
  <c r="Z3" i="7"/>
  <c r="Z27" i="7"/>
  <c r="Z6" i="7"/>
  <c r="Z20" i="7"/>
  <c r="Z14" i="7"/>
  <c r="Z26" i="7"/>
  <c r="Z13" i="7"/>
  <c r="Z19" i="7"/>
  <c r="Z25" i="7"/>
  <c r="Z12" i="7"/>
  <c r="Z24" i="7"/>
  <c r="Z18" i="7"/>
  <c r="Z7" i="7"/>
  <c r="Z5" i="7"/>
  <c r="Z11" i="7"/>
  <c r="Z2" i="7"/>
  <c r="Z17" i="7"/>
  <c r="Z16" i="7"/>
  <c r="Z10" i="7"/>
  <c r="Z8" i="7"/>
  <c r="Z4" i="7"/>
  <c r="Z23" i="7"/>
  <c r="AA27" i="7"/>
  <c r="AA19" i="7"/>
  <c r="AA11" i="7"/>
  <c r="AA3" i="7"/>
  <c r="AA22" i="7"/>
  <c r="AA14" i="7"/>
  <c r="AA25" i="7"/>
  <c r="AA17" i="7"/>
  <c r="AA9" i="7"/>
  <c r="AA20" i="7"/>
  <c r="AA12" i="7"/>
  <c r="AA4" i="7"/>
  <c r="AA23" i="7"/>
  <c r="AA15" i="7"/>
  <c r="AA7" i="7"/>
  <c r="AA26" i="7"/>
  <c r="AA18" i="7"/>
  <c r="AA10" i="7"/>
  <c r="AA21" i="7"/>
  <c r="AA13" i="7"/>
  <c r="AA24" i="7"/>
  <c r="AA16" i="7"/>
  <c r="AA8" i="7"/>
  <c r="AA6" i="7"/>
  <c r="AA2" i="7"/>
  <c r="AA5" i="7"/>
  <c r="L126" i="7"/>
  <c r="L118" i="7"/>
  <c r="L124" i="7"/>
  <c r="Q124" i="7" s="1"/>
  <c r="L116" i="7"/>
  <c r="L127" i="7"/>
  <c r="L119" i="7"/>
  <c r="Q119" i="7" s="1"/>
  <c r="L111" i="7"/>
  <c r="Q111" i="7" s="1"/>
  <c r="L130" i="7"/>
  <c r="Q130" i="7" s="1"/>
  <c r="L122" i="7"/>
  <c r="L114" i="7"/>
  <c r="L106" i="7"/>
  <c r="L125" i="7"/>
  <c r="L123" i="7"/>
  <c r="L117" i="7"/>
  <c r="L113" i="7"/>
  <c r="Q113" i="7" s="1"/>
  <c r="L129" i="7"/>
  <c r="L115" i="7"/>
  <c r="L108" i="7"/>
  <c r="L121" i="7"/>
  <c r="L110" i="7"/>
  <c r="L128" i="7"/>
  <c r="L112" i="7"/>
  <c r="L120" i="7"/>
  <c r="L107" i="7"/>
  <c r="L131" i="7"/>
  <c r="L109" i="7"/>
  <c r="D2" i="9"/>
  <c r="Z131" i="7"/>
  <c r="Z123" i="7"/>
  <c r="Z115" i="7"/>
  <c r="Z129" i="7"/>
  <c r="Z121" i="7"/>
  <c r="Z113" i="7"/>
  <c r="Z124" i="7"/>
  <c r="Z116" i="7"/>
  <c r="Z108" i="7"/>
  <c r="Z127" i="7"/>
  <c r="Z119" i="7"/>
  <c r="Z111" i="7"/>
  <c r="Z130" i="7"/>
  <c r="Z122" i="7"/>
  <c r="Z114" i="7"/>
  <c r="Z126" i="7"/>
  <c r="Z118" i="7"/>
  <c r="Z109" i="7"/>
  <c r="Z125" i="7"/>
  <c r="Z106" i="7"/>
  <c r="Z117" i="7"/>
  <c r="Z110" i="7"/>
  <c r="Z128" i="7"/>
  <c r="Z120" i="7"/>
  <c r="Z107" i="7"/>
  <c r="Z112" i="7"/>
  <c r="M205" i="13"/>
  <c r="L206" i="13" s="1"/>
  <c r="M206" i="13" s="1"/>
  <c r="L207" i="13" s="1"/>
  <c r="M207" i="13" s="1"/>
  <c r="L208" i="13" s="1"/>
  <c r="M208" i="13" s="1"/>
  <c r="L209" i="13" s="1"/>
  <c r="M209" i="13" s="1"/>
  <c r="L210" i="13" s="1"/>
  <c r="M210" i="13" s="1"/>
  <c r="L211" i="13" s="1"/>
  <c r="M211" i="13" s="1"/>
  <c r="L212" i="13" s="1"/>
  <c r="M212" i="13" s="1"/>
  <c r="L213" i="13" s="1"/>
  <c r="M213" i="13" s="1"/>
  <c r="L214" i="13" s="1"/>
  <c r="M214" i="13" s="1"/>
  <c r="L215" i="13" s="1"/>
  <c r="M215" i="13" s="1"/>
  <c r="L216" i="13" s="1"/>
  <c r="M216" i="13" s="1"/>
  <c r="L217" i="13" s="1"/>
  <c r="M217" i="13" s="1"/>
  <c r="L218" i="13" s="1"/>
  <c r="M218" i="13" s="1"/>
  <c r="L219" i="13" s="1"/>
  <c r="M219" i="13" s="1"/>
  <c r="L220" i="13" s="1"/>
  <c r="M220" i="13" s="1"/>
  <c r="L221" i="13" s="1"/>
  <c r="M221" i="13" s="1"/>
  <c r="L222" i="13" s="1"/>
  <c r="M222" i="13" s="1"/>
  <c r="L223" i="13" s="1"/>
  <c r="M223" i="13" s="1"/>
  <c r="L224" i="13" s="1"/>
  <c r="M224" i="13" s="1"/>
  <c r="L225" i="13" s="1"/>
  <c r="M225" i="13" s="1"/>
  <c r="L226" i="13" s="1"/>
  <c r="M226" i="13" s="1"/>
  <c r="L227" i="13" s="1"/>
  <c r="M227" i="13" s="1"/>
  <c r="L228" i="13" s="1"/>
  <c r="M228" i="13" s="1"/>
  <c r="L229" i="13" s="1"/>
  <c r="M229" i="13" s="1"/>
  <c r="L230" i="13" s="1"/>
  <c r="M230" i="13" s="1"/>
  <c r="L231" i="13" s="1"/>
  <c r="M231" i="13" s="1"/>
  <c r="L232" i="13" s="1"/>
  <c r="M232" i="13" s="1"/>
  <c r="L233" i="13" s="1"/>
  <c r="M233" i="13" s="1"/>
  <c r="L234" i="13" s="1"/>
  <c r="M234" i="13" s="1"/>
  <c r="L235" i="13" s="1"/>
  <c r="M235" i="13" s="1"/>
  <c r="L236" i="13" s="1"/>
  <c r="M236" i="13" s="1"/>
  <c r="L237" i="13" s="1"/>
  <c r="M237" i="13" s="1"/>
  <c r="L238" i="13" s="1"/>
  <c r="M238" i="13" s="1"/>
  <c r="L239" i="13" s="1"/>
  <c r="M239" i="13" s="1"/>
  <c r="L240" i="13" s="1"/>
  <c r="M240" i="13" s="1"/>
  <c r="L241" i="13" s="1"/>
  <c r="M241" i="13" s="1"/>
  <c r="I7" i="14" s="1"/>
  <c r="N7" i="14" s="1"/>
  <c r="V2" i="4"/>
  <c r="N52" i="14"/>
  <c r="M524" i="13"/>
  <c r="L525" i="13" s="1"/>
  <c r="M525" i="13" s="1"/>
  <c r="L526" i="13" s="1"/>
  <c r="M526" i="13" s="1"/>
  <c r="L527" i="13" s="1"/>
  <c r="M527" i="13" s="1"/>
  <c r="L528" i="13" s="1"/>
  <c r="M528" i="13" s="1"/>
  <c r="L529" i="13" s="1"/>
  <c r="M529" i="13" s="1"/>
  <c r="L530" i="13" s="1"/>
  <c r="M530" i="13" s="1"/>
  <c r="L531" i="13" s="1"/>
  <c r="M531" i="13" s="1"/>
  <c r="L532" i="13" s="1"/>
  <c r="M532" i="13" s="1"/>
  <c r="L533" i="13" s="1"/>
  <c r="M533" i="13" s="1"/>
  <c r="L534" i="13" s="1"/>
  <c r="M534" i="13" s="1"/>
  <c r="L535" i="13" s="1"/>
  <c r="M535" i="13" s="1"/>
  <c r="L536" i="13" s="1"/>
  <c r="M536" i="13" s="1"/>
  <c r="L537" i="13" s="1"/>
  <c r="M537" i="13" s="1"/>
  <c r="L538" i="13" s="1"/>
  <c r="M538" i="13" s="1"/>
  <c r="L539" i="13" s="1"/>
  <c r="M539" i="13" s="1"/>
  <c r="L540" i="13" s="1"/>
  <c r="M540" i="13" s="1"/>
  <c r="L541" i="13" s="1"/>
  <c r="M541" i="13" s="1"/>
  <c r="L542" i="13" s="1"/>
  <c r="M542" i="13" s="1"/>
  <c r="L543" i="13" s="1"/>
  <c r="M543" i="13" s="1"/>
  <c r="L544" i="13" s="1"/>
  <c r="M544" i="13" s="1"/>
  <c r="L545" i="13" s="1"/>
  <c r="M545" i="13" s="1"/>
  <c r="L546" i="13" s="1"/>
  <c r="M546" i="13" s="1"/>
  <c r="L547" i="13" s="1"/>
  <c r="M547" i="13" s="1"/>
  <c r="L548" i="13" s="1"/>
  <c r="M548" i="13" s="1"/>
  <c r="L549" i="13" s="1"/>
  <c r="M549" i="13" s="1"/>
  <c r="L550" i="13" s="1"/>
  <c r="M550" i="13" s="1"/>
  <c r="L551" i="13" s="1"/>
  <c r="M551" i="13" s="1"/>
  <c r="L552" i="13" s="1"/>
  <c r="M552" i="13" s="1"/>
  <c r="L553" i="13" s="1"/>
  <c r="M553" i="13" s="1"/>
  <c r="L554" i="13" s="1"/>
  <c r="M554" i="13" s="1"/>
  <c r="L555" i="13" s="1"/>
  <c r="M555" i="13" s="1"/>
  <c r="L556" i="13" s="1"/>
  <c r="M556" i="13" s="1"/>
  <c r="L557" i="13" s="1"/>
  <c r="M557" i="13" s="1"/>
  <c r="L558" i="13" s="1"/>
  <c r="M558" i="13" s="1"/>
  <c r="L559" i="13" s="1"/>
  <c r="M559" i="13" s="1"/>
  <c r="L560" i="13" s="1"/>
  <c r="M560" i="13" s="1"/>
  <c r="L561" i="13" s="1"/>
  <c r="M561" i="13" s="1"/>
  <c r="I15" i="14" s="1"/>
  <c r="N15" i="14" s="1"/>
  <c r="J40" i="14"/>
  <c r="M282" i="13"/>
  <c r="L283" i="13" s="1"/>
  <c r="M283" i="13" s="1"/>
  <c r="L284" i="13" s="1"/>
  <c r="M284" i="13" s="1"/>
  <c r="L285" i="13" s="1"/>
  <c r="M285" i="13" s="1"/>
  <c r="L286" i="13" s="1"/>
  <c r="M286" i="13" s="1"/>
  <c r="L287" i="13" s="1"/>
  <c r="M287" i="13" s="1"/>
  <c r="L288" i="13" s="1"/>
  <c r="M288" i="13" s="1"/>
  <c r="L289" i="13" s="1"/>
  <c r="M289" i="13" s="1"/>
  <c r="L290" i="13" s="1"/>
  <c r="M290" i="13" s="1"/>
  <c r="L291" i="13" s="1"/>
  <c r="M291" i="13" s="1"/>
  <c r="L292" i="13" s="1"/>
  <c r="M292" i="13" s="1"/>
  <c r="L293" i="13" s="1"/>
  <c r="M293" i="13" s="1"/>
  <c r="L294" i="13" s="1"/>
  <c r="M294" i="13" s="1"/>
  <c r="L295" i="13" s="1"/>
  <c r="M295" i="13" s="1"/>
  <c r="L296" i="13" s="1"/>
  <c r="M296" i="13" s="1"/>
  <c r="L297" i="13" s="1"/>
  <c r="M297" i="13" s="1"/>
  <c r="L298" i="13" s="1"/>
  <c r="M298" i="13" s="1"/>
  <c r="L299" i="13" s="1"/>
  <c r="M299" i="13" s="1"/>
  <c r="L300" i="13" s="1"/>
  <c r="M300" i="13" s="1"/>
  <c r="L301" i="13" s="1"/>
  <c r="M301" i="13" s="1"/>
  <c r="L302" i="13" s="1"/>
  <c r="M302" i="13" s="1"/>
  <c r="L303" i="13" s="1"/>
  <c r="M303" i="13" s="1"/>
  <c r="L304" i="13" s="1"/>
  <c r="M304" i="13" s="1"/>
  <c r="L305" i="13" s="1"/>
  <c r="M305" i="13" s="1"/>
  <c r="L306" i="13" s="1"/>
  <c r="M306" i="13" s="1"/>
  <c r="L307" i="13" s="1"/>
  <c r="M307" i="13" s="1"/>
  <c r="L308" i="13" s="1"/>
  <c r="M308" i="13" s="1"/>
  <c r="L309" i="13" s="1"/>
  <c r="M309" i="13" s="1"/>
  <c r="L310" i="13" s="1"/>
  <c r="M310" i="13" s="1"/>
  <c r="L311" i="13" s="1"/>
  <c r="M311" i="13" s="1"/>
  <c r="L312" i="13" s="1"/>
  <c r="M312" i="13" s="1"/>
  <c r="L313" i="13" s="1"/>
  <c r="M313" i="13" s="1"/>
  <c r="L314" i="13" s="1"/>
  <c r="M314" i="13" s="1"/>
  <c r="L315" i="13" s="1"/>
  <c r="M315" i="13" s="1"/>
  <c r="L316" i="13" s="1"/>
  <c r="M316" i="13" s="1"/>
  <c r="L317" i="13" s="1"/>
  <c r="M317" i="13" s="1"/>
  <c r="L318" i="13" s="1"/>
  <c r="M318" i="13" s="1"/>
  <c r="L319" i="13" s="1"/>
  <c r="M319" i="13" s="1"/>
  <c r="L320" i="13" s="1"/>
  <c r="M320" i="13" s="1"/>
  <c r="L321" i="13" s="1"/>
  <c r="M321" i="13" s="1"/>
  <c r="I9" i="14" s="1"/>
  <c r="N9" i="14" s="1"/>
  <c r="M602" i="13"/>
  <c r="L603" i="13" s="1"/>
  <c r="M603" i="13" s="1"/>
  <c r="L604" i="13" s="1"/>
  <c r="M604" i="13" s="1"/>
  <c r="L605" i="13" s="1"/>
  <c r="M605" i="13" s="1"/>
  <c r="L606" i="13" s="1"/>
  <c r="M606" i="13" s="1"/>
  <c r="L607" i="13" s="1"/>
  <c r="M607" i="13" s="1"/>
  <c r="L608" i="13" s="1"/>
  <c r="M608" i="13" s="1"/>
  <c r="L609" i="13" s="1"/>
  <c r="M609" i="13" s="1"/>
  <c r="L610" i="13" s="1"/>
  <c r="M610" i="13" s="1"/>
  <c r="L611" i="13" s="1"/>
  <c r="M611" i="13" s="1"/>
  <c r="L612" i="13" s="1"/>
  <c r="M612" i="13" s="1"/>
  <c r="L613" i="13" s="1"/>
  <c r="M613" i="13" s="1"/>
  <c r="L614" i="13" s="1"/>
  <c r="M614" i="13" s="1"/>
  <c r="L615" i="13" s="1"/>
  <c r="M615" i="13" s="1"/>
  <c r="L616" i="13" s="1"/>
  <c r="M616" i="13" s="1"/>
  <c r="L617" i="13" s="1"/>
  <c r="M617" i="13" s="1"/>
  <c r="L618" i="13" s="1"/>
  <c r="M618" i="13" s="1"/>
  <c r="L619" i="13" s="1"/>
  <c r="M619" i="13" s="1"/>
  <c r="L620" i="13" s="1"/>
  <c r="M620" i="13" s="1"/>
  <c r="L621" i="13" s="1"/>
  <c r="M621" i="13" s="1"/>
  <c r="L622" i="13" s="1"/>
  <c r="M622" i="13" s="1"/>
  <c r="L623" i="13" s="1"/>
  <c r="M623" i="13" s="1"/>
  <c r="L624" i="13" s="1"/>
  <c r="M624" i="13" s="1"/>
  <c r="L625" i="13" s="1"/>
  <c r="M625" i="13" s="1"/>
  <c r="L626" i="13" s="1"/>
  <c r="M626" i="13" s="1"/>
  <c r="L627" i="13" s="1"/>
  <c r="M627" i="13" s="1"/>
  <c r="L628" i="13" s="1"/>
  <c r="M628" i="13" s="1"/>
  <c r="L629" i="13" s="1"/>
  <c r="M629" i="13" s="1"/>
  <c r="L630" i="13" s="1"/>
  <c r="M630" i="13" s="1"/>
  <c r="L631" i="13" s="1"/>
  <c r="M631" i="13" s="1"/>
  <c r="L632" i="13" s="1"/>
  <c r="M632" i="13" s="1"/>
  <c r="L633" i="13" s="1"/>
  <c r="M633" i="13" s="1"/>
  <c r="L634" i="13" s="1"/>
  <c r="M634" i="13" s="1"/>
  <c r="L635" i="13" s="1"/>
  <c r="M635" i="13" s="1"/>
  <c r="L636" i="13" s="1"/>
  <c r="M636" i="13" s="1"/>
  <c r="L637" i="13" s="1"/>
  <c r="M637" i="13" s="1"/>
  <c r="L638" i="13" s="1"/>
  <c r="M638" i="13" s="1"/>
  <c r="L639" i="13" s="1"/>
  <c r="M639" i="13" s="1"/>
  <c r="L640" i="13" s="1"/>
  <c r="M640" i="13" s="1"/>
  <c r="L641" i="13" s="1"/>
  <c r="M641" i="13" s="1"/>
  <c r="I17" i="14" s="1"/>
  <c r="N17" i="14" s="1"/>
  <c r="J50" i="14"/>
  <c r="M322" i="13"/>
  <c r="L323" i="13" s="1"/>
  <c r="M323" i="13" s="1"/>
  <c r="L324" i="13" s="1"/>
  <c r="M324" i="13" s="1"/>
  <c r="L325" i="13" s="1"/>
  <c r="M325" i="13" s="1"/>
  <c r="L326" i="13" s="1"/>
  <c r="M326" i="13" s="1"/>
  <c r="L327" i="13" s="1"/>
  <c r="M327" i="13" s="1"/>
  <c r="L328" i="13" s="1"/>
  <c r="M328" i="13" s="1"/>
  <c r="L329" i="13" s="1"/>
  <c r="M329" i="13" s="1"/>
  <c r="L330" i="13" s="1"/>
  <c r="M330" i="13" s="1"/>
  <c r="L331" i="13" s="1"/>
  <c r="M331" i="13" s="1"/>
  <c r="L332" i="13" s="1"/>
  <c r="M332" i="13" s="1"/>
  <c r="L333" i="13" s="1"/>
  <c r="M333" i="13" s="1"/>
  <c r="L334" i="13" s="1"/>
  <c r="M334" i="13" s="1"/>
  <c r="L335" i="13" s="1"/>
  <c r="M335" i="13" s="1"/>
  <c r="L336" i="13" s="1"/>
  <c r="M336" i="13" s="1"/>
  <c r="L337" i="13" s="1"/>
  <c r="M337" i="13" s="1"/>
  <c r="L338" i="13" s="1"/>
  <c r="M338" i="13" s="1"/>
  <c r="L339" i="13" s="1"/>
  <c r="M339" i="13" s="1"/>
  <c r="L340" i="13" s="1"/>
  <c r="M340" i="13" s="1"/>
  <c r="L341" i="13" s="1"/>
  <c r="M341" i="13" s="1"/>
  <c r="L342" i="13" s="1"/>
  <c r="M342" i="13" s="1"/>
  <c r="L343" i="13" s="1"/>
  <c r="M343" i="13" s="1"/>
  <c r="L344" i="13" s="1"/>
  <c r="M344" i="13" s="1"/>
  <c r="L345" i="13" s="1"/>
  <c r="M345" i="13" s="1"/>
  <c r="L346" i="13" s="1"/>
  <c r="M346" i="13" s="1"/>
  <c r="L347" i="13" s="1"/>
  <c r="M347" i="13" s="1"/>
  <c r="L348" i="13" s="1"/>
  <c r="M348" i="13" s="1"/>
  <c r="L349" i="13" s="1"/>
  <c r="M349" i="13" s="1"/>
  <c r="L350" i="13" s="1"/>
  <c r="M350" i="13" s="1"/>
  <c r="L351" i="13" s="1"/>
  <c r="M351" i="13" s="1"/>
  <c r="L352" i="13" s="1"/>
  <c r="M352" i="13" s="1"/>
  <c r="L353" i="13" s="1"/>
  <c r="M353" i="13" s="1"/>
  <c r="L354" i="13" s="1"/>
  <c r="M354" i="13" s="1"/>
  <c r="L355" i="13" s="1"/>
  <c r="M355" i="13" s="1"/>
  <c r="L356" i="13" s="1"/>
  <c r="M356" i="13" s="1"/>
  <c r="L357" i="13" s="1"/>
  <c r="M357" i="13" s="1"/>
  <c r="L358" i="13" s="1"/>
  <c r="M358" i="13" s="1"/>
  <c r="L359" i="13" s="1"/>
  <c r="M359" i="13" s="1"/>
  <c r="L360" i="13" s="1"/>
  <c r="M360" i="13" s="1"/>
  <c r="L361" i="13" s="1"/>
  <c r="M361" i="13" s="1"/>
  <c r="I10" i="14" s="1"/>
  <c r="N10" i="14" s="1"/>
  <c r="J15" i="14"/>
  <c r="J47" i="14"/>
  <c r="M483" i="13"/>
  <c r="L484" i="13" s="1"/>
  <c r="M484" i="13" s="1"/>
  <c r="L485" i="13" s="1"/>
  <c r="M485" i="13" s="1"/>
  <c r="L486" i="13" s="1"/>
  <c r="M486" i="13" s="1"/>
  <c r="L487" i="13" s="1"/>
  <c r="M487" i="13" s="1"/>
  <c r="L488" i="13" s="1"/>
  <c r="M488" i="13" s="1"/>
  <c r="L489" i="13" s="1"/>
  <c r="M489" i="13" s="1"/>
  <c r="L490" i="13" s="1"/>
  <c r="M490" i="13" s="1"/>
  <c r="L491" i="13" s="1"/>
  <c r="M491" i="13" s="1"/>
  <c r="L492" i="13" s="1"/>
  <c r="M492" i="13" s="1"/>
  <c r="L493" i="13" s="1"/>
  <c r="M493" i="13" s="1"/>
  <c r="L494" i="13" s="1"/>
  <c r="M494" i="13" s="1"/>
  <c r="L495" i="13" s="1"/>
  <c r="M495" i="13" s="1"/>
  <c r="L496" i="13" s="1"/>
  <c r="M496" i="13" s="1"/>
  <c r="L497" i="13" s="1"/>
  <c r="M497" i="13" s="1"/>
  <c r="L498" i="13" s="1"/>
  <c r="M498" i="13" s="1"/>
  <c r="L499" i="13" s="1"/>
  <c r="M499" i="13" s="1"/>
  <c r="L500" i="13" s="1"/>
  <c r="M500" i="13" s="1"/>
  <c r="L501" i="13" s="1"/>
  <c r="M501" i="13" s="1"/>
  <c r="L502" i="13" s="1"/>
  <c r="M502" i="13" s="1"/>
  <c r="L503" i="13" s="1"/>
  <c r="M503" i="13" s="1"/>
  <c r="L504" i="13" s="1"/>
  <c r="M504" i="13" s="1"/>
  <c r="L505" i="13" s="1"/>
  <c r="M505" i="13" s="1"/>
  <c r="L506" i="13" s="1"/>
  <c r="M506" i="13" s="1"/>
  <c r="L507" i="13" s="1"/>
  <c r="M507" i="13" s="1"/>
  <c r="L508" i="13" s="1"/>
  <c r="M508" i="13" s="1"/>
  <c r="L509" i="13" s="1"/>
  <c r="M509" i="13" s="1"/>
  <c r="L510" i="13" s="1"/>
  <c r="M510" i="13" s="1"/>
  <c r="L511" i="13" s="1"/>
  <c r="M511" i="13" s="1"/>
  <c r="L512" i="13" s="1"/>
  <c r="M512" i="13" s="1"/>
  <c r="L513" i="13" s="1"/>
  <c r="M513" i="13" s="1"/>
  <c r="L514" i="13" s="1"/>
  <c r="M514" i="13" s="1"/>
  <c r="L515" i="13" s="1"/>
  <c r="M515" i="13" s="1"/>
  <c r="L516" i="13" s="1"/>
  <c r="M516" i="13" s="1"/>
  <c r="L517" i="13" s="1"/>
  <c r="M517" i="13" s="1"/>
  <c r="L518" i="13" s="1"/>
  <c r="M518" i="13" s="1"/>
  <c r="L519" i="13" s="1"/>
  <c r="M519" i="13" s="1"/>
  <c r="L520" i="13" s="1"/>
  <c r="M520" i="13" s="1"/>
  <c r="L521" i="13" s="1"/>
  <c r="M521" i="13" s="1"/>
  <c r="I14" i="14" s="1"/>
  <c r="M1020" i="13"/>
  <c r="L1021" i="13" s="1"/>
  <c r="M1021" i="13" s="1"/>
  <c r="L1022" i="13" s="1"/>
  <c r="M1022" i="13" s="1"/>
  <c r="L1023" i="13" s="1"/>
  <c r="M1023" i="13" s="1"/>
  <c r="L1024" i="13" s="1"/>
  <c r="M1024" i="13" s="1"/>
  <c r="L1025" i="13" s="1"/>
  <c r="M1025" i="13" s="1"/>
  <c r="L1026" i="13" s="1"/>
  <c r="M1026" i="13" s="1"/>
  <c r="L1027" i="13" s="1"/>
  <c r="M1027" i="13" s="1"/>
  <c r="L1028" i="13" s="1"/>
  <c r="M1028" i="13" s="1"/>
  <c r="L1029" i="13" s="1"/>
  <c r="M1029" i="13" s="1"/>
  <c r="L1030" i="13" s="1"/>
  <c r="M1030" i="13" s="1"/>
  <c r="L1031" i="13" s="1"/>
  <c r="M1031" i="13" s="1"/>
  <c r="L1032" i="13" s="1"/>
  <c r="M1032" i="13" s="1"/>
  <c r="L1033" i="13" s="1"/>
  <c r="M1033" i="13" s="1"/>
  <c r="L1034" i="13" s="1"/>
  <c r="M1034" i="13" s="1"/>
  <c r="L1035" i="13" s="1"/>
  <c r="M1035" i="13" s="1"/>
  <c r="L1036" i="13" s="1"/>
  <c r="M1036" i="13" s="1"/>
  <c r="L1037" i="13" s="1"/>
  <c r="M1037" i="13" s="1"/>
  <c r="L1038" i="13" s="1"/>
  <c r="M1038" i="13" s="1"/>
  <c r="L1039" i="13" s="1"/>
  <c r="M1039" i="13" s="1"/>
  <c r="L1040" i="13" s="1"/>
  <c r="M1040" i="13" s="1"/>
  <c r="L1041" i="13" s="1"/>
  <c r="M1041" i="13" s="1"/>
  <c r="I27" i="14" s="1"/>
  <c r="N27" i="14" s="1"/>
  <c r="M642" i="13"/>
  <c r="L643" i="13" s="1"/>
  <c r="M643" i="13" s="1"/>
  <c r="L644" i="13" s="1"/>
  <c r="M644" i="13" s="1"/>
  <c r="L645" i="13" s="1"/>
  <c r="M645" i="13" s="1"/>
  <c r="L646" i="13" s="1"/>
  <c r="M646" i="13" s="1"/>
  <c r="L647" i="13" s="1"/>
  <c r="M647" i="13" s="1"/>
  <c r="L648" i="13" s="1"/>
  <c r="M648" i="13" s="1"/>
  <c r="L649" i="13" s="1"/>
  <c r="M649" i="13" s="1"/>
  <c r="L650" i="13" s="1"/>
  <c r="M650" i="13" s="1"/>
  <c r="L651" i="13" s="1"/>
  <c r="M651" i="13" s="1"/>
  <c r="L652" i="13" s="1"/>
  <c r="M652" i="13" s="1"/>
  <c r="L653" i="13" s="1"/>
  <c r="M653" i="13" s="1"/>
  <c r="L654" i="13" s="1"/>
  <c r="M654" i="13" s="1"/>
  <c r="L655" i="13" s="1"/>
  <c r="M655" i="13" s="1"/>
  <c r="L656" i="13" s="1"/>
  <c r="M656" i="13" s="1"/>
  <c r="L657" i="13" s="1"/>
  <c r="M657" i="13" s="1"/>
  <c r="L658" i="13" s="1"/>
  <c r="M658" i="13" s="1"/>
  <c r="L659" i="13" s="1"/>
  <c r="M659" i="13" s="1"/>
  <c r="L660" i="13" s="1"/>
  <c r="M660" i="13" s="1"/>
  <c r="L661" i="13" s="1"/>
  <c r="M661" i="13" s="1"/>
  <c r="L662" i="13" s="1"/>
  <c r="M662" i="13" s="1"/>
  <c r="L663" i="13" s="1"/>
  <c r="M663" i="13" s="1"/>
  <c r="L664" i="13" s="1"/>
  <c r="M664" i="13" s="1"/>
  <c r="L665" i="13" s="1"/>
  <c r="M665" i="13" s="1"/>
  <c r="L666" i="13" s="1"/>
  <c r="M666" i="13" s="1"/>
  <c r="L667" i="13" s="1"/>
  <c r="M667" i="13" s="1"/>
  <c r="L668" i="13" s="1"/>
  <c r="M668" i="13" s="1"/>
  <c r="L669" i="13" s="1"/>
  <c r="M669" i="13" s="1"/>
  <c r="L670" i="13" s="1"/>
  <c r="M670" i="13" s="1"/>
  <c r="L671" i="13" s="1"/>
  <c r="M671" i="13" s="1"/>
  <c r="L672" i="13" s="1"/>
  <c r="M672" i="13" s="1"/>
  <c r="L673" i="13" s="1"/>
  <c r="M673" i="13" s="1"/>
  <c r="L674" i="13" s="1"/>
  <c r="M674" i="13" s="1"/>
  <c r="L675" i="13" s="1"/>
  <c r="M675" i="13" s="1"/>
  <c r="L676" i="13" s="1"/>
  <c r="M676" i="13" s="1"/>
  <c r="L677" i="13" s="1"/>
  <c r="M677" i="13" s="1"/>
  <c r="L678" i="13" s="1"/>
  <c r="M678" i="13" s="1"/>
  <c r="L679" i="13" s="1"/>
  <c r="M679" i="13" s="1"/>
  <c r="L680" i="13" s="1"/>
  <c r="M680" i="13" s="1"/>
  <c r="L681" i="13" s="1"/>
  <c r="M681" i="13" s="1"/>
  <c r="I18" i="14" s="1"/>
  <c r="N18" i="14" s="1"/>
  <c r="J26" i="14"/>
  <c r="J42" i="14"/>
  <c r="M402" i="13"/>
  <c r="L403" i="13" s="1"/>
  <c r="M403" i="13" s="1"/>
  <c r="L404" i="13" s="1"/>
  <c r="M404" i="13" s="1"/>
  <c r="L405" i="13" s="1"/>
  <c r="M405" i="13" s="1"/>
  <c r="L406" i="13" s="1"/>
  <c r="M406" i="13" s="1"/>
  <c r="L407" i="13" s="1"/>
  <c r="M407" i="13" s="1"/>
  <c r="L408" i="13" s="1"/>
  <c r="M408" i="13" s="1"/>
  <c r="L409" i="13" s="1"/>
  <c r="M409" i="13" s="1"/>
  <c r="L410" i="13" s="1"/>
  <c r="M410" i="13" s="1"/>
  <c r="L411" i="13" s="1"/>
  <c r="M411" i="13" s="1"/>
  <c r="L412" i="13" s="1"/>
  <c r="M412" i="13" s="1"/>
  <c r="L413" i="13" s="1"/>
  <c r="M413" i="13" s="1"/>
  <c r="L414" i="13" s="1"/>
  <c r="M414" i="13" s="1"/>
  <c r="L415" i="13" s="1"/>
  <c r="M415" i="13" s="1"/>
  <c r="L416" i="13" s="1"/>
  <c r="M416" i="13" s="1"/>
  <c r="L417" i="13" s="1"/>
  <c r="M417" i="13" s="1"/>
  <c r="L418" i="13" s="1"/>
  <c r="M418" i="13" s="1"/>
  <c r="L419" i="13" s="1"/>
  <c r="M419" i="13" s="1"/>
  <c r="L420" i="13" s="1"/>
  <c r="M420" i="13" s="1"/>
  <c r="L421" i="13" s="1"/>
  <c r="M421" i="13" s="1"/>
  <c r="L422" i="13" s="1"/>
  <c r="M422" i="13" s="1"/>
  <c r="L423" i="13" s="1"/>
  <c r="M423" i="13" s="1"/>
  <c r="L424" i="13" s="1"/>
  <c r="M424" i="13" s="1"/>
  <c r="L425" i="13" s="1"/>
  <c r="M425" i="13" s="1"/>
  <c r="L426" i="13" s="1"/>
  <c r="M426" i="13" s="1"/>
  <c r="L427" i="13" s="1"/>
  <c r="M427" i="13" s="1"/>
  <c r="L428" i="13" s="1"/>
  <c r="M428" i="13" s="1"/>
  <c r="L429" i="13" s="1"/>
  <c r="M429" i="13" s="1"/>
  <c r="L430" i="13" s="1"/>
  <c r="M430" i="13" s="1"/>
  <c r="L431" i="13" s="1"/>
  <c r="M431" i="13" s="1"/>
  <c r="L432" i="13" s="1"/>
  <c r="M432" i="13" s="1"/>
  <c r="L433" i="13" s="1"/>
  <c r="M433" i="13" s="1"/>
  <c r="L434" i="13" s="1"/>
  <c r="M434" i="13" s="1"/>
  <c r="L435" i="13" s="1"/>
  <c r="M435" i="13" s="1"/>
  <c r="L436" i="13" s="1"/>
  <c r="M436" i="13" s="1"/>
  <c r="L437" i="13" s="1"/>
  <c r="M437" i="13" s="1"/>
  <c r="L438" i="13" s="1"/>
  <c r="M438" i="13" s="1"/>
  <c r="L439" i="13" s="1"/>
  <c r="M439" i="13" s="1"/>
  <c r="L440" i="13" s="1"/>
  <c r="M440" i="13" s="1"/>
  <c r="L441" i="13" s="1"/>
  <c r="M441" i="13" s="1"/>
  <c r="I12" i="14" s="1"/>
  <c r="N12" i="14" s="1"/>
  <c r="M682" i="13"/>
  <c r="L683" i="13" s="1"/>
  <c r="M683" i="13" s="1"/>
  <c r="L684" i="13" s="1"/>
  <c r="M684" i="13" s="1"/>
  <c r="L685" i="13" s="1"/>
  <c r="M685" i="13" s="1"/>
  <c r="L686" i="13" s="1"/>
  <c r="M686" i="13" s="1"/>
  <c r="L687" i="13" s="1"/>
  <c r="M687" i="13" s="1"/>
  <c r="L688" i="13" s="1"/>
  <c r="M688" i="13" s="1"/>
  <c r="L689" i="13" s="1"/>
  <c r="M689" i="13" s="1"/>
  <c r="L690" i="13" s="1"/>
  <c r="M690" i="13" s="1"/>
  <c r="L691" i="13" s="1"/>
  <c r="M691" i="13" s="1"/>
  <c r="L692" i="13" s="1"/>
  <c r="M692" i="13" s="1"/>
  <c r="L693" i="13" s="1"/>
  <c r="M693" i="13" s="1"/>
  <c r="L694" i="13" s="1"/>
  <c r="M694" i="13" s="1"/>
  <c r="L695" i="13" s="1"/>
  <c r="M695" i="13" s="1"/>
  <c r="L696" i="13" s="1"/>
  <c r="M696" i="13" s="1"/>
  <c r="L697" i="13" s="1"/>
  <c r="M697" i="13" s="1"/>
  <c r="L698" i="13" s="1"/>
  <c r="M698" i="13" s="1"/>
  <c r="L699" i="13" s="1"/>
  <c r="M699" i="13" s="1"/>
  <c r="L700" i="13" s="1"/>
  <c r="M700" i="13" s="1"/>
  <c r="L701" i="13" s="1"/>
  <c r="M701" i="13" s="1"/>
  <c r="L702" i="13" s="1"/>
  <c r="M702" i="13" s="1"/>
  <c r="L703" i="13" s="1"/>
  <c r="M703" i="13" s="1"/>
  <c r="L704" i="13" s="1"/>
  <c r="M704" i="13" s="1"/>
  <c r="L705" i="13" s="1"/>
  <c r="M705" i="13" s="1"/>
  <c r="L706" i="13" s="1"/>
  <c r="M706" i="13" s="1"/>
  <c r="L707" i="13" s="1"/>
  <c r="M707" i="13" s="1"/>
  <c r="L708" i="13" s="1"/>
  <c r="M708" i="13" s="1"/>
  <c r="L709" i="13" s="1"/>
  <c r="M709" i="13" s="1"/>
  <c r="L710" i="13" s="1"/>
  <c r="M710" i="13" s="1"/>
  <c r="L711" i="13" s="1"/>
  <c r="M711" i="13" s="1"/>
  <c r="L712" i="13" s="1"/>
  <c r="M712" i="13" s="1"/>
  <c r="L713" i="13" s="1"/>
  <c r="M713" i="13" s="1"/>
  <c r="L714" i="13" s="1"/>
  <c r="M714" i="13" s="1"/>
  <c r="L715" i="13" s="1"/>
  <c r="M715" i="13" s="1"/>
  <c r="L716" i="13" s="1"/>
  <c r="M716" i="13" s="1"/>
  <c r="L717" i="13" s="1"/>
  <c r="M717" i="13" s="1"/>
  <c r="L718" i="13" s="1"/>
  <c r="M718" i="13" s="1"/>
  <c r="L719" i="13" s="1"/>
  <c r="M719" i="13" s="1"/>
  <c r="L720" i="13" s="1"/>
  <c r="M720" i="13" s="1"/>
  <c r="L721" i="13" s="1"/>
  <c r="M721" i="13" s="1"/>
  <c r="I19" i="14" s="1"/>
  <c r="N19" i="14" s="1"/>
  <c r="M562" i="13"/>
  <c r="L563" i="13" s="1"/>
  <c r="M563" i="13" s="1"/>
  <c r="L564" i="13" s="1"/>
  <c r="M564" i="13" s="1"/>
  <c r="L565" i="13" s="1"/>
  <c r="M565" i="13" s="1"/>
  <c r="L566" i="13" s="1"/>
  <c r="M566" i="13" s="1"/>
  <c r="L567" i="13" s="1"/>
  <c r="M567" i="13" s="1"/>
  <c r="L568" i="13" s="1"/>
  <c r="M568" i="13" s="1"/>
  <c r="L569" i="13" s="1"/>
  <c r="M569" i="13" s="1"/>
  <c r="L570" i="13" s="1"/>
  <c r="M570" i="13" s="1"/>
  <c r="L571" i="13" s="1"/>
  <c r="M571" i="13" s="1"/>
  <c r="L572" i="13" s="1"/>
  <c r="M572" i="13" s="1"/>
  <c r="L573" i="13" s="1"/>
  <c r="M573" i="13" s="1"/>
  <c r="L574" i="13" s="1"/>
  <c r="M574" i="13" s="1"/>
  <c r="L575" i="13" s="1"/>
  <c r="M575" i="13" s="1"/>
  <c r="L576" i="13" s="1"/>
  <c r="M576" i="13" s="1"/>
  <c r="L577" i="13" s="1"/>
  <c r="M577" i="13" s="1"/>
  <c r="L578" i="13" s="1"/>
  <c r="M578" i="13" s="1"/>
  <c r="L579" i="13" s="1"/>
  <c r="M579" i="13" s="1"/>
  <c r="L580" i="13" s="1"/>
  <c r="M580" i="13" s="1"/>
  <c r="L581" i="13" s="1"/>
  <c r="M581" i="13" s="1"/>
  <c r="L582" i="13" s="1"/>
  <c r="M582" i="13" s="1"/>
  <c r="L583" i="13" s="1"/>
  <c r="M583" i="13" s="1"/>
  <c r="L584" i="13" s="1"/>
  <c r="M584" i="13" s="1"/>
  <c r="L585" i="13" s="1"/>
  <c r="M585" i="13" s="1"/>
  <c r="L586" i="13" s="1"/>
  <c r="M586" i="13" s="1"/>
  <c r="L587" i="13" s="1"/>
  <c r="M587" i="13" s="1"/>
  <c r="L588" i="13" s="1"/>
  <c r="M588" i="13" s="1"/>
  <c r="L589" i="13" s="1"/>
  <c r="M589" i="13" s="1"/>
  <c r="L590" i="13" s="1"/>
  <c r="M590" i="13" s="1"/>
  <c r="L591" i="13" s="1"/>
  <c r="M591" i="13" s="1"/>
  <c r="L592" i="13" s="1"/>
  <c r="M592" i="13" s="1"/>
  <c r="L593" i="13" s="1"/>
  <c r="M593" i="13" s="1"/>
  <c r="L594" i="13" s="1"/>
  <c r="M594" i="13" s="1"/>
  <c r="L595" i="13" s="1"/>
  <c r="M595" i="13" s="1"/>
  <c r="L596" i="13" s="1"/>
  <c r="M596" i="13" s="1"/>
  <c r="L597" i="13" s="1"/>
  <c r="M597" i="13" s="1"/>
  <c r="L598" i="13" s="1"/>
  <c r="M598" i="13" s="1"/>
  <c r="L599" i="13" s="1"/>
  <c r="M599" i="13" s="1"/>
  <c r="L600" i="13" s="1"/>
  <c r="M600" i="13" s="1"/>
  <c r="L601" i="13" s="1"/>
  <c r="M601" i="13" s="1"/>
  <c r="I16" i="14" s="1"/>
  <c r="N16" i="14" s="1"/>
  <c r="M886" i="13"/>
  <c r="L887" i="13" s="1"/>
  <c r="M887" i="13" s="1"/>
  <c r="L888" i="13" s="1"/>
  <c r="M888" i="13" s="1"/>
  <c r="L889" i="13" s="1"/>
  <c r="M889" i="13" s="1"/>
  <c r="L890" i="13" s="1"/>
  <c r="M890" i="13" s="1"/>
  <c r="L891" i="13" s="1"/>
  <c r="M891" i="13" s="1"/>
  <c r="L892" i="13" s="1"/>
  <c r="M892" i="13" s="1"/>
  <c r="L893" i="13" s="1"/>
  <c r="M893" i="13" s="1"/>
  <c r="L894" i="13" s="1"/>
  <c r="M894" i="13" s="1"/>
  <c r="L895" i="13" s="1"/>
  <c r="M895" i="13" s="1"/>
  <c r="L896" i="13" s="1"/>
  <c r="M896" i="13" s="1"/>
  <c r="L897" i="13" s="1"/>
  <c r="M897" i="13" s="1"/>
  <c r="L898" i="13" s="1"/>
  <c r="M898" i="13" s="1"/>
  <c r="L899" i="13" s="1"/>
  <c r="M899" i="13" s="1"/>
  <c r="L900" i="13" s="1"/>
  <c r="M900" i="13" s="1"/>
  <c r="L901" i="13" s="1"/>
  <c r="M901" i="13" s="1"/>
  <c r="L902" i="13" s="1"/>
  <c r="M902" i="13" s="1"/>
  <c r="L903" i="13" s="1"/>
  <c r="M903" i="13" s="1"/>
  <c r="L904" i="13" s="1"/>
  <c r="M904" i="13" s="1"/>
  <c r="L905" i="13" s="1"/>
  <c r="M905" i="13" s="1"/>
  <c r="L906" i="13" s="1"/>
  <c r="M906" i="13" s="1"/>
  <c r="L907" i="13" s="1"/>
  <c r="M907" i="13" s="1"/>
  <c r="L908" i="13" s="1"/>
  <c r="M908" i="13" s="1"/>
  <c r="L909" i="13" s="1"/>
  <c r="M909" i="13" s="1"/>
  <c r="L910" i="13" s="1"/>
  <c r="M910" i="13" s="1"/>
  <c r="L911" i="13" s="1"/>
  <c r="M911" i="13" s="1"/>
  <c r="L912" i="13" s="1"/>
  <c r="M912" i="13" s="1"/>
  <c r="L913" i="13" s="1"/>
  <c r="M913" i="13" s="1"/>
  <c r="L914" i="13" s="1"/>
  <c r="M914" i="13" s="1"/>
  <c r="L915" i="13" s="1"/>
  <c r="M915" i="13" s="1"/>
  <c r="L916" i="13" s="1"/>
  <c r="M916" i="13" s="1"/>
  <c r="L917" i="13" s="1"/>
  <c r="M917" i="13" s="1"/>
  <c r="L918" i="13" s="1"/>
  <c r="M918" i="13" s="1"/>
  <c r="L919" i="13" s="1"/>
  <c r="M919" i="13" s="1"/>
  <c r="L920" i="13" s="1"/>
  <c r="M920" i="13" s="1"/>
  <c r="L921" i="13" s="1"/>
  <c r="M921" i="13" s="1"/>
  <c r="I24" i="14" s="1"/>
  <c r="M1251" i="13"/>
  <c r="L1252" i="13" s="1"/>
  <c r="M1252" i="13" s="1"/>
  <c r="L1253" i="13" s="1"/>
  <c r="M1253" i="13" s="1"/>
  <c r="L1254" i="13" s="1"/>
  <c r="M1254" i="13" s="1"/>
  <c r="L1255" i="13" s="1"/>
  <c r="M1255" i="13" s="1"/>
  <c r="L1256" i="13" s="1"/>
  <c r="M1256" i="13" s="1"/>
  <c r="L1257" i="13" s="1"/>
  <c r="M1257" i="13" s="1"/>
  <c r="L1258" i="13" s="1"/>
  <c r="M1258" i="13" s="1"/>
  <c r="L1259" i="13" s="1"/>
  <c r="M1259" i="13" s="1"/>
  <c r="L1260" i="13" s="1"/>
  <c r="M1260" i="13" s="1"/>
  <c r="L1261" i="13" s="1"/>
  <c r="M1261" i="13" s="1"/>
  <c r="L1262" i="13" s="1"/>
  <c r="M1262" i="13" s="1"/>
  <c r="L1263" i="13" s="1"/>
  <c r="M1263" i="13" s="1"/>
  <c r="L1264" i="13" s="1"/>
  <c r="M1264" i="13" s="1"/>
  <c r="L1265" i="13" s="1"/>
  <c r="M1265" i="13" s="1"/>
  <c r="L1266" i="13" s="1"/>
  <c r="M1266" i="13" s="1"/>
  <c r="L1267" i="13" s="1"/>
  <c r="M1267" i="13" s="1"/>
  <c r="L1268" i="13" s="1"/>
  <c r="M1268" i="13" s="1"/>
  <c r="L1269" i="13" s="1"/>
  <c r="M1269" i="13" s="1"/>
  <c r="L1270" i="13" s="1"/>
  <c r="M1270" i="13" s="1"/>
  <c r="L1271" i="13" s="1"/>
  <c r="M1271" i="13" s="1"/>
  <c r="L1272" i="13" s="1"/>
  <c r="M1272" i="13" s="1"/>
  <c r="L1273" i="13" s="1"/>
  <c r="M1273" i="13" s="1"/>
  <c r="L1274" i="13" s="1"/>
  <c r="M1274" i="13" s="1"/>
  <c r="L1275" i="13" s="1"/>
  <c r="M1275" i="13" s="1"/>
  <c r="L1276" i="13" s="1"/>
  <c r="M1276" i="13" s="1"/>
  <c r="L1277" i="13" s="1"/>
  <c r="M1277" i="13" s="1"/>
  <c r="L1278" i="13" s="1"/>
  <c r="M1278" i="13" s="1"/>
  <c r="L1279" i="13" s="1"/>
  <c r="M1279" i="13" s="1"/>
  <c r="L1280" i="13" s="1"/>
  <c r="M1280" i="13" s="1"/>
  <c r="L1281" i="13" s="1"/>
  <c r="M1281" i="13" s="1"/>
  <c r="I33" i="14" s="1"/>
  <c r="M962" i="13"/>
  <c r="L963" i="13" s="1"/>
  <c r="M963" i="13" s="1"/>
  <c r="L964" i="13" s="1"/>
  <c r="M964" i="13" s="1"/>
  <c r="L965" i="13" s="1"/>
  <c r="M965" i="13" s="1"/>
  <c r="L966" i="13" s="1"/>
  <c r="M966" i="13" s="1"/>
  <c r="L967" i="13" s="1"/>
  <c r="M967" i="13" s="1"/>
  <c r="L968" i="13" s="1"/>
  <c r="M968" i="13" s="1"/>
  <c r="L969" i="13" s="1"/>
  <c r="M969" i="13" s="1"/>
  <c r="L970" i="13" s="1"/>
  <c r="M970" i="13" s="1"/>
  <c r="L971" i="13" s="1"/>
  <c r="M971" i="13" s="1"/>
  <c r="L972" i="13" s="1"/>
  <c r="M972" i="13" s="1"/>
  <c r="L973" i="13" s="1"/>
  <c r="M973" i="13" s="1"/>
  <c r="L974" i="13" s="1"/>
  <c r="M974" i="13" s="1"/>
  <c r="L975" i="13" s="1"/>
  <c r="M975" i="13" s="1"/>
  <c r="L976" i="13" s="1"/>
  <c r="M976" i="13" s="1"/>
  <c r="L977" i="13" s="1"/>
  <c r="M977" i="13" s="1"/>
  <c r="L978" i="13" s="1"/>
  <c r="M978" i="13" s="1"/>
  <c r="L979" i="13" s="1"/>
  <c r="M979" i="13" s="1"/>
  <c r="L980" i="13" s="1"/>
  <c r="M980" i="13" s="1"/>
  <c r="L981" i="13" s="1"/>
  <c r="M981" i="13" s="1"/>
  <c r="L982" i="13" s="1"/>
  <c r="M982" i="13" s="1"/>
  <c r="L983" i="13" s="1"/>
  <c r="M983" i="13" s="1"/>
  <c r="L984" i="13" s="1"/>
  <c r="M984" i="13" s="1"/>
  <c r="L985" i="13" s="1"/>
  <c r="M985" i="13" s="1"/>
  <c r="L986" i="13" s="1"/>
  <c r="M986" i="13" s="1"/>
  <c r="L987" i="13" s="1"/>
  <c r="M987" i="13" s="1"/>
  <c r="L988" i="13" s="1"/>
  <c r="M988" i="13" s="1"/>
  <c r="L989" i="13" s="1"/>
  <c r="M989" i="13" s="1"/>
  <c r="L990" i="13" s="1"/>
  <c r="M990" i="13" s="1"/>
  <c r="L991" i="13" s="1"/>
  <c r="M991" i="13" s="1"/>
  <c r="L992" i="13" s="1"/>
  <c r="M992" i="13" s="1"/>
  <c r="L993" i="13" s="1"/>
  <c r="M993" i="13" s="1"/>
  <c r="L994" i="13" s="1"/>
  <c r="M994" i="13" s="1"/>
  <c r="L995" i="13" s="1"/>
  <c r="M995" i="13" s="1"/>
  <c r="L996" i="13" s="1"/>
  <c r="M996" i="13" s="1"/>
  <c r="L997" i="13" s="1"/>
  <c r="M997" i="13" s="1"/>
  <c r="L998" i="13" s="1"/>
  <c r="M998" i="13" s="1"/>
  <c r="L999" i="13" s="1"/>
  <c r="M999" i="13" s="1"/>
  <c r="L1000" i="13" s="1"/>
  <c r="M1000" i="13" s="1"/>
  <c r="L1001" i="13" s="1"/>
  <c r="M1001" i="13" s="1"/>
  <c r="I26" i="14" s="1"/>
  <c r="N26" i="14" s="1"/>
  <c r="M842" i="13"/>
  <c r="L843" i="13" s="1"/>
  <c r="M843" i="13" s="1"/>
  <c r="L844" i="13" s="1"/>
  <c r="M844" i="13" s="1"/>
  <c r="L845" i="13" s="1"/>
  <c r="M845" i="13" s="1"/>
  <c r="L846" i="13" s="1"/>
  <c r="M846" i="13" s="1"/>
  <c r="L847" i="13" s="1"/>
  <c r="M847" i="13" s="1"/>
  <c r="L848" i="13" s="1"/>
  <c r="M848" i="13" s="1"/>
  <c r="L849" i="13" s="1"/>
  <c r="M849" i="13" s="1"/>
  <c r="L850" i="13" s="1"/>
  <c r="M850" i="13" s="1"/>
  <c r="L851" i="13" s="1"/>
  <c r="M851" i="13" s="1"/>
  <c r="L852" i="13" s="1"/>
  <c r="M852" i="13" s="1"/>
  <c r="L853" i="13" s="1"/>
  <c r="M853" i="13" s="1"/>
  <c r="L854" i="13" s="1"/>
  <c r="M854" i="13" s="1"/>
  <c r="L855" i="13" s="1"/>
  <c r="M855" i="13" s="1"/>
  <c r="L856" i="13" s="1"/>
  <c r="M856" i="13" s="1"/>
  <c r="L857" i="13" s="1"/>
  <c r="M857" i="13" s="1"/>
  <c r="L858" i="13" s="1"/>
  <c r="M858" i="13" s="1"/>
  <c r="L859" i="13" s="1"/>
  <c r="M859" i="13" s="1"/>
  <c r="L860" i="13" s="1"/>
  <c r="M860" i="13" s="1"/>
  <c r="L861" i="13" s="1"/>
  <c r="M861" i="13" s="1"/>
  <c r="L862" i="13" s="1"/>
  <c r="M862" i="13" s="1"/>
  <c r="L863" i="13" s="1"/>
  <c r="M863" i="13" s="1"/>
  <c r="L864" i="13" s="1"/>
  <c r="M864" i="13" s="1"/>
  <c r="L865" i="13" s="1"/>
  <c r="M865" i="13" s="1"/>
  <c r="L866" i="13" s="1"/>
  <c r="M866" i="13" s="1"/>
  <c r="L867" i="13" s="1"/>
  <c r="M867" i="13" s="1"/>
  <c r="L868" i="13" s="1"/>
  <c r="M868" i="13" s="1"/>
  <c r="L869" i="13" s="1"/>
  <c r="M869" i="13" s="1"/>
  <c r="L870" i="13" s="1"/>
  <c r="M870" i="13" s="1"/>
  <c r="L871" i="13" s="1"/>
  <c r="M871" i="13" s="1"/>
  <c r="L872" i="13" s="1"/>
  <c r="M872" i="13" s="1"/>
  <c r="L873" i="13" s="1"/>
  <c r="M873" i="13" s="1"/>
  <c r="L874" i="13" s="1"/>
  <c r="M874" i="13" s="1"/>
  <c r="L875" i="13" s="1"/>
  <c r="M875" i="13" s="1"/>
  <c r="L876" i="13" s="1"/>
  <c r="M876" i="13" s="1"/>
  <c r="L877" i="13" s="1"/>
  <c r="M877" i="13" s="1"/>
  <c r="L878" i="13" s="1"/>
  <c r="M878" i="13" s="1"/>
  <c r="L879" i="13" s="1"/>
  <c r="M879" i="13" s="1"/>
  <c r="L880" i="13" s="1"/>
  <c r="M880" i="13" s="1"/>
  <c r="L881" i="13" s="1"/>
  <c r="M881" i="13" s="1"/>
  <c r="I23" i="14" s="1"/>
  <c r="N23" i="14" s="1"/>
  <c r="M1048" i="13"/>
  <c r="L1049" i="13" s="1"/>
  <c r="M1049" i="13" s="1"/>
  <c r="L1050" i="13" s="1"/>
  <c r="M1050" i="13" s="1"/>
  <c r="L1051" i="13" s="1"/>
  <c r="M1051" i="13" s="1"/>
  <c r="L1052" i="13" s="1"/>
  <c r="M1052" i="13" s="1"/>
  <c r="L1053" i="13" s="1"/>
  <c r="M1053" i="13" s="1"/>
  <c r="L1054" i="13" s="1"/>
  <c r="M1054" i="13" s="1"/>
  <c r="L1055" i="13" s="1"/>
  <c r="M1055" i="13" s="1"/>
  <c r="L1056" i="13" s="1"/>
  <c r="M1056" i="13" s="1"/>
  <c r="L1057" i="13" s="1"/>
  <c r="M1057" i="13" s="1"/>
  <c r="L1058" i="13" s="1"/>
  <c r="M1058" i="13" s="1"/>
  <c r="L1059" i="13" s="1"/>
  <c r="M1059" i="13" s="1"/>
  <c r="L1060" i="13" s="1"/>
  <c r="M1060" i="13" s="1"/>
  <c r="L1061" i="13" s="1"/>
  <c r="M1061" i="13" s="1"/>
  <c r="L1062" i="13" s="1"/>
  <c r="M1062" i="13" s="1"/>
  <c r="L1063" i="13" s="1"/>
  <c r="M1063" i="13" s="1"/>
  <c r="L1064" i="13" s="1"/>
  <c r="M1064" i="13" s="1"/>
  <c r="L1065" i="13" s="1"/>
  <c r="M1065" i="13" s="1"/>
  <c r="L1066" i="13" s="1"/>
  <c r="M1066" i="13" s="1"/>
  <c r="L1067" i="13" s="1"/>
  <c r="M1067" i="13" s="1"/>
  <c r="L1068" i="13" s="1"/>
  <c r="M1068" i="13" s="1"/>
  <c r="L1069" i="13" s="1"/>
  <c r="M1069" i="13" s="1"/>
  <c r="L1070" i="13" s="1"/>
  <c r="M1070" i="13" s="1"/>
  <c r="L1071" i="13" s="1"/>
  <c r="M1071" i="13" s="1"/>
  <c r="L1072" i="13" s="1"/>
  <c r="M1072" i="13" s="1"/>
  <c r="L1073" i="13" s="1"/>
  <c r="M1073" i="13" s="1"/>
  <c r="L1074" i="13" s="1"/>
  <c r="M1074" i="13" s="1"/>
  <c r="L1075" i="13" s="1"/>
  <c r="M1075" i="13" s="1"/>
  <c r="L1076" i="13" s="1"/>
  <c r="M1076" i="13" s="1"/>
  <c r="L1077" i="13" s="1"/>
  <c r="M1077" i="13" s="1"/>
  <c r="L1078" i="13" s="1"/>
  <c r="M1078" i="13" s="1"/>
  <c r="L1079" i="13" s="1"/>
  <c r="M1079" i="13" s="1"/>
  <c r="L1080" i="13" s="1"/>
  <c r="M1080" i="13" s="1"/>
  <c r="L1081" i="13" s="1"/>
  <c r="M1081" i="13" s="1"/>
  <c r="I28" i="14" s="1"/>
  <c r="M1324" i="13"/>
  <c r="L1325" i="13" s="1"/>
  <c r="M1325" i="13" s="1"/>
  <c r="L1326" i="13" s="1"/>
  <c r="M1326" i="13" s="1"/>
  <c r="L1327" i="13" s="1"/>
  <c r="M1327" i="13" s="1"/>
  <c r="L1328" i="13" s="1"/>
  <c r="M1328" i="13" s="1"/>
  <c r="L1329" i="13" s="1"/>
  <c r="M1329" i="13" s="1"/>
  <c r="L1330" i="13" s="1"/>
  <c r="M1330" i="13" s="1"/>
  <c r="L1331" i="13" s="1"/>
  <c r="M1331" i="13" s="1"/>
  <c r="L1332" i="13" s="1"/>
  <c r="M1332" i="13" s="1"/>
  <c r="L1333" i="13" s="1"/>
  <c r="M1333" i="13" s="1"/>
  <c r="L1334" i="13" s="1"/>
  <c r="M1334" i="13" s="1"/>
  <c r="L1335" i="13" s="1"/>
  <c r="M1335" i="13" s="1"/>
  <c r="L1336" i="13" s="1"/>
  <c r="M1336" i="13" s="1"/>
  <c r="L1337" i="13" s="1"/>
  <c r="M1337" i="13" s="1"/>
  <c r="L1338" i="13" s="1"/>
  <c r="M1338" i="13" s="1"/>
  <c r="L1339" i="13" s="1"/>
  <c r="M1339" i="13" s="1"/>
  <c r="L1340" i="13" s="1"/>
  <c r="M1340" i="13" s="1"/>
  <c r="L1341" i="13" s="1"/>
  <c r="M1341" i="13" s="1"/>
  <c r="L1342" i="13" s="1"/>
  <c r="M1342" i="13" s="1"/>
  <c r="L1343" i="13" s="1"/>
  <c r="M1343" i="13" s="1"/>
  <c r="L1344" i="13" s="1"/>
  <c r="M1344" i="13" s="1"/>
  <c r="L1345" i="13" s="1"/>
  <c r="M1345" i="13" s="1"/>
  <c r="L1346" i="13" s="1"/>
  <c r="M1346" i="13" s="1"/>
  <c r="L1347" i="13" s="1"/>
  <c r="M1347" i="13" s="1"/>
  <c r="L1348" i="13" s="1"/>
  <c r="M1348" i="13" s="1"/>
  <c r="L1349" i="13" s="1"/>
  <c r="M1349" i="13" s="1"/>
  <c r="L1350" i="13" s="1"/>
  <c r="M1350" i="13" s="1"/>
  <c r="L1351" i="13" s="1"/>
  <c r="M1351" i="13" s="1"/>
  <c r="L1352" i="13" s="1"/>
  <c r="M1352" i="13" s="1"/>
  <c r="L1353" i="13" s="1"/>
  <c r="M1353" i="13" s="1"/>
  <c r="L1354" i="13" s="1"/>
  <c r="M1354" i="13" s="1"/>
  <c r="L1355" i="13" s="1"/>
  <c r="M1355" i="13" s="1"/>
  <c r="L1356" i="13" s="1"/>
  <c r="M1356" i="13" s="1"/>
  <c r="L1357" i="13" s="1"/>
  <c r="M1357" i="13" s="1"/>
  <c r="L1358" i="13" s="1"/>
  <c r="M1358" i="13" s="1"/>
  <c r="L1359" i="13" s="1"/>
  <c r="M1359" i="13" s="1"/>
  <c r="L1360" i="13" s="1"/>
  <c r="M1360" i="13" s="1"/>
  <c r="L1361" i="13" s="1"/>
  <c r="M1361" i="13" s="1"/>
  <c r="I35" i="14" s="1"/>
  <c r="M1283" i="13"/>
  <c r="L1284" i="13" s="1"/>
  <c r="M1284" i="13" s="1"/>
  <c r="L1285" i="13" s="1"/>
  <c r="M1285" i="13" s="1"/>
  <c r="L1286" i="13" s="1"/>
  <c r="M1286" i="13" s="1"/>
  <c r="L1287" i="13" s="1"/>
  <c r="M1287" i="13" s="1"/>
  <c r="L1288" i="13" s="1"/>
  <c r="M1288" i="13" s="1"/>
  <c r="L1289" i="13" s="1"/>
  <c r="M1289" i="13" s="1"/>
  <c r="L1290" i="13" s="1"/>
  <c r="M1290" i="13" s="1"/>
  <c r="L1291" i="13" s="1"/>
  <c r="M1291" i="13" s="1"/>
  <c r="L1292" i="13" s="1"/>
  <c r="M1292" i="13" s="1"/>
  <c r="L1293" i="13" s="1"/>
  <c r="M1293" i="13" s="1"/>
  <c r="L1294" i="13" s="1"/>
  <c r="M1294" i="13" s="1"/>
  <c r="L1295" i="13" s="1"/>
  <c r="M1295" i="13" s="1"/>
  <c r="L1296" i="13" s="1"/>
  <c r="M1296" i="13" s="1"/>
  <c r="L1297" i="13" s="1"/>
  <c r="M1297" i="13" s="1"/>
  <c r="L1298" i="13" s="1"/>
  <c r="M1298" i="13" s="1"/>
  <c r="L1299" i="13" s="1"/>
  <c r="M1299" i="13" s="1"/>
  <c r="L1300" i="13" s="1"/>
  <c r="M1300" i="13" s="1"/>
  <c r="L1301" i="13" s="1"/>
  <c r="M1301" i="13" s="1"/>
  <c r="L1302" i="13" s="1"/>
  <c r="M1302" i="13" s="1"/>
  <c r="L1303" i="13" s="1"/>
  <c r="M1303" i="13" s="1"/>
  <c r="L1304" i="13" s="1"/>
  <c r="M1304" i="13" s="1"/>
  <c r="L1305" i="13" s="1"/>
  <c r="M1305" i="13" s="1"/>
  <c r="L1306" i="13" s="1"/>
  <c r="M1306" i="13" s="1"/>
  <c r="L1307" i="13" s="1"/>
  <c r="M1307" i="13" s="1"/>
  <c r="L1308" i="13" s="1"/>
  <c r="M1308" i="13" s="1"/>
  <c r="L1309" i="13" s="1"/>
  <c r="M1309" i="13" s="1"/>
  <c r="L1310" i="13" s="1"/>
  <c r="M1310" i="13" s="1"/>
  <c r="L1311" i="13" s="1"/>
  <c r="M1311" i="13" s="1"/>
  <c r="L1312" i="13" s="1"/>
  <c r="M1312" i="13" s="1"/>
  <c r="L1313" i="13" s="1"/>
  <c r="M1313" i="13" s="1"/>
  <c r="L1314" i="13" s="1"/>
  <c r="M1314" i="13" s="1"/>
  <c r="L1315" i="13" s="1"/>
  <c r="M1315" i="13" s="1"/>
  <c r="L1316" i="13" s="1"/>
  <c r="M1316" i="13" s="1"/>
  <c r="L1317" i="13" s="1"/>
  <c r="M1317" i="13" s="1"/>
  <c r="L1318" i="13" s="1"/>
  <c r="M1318" i="13" s="1"/>
  <c r="L1319" i="13" s="1"/>
  <c r="M1319" i="13" s="1"/>
  <c r="L1320" i="13" s="1"/>
  <c r="M1320" i="13" s="1"/>
  <c r="L1321" i="13" s="1"/>
  <c r="M1321" i="13" s="1"/>
  <c r="I34" i="14" s="1"/>
  <c r="M1124" i="13"/>
  <c r="L1125" i="13" s="1"/>
  <c r="M1125" i="13" s="1"/>
  <c r="L1126" i="13" s="1"/>
  <c r="M1126" i="13" s="1"/>
  <c r="L1127" i="13" s="1"/>
  <c r="M1127" i="13" s="1"/>
  <c r="L1128" i="13" s="1"/>
  <c r="M1128" i="13" s="1"/>
  <c r="L1129" i="13" s="1"/>
  <c r="M1129" i="13" s="1"/>
  <c r="L1130" i="13" s="1"/>
  <c r="M1130" i="13" s="1"/>
  <c r="L1131" i="13" s="1"/>
  <c r="M1131" i="13" s="1"/>
  <c r="L1132" i="13" s="1"/>
  <c r="M1132" i="13" s="1"/>
  <c r="L1133" i="13" s="1"/>
  <c r="M1133" i="13" s="1"/>
  <c r="L1134" i="13" s="1"/>
  <c r="M1134" i="13" s="1"/>
  <c r="L1135" i="13" s="1"/>
  <c r="M1135" i="13" s="1"/>
  <c r="L1136" i="13" s="1"/>
  <c r="M1136" i="13" s="1"/>
  <c r="L1137" i="13" s="1"/>
  <c r="M1137" i="13" s="1"/>
  <c r="L1138" i="13" s="1"/>
  <c r="M1138" i="13" s="1"/>
  <c r="L1139" i="13" s="1"/>
  <c r="M1139" i="13" s="1"/>
  <c r="L1140" i="13" s="1"/>
  <c r="M1140" i="13" s="1"/>
  <c r="L1141" i="13" s="1"/>
  <c r="M1141" i="13" s="1"/>
  <c r="L1142" i="13" s="1"/>
  <c r="M1142" i="13" s="1"/>
  <c r="L1143" i="13" s="1"/>
  <c r="M1143" i="13" s="1"/>
  <c r="L1144" i="13" s="1"/>
  <c r="M1144" i="13" s="1"/>
  <c r="L1145" i="13" s="1"/>
  <c r="M1145" i="13" s="1"/>
  <c r="L1146" i="13" s="1"/>
  <c r="M1146" i="13" s="1"/>
  <c r="L1147" i="13" s="1"/>
  <c r="M1147" i="13" s="1"/>
  <c r="L1148" i="13" s="1"/>
  <c r="M1148" i="13" s="1"/>
  <c r="L1149" i="13" s="1"/>
  <c r="M1149" i="13" s="1"/>
  <c r="L1150" i="13" s="1"/>
  <c r="M1150" i="13" s="1"/>
  <c r="L1151" i="13" s="1"/>
  <c r="M1151" i="13" s="1"/>
  <c r="L1152" i="13" s="1"/>
  <c r="M1152" i="13" s="1"/>
  <c r="L1153" i="13" s="1"/>
  <c r="M1153" i="13" s="1"/>
  <c r="L1154" i="13" s="1"/>
  <c r="M1154" i="13" s="1"/>
  <c r="L1155" i="13" s="1"/>
  <c r="M1155" i="13" s="1"/>
  <c r="L1156" i="13" s="1"/>
  <c r="M1156" i="13" s="1"/>
  <c r="L1157" i="13" s="1"/>
  <c r="M1157" i="13" s="1"/>
  <c r="L1158" i="13" s="1"/>
  <c r="M1158" i="13" s="1"/>
  <c r="L1159" i="13" s="1"/>
  <c r="M1159" i="13" s="1"/>
  <c r="L1160" i="13" s="1"/>
  <c r="M1160" i="13" s="1"/>
  <c r="L1161" i="13" s="1"/>
  <c r="M1161" i="13" s="1"/>
  <c r="I30" i="14" s="1"/>
  <c r="M1083" i="13"/>
  <c r="L1084" i="13" s="1"/>
  <c r="M1084" i="13" s="1"/>
  <c r="L1085" i="13" s="1"/>
  <c r="M1085" i="13" s="1"/>
  <c r="L1086" i="13" s="1"/>
  <c r="M1086" i="13" s="1"/>
  <c r="L1087" i="13" s="1"/>
  <c r="M1087" i="13" s="1"/>
  <c r="L1088" i="13" s="1"/>
  <c r="M1088" i="13" s="1"/>
  <c r="L1089" i="13" s="1"/>
  <c r="M1089" i="13" s="1"/>
  <c r="L1090" i="13" s="1"/>
  <c r="M1090" i="13" s="1"/>
  <c r="L1091" i="13" s="1"/>
  <c r="M1091" i="13" s="1"/>
  <c r="L1092" i="13" s="1"/>
  <c r="M1092" i="13" s="1"/>
  <c r="L1093" i="13" s="1"/>
  <c r="M1093" i="13" s="1"/>
  <c r="L1094" i="13" s="1"/>
  <c r="M1094" i="13" s="1"/>
  <c r="L1095" i="13" s="1"/>
  <c r="M1095" i="13" s="1"/>
  <c r="L1096" i="13" s="1"/>
  <c r="M1096" i="13" s="1"/>
  <c r="L1097" i="13" s="1"/>
  <c r="M1097" i="13" s="1"/>
  <c r="L1098" i="13" s="1"/>
  <c r="M1098" i="13" s="1"/>
  <c r="L1099" i="13" s="1"/>
  <c r="M1099" i="13" s="1"/>
  <c r="L1100" i="13" s="1"/>
  <c r="M1100" i="13" s="1"/>
  <c r="L1101" i="13" s="1"/>
  <c r="M1101" i="13" s="1"/>
  <c r="L1102" i="13" s="1"/>
  <c r="M1102" i="13" s="1"/>
  <c r="L1103" i="13" s="1"/>
  <c r="M1103" i="13" s="1"/>
  <c r="L1104" i="13" s="1"/>
  <c r="M1104" i="13" s="1"/>
  <c r="L1105" i="13" s="1"/>
  <c r="M1105" i="13" s="1"/>
  <c r="L1106" i="13" s="1"/>
  <c r="M1106" i="13" s="1"/>
  <c r="L1107" i="13" s="1"/>
  <c r="M1107" i="13" s="1"/>
  <c r="L1108" i="13" s="1"/>
  <c r="M1108" i="13" s="1"/>
  <c r="L1109" i="13" s="1"/>
  <c r="M1109" i="13" s="1"/>
  <c r="L1110" i="13" s="1"/>
  <c r="M1110" i="13" s="1"/>
  <c r="L1111" i="13" s="1"/>
  <c r="M1111" i="13" s="1"/>
  <c r="L1112" i="13" s="1"/>
  <c r="M1112" i="13" s="1"/>
  <c r="L1113" i="13" s="1"/>
  <c r="M1113" i="13" s="1"/>
  <c r="L1114" i="13" s="1"/>
  <c r="M1114" i="13" s="1"/>
  <c r="L1115" i="13" s="1"/>
  <c r="M1115" i="13" s="1"/>
  <c r="L1116" i="13" s="1"/>
  <c r="M1116" i="13" s="1"/>
  <c r="L1117" i="13" s="1"/>
  <c r="M1117" i="13" s="1"/>
  <c r="L1118" i="13" s="1"/>
  <c r="M1118" i="13" s="1"/>
  <c r="L1119" i="13" s="1"/>
  <c r="M1119" i="13" s="1"/>
  <c r="L1120" i="13" s="1"/>
  <c r="M1120" i="13" s="1"/>
  <c r="L1121" i="13" s="1"/>
  <c r="M1121" i="13" s="1"/>
  <c r="I29" i="14" s="1"/>
  <c r="M1654" i="13"/>
  <c r="L1655" i="13" s="1"/>
  <c r="M1655" i="13" s="1"/>
  <c r="L1656" i="13" s="1"/>
  <c r="M1656" i="13" s="1"/>
  <c r="L1657" i="13" s="1"/>
  <c r="M1657" i="13" s="1"/>
  <c r="L1658" i="13" s="1"/>
  <c r="M1658" i="13" s="1"/>
  <c r="L1659" i="13" s="1"/>
  <c r="M1659" i="13" s="1"/>
  <c r="L1660" i="13" s="1"/>
  <c r="M1660" i="13" s="1"/>
  <c r="L1661" i="13" s="1"/>
  <c r="M1661" i="13" s="1"/>
  <c r="L1662" i="13" s="1"/>
  <c r="M1662" i="13" s="1"/>
  <c r="L1663" i="13" s="1"/>
  <c r="M1663" i="13" s="1"/>
  <c r="L1664" i="13" s="1"/>
  <c r="M1664" i="13" s="1"/>
  <c r="L1665" i="13" s="1"/>
  <c r="M1665" i="13" s="1"/>
  <c r="L1666" i="13" s="1"/>
  <c r="M1666" i="13" s="1"/>
  <c r="L1667" i="13" s="1"/>
  <c r="M1667" i="13" s="1"/>
  <c r="L1668" i="13" s="1"/>
  <c r="M1668" i="13" s="1"/>
  <c r="L1669" i="13" s="1"/>
  <c r="M1669" i="13" s="1"/>
  <c r="L1670" i="13" s="1"/>
  <c r="M1670" i="13" s="1"/>
  <c r="L1671" i="13" s="1"/>
  <c r="M1671" i="13" s="1"/>
  <c r="L1672" i="13" s="1"/>
  <c r="M1672" i="13" s="1"/>
  <c r="L1673" i="13" s="1"/>
  <c r="M1673" i="13" s="1"/>
  <c r="L1674" i="13" s="1"/>
  <c r="M1674" i="13" s="1"/>
  <c r="L1675" i="13" s="1"/>
  <c r="M1675" i="13" s="1"/>
  <c r="L1676" i="13" s="1"/>
  <c r="M1676" i="13" s="1"/>
  <c r="L1677" i="13" s="1"/>
  <c r="M1677" i="13" s="1"/>
  <c r="L1678" i="13" s="1"/>
  <c r="M1678" i="13" s="1"/>
  <c r="L1679" i="13" s="1"/>
  <c r="M1679" i="13" s="1"/>
  <c r="L1680" i="13" s="1"/>
  <c r="M1680" i="13" s="1"/>
  <c r="L1681" i="13" s="1"/>
  <c r="M1681" i="13" s="1"/>
  <c r="I43" i="14" s="1"/>
  <c r="M1443" i="13"/>
  <c r="L1444" i="13" s="1"/>
  <c r="M1444" i="13" s="1"/>
  <c r="L1445" i="13" s="1"/>
  <c r="M1445" i="13" s="1"/>
  <c r="L1446" i="13" s="1"/>
  <c r="M1446" i="13" s="1"/>
  <c r="L1447" i="13" s="1"/>
  <c r="M1447" i="13" s="1"/>
  <c r="L1448" i="13" s="1"/>
  <c r="M1448" i="13" s="1"/>
  <c r="L1449" i="13" s="1"/>
  <c r="M1449" i="13" s="1"/>
  <c r="L1450" i="13" s="1"/>
  <c r="M1450" i="13" s="1"/>
  <c r="L1451" i="13" s="1"/>
  <c r="M1451" i="13" s="1"/>
  <c r="L1452" i="13" s="1"/>
  <c r="M1452" i="13" s="1"/>
  <c r="L1453" i="13" s="1"/>
  <c r="M1453" i="13" s="1"/>
  <c r="L1454" i="13" s="1"/>
  <c r="M1454" i="13" s="1"/>
  <c r="L1455" i="13" s="1"/>
  <c r="M1455" i="13" s="1"/>
  <c r="L1456" i="13" s="1"/>
  <c r="M1456" i="13" s="1"/>
  <c r="L1457" i="13" s="1"/>
  <c r="M1457" i="13" s="1"/>
  <c r="L1458" i="13" s="1"/>
  <c r="M1458" i="13" s="1"/>
  <c r="L1459" i="13" s="1"/>
  <c r="M1459" i="13" s="1"/>
  <c r="L1460" i="13" s="1"/>
  <c r="M1460" i="13" s="1"/>
  <c r="L1461" i="13" s="1"/>
  <c r="M1461" i="13" s="1"/>
  <c r="L1462" i="13" s="1"/>
  <c r="M1462" i="13" s="1"/>
  <c r="L1463" i="13" s="1"/>
  <c r="M1463" i="13" s="1"/>
  <c r="L1464" i="13" s="1"/>
  <c r="M1464" i="13" s="1"/>
  <c r="L1465" i="13" s="1"/>
  <c r="M1465" i="13" s="1"/>
  <c r="L1466" i="13" s="1"/>
  <c r="M1466" i="13" s="1"/>
  <c r="L1467" i="13" s="1"/>
  <c r="M1467" i="13" s="1"/>
  <c r="L1468" i="13" s="1"/>
  <c r="M1468" i="13" s="1"/>
  <c r="L1469" i="13" s="1"/>
  <c r="M1469" i="13" s="1"/>
  <c r="L1470" i="13" s="1"/>
  <c r="M1470" i="13" s="1"/>
  <c r="L1471" i="13" s="1"/>
  <c r="M1471" i="13" s="1"/>
  <c r="L1472" i="13" s="1"/>
  <c r="M1472" i="13" s="1"/>
  <c r="L1473" i="13" s="1"/>
  <c r="M1473" i="13" s="1"/>
  <c r="L1474" i="13" s="1"/>
  <c r="M1474" i="13" s="1"/>
  <c r="L1475" i="13" s="1"/>
  <c r="M1475" i="13" s="1"/>
  <c r="L1476" i="13" s="1"/>
  <c r="M1476" i="13" s="1"/>
  <c r="L1477" i="13" s="1"/>
  <c r="M1477" i="13" s="1"/>
  <c r="L1478" i="13" s="1"/>
  <c r="M1478" i="13" s="1"/>
  <c r="L1479" i="13" s="1"/>
  <c r="M1479" i="13" s="1"/>
  <c r="L1480" i="13" s="1"/>
  <c r="M1480" i="13" s="1"/>
  <c r="L1481" i="13" s="1"/>
  <c r="M1481" i="13" s="1"/>
  <c r="I38" i="14" s="1"/>
  <c r="M1482" i="13"/>
  <c r="L1483" i="13" s="1"/>
  <c r="M1483" i="13" s="1"/>
  <c r="L1484" i="13" s="1"/>
  <c r="M1484" i="13" s="1"/>
  <c r="L1485" i="13" s="1"/>
  <c r="M1485" i="13" s="1"/>
  <c r="L1486" i="13" s="1"/>
  <c r="M1486" i="13" s="1"/>
  <c r="L1487" i="13" s="1"/>
  <c r="M1487" i="13" s="1"/>
  <c r="L1488" i="13" s="1"/>
  <c r="M1488" i="13" s="1"/>
  <c r="L1489" i="13" s="1"/>
  <c r="M1489" i="13" s="1"/>
  <c r="L1490" i="13" s="1"/>
  <c r="M1490" i="13" s="1"/>
  <c r="L1491" i="13" s="1"/>
  <c r="M1491" i="13" s="1"/>
  <c r="L1492" i="13" s="1"/>
  <c r="M1492" i="13" s="1"/>
  <c r="L1493" i="13" s="1"/>
  <c r="M1493" i="13" s="1"/>
  <c r="L1494" i="13" s="1"/>
  <c r="M1494" i="13" s="1"/>
  <c r="L1495" i="13" s="1"/>
  <c r="M1495" i="13" s="1"/>
  <c r="L1496" i="13" s="1"/>
  <c r="M1496" i="13" s="1"/>
  <c r="L1497" i="13" s="1"/>
  <c r="M1497" i="13" s="1"/>
  <c r="L1498" i="13" s="1"/>
  <c r="M1498" i="13" s="1"/>
  <c r="L1499" i="13" s="1"/>
  <c r="M1499" i="13" s="1"/>
  <c r="L1500" i="13" s="1"/>
  <c r="M1500" i="13" s="1"/>
  <c r="L1501" i="13" s="1"/>
  <c r="M1501" i="13" s="1"/>
  <c r="L1502" i="13" s="1"/>
  <c r="M1502" i="13" s="1"/>
  <c r="L1503" i="13" s="1"/>
  <c r="M1503" i="13" s="1"/>
  <c r="L1504" i="13" s="1"/>
  <c r="M1504" i="13" s="1"/>
  <c r="L1505" i="13" s="1"/>
  <c r="M1505" i="13" s="1"/>
  <c r="L1506" i="13" s="1"/>
  <c r="M1506" i="13" s="1"/>
  <c r="L1507" i="13" s="1"/>
  <c r="M1507" i="13" s="1"/>
  <c r="L1508" i="13" s="1"/>
  <c r="M1508" i="13" s="1"/>
  <c r="L1509" i="13" s="1"/>
  <c r="M1509" i="13" s="1"/>
  <c r="L1510" i="13" s="1"/>
  <c r="M1510" i="13" s="1"/>
  <c r="L1511" i="13" s="1"/>
  <c r="M1511" i="13" s="1"/>
  <c r="L1512" i="13" s="1"/>
  <c r="M1512" i="13" s="1"/>
  <c r="L1513" i="13" s="1"/>
  <c r="M1513" i="13" s="1"/>
  <c r="L1514" i="13" s="1"/>
  <c r="M1514" i="13" s="1"/>
  <c r="L1515" i="13" s="1"/>
  <c r="M1515" i="13" s="1"/>
  <c r="L1516" i="13" s="1"/>
  <c r="M1516" i="13" s="1"/>
  <c r="L1517" i="13" s="1"/>
  <c r="M1517" i="13" s="1"/>
  <c r="L1518" i="13" s="1"/>
  <c r="M1518" i="13" s="1"/>
  <c r="L1519" i="13" s="1"/>
  <c r="M1519" i="13" s="1"/>
  <c r="L1520" i="13" s="1"/>
  <c r="M1520" i="13" s="1"/>
  <c r="L1521" i="13" s="1"/>
  <c r="M1521" i="13" s="1"/>
  <c r="I39" i="14" s="1"/>
  <c r="M1763" i="13"/>
  <c r="L1764" i="13" s="1"/>
  <c r="M1764" i="13" s="1"/>
  <c r="L1765" i="13" s="1"/>
  <c r="M1765" i="13" s="1"/>
  <c r="L1766" i="13" s="1"/>
  <c r="M1766" i="13" s="1"/>
  <c r="L1767" i="13" s="1"/>
  <c r="M1767" i="13" s="1"/>
  <c r="L1768" i="13" s="1"/>
  <c r="M1768" i="13" s="1"/>
  <c r="L1769" i="13" s="1"/>
  <c r="M1769" i="13" s="1"/>
  <c r="L1770" i="13" s="1"/>
  <c r="M1770" i="13" s="1"/>
  <c r="L1771" i="13" s="1"/>
  <c r="M1771" i="13" s="1"/>
  <c r="L1772" i="13" s="1"/>
  <c r="M1772" i="13" s="1"/>
  <c r="L1773" i="13" s="1"/>
  <c r="M1773" i="13" s="1"/>
  <c r="L1774" i="13" s="1"/>
  <c r="M1774" i="13" s="1"/>
  <c r="L1775" i="13" s="1"/>
  <c r="M1775" i="13" s="1"/>
  <c r="L1776" i="13" s="1"/>
  <c r="M1776" i="13" s="1"/>
  <c r="L1777" i="13" s="1"/>
  <c r="M1777" i="13" s="1"/>
  <c r="L1778" i="13" s="1"/>
  <c r="M1778" i="13" s="1"/>
  <c r="L1779" i="13" s="1"/>
  <c r="M1779" i="13" s="1"/>
  <c r="L1780" i="13" s="1"/>
  <c r="M1780" i="13" s="1"/>
  <c r="L1781" i="13" s="1"/>
  <c r="M1781" i="13" s="1"/>
  <c r="L1782" i="13" s="1"/>
  <c r="M1782" i="13" s="1"/>
  <c r="L1783" i="13" s="1"/>
  <c r="M1783" i="13" s="1"/>
  <c r="L1784" i="13" s="1"/>
  <c r="M1784" i="13" s="1"/>
  <c r="L1785" i="13" s="1"/>
  <c r="M1785" i="13" s="1"/>
  <c r="L1786" i="13" s="1"/>
  <c r="M1786" i="13" s="1"/>
  <c r="L1787" i="13" s="1"/>
  <c r="M1787" i="13" s="1"/>
  <c r="L1788" i="13" s="1"/>
  <c r="M1788" i="13" s="1"/>
  <c r="L1789" i="13" s="1"/>
  <c r="M1789" i="13" s="1"/>
  <c r="L1790" i="13" s="1"/>
  <c r="M1790" i="13" s="1"/>
  <c r="L1791" i="13" s="1"/>
  <c r="M1791" i="13" s="1"/>
  <c r="L1792" i="13" s="1"/>
  <c r="M1792" i="13" s="1"/>
  <c r="L1793" i="13" s="1"/>
  <c r="M1793" i="13" s="1"/>
  <c r="L1794" i="13" s="1"/>
  <c r="M1794" i="13" s="1"/>
  <c r="L1795" i="13" s="1"/>
  <c r="M1795" i="13" s="1"/>
  <c r="L1796" i="13" s="1"/>
  <c r="M1796" i="13" s="1"/>
  <c r="L1797" i="13" s="1"/>
  <c r="M1797" i="13" s="1"/>
  <c r="L1798" i="13" s="1"/>
  <c r="M1798" i="13" s="1"/>
  <c r="L1799" i="13" s="1"/>
  <c r="M1799" i="13" s="1"/>
  <c r="L1800" i="13" s="1"/>
  <c r="M1800" i="13" s="1"/>
  <c r="L1801" i="13" s="1"/>
  <c r="M1801" i="13" s="1"/>
  <c r="I46" i="14" s="1"/>
  <c r="M1687" i="13"/>
  <c r="L1688" i="13" s="1"/>
  <c r="M1688" i="13" s="1"/>
  <c r="L1689" i="13" s="1"/>
  <c r="M1689" i="13" s="1"/>
  <c r="L1690" i="13" s="1"/>
  <c r="M1690" i="13" s="1"/>
  <c r="L1691" i="13" s="1"/>
  <c r="M1691" i="13" s="1"/>
  <c r="L1692" i="13" s="1"/>
  <c r="M1692" i="13" s="1"/>
  <c r="L1693" i="13" s="1"/>
  <c r="M1693" i="13" s="1"/>
  <c r="L1694" i="13" s="1"/>
  <c r="M1694" i="13" s="1"/>
  <c r="L1695" i="13" s="1"/>
  <c r="M1695" i="13" s="1"/>
  <c r="L1696" i="13" s="1"/>
  <c r="M1696" i="13" s="1"/>
  <c r="L1697" i="13" s="1"/>
  <c r="M1697" i="13" s="1"/>
  <c r="L1698" i="13" s="1"/>
  <c r="M1698" i="13" s="1"/>
  <c r="L1699" i="13" s="1"/>
  <c r="M1699" i="13" s="1"/>
  <c r="L1700" i="13" s="1"/>
  <c r="M1700" i="13" s="1"/>
  <c r="L1701" i="13" s="1"/>
  <c r="M1701" i="13" s="1"/>
  <c r="L1702" i="13" s="1"/>
  <c r="M1702" i="13" s="1"/>
  <c r="L1703" i="13" s="1"/>
  <c r="M1703" i="13" s="1"/>
  <c r="L1704" i="13" s="1"/>
  <c r="M1704" i="13" s="1"/>
  <c r="L1705" i="13" s="1"/>
  <c r="M1705" i="13" s="1"/>
  <c r="L1706" i="13" s="1"/>
  <c r="M1706" i="13" s="1"/>
  <c r="L1707" i="13" s="1"/>
  <c r="M1707" i="13" s="1"/>
  <c r="L1708" i="13" s="1"/>
  <c r="M1708" i="13" s="1"/>
  <c r="L1709" i="13" s="1"/>
  <c r="M1709" i="13" s="1"/>
  <c r="L1710" i="13" s="1"/>
  <c r="M1710" i="13" s="1"/>
  <c r="L1711" i="13" s="1"/>
  <c r="M1711" i="13" s="1"/>
  <c r="L1712" i="13" s="1"/>
  <c r="M1712" i="13" s="1"/>
  <c r="L1713" i="13" s="1"/>
  <c r="M1713" i="13" s="1"/>
  <c r="L1714" i="13" s="1"/>
  <c r="M1714" i="13" s="1"/>
  <c r="L1715" i="13" s="1"/>
  <c r="M1715" i="13" s="1"/>
  <c r="L1716" i="13" s="1"/>
  <c r="M1716" i="13" s="1"/>
  <c r="L1717" i="13" s="1"/>
  <c r="M1717" i="13" s="1"/>
  <c r="L1718" i="13" s="1"/>
  <c r="M1718" i="13" s="1"/>
  <c r="L1719" i="13" s="1"/>
  <c r="M1719" i="13" s="1"/>
  <c r="L1720" i="13" s="1"/>
  <c r="M1720" i="13" s="1"/>
  <c r="L1721" i="13" s="1"/>
  <c r="M1721" i="13" s="1"/>
  <c r="I44" i="14" s="1"/>
  <c r="M1723" i="13"/>
  <c r="L1724" i="13" s="1"/>
  <c r="M1724" i="13" s="1"/>
  <c r="L1725" i="13" s="1"/>
  <c r="M1725" i="13" s="1"/>
  <c r="L1726" i="13" s="1"/>
  <c r="M1726" i="13" s="1"/>
  <c r="L1727" i="13" s="1"/>
  <c r="M1727" i="13" s="1"/>
  <c r="L1728" i="13" s="1"/>
  <c r="M1728" i="13" s="1"/>
  <c r="L1729" i="13" s="1"/>
  <c r="M1729" i="13" s="1"/>
  <c r="L1730" i="13" s="1"/>
  <c r="M1730" i="13" s="1"/>
  <c r="L1731" i="13" s="1"/>
  <c r="M1731" i="13" s="1"/>
  <c r="L1732" i="13" s="1"/>
  <c r="M1732" i="13" s="1"/>
  <c r="L1733" i="13" s="1"/>
  <c r="M1733" i="13" s="1"/>
  <c r="L1734" i="13" s="1"/>
  <c r="M1734" i="13" s="1"/>
  <c r="L1735" i="13" s="1"/>
  <c r="M1735" i="13" s="1"/>
  <c r="L1736" i="13" s="1"/>
  <c r="M1736" i="13" s="1"/>
  <c r="L1737" i="13" s="1"/>
  <c r="M1737" i="13" s="1"/>
  <c r="L1738" i="13" s="1"/>
  <c r="M1738" i="13" s="1"/>
  <c r="L1739" i="13" s="1"/>
  <c r="M1739" i="13" s="1"/>
  <c r="L1740" i="13" s="1"/>
  <c r="M1740" i="13" s="1"/>
  <c r="L1741" i="13" s="1"/>
  <c r="M1741" i="13" s="1"/>
  <c r="L1742" i="13" s="1"/>
  <c r="M1742" i="13" s="1"/>
  <c r="L1743" i="13" s="1"/>
  <c r="M1743" i="13" s="1"/>
  <c r="L1744" i="13" s="1"/>
  <c r="M1744" i="13" s="1"/>
  <c r="L1745" i="13" s="1"/>
  <c r="M1745" i="13" s="1"/>
  <c r="L1746" i="13" s="1"/>
  <c r="M1746" i="13" s="1"/>
  <c r="L1747" i="13" s="1"/>
  <c r="M1747" i="13" s="1"/>
  <c r="L1748" i="13" s="1"/>
  <c r="M1748" i="13" s="1"/>
  <c r="L1749" i="13" s="1"/>
  <c r="M1749" i="13" s="1"/>
  <c r="L1750" i="13" s="1"/>
  <c r="M1750" i="13" s="1"/>
  <c r="L1751" i="13" s="1"/>
  <c r="M1751" i="13" s="1"/>
  <c r="L1752" i="13" s="1"/>
  <c r="M1752" i="13" s="1"/>
  <c r="L1753" i="13" s="1"/>
  <c r="M1753" i="13" s="1"/>
  <c r="L1754" i="13" s="1"/>
  <c r="M1754" i="13" s="1"/>
  <c r="L1755" i="13" s="1"/>
  <c r="M1755" i="13" s="1"/>
  <c r="L1756" i="13" s="1"/>
  <c r="M1756" i="13" s="1"/>
  <c r="L1757" i="13" s="1"/>
  <c r="M1757" i="13" s="1"/>
  <c r="L1758" i="13" s="1"/>
  <c r="M1758" i="13" s="1"/>
  <c r="L1759" i="13" s="1"/>
  <c r="M1759" i="13" s="1"/>
  <c r="L1760" i="13" s="1"/>
  <c r="M1760" i="13" s="1"/>
  <c r="L1761" i="13" s="1"/>
  <c r="M1761" i="13" s="1"/>
  <c r="I45" i="14" s="1"/>
  <c r="X3" i="7"/>
  <c r="AK3" i="7"/>
  <c r="X51" i="7"/>
  <c r="AK51" i="7"/>
  <c r="S35" i="7"/>
  <c r="X35" i="7"/>
  <c r="AK35" i="7"/>
  <c r="Q10" i="7"/>
  <c r="S30" i="7"/>
  <c r="AK30" i="7"/>
  <c r="X30" i="7"/>
  <c r="D26" i="8"/>
  <c r="K26" i="8" s="1"/>
  <c r="AK26" i="7"/>
  <c r="X26" i="7"/>
  <c r="D16" i="8"/>
  <c r="K16" i="8" s="1"/>
  <c r="AK16" i="7"/>
  <c r="X16" i="7"/>
  <c r="M1843" i="13"/>
  <c r="L1844" i="13" s="1"/>
  <c r="M1844" i="13" s="1"/>
  <c r="L1845" i="13" s="1"/>
  <c r="M1845" i="13" s="1"/>
  <c r="L1846" i="13" s="1"/>
  <c r="M1846" i="13" s="1"/>
  <c r="L1847" i="13" s="1"/>
  <c r="M1847" i="13" s="1"/>
  <c r="L1848" i="13" s="1"/>
  <c r="M1848" i="13" s="1"/>
  <c r="L1849" i="13" s="1"/>
  <c r="M1849" i="13" s="1"/>
  <c r="L1850" i="13" s="1"/>
  <c r="M1850" i="13" s="1"/>
  <c r="L1851" i="13" s="1"/>
  <c r="M1851" i="13" s="1"/>
  <c r="L1852" i="13" s="1"/>
  <c r="M1852" i="13" s="1"/>
  <c r="L1853" i="13" s="1"/>
  <c r="M1853" i="13" s="1"/>
  <c r="L1854" i="13" s="1"/>
  <c r="M1854" i="13" s="1"/>
  <c r="L1855" i="13" s="1"/>
  <c r="M1855" i="13" s="1"/>
  <c r="L1856" i="13" s="1"/>
  <c r="M1856" i="13" s="1"/>
  <c r="L1857" i="13" s="1"/>
  <c r="M1857" i="13" s="1"/>
  <c r="L1858" i="13" s="1"/>
  <c r="M1858" i="13" s="1"/>
  <c r="L1859" i="13" s="1"/>
  <c r="M1859" i="13" s="1"/>
  <c r="L1860" i="13" s="1"/>
  <c r="M1860" i="13" s="1"/>
  <c r="L1861" i="13" s="1"/>
  <c r="M1861" i="13" s="1"/>
  <c r="L1862" i="13" s="1"/>
  <c r="M1862" i="13" s="1"/>
  <c r="L1863" i="13" s="1"/>
  <c r="M1863" i="13" s="1"/>
  <c r="L1864" i="13" s="1"/>
  <c r="M1864" i="13" s="1"/>
  <c r="L1865" i="13" s="1"/>
  <c r="M1865" i="13" s="1"/>
  <c r="L1866" i="13" s="1"/>
  <c r="M1866" i="13" s="1"/>
  <c r="L1867" i="13" s="1"/>
  <c r="M1867" i="13" s="1"/>
  <c r="L1868" i="13" s="1"/>
  <c r="M1868" i="13" s="1"/>
  <c r="L1869" i="13" s="1"/>
  <c r="M1869" i="13" s="1"/>
  <c r="L1870" i="13" s="1"/>
  <c r="M1870" i="13" s="1"/>
  <c r="L1871" i="13" s="1"/>
  <c r="M1871" i="13" s="1"/>
  <c r="L1872" i="13" s="1"/>
  <c r="M1872" i="13" s="1"/>
  <c r="L1873" i="13" s="1"/>
  <c r="M1873" i="13" s="1"/>
  <c r="L1874" i="13" s="1"/>
  <c r="M1874" i="13" s="1"/>
  <c r="L1875" i="13" s="1"/>
  <c r="M1875" i="13" s="1"/>
  <c r="L1876" i="13" s="1"/>
  <c r="M1876" i="13" s="1"/>
  <c r="L1877" i="13" s="1"/>
  <c r="M1877" i="13" s="1"/>
  <c r="L1878" i="13" s="1"/>
  <c r="M1878" i="13" s="1"/>
  <c r="L1879" i="13" s="1"/>
  <c r="M1879" i="13" s="1"/>
  <c r="L1880" i="13" s="1"/>
  <c r="M1880" i="13" s="1"/>
  <c r="L1881" i="13" s="1"/>
  <c r="M1881" i="13" s="1"/>
  <c r="I48" i="14" s="1"/>
  <c r="M1884" i="13"/>
  <c r="L1885" i="13" s="1"/>
  <c r="M1885" i="13" s="1"/>
  <c r="L1886" i="13" s="1"/>
  <c r="M1886" i="13" s="1"/>
  <c r="L1887" i="13" s="1"/>
  <c r="M1887" i="13" s="1"/>
  <c r="L1888" i="13" s="1"/>
  <c r="M1888" i="13" s="1"/>
  <c r="L1889" i="13" s="1"/>
  <c r="M1889" i="13" s="1"/>
  <c r="L1890" i="13" s="1"/>
  <c r="M1890" i="13" s="1"/>
  <c r="L1891" i="13" s="1"/>
  <c r="M1891" i="13" s="1"/>
  <c r="L1892" i="13" s="1"/>
  <c r="M1892" i="13" s="1"/>
  <c r="L1893" i="13" s="1"/>
  <c r="M1893" i="13" s="1"/>
  <c r="L1894" i="13" s="1"/>
  <c r="M1894" i="13" s="1"/>
  <c r="L1895" i="13" s="1"/>
  <c r="M1895" i="13" s="1"/>
  <c r="L1896" i="13" s="1"/>
  <c r="M1896" i="13" s="1"/>
  <c r="L1897" i="13" s="1"/>
  <c r="M1897" i="13" s="1"/>
  <c r="L1898" i="13" s="1"/>
  <c r="M1898" i="13" s="1"/>
  <c r="L1899" i="13" s="1"/>
  <c r="M1899" i="13" s="1"/>
  <c r="L1900" i="13" s="1"/>
  <c r="M1900" i="13" s="1"/>
  <c r="L1901" i="13" s="1"/>
  <c r="M1901" i="13" s="1"/>
  <c r="L1902" i="13" s="1"/>
  <c r="M1902" i="13" s="1"/>
  <c r="L1903" i="13" s="1"/>
  <c r="M1903" i="13" s="1"/>
  <c r="L1904" i="13" s="1"/>
  <c r="M1904" i="13" s="1"/>
  <c r="L1905" i="13" s="1"/>
  <c r="M1905" i="13" s="1"/>
  <c r="L1906" i="13" s="1"/>
  <c r="M1906" i="13" s="1"/>
  <c r="L1907" i="13" s="1"/>
  <c r="M1907" i="13" s="1"/>
  <c r="L1908" i="13" s="1"/>
  <c r="M1908" i="13" s="1"/>
  <c r="L1909" i="13" s="1"/>
  <c r="M1909" i="13" s="1"/>
  <c r="L1910" i="13" s="1"/>
  <c r="M1910" i="13" s="1"/>
  <c r="L1911" i="13" s="1"/>
  <c r="M1911" i="13" s="1"/>
  <c r="L1912" i="13" s="1"/>
  <c r="M1912" i="13" s="1"/>
  <c r="L1913" i="13" s="1"/>
  <c r="M1913" i="13" s="1"/>
  <c r="L1914" i="13" s="1"/>
  <c r="M1914" i="13" s="1"/>
  <c r="L1915" i="13" s="1"/>
  <c r="M1915" i="13" s="1"/>
  <c r="L1916" i="13" s="1"/>
  <c r="M1916" i="13" s="1"/>
  <c r="L1917" i="13" s="1"/>
  <c r="M1917" i="13" s="1"/>
  <c r="L1918" i="13" s="1"/>
  <c r="M1918" i="13" s="1"/>
  <c r="L1919" i="13" s="1"/>
  <c r="M1919" i="13" s="1"/>
  <c r="L1920" i="13" s="1"/>
  <c r="M1920" i="13" s="1"/>
  <c r="L1921" i="13" s="1"/>
  <c r="M1921" i="13" s="1"/>
  <c r="I49" i="14" s="1"/>
  <c r="M2046" i="13"/>
  <c r="L2047" i="13" s="1"/>
  <c r="M2047" i="13" s="1"/>
  <c r="L2048" i="13" s="1"/>
  <c r="M2048" i="13" s="1"/>
  <c r="L2049" i="13" s="1"/>
  <c r="M2049" i="13" s="1"/>
  <c r="L2050" i="13" s="1"/>
  <c r="M2050" i="13" s="1"/>
  <c r="L2051" i="13" s="1"/>
  <c r="M2051" i="13" s="1"/>
  <c r="L2052" i="13" s="1"/>
  <c r="M2052" i="13" s="1"/>
  <c r="L2053" i="13" s="1"/>
  <c r="M2053" i="13" s="1"/>
  <c r="L2054" i="13" s="1"/>
  <c r="M2054" i="13" s="1"/>
  <c r="L2055" i="13" s="1"/>
  <c r="M2055" i="13" s="1"/>
  <c r="L2056" i="13" s="1"/>
  <c r="M2056" i="13" s="1"/>
  <c r="L2057" i="13" s="1"/>
  <c r="M2057" i="13" s="1"/>
  <c r="L2058" i="13" s="1"/>
  <c r="M2058" i="13" s="1"/>
  <c r="L2059" i="13" s="1"/>
  <c r="M2059" i="13" s="1"/>
  <c r="L2060" i="13" s="1"/>
  <c r="M2060" i="13" s="1"/>
  <c r="L2061" i="13" s="1"/>
  <c r="M2061" i="13" s="1"/>
  <c r="L2062" i="13" s="1"/>
  <c r="M2062" i="13" s="1"/>
  <c r="L2063" i="13" s="1"/>
  <c r="M2063" i="13" s="1"/>
  <c r="L2064" i="13" s="1"/>
  <c r="M2064" i="13" s="1"/>
  <c r="L2065" i="13" s="1"/>
  <c r="M2065" i="13" s="1"/>
  <c r="L2066" i="13" s="1"/>
  <c r="M2066" i="13" s="1"/>
  <c r="L2067" i="13" s="1"/>
  <c r="M2067" i="13" s="1"/>
  <c r="L2068" i="13" s="1"/>
  <c r="M2068" i="13" s="1"/>
  <c r="L2069" i="13" s="1"/>
  <c r="M2069" i="13" s="1"/>
  <c r="L2070" i="13" s="1"/>
  <c r="M2070" i="13" s="1"/>
  <c r="L2071" i="13" s="1"/>
  <c r="M2071" i="13" s="1"/>
  <c r="L2072" i="13" s="1"/>
  <c r="M2072" i="13" s="1"/>
  <c r="L2073" i="13" s="1"/>
  <c r="M2073" i="13" s="1"/>
  <c r="L2074" i="13" s="1"/>
  <c r="M2074" i="13" s="1"/>
  <c r="L2075" i="13" s="1"/>
  <c r="M2075" i="13" s="1"/>
  <c r="L2076" i="13" s="1"/>
  <c r="M2076" i="13" s="1"/>
  <c r="L2077" i="13" s="1"/>
  <c r="M2077" i="13" s="1"/>
  <c r="L2078" i="13" s="1"/>
  <c r="M2078" i="13" s="1"/>
  <c r="L2079" i="13" s="1"/>
  <c r="M2079" i="13" s="1"/>
  <c r="L2080" i="13" s="1"/>
  <c r="M2080" i="13" s="1"/>
  <c r="L2081" i="13" s="1"/>
  <c r="M2081" i="13" s="1"/>
  <c r="I53" i="14" s="1"/>
  <c r="D4" i="8"/>
  <c r="K4" i="8" s="1"/>
  <c r="S4" i="7"/>
  <c r="AK4" i="7"/>
  <c r="X4" i="7"/>
  <c r="X11" i="7"/>
  <c r="M1962" i="13"/>
  <c r="L1963" i="13" s="1"/>
  <c r="M1963" i="13" s="1"/>
  <c r="L1964" i="13" s="1"/>
  <c r="M1964" i="13" s="1"/>
  <c r="L1965" i="13" s="1"/>
  <c r="M1965" i="13" s="1"/>
  <c r="L1966" i="13" s="1"/>
  <c r="M1966" i="13" s="1"/>
  <c r="L1967" i="13" s="1"/>
  <c r="M1967" i="13" s="1"/>
  <c r="L1968" i="13" s="1"/>
  <c r="M1968" i="13" s="1"/>
  <c r="L1969" i="13" s="1"/>
  <c r="M1969" i="13" s="1"/>
  <c r="L1970" i="13" s="1"/>
  <c r="M1970" i="13" s="1"/>
  <c r="L1971" i="13" s="1"/>
  <c r="M1971" i="13" s="1"/>
  <c r="L1972" i="13" s="1"/>
  <c r="M1972" i="13" s="1"/>
  <c r="L1973" i="13" s="1"/>
  <c r="M1973" i="13" s="1"/>
  <c r="L1974" i="13" s="1"/>
  <c r="M1974" i="13" s="1"/>
  <c r="L1975" i="13" s="1"/>
  <c r="M1975" i="13" s="1"/>
  <c r="L1976" i="13" s="1"/>
  <c r="M1976" i="13" s="1"/>
  <c r="L1977" i="13" s="1"/>
  <c r="M1977" i="13" s="1"/>
  <c r="L1978" i="13" s="1"/>
  <c r="M1978" i="13" s="1"/>
  <c r="L1979" i="13" s="1"/>
  <c r="M1979" i="13" s="1"/>
  <c r="L1980" i="13" s="1"/>
  <c r="M1980" i="13" s="1"/>
  <c r="L1981" i="13" s="1"/>
  <c r="M1981" i="13" s="1"/>
  <c r="L1982" i="13" s="1"/>
  <c r="M1982" i="13" s="1"/>
  <c r="L1983" i="13" s="1"/>
  <c r="M1983" i="13" s="1"/>
  <c r="L1984" i="13" s="1"/>
  <c r="M1984" i="13" s="1"/>
  <c r="L1985" i="13" s="1"/>
  <c r="M1985" i="13" s="1"/>
  <c r="L1986" i="13" s="1"/>
  <c r="M1986" i="13" s="1"/>
  <c r="L1987" i="13" s="1"/>
  <c r="M1987" i="13" s="1"/>
  <c r="L1988" i="13" s="1"/>
  <c r="M1988" i="13" s="1"/>
  <c r="L1989" i="13" s="1"/>
  <c r="M1989" i="13" s="1"/>
  <c r="L1990" i="13" s="1"/>
  <c r="M1990" i="13" s="1"/>
  <c r="L1991" i="13" s="1"/>
  <c r="M1991" i="13" s="1"/>
  <c r="L1992" i="13" s="1"/>
  <c r="M1992" i="13" s="1"/>
  <c r="L1993" i="13" s="1"/>
  <c r="M1993" i="13" s="1"/>
  <c r="L1994" i="13" s="1"/>
  <c r="M1994" i="13" s="1"/>
  <c r="L1995" i="13" s="1"/>
  <c r="M1995" i="13" s="1"/>
  <c r="L1996" i="13" s="1"/>
  <c r="M1996" i="13" s="1"/>
  <c r="L1997" i="13" s="1"/>
  <c r="M1997" i="13" s="1"/>
  <c r="L1998" i="13" s="1"/>
  <c r="M1998" i="13" s="1"/>
  <c r="L1999" i="13" s="1"/>
  <c r="M1999" i="13" s="1"/>
  <c r="L2000" i="13" s="1"/>
  <c r="M2000" i="13" s="1"/>
  <c r="L2001" i="13" s="1"/>
  <c r="M2001" i="13" s="1"/>
  <c r="I51" i="14" s="1"/>
  <c r="Q3" i="7"/>
  <c r="AK31" i="7"/>
  <c r="X31" i="7"/>
  <c r="X9" i="7"/>
  <c r="S9" i="7"/>
  <c r="AK9" i="7"/>
  <c r="X34" i="7"/>
  <c r="AK34" i="7"/>
  <c r="X21" i="7"/>
  <c r="AK21" i="7"/>
  <c r="AK42" i="7"/>
  <c r="X42" i="7"/>
  <c r="Q9" i="7"/>
  <c r="S15" i="7"/>
  <c r="X15" i="7"/>
  <c r="AK15" i="7"/>
  <c r="AK29" i="7"/>
  <c r="X29" i="7"/>
  <c r="Q46" i="7"/>
  <c r="X49" i="7"/>
  <c r="X74" i="7"/>
  <c r="AK74" i="7"/>
  <c r="R6" i="7"/>
  <c r="R8" i="7"/>
  <c r="AK11" i="7"/>
  <c r="AK25" i="7"/>
  <c r="X25" i="7"/>
  <c r="S37" i="7"/>
  <c r="AK37" i="7"/>
  <c r="X37" i="7"/>
  <c r="AK45" i="7"/>
  <c r="X45" i="7"/>
  <c r="C10" i="16"/>
  <c r="D10" i="16" s="1"/>
  <c r="AK7" i="7"/>
  <c r="X7" i="7"/>
  <c r="X41" i="7"/>
  <c r="S41" i="7"/>
  <c r="AK41" i="7"/>
  <c r="D5" i="8"/>
  <c r="K5" i="8" s="1"/>
  <c r="AK5" i="7"/>
  <c r="X5" i="7"/>
  <c r="D13" i="8"/>
  <c r="K13" i="8" s="1"/>
  <c r="S13" i="7"/>
  <c r="AK13" i="7"/>
  <c r="X13" i="7"/>
  <c r="AK14" i="7"/>
  <c r="D19" i="8"/>
  <c r="K19" i="8" s="1"/>
  <c r="AK19" i="7"/>
  <c r="X19" i="7"/>
  <c r="X63" i="7"/>
  <c r="S63" i="7"/>
  <c r="AK63" i="7"/>
  <c r="Q7" i="7"/>
  <c r="Q19" i="7"/>
  <c r="S19" i="7" s="1"/>
  <c r="S23" i="7"/>
  <c r="AK23" i="7"/>
  <c r="X23" i="7"/>
  <c r="X28" i="7"/>
  <c r="AK28" i="7"/>
  <c r="AK32" i="7"/>
  <c r="X32" i="7"/>
  <c r="O2" i="7"/>
  <c r="R2" i="7" s="1"/>
  <c r="P2" i="7"/>
  <c r="Q2" i="7" s="1"/>
  <c r="Q5" i="7"/>
  <c r="X36" i="7"/>
  <c r="S36" i="7"/>
  <c r="AK36" i="7"/>
  <c r="S5" i="7"/>
  <c r="D10" i="8"/>
  <c r="K10" i="8" s="1"/>
  <c r="X10" i="7"/>
  <c r="AK10" i="7"/>
  <c r="AK12" i="7"/>
  <c r="D18" i="8"/>
  <c r="K18" i="8" s="1"/>
  <c r="Q31" i="7"/>
  <c r="S31" i="7" s="1"/>
  <c r="S47" i="7"/>
  <c r="Q57" i="7"/>
  <c r="Q12" i="7"/>
  <c r="S12" i="7" s="1"/>
  <c r="Q25" i="7"/>
  <c r="X55" i="7"/>
  <c r="S55" i="7"/>
  <c r="AK55" i="7"/>
  <c r="S60" i="7"/>
  <c r="AK60" i="7"/>
  <c r="X60" i="7"/>
  <c r="X80" i="7"/>
  <c r="AK80" i="7"/>
  <c r="S80" i="7"/>
  <c r="P6" i="7"/>
  <c r="Q6" i="7" s="1"/>
  <c r="Q8" i="7"/>
  <c r="Q13" i="7"/>
  <c r="Q26" i="7"/>
  <c r="S26" i="7" s="1"/>
  <c r="Q32" i="7"/>
  <c r="S32" i="7" s="1"/>
  <c r="S50" i="7"/>
  <c r="AK50" i="7"/>
  <c r="X18" i="7"/>
  <c r="X24" i="7"/>
  <c r="Q55" i="7"/>
  <c r="Q14" i="7"/>
  <c r="Q20" i="7"/>
  <c r="Q33" i="7"/>
  <c r="Q45" i="7"/>
  <c r="S20" i="7"/>
  <c r="S33" i="7"/>
  <c r="Q50" i="7"/>
  <c r="Q21" i="7"/>
  <c r="S21" i="7" s="1"/>
  <c r="D27" i="8"/>
  <c r="K27" i="8" s="1"/>
  <c r="X44" i="7"/>
  <c r="AK44" i="7"/>
  <c r="Q15" i="7"/>
  <c r="AK53" i="7"/>
  <c r="X53" i="7"/>
  <c r="Q54" i="7"/>
  <c r="Q69" i="7"/>
  <c r="Q22" i="7"/>
  <c r="S22" i="7" s="1"/>
  <c r="Q28" i="7"/>
  <c r="S43" i="7"/>
  <c r="AK43" i="7"/>
  <c r="Q44" i="7"/>
  <c r="S44" i="7" s="1"/>
  <c r="Q49" i="7"/>
  <c r="S49" i="7" s="1"/>
  <c r="X72" i="7"/>
  <c r="Q35" i="7"/>
  <c r="Q72" i="7"/>
  <c r="Q4" i="7"/>
  <c r="Q16" i="7"/>
  <c r="AK18" i="7"/>
  <c r="AK24" i="7"/>
  <c r="X27" i="7"/>
  <c r="Q29" i="7"/>
  <c r="S38" i="7"/>
  <c r="AK38" i="7"/>
  <c r="Q42" i="7"/>
  <c r="Q43" i="7"/>
  <c r="X48" i="7"/>
  <c r="AK48" i="7"/>
  <c r="X68" i="7"/>
  <c r="AK68" i="7"/>
  <c r="Q85" i="7"/>
  <c r="Q23" i="7"/>
  <c r="S40" i="7"/>
  <c r="AK40" i="7"/>
  <c r="X58" i="7"/>
  <c r="AK58" i="7"/>
  <c r="S58" i="7"/>
  <c r="Q64" i="7"/>
  <c r="Q68" i="7"/>
  <c r="S68" i="7" s="1"/>
  <c r="X71" i="7"/>
  <c r="AK71" i="7"/>
  <c r="S71" i="7"/>
  <c r="Q17" i="7"/>
  <c r="Q30" i="7"/>
  <c r="Q36" i="7"/>
  <c r="Q41" i="7"/>
  <c r="Q48" i="7"/>
  <c r="X52" i="7"/>
  <c r="S52" i="7"/>
  <c r="AK52" i="7"/>
  <c r="S57" i="7"/>
  <c r="AK57" i="7"/>
  <c r="X57" i="7"/>
  <c r="Q11" i="7"/>
  <c r="S17" i="7"/>
  <c r="X22" i="7"/>
  <c r="Q37" i="7"/>
  <c r="Q39" i="7"/>
  <c r="Q40" i="7"/>
  <c r="X131" i="7"/>
  <c r="AK131" i="7"/>
  <c r="Q18" i="7"/>
  <c r="Q24" i="7"/>
  <c r="Q38" i="7"/>
  <c r="S39" i="7"/>
  <c r="X39" i="7"/>
  <c r="X43" i="7"/>
  <c r="X46" i="7"/>
  <c r="S46" i="7"/>
  <c r="AK46" i="7"/>
  <c r="Q47" i="7"/>
  <c r="Q52" i="7"/>
  <c r="Q61" i="7"/>
  <c r="Q97" i="7"/>
  <c r="Q116" i="7"/>
  <c r="R54" i="7"/>
  <c r="R61" i="7"/>
  <c r="R87" i="7"/>
  <c r="X97" i="7"/>
  <c r="AK97" i="7"/>
  <c r="Q100" i="7"/>
  <c r="X113" i="7"/>
  <c r="AK113" i="7"/>
  <c r="R82" i="7"/>
  <c r="AK104" i="7"/>
  <c r="X104" i="7"/>
  <c r="Q127" i="7"/>
  <c r="AA9" i="11"/>
  <c r="X47" i="7"/>
  <c r="O62" i="7"/>
  <c r="R62" i="7" s="1"/>
  <c r="X79" i="7"/>
  <c r="S79" i="7"/>
  <c r="AK79" i="7"/>
  <c r="S81" i="7"/>
  <c r="AK81" i="7"/>
  <c r="Q86" i="7"/>
  <c r="S86" i="7" s="1"/>
  <c r="P91" i="7"/>
  <c r="Q91" i="7" s="1"/>
  <c r="O91" i="7"/>
  <c r="R91" i="7" s="1"/>
  <c r="R95" i="7"/>
  <c r="P107" i="7"/>
  <c r="Q107" i="7" s="1"/>
  <c r="O107" i="7"/>
  <c r="R107" i="7" s="1"/>
  <c r="D3" i="8" s="1"/>
  <c r="K3" i="8" s="1"/>
  <c r="R111" i="7"/>
  <c r="Q115" i="7"/>
  <c r="X118" i="7"/>
  <c r="AK118" i="7"/>
  <c r="S123" i="7"/>
  <c r="AK123" i="7"/>
  <c r="X123" i="7"/>
  <c r="O126" i="7"/>
  <c r="R126" i="7" s="1"/>
  <c r="P126" i="7"/>
  <c r="Q126" i="7" s="1"/>
  <c r="R65" i="7"/>
  <c r="Q80" i="7"/>
  <c r="Q81" i="7"/>
  <c r="Q87" i="7"/>
  <c r="Q110" i="7"/>
  <c r="Q122" i="7"/>
  <c r="Q74" i="7"/>
  <c r="Q75" i="7"/>
  <c r="P76" i="7"/>
  <c r="O76" i="7"/>
  <c r="R76" i="7" s="1"/>
  <c r="D24" i="8" s="1"/>
  <c r="K24" i="8" s="1"/>
  <c r="S99" i="7"/>
  <c r="AK99" i="7"/>
  <c r="X99" i="7"/>
  <c r="S103" i="7"/>
  <c r="AK103" i="7"/>
  <c r="X103" i="7"/>
  <c r="AK130" i="7"/>
  <c r="X130" i="7"/>
  <c r="Q14" i="11"/>
  <c r="V14" i="11" s="1"/>
  <c r="P14" i="11"/>
  <c r="R14" i="11" s="1"/>
  <c r="W14" i="11" s="1"/>
  <c r="M14" i="11"/>
  <c r="P63" i="7"/>
  <c r="Q63" i="7" s="1"/>
  <c r="Q78" i="7"/>
  <c r="S78" i="7" s="1"/>
  <c r="AK86" i="7"/>
  <c r="X86" i="7"/>
  <c r="O66" i="7"/>
  <c r="R66" i="7" s="1"/>
  <c r="P67" i="7"/>
  <c r="Q67" i="7" s="1"/>
  <c r="O67" i="7"/>
  <c r="R67" i="7" s="1"/>
  <c r="D15" i="8" s="1"/>
  <c r="K15" i="8" s="1"/>
  <c r="Q70" i="7"/>
  <c r="S70" i="7" s="1"/>
  <c r="S73" i="7"/>
  <c r="AK73" i="7"/>
  <c r="Q79" i="7"/>
  <c r="Q90" i="7"/>
  <c r="AK94" i="7"/>
  <c r="X94" i="7"/>
  <c r="Q102" i="7"/>
  <c r="Q106" i="7"/>
  <c r="S110" i="7"/>
  <c r="AK110" i="7"/>
  <c r="X110" i="7"/>
  <c r="Q121" i="7"/>
  <c r="Q129" i="7"/>
  <c r="R69" i="7"/>
  <c r="X81" i="7"/>
  <c r="P84" i="7"/>
  <c r="Q84" i="7" s="1"/>
  <c r="O84" i="7"/>
  <c r="R84" i="7" s="1"/>
  <c r="R85" i="7"/>
  <c r="Q99" i="7"/>
  <c r="S77" i="7"/>
  <c r="AK77" i="7"/>
  <c r="AK78" i="7"/>
  <c r="X78" i="7"/>
  <c r="P114" i="7"/>
  <c r="Q114" i="7" s="1"/>
  <c r="O114" i="7"/>
  <c r="R114" i="7" s="1"/>
  <c r="P98" i="7"/>
  <c r="Q98" i="7" s="1"/>
  <c r="O98" i="7"/>
  <c r="R98" i="7" s="1"/>
  <c r="D20" i="8" s="1"/>
  <c r="K20" i="8" s="1"/>
  <c r="R102" i="7"/>
  <c r="X121" i="7"/>
  <c r="AK121" i="7"/>
  <c r="AK70" i="7"/>
  <c r="X70" i="7"/>
  <c r="Q83" i="7"/>
  <c r="M3" i="11"/>
  <c r="Q3" i="11"/>
  <c r="V3" i="11" s="1"/>
  <c r="P3" i="11"/>
  <c r="R3" i="11" s="1"/>
  <c r="W3" i="11" s="1"/>
  <c r="O64" i="7"/>
  <c r="R64" i="7" s="1"/>
  <c r="P89" i="7"/>
  <c r="Q89" i="7" s="1"/>
  <c r="O89" i="7"/>
  <c r="R89" i="7" s="1"/>
  <c r="P105" i="7"/>
  <c r="Q105" i="7" s="1"/>
  <c r="O105" i="7"/>
  <c r="R105" i="7" s="1"/>
  <c r="P9" i="11"/>
  <c r="R9" i="11" s="1"/>
  <c r="W9" i="11" s="1"/>
  <c r="M9" i="11"/>
  <c r="Q9" i="11"/>
  <c r="V9" i="11" s="1"/>
  <c r="AK47" i="7"/>
  <c r="P71" i="7"/>
  <c r="Q71" i="7" s="1"/>
  <c r="X73" i="7"/>
  <c r="P59" i="7"/>
  <c r="Q59" i="7" s="1"/>
  <c r="O59" i="7"/>
  <c r="R59" i="7" s="1"/>
  <c r="Q82" i="7"/>
  <c r="Q108" i="7"/>
  <c r="S124" i="7"/>
  <c r="X124" i="7"/>
  <c r="AK124" i="7"/>
  <c r="P125" i="7"/>
  <c r="Q125" i="7" s="1"/>
  <c r="O125" i="7"/>
  <c r="R125" i="7" s="1"/>
  <c r="D21" i="8" s="1"/>
  <c r="K21" i="8" s="1"/>
  <c r="Y12" i="11"/>
  <c r="P22" i="11"/>
  <c r="R22" i="11" s="1"/>
  <c r="W22" i="11" s="1"/>
  <c r="M22" i="11"/>
  <c r="P25" i="11"/>
  <c r="R25" i="11" s="1"/>
  <c r="W25" i="11" s="1"/>
  <c r="M25" i="11"/>
  <c r="S122" i="7"/>
  <c r="Q11" i="11"/>
  <c r="P11" i="11"/>
  <c r="R11" i="11" s="1"/>
  <c r="W11" i="11" s="1"/>
  <c r="M11" i="11"/>
  <c r="AB4" i="11"/>
  <c r="V4" i="11"/>
  <c r="AB23" i="11"/>
  <c r="O100" i="7"/>
  <c r="R100" i="7" s="1"/>
  <c r="D22" i="8" s="1"/>
  <c r="K22" i="8" s="1"/>
  <c r="P118" i="7"/>
  <c r="Q118" i="7" s="1"/>
  <c r="M4" i="11"/>
  <c r="AA6" i="11"/>
  <c r="Q19" i="11"/>
  <c r="V19" i="11" s="1"/>
  <c r="Q22" i="11"/>
  <c r="V22" i="11" s="1"/>
  <c r="P24" i="11"/>
  <c r="R24" i="11" s="1"/>
  <c r="W24" i="11" s="1"/>
  <c r="M24" i="11"/>
  <c r="Q27" i="11"/>
  <c r="P27" i="11"/>
  <c r="R27" i="11" s="1"/>
  <c r="W27" i="11" s="1"/>
  <c r="M27" i="11"/>
  <c r="Q120" i="7"/>
  <c r="X122" i="7"/>
  <c r="Q7" i="11"/>
  <c r="V7" i="11" s="1"/>
  <c r="M7" i="11"/>
  <c r="Q17" i="11"/>
  <c r="V17" i="11" s="1"/>
  <c r="M17" i="11"/>
  <c r="M18" i="11"/>
  <c r="L21" i="11"/>
  <c r="Q96" i="7"/>
  <c r="Q112" i="7"/>
  <c r="AK119" i="7"/>
  <c r="X119" i="7"/>
  <c r="Q128" i="7"/>
  <c r="AB2" i="11"/>
  <c r="M10" i="11"/>
  <c r="Q10" i="11"/>
  <c r="P10" i="11"/>
  <c r="R10" i="11" s="1"/>
  <c r="W10" i="11" s="1"/>
  <c r="AB12" i="11"/>
  <c r="Y22" i="11"/>
  <c r="P101" i="7"/>
  <c r="Q101" i="7" s="1"/>
  <c r="O101" i="7"/>
  <c r="R101" i="7" s="1"/>
  <c r="AK127" i="7"/>
  <c r="X127" i="7"/>
  <c r="P4" i="11"/>
  <c r="R4" i="11" s="1"/>
  <c r="W4" i="11" s="1"/>
  <c r="X10" i="11"/>
  <c r="AB25" i="11"/>
  <c r="Q18" i="11"/>
  <c r="V18" i="11" s="1"/>
  <c r="AB19" i="11"/>
  <c r="Q24" i="11"/>
  <c r="V24" i="11" s="1"/>
  <c r="X120" i="7"/>
  <c r="AK120" i="7"/>
  <c r="P7" i="11"/>
  <c r="R7" i="11" s="1"/>
  <c r="W7" i="11" s="1"/>
  <c r="Q13" i="11"/>
  <c r="M13" i="11"/>
  <c r="P17" i="11"/>
  <c r="R17" i="11" s="1"/>
  <c r="W17" i="11" s="1"/>
  <c r="X128" i="7"/>
  <c r="AK128" i="7"/>
  <c r="P6" i="11"/>
  <c r="R6" i="11" s="1"/>
  <c r="W6" i="11" s="1"/>
  <c r="M6" i="11"/>
  <c r="AB20" i="11"/>
  <c r="V20" i="11"/>
  <c r="AA22" i="11"/>
  <c r="AB22" i="11"/>
  <c r="M26" i="11"/>
  <c r="Q26" i="11"/>
  <c r="P26" i="11"/>
  <c r="R26" i="11" s="1"/>
  <c r="W26" i="11" s="1"/>
  <c r="S96" i="7"/>
  <c r="S112" i="7"/>
  <c r="S128" i="7"/>
  <c r="AB14" i="11"/>
  <c r="M16" i="11"/>
  <c r="Q16" i="11"/>
  <c r="V16" i="11" s="1"/>
  <c r="P16" i="11"/>
  <c r="R16" i="11" s="1"/>
  <c r="W16" i="11" s="1"/>
  <c r="Q23" i="11"/>
  <c r="V23" i="11" s="1"/>
  <c r="P23" i="11"/>
  <c r="R23" i="11" s="1"/>
  <c r="W23" i="11" s="1"/>
  <c r="M23" i="11"/>
  <c r="O92" i="7"/>
  <c r="R92" i="7" s="1"/>
  <c r="O108" i="7"/>
  <c r="R108" i="7" s="1"/>
  <c r="O115" i="7"/>
  <c r="R115" i="7" s="1"/>
  <c r="P117" i="7"/>
  <c r="Q117" i="7" s="1"/>
  <c r="O117" i="7"/>
  <c r="R117" i="7" s="1"/>
  <c r="O129" i="7"/>
  <c r="R129" i="7" s="1"/>
  <c r="P2" i="11"/>
  <c r="R2" i="11" s="1"/>
  <c r="W2" i="11" s="1"/>
  <c r="C15" i="16"/>
  <c r="D15" i="16" s="1"/>
  <c r="Y10" i="11"/>
  <c r="G5" i="12" s="1"/>
  <c r="P13" i="11"/>
  <c r="R13" i="11" s="1"/>
  <c r="W13" i="11" s="1"/>
  <c r="AB24" i="11"/>
  <c r="O75" i="7"/>
  <c r="R75" i="7" s="1"/>
  <c r="O83" i="7"/>
  <c r="R83" i="7" s="1"/>
  <c r="P12" i="11"/>
  <c r="R12" i="11" s="1"/>
  <c r="W12" i="11" s="1"/>
  <c r="M12" i="11"/>
  <c r="X23" i="11"/>
  <c r="O90" i="7"/>
  <c r="R90" i="7" s="1"/>
  <c r="Q104" i="7"/>
  <c r="O106" i="7"/>
  <c r="R106" i="7" s="1"/>
  <c r="O116" i="7"/>
  <c r="R116" i="7" s="1"/>
  <c r="Q123" i="7"/>
  <c r="M2" i="11"/>
  <c r="L5" i="11"/>
  <c r="Q6" i="11"/>
  <c r="V6" i="11" s="1"/>
  <c r="AB7" i="11"/>
  <c r="X16" i="11"/>
  <c r="G4" i="12" s="1"/>
  <c r="P20" i="11"/>
  <c r="R20" i="11" s="1"/>
  <c r="W20" i="11" s="1"/>
  <c r="O88" i="7"/>
  <c r="R88" i="7" s="1"/>
  <c r="P93" i="7"/>
  <c r="Q93" i="7" s="1"/>
  <c r="O93" i="7"/>
  <c r="R93" i="7" s="1"/>
  <c r="P109" i="7"/>
  <c r="Q109" i="7" s="1"/>
  <c r="O109" i="7"/>
  <c r="R109" i="7" s="1"/>
  <c r="Q131" i="7"/>
  <c r="L8" i="11"/>
  <c r="P15" i="11"/>
  <c r="R15" i="11" s="1"/>
  <c r="W15" i="11" s="1"/>
  <c r="Q15" i="11"/>
  <c r="V15" i="11" s="1"/>
  <c r="AA12" i="11"/>
  <c r="AA2" i="11"/>
  <c r="AA18" i="11"/>
  <c r="Y68" i="7" l="1"/>
  <c r="AM68" i="7" s="1"/>
  <c r="AL68" i="7"/>
  <c r="W51" i="7"/>
  <c r="AJ51" i="7"/>
  <c r="S51" i="7"/>
  <c r="C27" i="8"/>
  <c r="J27" i="8" s="1"/>
  <c r="W27" i="7"/>
  <c r="AJ27" i="7"/>
  <c r="S27" i="7"/>
  <c r="AJ94" i="7"/>
  <c r="W94" i="7"/>
  <c r="S94" i="7"/>
  <c r="AJ62" i="7"/>
  <c r="W62" i="7"/>
  <c r="W113" i="7"/>
  <c r="AJ113" i="7"/>
  <c r="S113" i="7"/>
  <c r="AJ34" i="7"/>
  <c r="W34" i="7"/>
  <c r="S34" i="7"/>
  <c r="W53" i="7"/>
  <c r="AJ53" i="7"/>
  <c r="S53" i="7"/>
  <c r="AJ92" i="7"/>
  <c r="W92" i="7"/>
  <c r="AJ66" i="7"/>
  <c r="W66" i="7"/>
  <c r="W56" i="7"/>
  <c r="AJ56" i="7"/>
  <c r="S56" i="7"/>
  <c r="Y12" i="7"/>
  <c r="AL12" i="7"/>
  <c r="Y32" i="7"/>
  <c r="AM32" i="7" s="1"/>
  <c r="AL32" i="7"/>
  <c r="AL26" i="7"/>
  <c r="Y26" i="7"/>
  <c r="AL78" i="7"/>
  <c r="Y78" i="7"/>
  <c r="AM78" i="7" s="1"/>
  <c r="AL31" i="7"/>
  <c r="Y31" i="7"/>
  <c r="AM31" i="7" s="1"/>
  <c r="AL86" i="7"/>
  <c r="Y86" i="7"/>
  <c r="AM86" i="7" s="1"/>
  <c r="AL21" i="7"/>
  <c r="Y21" i="7"/>
  <c r="Y49" i="7"/>
  <c r="AM49" i="7" s="1"/>
  <c r="AL49" i="7"/>
  <c r="Y19" i="7"/>
  <c r="AL19" i="7"/>
  <c r="Y70" i="7"/>
  <c r="AM70" i="7" s="1"/>
  <c r="AL70" i="7"/>
  <c r="Y22" i="7"/>
  <c r="AL22" i="7"/>
  <c r="Y44" i="7"/>
  <c r="AM44" i="7" s="1"/>
  <c r="AL44" i="7"/>
  <c r="N34" i="14"/>
  <c r="J34" i="14"/>
  <c r="J8" i="14"/>
  <c r="J48" i="14"/>
  <c r="J22" i="14"/>
  <c r="N48" i="14"/>
  <c r="N35" i="14"/>
  <c r="J35" i="14"/>
  <c r="J9" i="14"/>
  <c r="L36" i="14"/>
  <c r="K36" i="14"/>
  <c r="AJ42" i="7"/>
  <c r="W42" i="7"/>
  <c r="W73" i="7"/>
  <c r="AJ73" i="7"/>
  <c r="K5" i="14"/>
  <c r="L5" i="14"/>
  <c r="C10" i="8"/>
  <c r="J10" i="8" s="1"/>
  <c r="AJ10" i="7"/>
  <c r="W10" i="7"/>
  <c r="Q5" i="11"/>
  <c r="P5" i="11"/>
  <c r="R5" i="11" s="1"/>
  <c r="W5" i="11" s="1"/>
  <c r="G3" i="12" s="1"/>
  <c r="M5" i="11"/>
  <c r="W98" i="7"/>
  <c r="AJ98" i="7"/>
  <c r="AL39" i="7"/>
  <c r="Y39" i="7"/>
  <c r="AM39" i="7" s="1"/>
  <c r="W29" i="7"/>
  <c r="AJ29" i="7"/>
  <c r="C13" i="8"/>
  <c r="J13" i="8" s="1"/>
  <c r="W13" i="7"/>
  <c r="AJ13" i="7"/>
  <c r="C7" i="8"/>
  <c r="J7" i="8" s="1"/>
  <c r="AJ7" i="7"/>
  <c r="W7" i="7"/>
  <c r="AL99" i="7"/>
  <c r="Y99" i="7"/>
  <c r="AM99" i="7" s="1"/>
  <c r="L50" i="14"/>
  <c r="K50" i="14"/>
  <c r="L10" i="14"/>
  <c r="J49" i="14"/>
  <c r="N49" i="14"/>
  <c r="J23" i="14"/>
  <c r="W38" i="7"/>
  <c r="AJ38" i="7"/>
  <c r="C8" i="8"/>
  <c r="J8" i="8" s="1"/>
  <c r="AJ8" i="7"/>
  <c r="W8" i="7"/>
  <c r="AJ123" i="7"/>
  <c r="W123" i="7"/>
  <c r="S61" i="7"/>
  <c r="AK61" i="7"/>
  <c r="X61" i="7"/>
  <c r="J6" i="8"/>
  <c r="W6" i="7"/>
  <c r="AJ6" i="7"/>
  <c r="AL15" i="7"/>
  <c r="Y15" i="7"/>
  <c r="S116" i="7"/>
  <c r="X116" i="7"/>
  <c r="AK116" i="7"/>
  <c r="Y41" i="7"/>
  <c r="AM41" i="7" s="1"/>
  <c r="AL41" i="7"/>
  <c r="P8" i="11"/>
  <c r="R8" i="11" s="1"/>
  <c r="W8" i="11" s="1"/>
  <c r="Q8" i="11"/>
  <c r="M8" i="11"/>
  <c r="AK64" i="7"/>
  <c r="X64" i="7"/>
  <c r="S64" i="7"/>
  <c r="E12" i="8" s="1"/>
  <c r="L12" i="8" s="1"/>
  <c r="W45" i="7"/>
  <c r="AJ45" i="7"/>
  <c r="D8" i="8"/>
  <c r="K8" i="8" s="1"/>
  <c r="S8" i="7"/>
  <c r="X8" i="7"/>
  <c r="AK8" i="7"/>
  <c r="J33" i="14"/>
  <c r="J7" i="14"/>
  <c r="N33" i="14"/>
  <c r="L40" i="14"/>
  <c r="K40" i="14"/>
  <c r="W88" i="7"/>
  <c r="AJ88" i="7"/>
  <c r="AJ70" i="7"/>
  <c r="W70" i="7"/>
  <c r="C11" i="8"/>
  <c r="J11" i="8" s="1"/>
  <c r="W11" i="7"/>
  <c r="AJ11" i="7"/>
  <c r="K3" i="12"/>
  <c r="K5" i="12"/>
  <c r="L5" i="12" s="1"/>
  <c r="K2" i="12"/>
  <c r="K4" i="12"/>
  <c r="L4" i="12" s="1"/>
  <c r="AL112" i="7"/>
  <c r="Y112" i="7"/>
  <c r="AM112" i="7" s="1"/>
  <c r="X66" i="7"/>
  <c r="S66" i="7"/>
  <c r="AK66" i="7"/>
  <c r="AL57" i="7"/>
  <c r="Y57" i="7"/>
  <c r="AM57" i="7" s="1"/>
  <c r="Y33" i="7"/>
  <c r="AM33" i="7" s="1"/>
  <c r="AL33" i="7"/>
  <c r="Y35" i="7"/>
  <c r="AM35" i="7" s="1"/>
  <c r="AL35" i="7"/>
  <c r="X89" i="7"/>
  <c r="S89" i="7"/>
  <c r="AK89" i="7"/>
  <c r="Y79" i="7"/>
  <c r="AM79" i="7" s="1"/>
  <c r="AL79" i="7"/>
  <c r="AJ120" i="7"/>
  <c r="W120" i="7"/>
  <c r="S120" i="7"/>
  <c r="W114" i="7"/>
  <c r="AJ114" i="7"/>
  <c r="Y52" i="7"/>
  <c r="AM52" i="7" s="1"/>
  <c r="AL52" i="7"/>
  <c r="Y20" i="7"/>
  <c r="AL20" i="7"/>
  <c r="C5" i="8"/>
  <c r="J5" i="8" s="1"/>
  <c r="W5" i="7"/>
  <c r="AJ5" i="7"/>
  <c r="Y63" i="7"/>
  <c r="AM63" i="7" s="1"/>
  <c r="AL63" i="7"/>
  <c r="AK117" i="7"/>
  <c r="X117" i="7"/>
  <c r="S117" i="7"/>
  <c r="V26" i="11"/>
  <c r="AB26" i="11"/>
  <c r="V10" i="11"/>
  <c r="AB10" i="11"/>
  <c r="AL124" i="7"/>
  <c r="Y124" i="7"/>
  <c r="AM124" i="7" s="1"/>
  <c r="Q76" i="7"/>
  <c r="AK54" i="7"/>
  <c r="X54" i="7"/>
  <c r="S54" i="7"/>
  <c r="AJ18" i="7"/>
  <c r="W18" i="7"/>
  <c r="C18" i="8"/>
  <c r="J18" i="8" s="1"/>
  <c r="C23" i="8"/>
  <c r="J23" i="8" s="1"/>
  <c r="AJ23" i="7"/>
  <c r="W23" i="7"/>
  <c r="W54" i="7"/>
  <c r="AJ54" i="7"/>
  <c r="C2" i="8"/>
  <c r="J2" i="8" s="1"/>
  <c r="W2" i="7"/>
  <c r="AJ2" i="7"/>
  <c r="AJ75" i="7"/>
  <c r="W75" i="7"/>
  <c r="C16" i="8"/>
  <c r="J16" i="8" s="1"/>
  <c r="W16" i="7"/>
  <c r="AJ16" i="7"/>
  <c r="S18" i="7"/>
  <c r="C9" i="8"/>
  <c r="J9" i="8" s="1"/>
  <c r="W9" i="7"/>
  <c r="AJ9" i="7"/>
  <c r="AJ131" i="7"/>
  <c r="W131" i="7"/>
  <c r="W102" i="7"/>
  <c r="AJ102" i="7"/>
  <c r="X109" i="7"/>
  <c r="S109" i="7"/>
  <c r="AK109" i="7"/>
  <c r="AB15" i="11"/>
  <c r="W82" i="7"/>
  <c r="AJ82" i="7"/>
  <c r="W63" i="7"/>
  <c r="AJ63" i="7"/>
  <c r="W122" i="7"/>
  <c r="AJ122" i="7"/>
  <c r="X111" i="7"/>
  <c r="S111" i="7"/>
  <c r="AK111" i="7"/>
  <c r="AB9" i="11"/>
  <c r="W97" i="7"/>
  <c r="AJ97" i="7"/>
  <c r="S97" i="7"/>
  <c r="AJ36" i="7"/>
  <c r="W36" i="7"/>
  <c r="W72" i="7"/>
  <c r="AJ72" i="7"/>
  <c r="C20" i="8"/>
  <c r="J20" i="8" s="1"/>
  <c r="AJ20" i="7"/>
  <c r="W20" i="7"/>
  <c r="D6" i="8"/>
  <c r="K6" i="8" s="1"/>
  <c r="AK6" i="7"/>
  <c r="S6" i="7"/>
  <c r="X6" i="7"/>
  <c r="C3" i="8"/>
  <c r="J3" i="8" s="1"/>
  <c r="AJ3" i="7"/>
  <c r="W3" i="7"/>
  <c r="S3" i="7"/>
  <c r="N24" i="14"/>
  <c r="L24" i="14"/>
  <c r="C12" i="16"/>
  <c r="D12" i="16" s="1"/>
  <c r="N11" i="14"/>
  <c r="K11" i="14"/>
  <c r="L11" i="14"/>
  <c r="AJ108" i="7"/>
  <c r="W108" i="7"/>
  <c r="AK62" i="7"/>
  <c r="X62" i="7"/>
  <c r="S62" i="7"/>
  <c r="W48" i="7"/>
  <c r="AJ48" i="7"/>
  <c r="AJ104" i="7"/>
  <c r="W104" i="7"/>
  <c r="AB27" i="11"/>
  <c r="V27" i="11"/>
  <c r="AJ74" i="7"/>
  <c r="W74" i="7"/>
  <c r="W41" i="7"/>
  <c r="AJ41" i="7"/>
  <c r="X108" i="7"/>
  <c r="AK108" i="7"/>
  <c r="S108" i="7"/>
  <c r="W109" i="7"/>
  <c r="AJ109" i="7"/>
  <c r="AB11" i="11"/>
  <c r="V11" i="11"/>
  <c r="S7" i="7"/>
  <c r="S42" i="7"/>
  <c r="N51" i="14"/>
  <c r="J51" i="14"/>
  <c r="J25" i="14"/>
  <c r="W130" i="7"/>
  <c r="AJ130" i="7"/>
  <c r="S130" i="7"/>
  <c r="W77" i="7"/>
  <c r="AJ77" i="7"/>
  <c r="N28" i="14"/>
  <c r="J28" i="14"/>
  <c r="J2" i="14"/>
  <c r="Y80" i="7"/>
  <c r="AM80" i="7" s="1"/>
  <c r="AL80" i="7"/>
  <c r="AJ117" i="7"/>
  <c r="W117" i="7"/>
  <c r="AJ106" i="7"/>
  <c r="W106" i="7"/>
  <c r="W85" i="7"/>
  <c r="AJ85" i="7"/>
  <c r="D2" i="8"/>
  <c r="AK2" i="7"/>
  <c r="X2" i="7"/>
  <c r="S2" i="7"/>
  <c r="S16" i="7"/>
  <c r="S115" i="7"/>
  <c r="AK115" i="7"/>
  <c r="X115" i="7"/>
  <c r="AJ115" i="7"/>
  <c r="W115" i="7"/>
  <c r="S131" i="7"/>
  <c r="W33" i="7"/>
  <c r="AJ33" i="7"/>
  <c r="X90" i="7"/>
  <c r="AK90" i="7"/>
  <c r="S90" i="7"/>
  <c r="AJ128" i="7"/>
  <c r="W128" i="7"/>
  <c r="X92" i="7"/>
  <c r="AK92" i="7"/>
  <c r="S92" i="7"/>
  <c r="X59" i="7"/>
  <c r="S59" i="7"/>
  <c r="AK59" i="7"/>
  <c r="AL77" i="7"/>
  <c r="Y77" i="7"/>
  <c r="AM77" i="7" s="1"/>
  <c r="AJ110" i="7"/>
  <c r="W110" i="7"/>
  <c r="S107" i="7"/>
  <c r="AK107" i="7"/>
  <c r="X107" i="7"/>
  <c r="W40" i="7"/>
  <c r="AJ40" i="7"/>
  <c r="W30" i="7"/>
  <c r="AJ30" i="7"/>
  <c r="W35" i="7"/>
  <c r="AJ35" i="7"/>
  <c r="C15" i="8"/>
  <c r="J15" i="8" s="1"/>
  <c r="AJ15" i="7"/>
  <c r="W15" i="7"/>
  <c r="C14" i="8"/>
  <c r="J14" i="8" s="1"/>
  <c r="W14" i="7"/>
  <c r="AJ14" i="7"/>
  <c r="X93" i="7"/>
  <c r="S93" i="7"/>
  <c r="AK93" i="7"/>
  <c r="AB18" i="11"/>
  <c r="AB3" i="11"/>
  <c r="W59" i="7"/>
  <c r="AJ59" i="7"/>
  <c r="AJ83" i="7"/>
  <c r="W83" i="7"/>
  <c r="AJ99" i="7"/>
  <c r="W99" i="7"/>
  <c r="W107" i="7"/>
  <c r="AJ107" i="7"/>
  <c r="W127" i="7"/>
  <c r="S127" i="7"/>
  <c r="AJ127" i="7"/>
  <c r="AJ61" i="7"/>
  <c r="W61" i="7"/>
  <c r="AJ39" i="7"/>
  <c r="W39" i="7"/>
  <c r="C17" i="8"/>
  <c r="J17" i="8" s="1"/>
  <c r="W17" i="7"/>
  <c r="AJ17" i="7"/>
  <c r="AJ55" i="7"/>
  <c r="W55" i="7"/>
  <c r="AL60" i="7"/>
  <c r="Y60" i="7"/>
  <c r="AM60" i="7" s="1"/>
  <c r="D7" i="8"/>
  <c r="K7" i="8" s="1"/>
  <c r="S74" i="7"/>
  <c r="J45" i="14"/>
  <c r="N45" i="14"/>
  <c r="J19" i="14"/>
  <c r="W111" i="7"/>
  <c r="AJ111" i="7"/>
  <c r="W105" i="7"/>
  <c r="AJ105" i="7"/>
  <c r="AJ121" i="7"/>
  <c r="W121" i="7"/>
  <c r="Y36" i="7"/>
  <c r="AM36" i="7" s="1"/>
  <c r="AL36" i="7"/>
  <c r="W89" i="7"/>
  <c r="AJ89" i="7"/>
  <c r="X76" i="7"/>
  <c r="S76" i="7"/>
  <c r="AK76" i="7"/>
  <c r="C24" i="8"/>
  <c r="J24" i="8" s="1"/>
  <c r="W24" i="7"/>
  <c r="AJ24" i="7"/>
  <c r="W69" i="7"/>
  <c r="AJ69" i="7"/>
  <c r="X106" i="7"/>
  <c r="AK106" i="7"/>
  <c r="S106" i="7"/>
  <c r="AB17" i="11"/>
  <c r="W116" i="7"/>
  <c r="AJ116" i="7"/>
  <c r="AJ78" i="7"/>
  <c r="W78" i="7"/>
  <c r="C4" i="8"/>
  <c r="J4" i="8" s="1"/>
  <c r="AJ4" i="7"/>
  <c r="W4" i="7"/>
  <c r="W93" i="7"/>
  <c r="AJ93" i="7"/>
  <c r="AJ112" i="7"/>
  <c r="W112" i="7"/>
  <c r="AL122" i="7"/>
  <c r="Y122" i="7"/>
  <c r="AM122" i="7" s="1"/>
  <c r="X85" i="7"/>
  <c r="S85" i="7"/>
  <c r="AK85" i="7"/>
  <c r="AJ90" i="7"/>
  <c r="W90" i="7"/>
  <c r="W87" i="7"/>
  <c r="AJ87" i="7"/>
  <c r="S104" i="7"/>
  <c r="AJ52" i="7"/>
  <c r="W52" i="7"/>
  <c r="W37" i="7"/>
  <c r="AJ37" i="7"/>
  <c r="AL71" i="7"/>
  <c r="Y71" i="7"/>
  <c r="AM71" i="7" s="1"/>
  <c r="D12" i="8"/>
  <c r="K12" i="8" s="1"/>
  <c r="S14" i="7"/>
  <c r="S11" i="7"/>
  <c r="W119" i="7"/>
  <c r="S119" i="7"/>
  <c r="AJ119" i="7"/>
  <c r="S69" i="7"/>
  <c r="AK69" i="7"/>
  <c r="X69" i="7"/>
  <c r="AJ86" i="7"/>
  <c r="W86" i="7"/>
  <c r="AJ64" i="7"/>
  <c r="W64" i="7"/>
  <c r="C25" i="8"/>
  <c r="J25" i="8" s="1"/>
  <c r="W25" i="7"/>
  <c r="AJ25" i="7"/>
  <c r="E4" i="8"/>
  <c r="L4" i="8" s="1"/>
  <c r="Y4" i="7"/>
  <c r="AL4" i="7"/>
  <c r="W118" i="7"/>
  <c r="AJ118" i="7"/>
  <c r="W125" i="7"/>
  <c r="AJ125" i="7"/>
  <c r="AJ28" i="7"/>
  <c r="W28" i="7"/>
  <c r="AL47" i="7"/>
  <c r="Y47" i="7"/>
  <c r="AM47" i="7" s="1"/>
  <c r="Y9" i="7"/>
  <c r="AL9" i="7"/>
  <c r="X114" i="7"/>
  <c r="S114" i="7"/>
  <c r="AK114" i="7"/>
  <c r="AL123" i="7"/>
  <c r="Y123" i="7"/>
  <c r="AM123" i="7" s="1"/>
  <c r="X87" i="7"/>
  <c r="S87" i="7"/>
  <c r="E9" i="8" s="1"/>
  <c r="L9" i="8" s="1"/>
  <c r="AK87" i="7"/>
  <c r="C22" i="8"/>
  <c r="J22" i="8" s="1"/>
  <c r="W22" i="7"/>
  <c r="AJ22" i="7"/>
  <c r="AJ31" i="7"/>
  <c r="W31" i="7"/>
  <c r="X129" i="7"/>
  <c r="S129" i="7"/>
  <c r="AK129" i="7"/>
  <c r="Y40" i="7"/>
  <c r="AM40" i="7" s="1"/>
  <c r="AL40" i="7"/>
  <c r="S24" i="7"/>
  <c r="S25" i="7"/>
  <c r="D25" i="8"/>
  <c r="K25" i="8" s="1"/>
  <c r="N44" i="14"/>
  <c r="J44" i="14"/>
  <c r="J18" i="14"/>
  <c r="AK88" i="7"/>
  <c r="X88" i="7"/>
  <c r="S88" i="7"/>
  <c r="AJ96" i="7"/>
  <c r="W96" i="7"/>
  <c r="AB16" i="11"/>
  <c r="W71" i="7"/>
  <c r="AJ71" i="7"/>
  <c r="S84" i="7"/>
  <c r="AK84" i="7"/>
  <c r="X84" i="7"/>
  <c r="W79" i="7"/>
  <c r="AJ79" i="7"/>
  <c r="AJ81" i="7"/>
  <c r="W81" i="7"/>
  <c r="X95" i="7"/>
  <c r="S95" i="7"/>
  <c r="AK95" i="7"/>
  <c r="AJ47" i="7"/>
  <c r="W47" i="7"/>
  <c r="S48" i="7"/>
  <c r="S72" i="7"/>
  <c r="S28" i="7"/>
  <c r="D14" i="8"/>
  <c r="K14" i="8" s="1"/>
  <c r="D11" i="8"/>
  <c r="K11" i="8" s="1"/>
  <c r="J46" i="14"/>
  <c r="N46" i="14"/>
  <c r="J20" i="14"/>
  <c r="L42" i="14"/>
  <c r="K42" i="14"/>
  <c r="W126" i="7"/>
  <c r="AJ126" i="7"/>
  <c r="AL50" i="7"/>
  <c r="Y50" i="7"/>
  <c r="AM50" i="7" s="1"/>
  <c r="AL13" i="7"/>
  <c r="Y13" i="7"/>
  <c r="L15" i="14"/>
  <c r="K15" i="14"/>
  <c r="AL96" i="7"/>
  <c r="Y96" i="7"/>
  <c r="AM96" i="7" s="1"/>
  <c r="D9" i="8"/>
  <c r="K9" i="8" s="1"/>
  <c r="AL110" i="7"/>
  <c r="Y110" i="7"/>
  <c r="AM110" i="7" s="1"/>
  <c r="S118" i="7"/>
  <c r="X83" i="7"/>
  <c r="S83" i="7"/>
  <c r="AK83" i="7"/>
  <c r="Q21" i="11"/>
  <c r="P21" i="11"/>
  <c r="R21" i="11" s="1"/>
  <c r="W21" i="11" s="1"/>
  <c r="M21" i="11"/>
  <c r="AB6" i="11"/>
  <c r="W84" i="7"/>
  <c r="AJ84" i="7"/>
  <c r="W80" i="7"/>
  <c r="AJ80" i="7"/>
  <c r="S91" i="7"/>
  <c r="AK91" i="7"/>
  <c r="X91" i="7"/>
  <c r="X82" i="7"/>
  <c r="S82" i="7"/>
  <c r="AK82" i="7"/>
  <c r="Y17" i="7"/>
  <c r="AL17" i="7"/>
  <c r="AL55" i="7"/>
  <c r="Y55" i="7"/>
  <c r="AM55" i="7" s="1"/>
  <c r="N39" i="14"/>
  <c r="J39" i="14"/>
  <c r="J13" i="14"/>
  <c r="K26" i="14"/>
  <c r="L26" i="14"/>
  <c r="AJ58" i="7"/>
  <c r="W58" i="7"/>
  <c r="S75" i="7"/>
  <c r="X75" i="7"/>
  <c r="AK75" i="7"/>
  <c r="S121" i="7"/>
  <c r="AL73" i="7"/>
  <c r="Y73" i="7"/>
  <c r="AM73" i="7" s="1"/>
  <c r="S65" i="7"/>
  <c r="E13" i="8" s="1"/>
  <c r="L13" i="8" s="1"/>
  <c r="AK65" i="7"/>
  <c r="X65" i="7"/>
  <c r="W91" i="7"/>
  <c r="AJ91" i="7"/>
  <c r="Y46" i="7"/>
  <c r="AM46" i="7" s="1"/>
  <c r="AL46" i="7"/>
  <c r="D17" i="8"/>
  <c r="K17" i="8" s="1"/>
  <c r="W68" i="7"/>
  <c r="AJ68" i="7"/>
  <c r="W43" i="7"/>
  <c r="AJ43" i="7"/>
  <c r="W49" i="7"/>
  <c r="AJ49" i="7"/>
  <c r="S10" i="7"/>
  <c r="S45" i="7"/>
  <c r="W46" i="7"/>
  <c r="AJ46" i="7"/>
  <c r="Y30" i="7"/>
  <c r="AM30" i="7" s="1"/>
  <c r="AL30" i="7"/>
  <c r="J38" i="14"/>
  <c r="N38" i="14"/>
  <c r="J12" i="14"/>
  <c r="W124" i="7"/>
  <c r="AJ124" i="7"/>
  <c r="W95" i="7"/>
  <c r="AJ95" i="7"/>
  <c r="J43" i="14"/>
  <c r="J17" i="14"/>
  <c r="N43" i="14"/>
  <c r="AJ103" i="7"/>
  <c r="W103" i="7"/>
  <c r="N6" i="14"/>
  <c r="C19" i="16" s="1"/>
  <c r="D19" i="16" s="1"/>
  <c r="L6" i="14"/>
  <c r="K6" i="14"/>
  <c r="AL23" i="7"/>
  <c r="Y23" i="7"/>
  <c r="S101" i="7"/>
  <c r="AK101" i="7"/>
  <c r="X101" i="7"/>
  <c r="X102" i="7"/>
  <c r="S102" i="7"/>
  <c r="AK102" i="7"/>
  <c r="AL103" i="7"/>
  <c r="Y103" i="7"/>
  <c r="AM103" i="7" s="1"/>
  <c r="D23" i="8"/>
  <c r="K23" i="8" s="1"/>
  <c r="N29" i="14"/>
  <c r="J29" i="14"/>
  <c r="J3" i="14"/>
  <c r="N14" i="14"/>
  <c r="L14" i="14"/>
  <c r="K14" i="14"/>
  <c r="W65" i="7"/>
  <c r="AJ65" i="7"/>
  <c r="AJ60" i="7"/>
  <c r="W60" i="7"/>
  <c r="K24" i="14"/>
  <c r="AJ44" i="7"/>
  <c r="W44" i="7"/>
  <c r="S67" i="7"/>
  <c r="E15" i="8" s="1"/>
  <c r="L15" i="8" s="1"/>
  <c r="AK67" i="7"/>
  <c r="X67" i="7"/>
  <c r="X126" i="7"/>
  <c r="S126" i="7"/>
  <c r="AK126" i="7"/>
  <c r="W100" i="7"/>
  <c r="AJ100" i="7"/>
  <c r="Y58" i="7"/>
  <c r="AM58" i="7" s="1"/>
  <c r="AL58" i="7"/>
  <c r="C21" i="8"/>
  <c r="J21" i="8" s="1"/>
  <c r="W21" i="7"/>
  <c r="AJ21" i="7"/>
  <c r="W32" i="7"/>
  <c r="AJ32" i="7"/>
  <c r="C12" i="8"/>
  <c r="J12" i="8" s="1"/>
  <c r="AJ12" i="7"/>
  <c r="W12" i="7"/>
  <c r="E5" i="8"/>
  <c r="L5" i="8" s="1"/>
  <c r="Y5" i="7"/>
  <c r="AL5" i="7"/>
  <c r="AL128" i="7"/>
  <c r="Y128" i="7"/>
  <c r="AM128" i="7" s="1"/>
  <c r="V13" i="11"/>
  <c r="AB13" i="11"/>
  <c r="AJ101" i="7"/>
  <c r="W101" i="7"/>
  <c r="X100" i="7"/>
  <c r="S100" i="7"/>
  <c r="AK100" i="7"/>
  <c r="AK125" i="7"/>
  <c r="X125" i="7"/>
  <c r="S125" i="7"/>
  <c r="E21" i="8" s="1"/>
  <c r="L21" i="8" s="1"/>
  <c r="X105" i="7"/>
  <c r="S105" i="7"/>
  <c r="AK105" i="7"/>
  <c r="X98" i="7"/>
  <c r="S98" i="7"/>
  <c r="AK98" i="7"/>
  <c r="AJ129" i="7"/>
  <c r="W129" i="7"/>
  <c r="W67" i="7"/>
  <c r="AJ67" i="7"/>
  <c r="AL81" i="7"/>
  <c r="Y81" i="7"/>
  <c r="AM81" i="7" s="1"/>
  <c r="Y38" i="7"/>
  <c r="AM38" i="7" s="1"/>
  <c r="AL38" i="7"/>
  <c r="Y43" i="7"/>
  <c r="AM43" i="7" s="1"/>
  <c r="AL43" i="7"/>
  <c r="AJ50" i="7"/>
  <c r="W50" i="7"/>
  <c r="C26" i="8"/>
  <c r="J26" i="8" s="1"/>
  <c r="AJ26" i="7"/>
  <c r="W26" i="7"/>
  <c r="W57" i="7"/>
  <c r="AJ57" i="7"/>
  <c r="C19" i="8"/>
  <c r="J19" i="8" s="1"/>
  <c r="W19" i="7"/>
  <c r="AJ19" i="7"/>
  <c r="AL37" i="7"/>
  <c r="Y37" i="7"/>
  <c r="AM37" i="7" s="1"/>
  <c r="S29" i="7"/>
  <c r="N53" i="14"/>
  <c r="J53" i="14"/>
  <c r="J27" i="14"/>
  <c r="J30" i="14"/>
  <c r="N30" i="14"/>
  <c r="J4" i="14"/>
  <c r="L47" i="14"/>
  <c r="K47" i="14"/>
  <c r="K16" i="14"/>
  <c r="K10" i="14"/>
  <c r="L20" i="14" l="1"/>
  <c r="K20" i="14"/>
  <c r="E25" i="8"/>
  <c r="L25" i="8" s="1"/>
  <c r="Y25" i="7"/>
  <c r="AL25" i="7"/>
  <c r="E14" i="8"/>
  <c r="L14" i="8" s="1"/>
  <c r="Y14" i="7"/>
  <c r="AL14" i="7"/>
  <c r="Y97" i="7"/>
  <c r="AM97" i="7" s="1"/>
  <c r="AL97" i="7"/>
  <c r="V8" i="11"/>
  <c r="AB8" i="11"/>
  <c r="Y93" i="7"/>
  <c r="AM93" i="7" s="1"/>
  <c r="AL93" i="7"/>
  <c r="AL107" i="7"/>
  <c r="Y107" i="7"/>
  <c r="AM107" i="7" s="1"/>
  <c r="AL42" i="7"/>
  <c r="Y42" i="7"/>
  <c r="AM42" i="7" s="1"/>
  <c r="E3" i="8"/>
  <c r="L3" i="8" s="1"/>
  <c r="AL3" i="7"/>
  <c r="Y3" i="7"/>
  <c r="Y66" i="7"/>
  <c r="AM66" i="7" s="1"/>
  <c r="AL66" i="7"/>
  <c r="K34" i="14"/>
  <c r="L34" i="14"/>
  <c r="AM21" i="7"/>
  <c r="L8" i="14"/>
  <c r="K8" i="14"/>
  <c r="Y75" i="7"/>
  <c r="AM75" i="7" s="1"/>
  <c r="AL75" i="7"/>
  <c r="E24" i="8"/>
  <c r="L24" i="8" s="1"/>
  <c r="Y24" i="7"/>
  <c r="AL24" i="7"/>
  <c r="AL29" i="7"/>
  <c r="Y29" i="7"/>
  <c r="AM29" i="7" s="1"/>
  <c r="L46" i="14"/>
  <c r="K46" i="14"/>
  <c r="Y114" i="7"/>
  <c r="AM114" i="7" s="1"/>
  <c r="AL114" i="7"/>
  <c r="E7" i="8"/>
  <c r="L7" i="8" s="1"/>
  <c r="AL7" i="7"/>
  <c r="Y7" i="7"/>
  <c r="Y120" i="7"/>
  <c r="AM120" i="7" s="1"/>
  <c r="AL120" i="7"/>
  <c r="Y56" i="7"/>
  <c r="AM56" i="7" s="1"/>
  <c r="AL56" i="7"/>
  <c r="AM12" i="7"/>
  <c r="Y102" i="7"/>
  <c r="AM102" i="7" s="1"/>
  <c r="AL102" i="7"/>
  <c r="Y100" i="7"/>
  <c r="AM100" i="7" s="1"/>
  <c r="AL100" i="7"/>
  <c r="AL91" i="7"/>
  <c r="Y91" i="7"/>
  <c r="AM91" i="7" s="1"/>
  <c r="AL84" i="7"/>
  <c r="Y84" i="7"/>
  <c r="AM84" i="7" s="1"/>
  <c r="K19" i="14"/>
  <c r="L19" i="14"/>
  <c r="AL131" i="7"/>
  <c r="Y131" i="7"/>
  <c r="AM131" i="7" s="1"/>
  <c r="Y117" i="7"/>
  <c r="AM117" i="7" s="1"/>
  <c r="AL117" i="7"/>
  <c r="L7" i="14"/>
  <c r="K7" i="14"/>
  <c r="AL94" i="7"/>
  <c r="Y94" i="7"/>
  <c r="AM94" i="7" s="1"/>
  <c r="L53" i="14"/>
  <c r="K53" i="14"/>
  <c r="AL101" i="7"/>
  <c r="Y101" i="7"/>
  <c r="AM101" i="7" s="1"/>
  <c r="K45" i="14"/>
  <c r="L45" i="14"/>
  <c r="Y111" i="7"/>
  <c r="AM111" i="7" s="1"/>
  <c r="AL111" i="7"/>
  <c r="K33" i="14"/>
  <c r="L33" i="14"/>
  <c r="K12" i="14"/>
  <c r="L12" i="14"/>
  <c r="Y28" i="7"/>
  <c r="AM28" i="7" s="1"/>
  <c r="AL28" i="7"/>
  <c r="AL129" i="7"/>
  <c r="Y129" i="7"/>
  <c r="AM129" i="7" s="1"/>
  <c r="AM9" i="7"/>
  <c r="AM23" i="7"/>
  <c r="K13" i="14"/>
  <c r="L13" i="14"/>
  <c r="Y72" i="7"/>
  <c r="AM72" i="7" s="1"/>
  <c r="AL72" i="7"/>
  <c r="Y74" i="7"/>
  <c r="AM74" i="7" s="1"/>
  <c r="AL74" i="7"/>
  <c r="L2" i="14"/>
  <c r="K2" i="14"/>
  <c r="E6" i="8"/>
  <c r="L6" i="8" s="1"/>
  <c r="Y6" i="7"/>
  <c r="AL6" i="7"/>
  <c r="AL116" i="7"/>
  <c r="Y116" i="7"/>
  <c r="AM116" i="7" s="1"/>
  <c r="AM4" i="7"/>
  <c r="K38" i="14"/>
  <c r="L38" i="14"/>
  <c r="L39" i="14"/>
  <c r="K39" i="14"/>
  <c r="AM13" i="7"/>
  <c r="Y48" i="7"/>
  <c r="AM48" i="7" s="1"/>
  <c r="AL48" i="7"/>
  <c r="Y76" i="7"/>
  <c r="AM76" i="7" s="1"/>
  <c r="AL76" i="7"/>
  <c r="Y59" i="7"/>
  <c r="AM59" i="7" s="1"/>
  <c r="AL59" i="7"/>
  <c r="K28" i="14"/>
  <c r="L28" i="14"/>
  <c r="Y108" i="7"/>
  <c r="AM108" i="7" s="1"/>
  <c r="AL108" i="7"/>
  <c r="AM15" i="7"/>
  <c r="L23" i="14"/>
  <c r="K23" i="14"/>
  <c r="F22" i="8"/>
  <c r="M22" i="8" s="1"/>
  <c r="AM22" i="7"/>
  <c r="E27" i="8"/>
  <c r="L27" i="8" s="1"/>
  <c r="Y27" i="7"/>
  <c r="AL27" i="7"/>
  <c r="E23" i="8"/>
  <c r="L23" i="8" s="1"/>
  <c r="Y104" i="7"/>
  <c r="AM104" i="7" s="1"/>
  <c r="AL104" i="7"/>
  <c r="AL115" i="7"/>
  <c r="Y115" i="7"/>
  <c r="AM115" i="7" s="1"/>
  <c r="E18" i="8"/>
  <c r="L18" i="8" s="1"/>
  <c r="AL18" i="7"/>
  <c r="Y18" i="7"/>
  <c r="Y89" i="7"/>
  <c r="AM89" i="7" s="1"/>
  <c r="AL89" i="7"/>
  <c r="L3" i="12"/>
  <c r="E8" i="8"/>
  <c r="L8" i="8" s="1"/>
  <c r="Y8" i="7"/>
  <c r="AL8" i="7"/>
  <c r="E22" i="8"/>
  <c r="L22" i="8" s="1"/>
  <c r="Y127" i="7"/>
  <c r="AM127" i="7" s="1"/>
  <c r="AL127" i="7"/>
  <c r="Y62" i="7"/>
  <c r="AM62" i="7" s="1"/>
  <c r="AL62" i="7"/>
  <c r="Y88" i="7"/>
  <c r="AM88" i="7" s="1"/>
  <c r="AL88" i="7"/>
  <c r="Y92" i="7"/>
  <c r="AM92" i="7" s="1"/>
  <c r="AL92" i="7"/>
  <c r="E16" i="8"/>
  <c r="L16" i="8" s="1"/>
  <c r="Y16" i="7"/>
  <c r="AL16" i="7"/>
  <c r="Y54" i="7"/>
  <c r="AM54" i="7" s="1"/>
  <c r="AL54" i="7"/>
  <c r="K49" i="14"/>
  <c r="L49" i="14"/>
  <c r="L9" i="14"/>
  <c r="K9" i="14"/>
  <c r="AL53" i="7"/>
  <c r="Y53" i="7"/>
  <c r="AM53" i="7" s="1"/>
  <c r="K43" i="14"/>
  <c r="L43" i="14"/>
  <c r="E2" i="8"/>
  <c r="AL2" i="7"/>
  <c r="Y2" i="7"/>
  <c r="L35" i="14"/>
  <c r="K35" i="14"/>
  <c r="F26" i="8"/>
  <c r="M26" i="8" s="1"/>
  <c r="AM26" i="7"/>
  <c r="V21" i="11"/>
  <c r="AB21" i="11"/>
  <c r="Y95" i="7"/>
  <c r="AM95" i="7" s="1"/>
  <c r="AL95" i="7"/>
  <c r="AL69" i="7"/>
  <c r="Y69" i="7"/>
  <c r="AM69" i="7" s="1"/>
  <c r="AL130" i="7"/>
  <c r="Y130" i="7"/>
  <c r="AM130" i="7" s="1"/>
  <c r="Y51" i="7"/>
  <c r="AM51" i="7" s="1"/>
  <c r="AL51" i="7"/>
  <c r="L4" i="14"/>
  <c r="K4" i="14"/>
  <c r="AM5" i="7"/>
  <c r="AL45" i="7"/>
  <c r="Y45" i="7"/>
  <c r="AM45" i="7" s="1"/>
  <c r="F17" i="8"/>
  <c r="M17" i="8" s="1"/>
  <c r="AM17" i="7"/>
  <c r="K18" i="14"/>
  <c r="L18" i="14"/>
  <c r="W76" i="7"/>
  <c r="AJ76" i="7"/>
  <c r="AM20" i="7"/>
  <c r="Y64" i="7"/>
  <c r="AM64" i="7" s="1"/>
  <c r="AL64" i="7"/>
  <c r="E26" i="8"/>
  <c r="L26" i="8" s="1"/>
  <c r="AL34" i="7"/>
  <c r="Y34" i="7"/>
  <c r="AM34" i="7" s="1"/>
  <c r="AL98" i="7"/>
  <c r="Y98" i="7"/>
  <c r="AM98" i="7" s="1"/>
  <c r="K29" i="14"/>
  <c r="L29" i="14"/>
  <c r="AL65" i="7"/>
  <c r="Y65" i="7"/>
  <c r="AM65" i="7" s="1"/>
  <c r="Y105" i="7"/>
  <c r="AM105" i="7" s="1"/>
  <c r="AL105" i="7"/>
  <c r="E17" i="8"/>
  <c r="L17" i="8" s="1"/>
  <c r="Y87" i="7"/>
  <c r="AM87" i="7" s="1"/>
  <c r="AL87" i="7"/>
  <c r="C9" i="16"/>
  <c r="D9" i="16" s="1"/>
  <c r="K2" i="8"/>
  <c r="E20" i="8"/>
  <c r="L20" i="8" s="1"/>
  <c r="V5" i="11"/>
  <c r="G2" i="12" s="1"/>
  <c r="L2" i="12" s="1"/>
  <c r="AB5" i="11"/>
  <c r="K22" i="14"/>
  <c r="L22" i="14"/>
  <c r="F19" i="8"/>
  <c r="M19" i="8" s="1"/>
  <c r="AM19" i="7"/>
  <c r="L3" i="14"/>
  <c r="K3" i="14"/>
  <c r="L44" i="14"/>
  <c r="K44" i="14"/>
  <c r="Y119" i="7"/>
  <c r="AM119" i="7" s="1"/>
  <c r="AL119" i="7"/>
  <c r="L30" i="14"/>
  <c r="K30" i="14"/>
  <c r="AL121" i="7"/>
  <c r="Y121" i="7"/>
  <c r="AM121" i="7" s="1"/>
  <c r="Y85" i="7"/>
  <c r="AM85" i="7" s="1"/>
  <c r="AL85" i="7"/>
  <c r="Y106" i="7"/>
  <c r="AM106" i="7" s="1"/>
  <c r="AL106" i="7"/>
  <c r="Y90" i="7"/>
  <c r="AM90" i="7" s="1"/>
  <c r="AL90" i="7"/>
  <c r="L25" i="14"/>
  <c r="K25" i="14"/>
  <c r="L48" i="14"/>
  <c r="K48" i="14"/>
  <c r="E19" i="8"/>
  <c r="L19" i="8" s="1"/>
  <c r="AL126" i="7"/>
  <c r="Y126" i="7"/>
  <c r="AM126" i="7" s="1"/>
  <c r="E10" i="8"/>
  <c r="L10" i="8" s="1"/>
  <c r="AL10" i="7"/>
  <c r="Y10" i="7"/>
  <c r="Y83" i="7"/>
  <c r="AM83" i="7" s="1"/>
  <c r="AL83" i="7"/>
  <c r="K27" i="14"/>
  <c r="L27" i="14"/>
  <c r="Y125" i="7"/>
  <c r="AM125" i="7" s="1"/>
  <c r="AL125" i="7"/>
  <c r="AL67" i="7"/>
  <c r="Y67" i="7"/>
  <c r="AM67" i="7" s="1"/>
  <c r="K17" i="14"/>
  <c r="L17" i="14"/>
  <c r="Y82" i="7"/>
  <c r="AM82" i="7" s="1"/>
  <c r="AL82" i="7"/>
  <c r="AL118" i="7"/>
  <c r="Y118" i="7"/>
  <c r="AM118" i="7" s="1"/>
  <c r="E11" i="8"/>
  <c r="L11" i="8" s="1"/>
  <c r="Y11" i="7"/>
  <c r="AL11" i="7"/>
  <c r="L51" i="14"/>
  <c r="K51" i="14"/>
  <c r="Y109" i="7"/>
  <c r="AM109" i="7" s="1"/>
  <c r="AL109" i="7"/>
  <c r="AL61" i="7"/>
  <c r="Y61" i="7"/>
  <c r="AM61" i="7" s="1"/>
  <c r="Y113" i="7"/>
  <c r="AM113" i="7" s="1"/>
  <c r="AL113" i="7"/>
  <c r="F8" i="8" l="1"/>
  <c r="M8" i="8" s="1"/>
  <c r="AM8" i="7"/>
  <c r="F13" i="8"/>
  <c r="M13" i="8" s="1"/>
  <c r="F7" i="8"/>
  <c r="M7" i="8" s="1"/>
  <c r="AM7" i="7"/>
  <c r="F21" i="8"/>
  <c r="M21" i="8" s="1"/>
  <c r="F16" i="8"/>
  <c r="M16" i="8" s="1"/>
  <c r="AM16" i="7"/>
  <c r="F27" i="8"/>
  <c r="M27" i="8" s="1"/>
  <c r="AM27" i="7"/>
  <c r="F5" i="8"/>
  <c r="M5" i="8" s="1"/>
  <c r="F18" i="8"/>
  <c r="M18" i="8" s="1"/>
  <c r="AM18" i="7"/>
  <c r="F15" i="8"/>
  <c r="M15" i="8" s="1"/>
  <c r="F4" i="8"/>
  <c r="M4" i="8" s="1"/>
  <c r="F23" i="8"/>
  <c r="M23" i="8" s="1"/>
  <c r="H4" i="12"/>
  <c r="G25" i="8"/>
  <c r="G17" i="8"/>
  <c r="G20" i="8"/>
  <c r="G12" i="8"/>
  <c r="G4" i="8"/>
  <c r="L2" i="8"/>
  <c r="H3" i="12"/>
  <c r="H5" i="12"/>
  <c r="G27" i="8"/>
  <c r="G19" i="8"/>
  <c r="G11" i="8"/>
  <c r="G3" i="8"/>
  <c r="H2" i="12"/>
  <c r="I2" i="12" s="1"/>
  <c r="G22" i="8"/>
  <c r="G14" i="8"/>
  <c r="G6" i="8"/>
  <c r="G21" i="8"/>
  <c r="G5" i="8"/>
  <c r="G16" i="8"/>
  <c r="G8" i="8"/>
  <c r="G24" i="8"/>
  <c r="E2" i="9"/>
  <c r="G15" i="8"/>
  <c r="G23" i="8"/>
  <c r="G7" i="8"/>
  <c r="G18" i="8"/>
  <c r="G10" i="8"/>
  <c r="G13" i="8"/>
  <c r="G9" i="8"/>
  <c r="G2" i="8"/>
  <c r="G26" i="8"/>
  <c r="F3" i="8"/>
  <c r="M3" i="8" s="1"/>
  <c r="K2" i="9" s="1"/>
  <c r="AM3" i="7"/>
  <c r="F9" i="8"/>
  <c r="M9" i="8" s="1"/>
  <c r="F25" i="8"/>
  <c r="M25" i="8" s="1"/>
  <c r="AM25" i="7"/>
  <c r="J2" i="9"/>
  <c r="F2" i="8"/>
  <c r="AM2" i="7"/>
  <c r="F14" i="8"/>
  <c r="M14" i="8" s="1"/>
  <c r="AM14" i="7"/>
  <c r="F11" i="8"/>
  <c r="M11" i="8" s="1"/>
  <c r="AM11" i="7"/>
  <c r="F10" i="8"/>
  <c r="M10" i="8" s="1"/>
  <c r="AM10" i="7"/>
  <c r="F20" i="8"/>
  <c r="M20" i="8" s="1"/>
  <c r="F6" i="8"/>
  <c r="M6" i="8" s="1"/>
  <c r="AM6" i="7"/>
  <c r="F24" i="8"/>
  <c r="M24" i="8" s="1"/>
  <c r="AM24" i="7"/>
  <c r="F12" i="8"/>
  <c r="M12" i="8" s="1"/>
  <c r="J2" i="12" l="1"/>
  <c r="M2" i="12" s="1"/>
  <c r="J5" i="12"/>
  <c r="M5" i="12" s="1"/>
  <c r="I5" i="12"/>
  <c r="J3" i="12"/>
  <c r="M3" i="12" s="1"/>
  <c r="I3" i="12"/>
  <c r="H26" i="8"/>
  <c r="H18" i="8"/>
  <c r="H10" i="8"/>
  <c r="H2" i="8"/>
  <c r="H21" i="8"/>
  <c r="H13" i="8"/>
  <c r="H5" i="8"/>
  <c r="H24" i="8"/>
  <c r="H16" i="8"/>
  <c r="H8" i="8"/>
  <c r="H27" i="8"/>
  <c r="H19" i="8"/>
  <c r="H11" i="8"/>
  <c r="H3" i="8"/>
  <c r="H22" i="8"/>
  <c r="H14" i="8"/>
  <c r="H6" i="8"/>
  <c r="H25" i="8"/>
  <c r="H17" i="8"/>
  <c r="H9" i="8"/>
  <c r="H12" i="8"/>
  <c r="H20" i="8"/>
  <c r="H4" i="8"/>
  <c r="F2" i="9"/>
  <c r="H15" i="8"/>
  <c r="H23" i="8"/>
  <c r="H7" i="8"/>
  <c r="M2" i="8"/>
  <c r="J4" i="12"/>
  <c r="M4" i="12" s="1"/>
  <c r="I4" i="12"/>
  <c r="I2" i="9" l="1"/>
  <c r="C11" i="16" s="1"/>
  <c r="D11" i="16" s="1"/>
  <c r="C13" i="16"/>
  <c r="D13" i="16" s="1"/>
  <c r="G2" i="9"/>
  <c r="C14" i="16" s="1"/>
  <c r="D14" i="16" s="1"/>
  <c r="H2" i="9"/>
</calcChain>
</file>

<file path=xl/sharedStrings.xml><?xml version="1.0" encoding="utf-8"?>
<sst xmlns="http://schemas.openxmlformats.org/spreadsheetml/2006/main" count="14354" uniqueCount="705">
  <si>
    <t>parameter_id</t>
  </si>
  <si>
    <t>value</t>
  </si>
  <si>
    <t>unit</t>
  </si>
  <si>
    <t>role</t>
  </si>
  <si>
    <t>description</t>
  </si>
  <si>
    <t>source</t>
  </si>
  <si>
    <t>analysis_start_year</t>
  </si>
  <si>
    <t>analysis_end_year</t>
  </si>
  <si>
    <t>baseline_scenario_id</t>
  </si>
  <si>
    <t>cost_discount_rate</t>
  </si>
  <si>
    <t>cost_price_year</t>
  </si>
  <si>
    <t>currency</t>
  </si>
  <si>
    <t>economic_perspective</t>
  </si>
  <si>
    <t>scale_up_shape</t>
  </si>
  <si>
    <t>downstream_cost_offsets</t>
  </si>
  <si>
    <t>formula_tolerance</t>
  </si>
  <si>
    <t>stock_flow_residual_limit</t>
  </si>
  <si>
    <t>trace_precision</t>
  </si>
  <si>
    <t>r_stock_flow_max_residual</t>
  </si>
  <si>
    <t>r_background_distinct_count</t>
  </si>
  <si>
    <t>r_negative_state_count</t>
  </si>
  <si>
    <t>r_deaths_averted_anchor</t>
  </si>
  <si>
    <t>r_disc_incremental_cost_anchor</t>
  </si>
  <si>
    <t>r_cost_per_death_anchor</t>
  </si>
  <si>
    <t>qa_anchor_scenario</t>
  </si>
  <si>
    <t>bca_base_year</t>
  </si>
  <si>
    <t>bca_discount_rate_primary</t>
  </si>
  <si>
    <t>bca_discount_rate_sensitivity_3pct</t>
  </si>
  <si>
    <t>bca_discount_rate_sensitivity_2x_gdp_pc_growth</t>
  </si>
  <si>
    <t>vsl_us_gni_ratio</t>
  </si>
  <si>
    <t>vsl_income_elasticity_preferred</t>
  </si>
  <si>
    <t>vsl_floor_gni_multiple</t>
  </si>
  <si>
    <t>vsl_sensitivity_gni_multiple_100</t>
  </si>
  <si>
    <t>vsl_sensitivity_gni_multiple_160</t>
  </si>
  <si>
    <t>vsly_adult_min_age</t>
  </si>
  <si>
    <t>vsly_adult_max_age</t>
  </si>
  <si>
    <t>bca_currency_basis</t>
  </si>
  <si>
    <t>bca_price_year</t>
  </si>
  <si>
    <t>cost_to_bca_currency_factor</t>
  </si>
  <si>
    <t>bca_standing</t>
  </si>
  <si>
    <t>bca_scope</t>
  </si>
  <si>
    <t>bca_discount_rate_sensitivity_2x_gdp_pc_growth_computed</t>
  </si>
  <si>
    <t>year</t>
  </si>
  <si>
    <t>formula control</t>
  </si>
  <si>
    <t>First model and discount year</t>
  </si>
  <si>
    <t>indonesia_model_inputs.xlsx / Model 09</t>
  </si>
  <si>
    <t>Last model year</t>
  </si>
  <si>
    <t>scenario id</t>
  </si>
  <si>
    <t>Comparator used for health and cost calculations</t>
  </si>
  <si>
    <t>Model 04 / Model 09</t>
  </si>
  <si>
    <t>proportion/year</t>
  </si>
  <si>
    <t>Annual discount rate applied to costs only</t>
  </si>
  <si>
    <t>USD year</t>
  </si>
  <si>
    <t>metadata</t>
  </si>
  <si>
    <t>Reporting price year</t>
  </si>
  <si>
    <t>indonesia_model_inputs.xlsx</t>
  </si>
  <si>
    <t>Workbook reporting currency</t>
  </si>
  <si>
    <t>text</t>
  </si>
  <si>
    <t>Economic evaluation perspective</t>
  </si>
  <si>
    <t>Coverage increases linearly from start to target year</t>
  </si>
  <si>
    <t>0/1 flag</t>
  </si>
  <si>
    <t>scope</t>
  </si>
  <si>
    <t>Downstream disease-cost offsets excluded at this stage</t>
  </si>
  <si>
    <t>USD/count</t>
  </si>
  <si>
    <t>QA control</t>
  </si>
  <si>
    <t>Absolute reconciliation tolerance (internal Excel checks)</t>
  </si>
  <si>
    <t>Workbook QA rule</t>
  </si>
  <si>
    <t>persons</t>
  </si>
  <si>
    <t>Review threshold used by the R stock/flow check</t>
  </si>
  <si>
    <t>Model 09</t>
  </si>
  <si>
    <t>decimal places</t>
  </si>
  <si>
    <t>audit note</t>
  </si>
  <si>
    <t>Exported model traces are rounded; R quantity helpers keep full precision</t>
  </si>
  <si>
    <t>Model 09 export rule</t>
  </si>
  <si>
    <t>R QA source</t>
  </si>
  <si>
    <t>Maximum stock/flow residual computed in R before export</t>
  </si>
  <si>
    <t>Model 09 current run</t>
  </si>
  <si>
    <t>count</t>
  </si>
  <si>
    <t>Max distinct all-cause mortality values across causes (R)</t>
  </si>
  <si>
    <t>Count of impossible negative state/flow values (R)</t>
  </si>
  <si>
    <t>deaths</t>
  </si>
  <si>
    <t>R reconciliation source</t>
  </si>
  <si>
    <t>R engine deaths averted for the anchor scenario</t>
  </si>
  <si>
    <t>Model 09 current run (R CEA)</t>
  </si>
  <si>
    <t>USD</t>
  </si>
  <si>
    <t>R engine discounted incremental cost for the anchor scenario</t>
  </si>
  <si>
    <t>USD/death</t>
  </si>
  <si>
    <t>R engine USD per death averted for the anchor scenario</t>
  </si>
  <si>
    <t>Scenario used for the Excel-vs-R reconciliation checks</t>
  </si>
  <si>
    <t>BCA control</t>
  </si>
  <si>
    <t>BCA base year (benefits and costs discounted to this year)</t>
  </si>
  <si>
    <t>Robinson et al. 2019 Reference Case Guidelines (via input workbook / Model 08)</t>
  </si>
  <si>
    <t>Primary real discount rate for BOTH benefits and costs</t>
  </si>
  <si>
    <t>Standardized sensitivity discount rate (3%)</t>
  </si>
  <si>
    <t>Standardized sensitivity: 2x near-term real GDP-pc growth (workbook default)</t>
  </si>
  <si>
    <t>ratio (VSL/GNIpc)</t>
  </si>
  <si>
    <t>US reference VSL-to-GNI-per-capita ratio</t>
  </si>
  <si>
    <t>elasticity</t>
  </si>
  <si>
    <t>Income elasticity of VSL (preferred)</t>
  </si>
  <si>
    <t>Floor: VSL not below this multiple of GNI per capita</t>
  </si>
  <si>
    <t>Sensitivity: VSL = 100x GNI per capita</t>
  </si>
  <si>
    <t>Sensitivity: VSL = 160x GNI per capita</t>
  </si>
  <si>
    <t>age (years)</t>
  </si>
  <si>
    <t>Working-age lower bound (VSLY avg-adult-age)</t>
  </si>
  <si>
    <t>Working-age upper bound (VSLY avg-adult-age)</t>
  </si>
  <si>
    <t>Common monetary basis for benefits and costs</t>
  </si>
  <si>
    <t>Real price year for benefits and costs</t>
  </si>
  <si>
    <t>int$ per market US$</t>
  </si>
  <si>
    <t>Market-USD cost -&gt; PPP int$ multiplier</t>
  </si>
  <si>
    <t>BCA standing / perspective</t>
  </si>
  <si>
    <t>BCA scope (partial mortality-benefit vs full societal)</t>
  </si>
  <si>
    <t>2x near-term real GDP-pc growth recomputed from SSP2 by Model 08</t>
  </si>
  <si>
    <t>baseline</t>
  </si>
  <si>
    <t>health_system</t>
  </si>
  <si>
    <t>piecewise_linear</t>
  </si>
  <si>
    <t>S_70_30_30_TO_70_70_70</t>
  </si>
  <si>
    <t>PPP_international_dollars</t>
  </si>
  <si>
    <t>societal</t>
  </si>
  <si>
    <t>partial_mortality_benefit</t>
  </si>
  <si>
    <t>Indonesia NCD FAIR Choices - cost &amp; value workbook (formula edition)</t>
  </si>
  <si>
    <t>section</t>
  </si>
  <si>
    <t>detail</t>
  </si>
  <si>
    <t>Purpose</t>
  </si>
  <si>
    <t>Costing, budget impact and mortality-based cost-effectiveness for the FAIR Choices CVD interventions selected in indonesia_model_inputs.xlsx.</t>
  </si>
  <si>
    <t>How to read</t>
  </si>
  <si>
    <t>Grey cells are R-generated source values; light-blue cells are LIVE Excel formulas; pale-yellow cells on Calculation_Assumptions are editable controls. Change a yellow control and the blue results recompute. Calculation_Map lists every dependency.</t>
  </si>
  <si>
    <t>Scenarios</t>
  </si>
  <si>
    <t>Baseline + one scenario per selected valid intervention + a combined 'all' scenario. Membership derives only from the workbook selections (Model 04).</t>
  </si>
  <si>
    <t>Baseline pairing</t>
  </si>
  <si>
    <t>Deaths averted = baseline deaths - scenario deaths, matched at location x year x age x sex x cause (aggregated to year x cause here).</t>
  </si>
  <si>
    <t>CVD 40q30</t>
  </si>
  <si>
    <t>CVD_40q30 / CVD_40q30_Age give the period probability of dying from the six CVD causes (ihd, istroke, hstroke, hhd, rhd, cmd) between exact ages 30 and 70, per scenario/HTN-target/year. The life table (m_x, q_x, l_x, l_{x+1}) is live Excel formula off grey CVD deaths and de-duplicated population; cvd_40q30 = 100*(1-l_70/l_30) reconciles to the Model 07 value. cvd_40q30 and the absolute reduction are PERCENT on a 0-100 scale (format 0.000), NOT Excel's fractional %.</t>
  </si>
  <si>
    <t>Model aggregates</t>
  </si>
  <si>
    <t>Annual_Mortality carries the R health aggregates (cases, deaths, baseline); Annual_Cost carries the full-precision R population quantity before the PIN fraction. The 157k-row state trace stays in the companion R workbook.</t>
  </si>
  <si>
    <t>Costing</t>
  </si>
  <si>
    <t>annual_cost = population_in_need x coverage(t) x frequency x unit_cost. PIN measure maps 'all'-&gt;eligible population, 'prevalence'-&gt;sick stock, 'incidence'-&gt;new cases.</t>
  </si>
  <si>
    <t>Shared costs</t>
  </si>
  <si>
    <t>Components flagged 'shared-count-once' (cost_join_key ...__C_SHARED) are counted once at intervention level, never once per affected cause (see Annual_Cost shared_duplicate_count and QA).</t>
  </si>
  <si>
    <t>Budget impact</t>
  </si>
  <si>
    <t>Budget impact reports UNDISCOUNTED baseline, scenario, incremental and cumulative incremental cost. Discounted costs are separate columns. The four *_cost_per_capita columns are LIVE formulae (= that year's cost / national_population); national_population (grey R-source) is each year's national Indonesia population from out_model/model_output_Indonesia_htncov2_aspirational.rds (baseline series, de-duplicated across cause). Annual_Cost carries the matching per-component per-capita formulae, and Cost_Effectiveness carries the scenario mean annual incremental/discounted per-capita (2026-2050).</t>
  </si>
  <si>
    <t>Cost-effectiveness</t>
  </si>
  <si>
    <t>USD per death averted = cumulative discounted incremental cost / cumulative (undiscounted) deaths averted over the horizon. Not a DALY-based ICER.</t>
  </si>
  <si>
    <t>Economic value</t>
  </si>
  <si>
    <t>Reference-Case benefit-cost analysis (2019 Robinson et al. Guidelines): Health_Outcomes (Model 07 averted deaths/YLL/YLD/DALY &amp; life-years gained), Economic_Value (Model 08 VSL/VSLY source with LIVE VSL-transfer, floor, VSLY, discount and PV-benefit formulas) and Benefit_Cost (PV benefits, PV costs converted to the benefit basis, net benefit and BCR). Preferred VSL = MAX(160xGNIpc_US x (GNIpc_IDN/GNIpc_US)^1.5, 20xGNIpc_IDN); 100x/160x GNI sensitivities. PARTIAL mortality-benefit BCA -- not a full societal BCA, and distinct from Cost_Effectiveness (USD per death averted).</t>
  </si>
  <si>
    <t>QA &amp; reconciliation</t>
  </si>
  <si>
    <t>QA_Checks recomputes each invariant in Excel and reconciles the Excel cost-effectiveness headline against the R engine values stored on Calculation_Assumptions; BCA checks cover the VSL floor, reference-case parameters, price-year basis and Benefit_Cost scenario coverage. PASS/FAIL/REVIEW are conditionally formatted.</t>
  </si>
  <si>
    <t>Colour legend</t>
  </si>
  <si>
    <t>Header dark-blue; formula-derived light-blue; R source/helper grey; editable controls pale-yellow; PASS green; FAIL/REVIEW red/orange.</t>
  </si>
  <si>
    <t>Companion workbook</t>
  </si>
  <si>
    <t>The full R-value workbook (indonesia_model_cost_value.xlsx) keeps the detailed Model_State_Trace and Background_Mortality tables for independent review.</t>
  </si>
  <si>
    <t>Deferred</t>
  </si>
  <si>
    <t>Health outcomes (deaths averted, YLL/YLD/DALY averted, life-years gained) now come from Model 07 (Health_Outcomes); life-expectancy and disability-weight sources are documented via Model 07.</t>
  </si>
  <si>
    <t>item</t>
  </si>
  <si>
    <t>Workbook title</t>
  </si>
  <si>
    <t>Indonesia NCD FAIR Choices - cost &amp; value</t>
  </si>
  <si>
    <t>Run date</t>
  </si>
  <si>
    <t>2026-08-28</t>
  </si>
  <si>
    <t>Model / pipeline</t>
  </si>
  <si>
    <t>CVD FAIR Choices (Models 00-06 -&gt; 09)</t>
  </si>
  <si>
    <t>Input workbook</t>
  </si>
  <si>
    <t>C:/Users/wrgar/OneDrive - UW/02Work/WorldBank-Indonesia/uw-wb-indonesia-ncd//data/indonesia_70_30_30_to_70_70_70_inputs.xlsx</t>
  </si>
  <si>
    <t>Model output source</t>
  </si>
  <si>
    <t>output/out_model/model_output_*.rds (Model 06)</t>
  </si>
  <si>
    <t>Location</t>
  </si>
  <si>
    <t>Indonesia</t>
  </si>
  <si>
    <t>Analysis years</t>
  </si>
  <si>
    <t>Baseline scenario</t>
  </si>
  <si>
    <t>Scenarios costed</t>
  </si>
  <si>
    <t>Cost discount rate</t>
  </si>
  <si>
    <t>Cost price year</t>
  </si>
  <si>
    <t>2023</t>
  </si>
  <si>
    <t>Currency</t>
  </si>
  <si>
    <t>Economic perspective</t>
  </si>
  <si>
    <t>Coverage scale-up shape</t>
  </si>
  <si>
    <t>Downstream cost offsets</t>
  </si>
  <si>
    <t>0</t>
  </si>
  <si>
    <t>Health outcomes (DALYs/YLL/YLD)</t>
  </si>
  <si>
    <t>Out of scope in this stage (deferred)</t>
  </si>
  <si>
    <t>R version</t>
  </si>
  <si>
    <t>R version 4.5.1 (2025-06-13 ucrt)</t>
  </si>
  <si>
    <t>openxlsx / data.table</t>
  </si>
  <si>
    <t>4.2.8 / 1.17.8</t>
  </si>
  <si>
    <t>intervention_id</t>
  </si>
  <si>
    <t>intervention_cause_key</t>
  </si>
  <si>
    <t>intervention_name</t>
  </si>
  <si>
    <t>cause_id</t>
  </si>
  <si>
    <t>cause_code</t>
  </si>
  <si>
    <t>model_name</t>
  </si>
  <si>
    <t>transition_from</t>
  </si>
  <si>
    <t>transition_to</t>
  </si>
  <si>
    <t>model_transition</t>
  </si>
  <si>
    <t>effect_value</t>
  </si>
  <si>
    <t>affected_fraction</t>
  </si>
  <si>
    <t>baseline_coverage</t>
  </si>
  <si>
    <t>target_coverage</t>
  </si>
  <si>
    <t>start_year</t>
  </si>
  <si>
    <t>target_year</t>
  </si>
  <si>
    <t>adjusted_effect_at_target</t>
  </si>
  <si>
    <t>cost_join_key</t>
  </si>
  <si>
    <t>cost_scope</t>
  </si>
  <si>
    <t>effect_review</t>
  </si>
  <si>
    <t>coverage_review</t>
  </si>
  <si>
    <t>key_count</t>
  </si>
  <si>
    <t>formula_status</t>
  </si>
  <si>
    <t>I_CVD_PRIMARY</t>
  </si>
  <si>
    <t>I_CVD_PRIMARY__C_HHD</t>
  </si>
  <si>
    <t>Primary prevention of CVD</t>
  </si>
  <si>
    <t>C_HHD</t>
  </si>
  <si>
    <t>hhd</t>
  </si>
  <si>
    <t>Hypertensive heart disease</t>
  </si>
  <si>
    <t>well</t>
  </si>
  <si>
    <t>sick</t>
  </si>
  <si>
    <t>incidence</t>
  </si>
  <si>
    <t>I_CVD_PRIMARY__C_SHARED</t>
  </si>
  <si>
    <t>shared-count-once</t>
  </si>
  <si>
    <t>Provisional</t>
  </si>
  <si>
    <t>OK (cascade trajectory)</t>
  </si>
  <si>
    <t>I_CVD_PRIMARY__C_ICH</t>
  </si>
  <si>
    <t>C_ICH</t>
  </si>
  <si>
    <t>hstroke</t>
  </si>
  <si>
    <t>Intracerebral hemorrhage</t>
  </si>
  <si>
    <t>I_CVD_PRIMARY__C_IHD</t>
  </si>
  <si>
    <t>C_IHD</t>
  </si>
  <si>
    <t>ihd</t>
  </si>
  <si>
    <t>Ischemic heart disease</t>
  </si>
  <si>
    <t>I_CVD_PRIMARY__C_IS</t>
  </si>
  <si>
    <t>C_IS</t>
  </si>
  <si>
    <t>istroke</t>
  </si>
  <si>
    <t>Ischemic stroke</t>
  </si>
  <si>
    <t>I_T2D_TREATMENT</t>
  </si>
  <si>
    <t>I_T2D_TREATMENT__C_T2D</t>
  </si>
  <si>
    <t>Longitudinal treatment of type 2 diabetes</t>
  </si>
  <si>
    <t>C_T2D</t>
  </si>
  <si>
    <t>dm2</t>
  </si>
  <si>
    <t>Type 2 diabetes</t>
  </si>
  <si>
    <t>dead_t2d</t>
  </si>
  <si>
    <t>case_fatality</t>
  </si>
  <si>
    <t>cause-specific</t>
  </si>
  <si>
    <t>I_T2D_TREATMENT__C_IHD</t>
  </si>
  <si>
    <t>dead_ihd</t>
  </si>
  <si>
    <t>Review</t>
  </si>
  <si>
    <t>cost_record_id</t>
  </si>
  <si>
    <t>cost_component_key</t>
  </si>
  <si>
    <t>cost_option</t>
  </si>
  <si>
    <t>cost_component</t>
  </si>
  <si>
    <t>population_in_need_measure</t>
  </si>
  <si>
    <t>population_in_need_fraction</t>
  </si>
  <si>
    <t>frequency_per_year</t>
  </si>
  <si>
    <t>c_age_start</t>
  </si>
  <si>
    <t>c_age_stop</t>
  </si>
  <si>
    <t>c_sex</t>
  </si>
  <si>
    <t>unit_cost_usd</t>
  </si>
  <si>
    <t>price_year</t>
  </si>
  <si>
    <t>indonesia_adjusted_flag</t>
  </si>
  <si>
    <t>cov_baseline</t>
  </si>
  <si>
    <t>cov_target</t>
  </si>
  <si>
    <t>cov_start_year</t>
  </si>
  <si>
    <t>cov_target_year</t>
  </si>
  <si>
    <t>cost_review</t>
  </si>
  <si>
    <t>cost_ready</t>
  </si>
  <si>
    <t>COST_PRIMARY_TX_A</t>
  </si>
  <si>
    <t>CC_PRIMARY_HTN_STATIN</t>
  </si>
  <si>
    <t>Option A (selected)</t>
  </si>
  <si>
    <t>C_SHARED</t>
  </si>
  <si>
    <t>Antihypertensives and statins for absolute CVD risk &gt;20%</t>
  </si>
  <si>
    <t>all</t>
  </si>
  <si>
    <t>Both</t>
  </si>
  <si>
    <t>COST_PRIMARY_SCREEN_A</t>
  </si>
  <si>
    <t>CC_PRIMARY_SCREENING</t>
  </si>
  <si>
    <t>CVD targeted screening</t>
  </si>
  <si>
    <t>COST_T2D_INSULIN</t>
  </si>
  <si>
    <t>CC_T2D_INSULIN</t>
  </si>
  <si>
    <t>Base</t>
  </si>
  <si>
    <t>Diabetes management, insulin dependent</t>
  </si>
  <si>
    <t>prevalence</t>
  </si>
  <si>
    <t>Ready</t>
  </si>
  <si>
    <t>COST_T2D_NONINSULIN</t>
  </si>
  <si>
    <t>CC_T2D_NONINSULIN</t>
  </si>
  <si>
    <t>Diabetes management, non insulin dependent</t>
  </si>
  <si>
    <t>COST_T2D_SCREEN</t>
  </si>
  <si>
    <t>CC_T2D_SCREENING</t>
  </si>
  <si>
    <t>Diabetes opportunistic screening</t>
  </si>
  <si>
    <t>scenario</t>
  </si>
  <si>
    <t>scenario_label</t>
  </si>
  <si>
    <t>cause</t>
  </si>
  <si>
    <t>cases</t>
  </si>
  <si>
    <t>cause_deaths</t>
  </si>
  <si>
    <t>base_deaths</t>
  </si>
  <si>
    <t>deaths_averted</t>
  </si>
  <si>
    <t>base_cases</t>
  </si>
  <si>
    <t>cases_averted</t>
  </si>
  <si>
    <t>70-30-30 -&gt; 70-70-70 hypertension/cholesterol + diabetes cascade</t>
  </si>
  <si>
    <t>cmd</t>
  </si>
  <si>
    <t>rhd</t>
  </si>
  <si>
    <t>Baseline (no new intervention)</t>
  </si>
  <si>
    <t>coverage_scenario</t>
  </si>
  <si>
    <t>coverage_baseline</t>
  </si>
  <si>
    <t>pin_scenario</t>
  </si>
  <si>
    <t>pin_baseline</t>
  </si>
  <si>
    <t>annual_cost_baseline</t>
  </si>
  <si>
    <t>annual_cost_scenario</t>
  </si>
  <si>
    <t>annual_cost_incremental</t>
  </si>
  <si>
    <t>discount_factor</t>
  </si>
  <si>
    <t>disc_cost_baseline</t>
  </si>
  <si>
    <t>disc_cost_scenario</t>
  </si>
  <si>
    <t>disc_cost_incremental</t>
  </si>
  <si>
    <t>r_quantity_scenario</t>
  </si>
  <si>
    <t>r_quantity_baseline</t>
  </si>
  <si>
    <t>shared_duplicate_count</t>
  </si>
  <si>
    <t>national_population</t>
  </si>
  <si>
    <t>annual_cost_baseline_per_capita</t>
  </si>
  <si>
    <t>annual_cost_scenario_per_capita</t>
  </si>
  <si>
    <t>annual_cost_incremental_per_capita</t>
  </si>
  <si>
    <t>disc_cost_incremental_per_capita</t>
  </si>
  <si>
    <t>baseline_cost</t>
  </si>
  <si>
    <t>scenario_cost</t>
  </si>
  <si>
    <t>incremental_cost</t>
  </si>
  <si>
    <t>disc_incremental_cost</t>
  </si>
  <si>
    <t>cumulative_incremental_cost</t>
  </si>
  <si>
    <t>cumulative_disc_incremental_cost</t>
  </si>
  <si>
    <t>baseline_cost_per_capita</t>
  </si>
  <si>
    <t>scenario_cost_per_capita</t>
  </si>
  <si>
    <t>incremental_cost_per_capita</t>
  </si>
  <si>
    <t>disc_incremental_cost_per_capita</t>
  </si>
  <si>
    <t>cost_per_death_averted</t>
  </si>
  <si>
    <t>dominance</t>
  </si>
  <si>
    <t>reconciliation_status</t>
  </si>
  <si>
    <t>modeled_deaths</t>
  </si>
  <si>
    <t>baseline_deaths</t>
  </si>
  <si>
    <t>modeled_cases</t>
  </si>
  <si>
    <t>baseline_cases</t>
  </si>
  <si>
    <t>yll</t>
  </si>
  <si>
    <t>base_yll</t>
  </si>
  <si>
    <t>yll_averted</t>
  </si>
  <si>
    <t>yld</t>
  </si>
  <si>
    <t>base_yld</t>
  </si>
  <si>
    <t>yld_averted</t>
  </si>
  <si>
    <t>daly</t>
  </si>
  <si>
    <t>base_daly</t>
  </si>
  <si>
    <t>dalys_averted</t>
  </si>
  <si>
    <t>life_years_gained</t>
  </si>
  <si>
    <t>gni_pc_idn</t>
  </si>
  <si>
    <t>gni_pc_usa</t>
  </si>
  <si>
    <t>population</t>
  </si>
  <si>
    <t>le_avg_adult</t>
  </si>
  <si>
    <t>vsl_transfer_prefloor</t>
  </si>
  <si>
    <t>vsl_floor</t>
  </si>
  <si>
    <t>vsl_preferred</t>
  </si>
  <si>
    <t>vsl_over_gnipc</t>
  </si>
  <si>
    <t>vsl_gni100</t>
  </si>
  <si>
    <t>vsl_gni160</t>
  </si>
  <si>
    <t>vsly_preferred</t>
  </si>
  <si>
    <t>econ_value_vsl_undisc</t>
  </si>
  <si>
    <t>econ_value_vsly_undisc</t>
  </si>
  <si>
    <t>econ_value_vsl100_undisc</t>
  </si>
  <si>
    <t>econ_value_vsl160_undisc</t>
  </si>
  <si>
    <t>disc_factor</t>
  </si>
  <si>
    <t>pv_vsl_pref</t>
  </si>
  <si>
    <t>pv_vsly_pref</t>
  </si>
  <si>
    <t>pv_vsl100</t>
  </si>
  <si>
    <t>pv_vsl160</t>
  </si>
  <si>
    <t>total_national_gni</t>
  </si>
  <si>
    <t>pv_national_gni</t>
  </si>
  <si>
    <t>annual_benefit_share_gni</t>
  </si>
  <si>
    <t>intervention_family</t>
  </si>
  <si>
    <t>scenario_level</t>
  </si>
  <si>
    <t>valuation_method</t>
  </si>
  <si>
    <t>valuation_case</t>
  </si>
  <si>
    <t>pv_benefits</t>
  </si>
  <si>
    <t>pv_costs</t>
  </si>
  <si>
    <t>pv_net_benefit</t>
  </si>
  <si>
    <t>benefit_cost_ratio</t>
  </si>
  <si>
    <t>benefit_gni_share</t>
  </si>
  <si>
    <t>decision</t>
  </si>
  <si>
    <t>scope_note</t>
  </si>
  <si>
    <t>cascade_70_30_30_to_70_70_70</t>
  </si>
  <si>
    <t>combined</t>
  </si>
  <si>
    <t>VSL</t>
  </si>
  <si>
    <t>preferred (elasticity 1.5, 20x floor)</t>
  </si>
  <si>
    <t>VSLY</t>
  </si>
  <si>
    <t>preferred (VSLY from preferred VSL)</t>
  </si>
  <si>
    <t>sensitivity: 100x GNI per capita</t>
  </si>
  <si>
    <t>sensitivity: 160x GNI per capita</t>
  </si>
  <si>
    <t>Partial mortality-benefit BCA (preferred (elasticity 1.5, 20x floor)). Benefits = averted-mortality VSL/VSLY in PPP int$; costs = implementation/health-system converted to PPP int$ (market USD x cost_to_bca_currency_factor). Omits morbidity, productivity and downstream cost offsets.</t>
  </si>
  <si>
    <t>location</t>
  </si>
  <si>
    <t>htn_target_scenario</t>
  </si>
  <si>
    <t>age</t>
  </si>
  <si>
    <t>cvd_deaths</t>
  </si>
  <si>
    <t>m_x</t>
  </si>
  <si>
    <t>q_x</t>
  </si>
  <si>
    <t>l_x</t>
  </si>
  <si>
    <t>l_x_next</t>
  </si>
  <si>
    <t>htncov2_aspirational</t>
  </si>
  <si>
    <t>scenario_role</t>
  </si>
  <si>
    <t>parent_package_id</t>
  </si>
  <si>
    <t>cvd_40q30</t>
  </si>
  <si>
    <t>baseline_cvd_40q30</t>
  </si>
  <si>
    <t>absolute_reduction_pp</t>
  </si>
  <si>
    <t>percent_reduction</t>
  </si>
  <si>
    <t>cvd_40q30_r</t>
  </si>
  <si>
    <t>recon_status</t>
  </si>
  <si>
    <t>item_key</t>
  </si>
  <si>
    <t>field</t>
  </si>
  <si>
    <t>problem</t>
  </si>
  <si>
    <t>severity</t>
  </si>
  <si>
    <t>check</t>
  </si>
  <si>
    <t>expected</t>
  </si>
  <si>
    <t>actual</t>
  </si>
  <si>
    <t>status</t>
  </si>
  <si>
    <t>note</t>
  </si>
  <si>
    <t>Intervention-cause key uniqueness</t>
  </si>
  <si>
    <t>Each selected link key appears once</t>
  </si>
  <si>
    <t>Workbook FAIL-level issues</t>
  </si>
  <si>
    <t>Blocked links/scenarios excluded (see Selected_Interventions / Input_Diagnostic)</t>
  </si>
  <si>
    <t>Workbook REVIEW-level issues</t>
  </si>
  <si>
    <t>Flagged but usable (e.g. cost not Indonesia-adjusted, missing optional component)</t>
  </si>
  <si>
    <t>Every scenario paired to baseline</t>
  </si>
  <si>
    <t>TRUE</t>
  </si>
  <si>
    <t>Deaths averted = baseline - scenario at matched location/year/cause</t>
  </si>
  <si>
    <t>No impossible negative states</t>
  </si>
  <si>
    <t>well/sick/new_cases/cause_deaths/population &gt;= 0</t>
  </si>
  <si>
    <t>Stock/flow identity pop = well + sick + all-cause deaths</t>
  </si>
  <si>
    <t>&lt;= limit</t>
  </si>
  <si>
    <t>Per cause row; small residual from 95+ pooling / rounding</t>
  </si>
  <si>
    <t>Background mortality constant across cause (not duplicated)</t>
  </si>
  <si>
    <t>1</t>
  </si>
  <si>
    <t>all.mx taken once per stratum in the R Background sheet</t>
  </si>
  <si>
    <t>Cost reconciliation (components -&gt; budget impact)</t>
  </si>
  <si>
    <t>&lt;= tol</t>
  </si>
  <si>
    <t>Excel component rows sum to Excel annual totals within tolerance</t>
  </si>
  <si>
    <t>Shared cost counted once per stratum/year</t>
  </si>
  <si>
    <t>shared-count-once components appear once per scenario-year</t>
  </si>
  <si>
    <t>CEA reconciliation (detail -&gt; summary ratio)</t>
  </si>
  <si>
    <t>consistent</t>
  </si>
  <si>
    <t>Every Cost_Effectiveness row's internal reconciliation is consistent</t>
  </si>
  <si>
    <t>Excel vs R: deaths averted (anchor scenario)</t>
  </si>
  <si>
    <t>match R</t>
  </si>
  <si>
    <t>Excel CEA deaths averted reconciles to the R engine value</t>
  </si>
  <si>
    <t>Excel vs R: discounted incremental cost (anchor scenario)</t>
  </si>
  <si>
    <t>Excel CEA discounted incremental cost reconciles to the R engine value</t>
  </si>
  <si>
    <t>Excel vs R: cost per death averted (anchor scenario)</t>
  </si>
  <si>
    <t>Excel CEA USD per death averted reconciles to the R engine value</t>
  </si>
  <si>
    <t>VSL floor applied (preferred VSL &gt;= 20x GNI floor)</t>
  </si>
  <si>
    <t>No Economic_Value row has preferred VSL below the 20x GNI-per-capita floor</t>
  </si>
  <si>
    <t>Reference-case VSL parameters (elasticity 1.5, US ratio 160, 20x floor)</t>
  </si>
  <si>
    <t>as_specified</t>
  </si>
  <si>
    <t>Reference case = elasticity 1.5 transfer, 160x US ratio, 20x GNI floor (Robinson et al. 2019)</t>
  </si>
  <si>
    <t>Benefit and cost on the same price year (BCA basis)</t>
  </si>
  <si>
    <t>match</t>
  </si>
  <si>
    <t>bca_price_year equals the cost price year, so benefits and costs share a real price basis</t>
  </si>
  <si>
    <t>Benefit_Cost scenarios all present in Health_Outcomes</t>
  </si>
  <si>
    <t>Every scenario x valuation-case row in Benefit_Cost has a matching Health_Outcomes scenario</t>
  </si>
  <si>
    <t>CVD 40q30 Excel vs R (all rows match)</t>
  </si>
  <si>
    <t>CVD_40q30 recon_status has no 'mismatch' (life-table formula reconciles to Model 07)</t>
  </si>
  <si>
    <t>method_id</t>
  </si>
  <si>
    <t>concept</t>
  </si>
  <si>
    <t>formula_or_rule</t>
  </si>
  <si>
    <t>M01</t>
  </si>
  <si>
    <t>Incremental coverage</t>
  </si>
  <si>
    <t>delta_cov(t) = coverage(t) - baseline_coverage</t>
  </si>
  <si>
    <t>FairChoices_Methods sheet + https://fairchoices.w.uib.no/documentation/fairchoices-methods/</t>
  </si>
  <si>
    <t>M02</t>
  </si>
  <si>
    <t>FAIR adjusted effect</t>
  </si>
  <si>
    <t>e_adj(t) = effect_value * delta_cov(t) / (1 - effect_value * baseline_coverage)</t>
  </si>
  <si>
    <t>M03</t>
  </si>
  <si>
    <t>Affected fraction</t>
  </si>
  <si>
    <t>transition_effect(t) = e_adj(t) * affected_fraction</t>
  </si>
  <si>
    <t>M04</t>
  </si>
  <si>
    <t>Adjusted transition</t>
  </si>
  <si>
    <t>p_scenario(t) = p_baseline(t) * (1 - transition_effect(t)); prevention-&gt;incidence (IR/eff_ir), management-&gt;case fatality (CF/eff_cf)</t>
  </si>
  <si>
    <t>M05</t>
  </si>
  <si>
    <t>HF/severe mapping</t>
  </si>
  <si>
    <t>workbook sick_hf / sick_severe collapse onto the single 'sick' state via affected_fraction; NO new Markov states</t>
  </si>
  <si>
    <t>Model 04 translation table (Indonesia Markov adaptation)</t>
  </si>
  <si>
    <t>M06</t>
  </si>
  <si>
    <t>Annual component cost</t>
  </si>
  <si>
    <t>annual_cost = population_in_need * coverage(t) * frequency_per_year * unit_cost_usd</t>
  </si>
  <si>
    <t>FairChoices_Methods sheet / input workbook</t>
  </si>
  <si>
    <t>M07</t>
  </si>
  <si>
    <t>Shared cost</t>
  </si>
  <si>
    <t>shared-count-once components counted once per intervention &amp; eligible stratum, not once per affected cause</t>
  </si>
  <si>
    <t>M08</t>
  </si>
  <si>
    <t>Discounting</t>
  </si>
  <si>
    <t>discount_factor(t) = 1 / (1 + cost_discount_rate)^(t - analysis_start_year); costs discounted, death counts undiscounted</t>
  </si>
  <si>
    <t>M09</t>
  </si>
  <si>
    <t>incremental = scenario_cost - baseline_cost (undiscounted headline; discounted reported separately)</t>
  </si>
  <si>
    <t>M10</t>
  </si>
  <si>
    <t>USD per death averted = cumulative discounted incremental cost / cumulative deaths averted</t>
  </si>
  <si>
    <t>M11</t>
  </si>
  <si>
    <t>FAIR unit-cost markups</t>
  </si>
  <si>
    <t>not re-applied where indonesia_adjusted_flag = 1 (supplied adjusted costs already include them)</t>
  </si>
  <si>
    <t>FairChoices_Methods M08</t>
  </si>
  <si>
    <t>M12</t>
  </si>
  <si>
    <t>Excel formula lineage</t>
  </si>
  <si>
    <t>Formula-derived cells are light blue and depend on visible grey R source/helper cells; Calculation_Map lists the dependency chain.</t>
  </si>
  <si>
    <t>This workbook</t>
  </si>
  <si>
    <t>M13</t>
  </si>
  <si>
    <t>PIN audit quantities</t>
  </si>
  <si>
    <t>r_quantity_scenario/baseline (Annual_Cost AF:AG) retain the full-precision R population quantity used before the PIN fraction.</t>
  </si>
  <si>
    <t>Model 09 and this workbook</t>
  </si>
  <si>
    <t>M14</t>
  </si>
  <si>
    <t>Reference-Case VSL transfer</t>
  </si>
  <si>
    <t>Preferred VSL = MAX(vsl_us_gni_ratio*GNIpc_US*(GNIpc_IDN/GNIpc_US)^income_elasticity, vsl_floor_gni_multiple*GNIpc_IDN); standardized sensitivities VSL = 100x and 160x GNIpc (Economic_Value J:P,N,O).</t>
  </si>
  <si>
    <t>Robinson et al. 2019 Reference Case Guidelines / Model 08</t>
  </si>
  <si>
    <t>M15</t>
  </si>
  <si>
    <t>Constant VSLY</t>
  </si>
  <si>
    <t>VSLY = preferred VSL / undiscounted remaining LE at the average age of the working-age (vsly_adult_min_age..max_age) population; applied to Model 07 age-specific life-years gained (not an algebraic identity with VSL).</t>
  </si>
  <si>
    <t>M16</t>
  </si>
  <si>
    <t>BCA discounting &amp; monetary basis</t>
  </si>
  <si>
    <t>Benefits and costs are discounted to bca_base_year at bca_discount_rate_primary; VSL benefits are PPP international dollars; market-USD costs are converted to that basis via cost_to_bca_currency_factor (never assumed 1).</t>
  </si>
  <si>
    <t>M17</t>
  </si>
  <si>
    <t>Benefit-cost ratio &amp; net benefit</t>
  </si>
  <si>
    <t>BCR = PV benefits / PV costs and net benefit = PV benefits - PV costs, on ONE base year, rate, price year and currency basis (Benefit_Cost). This is a PARTIAL mortality-benefit BCA, not cost-effectiveness (USD per death averted).</t>
  </si>
  <si>
    <t>M18</t>
  </si>
  <si>
    <t>CVD 40q30 (period life table)</t>
  </si>
  <si>
    <t>Period CVD 40q30 over the six CVD causes (ihd, istroke, hstroke, hhd, rhd, cmd), exact ages 30-69: sexes combined before the rate, m_x=(D_F+D_M)/(N_F+N_M), q_x=1-EXP(-m_x), l_30=1, l_{x+1}=l_x(1-q_x), 40q30=100*(1-l_70/l_30). CVD_40q30_Age carries the live life-table formulas; CVD_40q30 has the metric, shared-baseline pairing, absolute (pp) and relative (%) reduction, all reconciled to the Model 07 R value. cvd_40q30 is a PERCENT on a 0-100 scale (format 0.000, not Excel %). Population is de-duplicated across causes (never summed over the six causes).</t>
  </si>
  <si>
    <t>Model 07 (07_cvd_40q30.rds) / Model 09</t>
  </si>
  <si>
    <t>output_sheet</t>
  </si>
  <si>
    <t>formula_columns</t>
  </si>
  <si>
    <t>depends_on</t>
  </si>
  <si>
    <t>calculation</t>
  </si>
  <si>
    <t>source_role</t>
  </si>
  <si>
    <t>Selected_Interventions</t>
  </si>
  <si>
    <t>P, U:V</t>
  </si>
  <si>
    <t>selected health links (J:M)</t>
  </si>
  <si>
    <t>Adjusted effect at target; key uniqueness/status</t>
  </si>
  <si>
    <t>Workbook formula</t>
  </si>
  <si>
    <t>Cost_Components</t>
  </si>
  <si>
    <t>S:V, X</t>
  </si>
  <si>
    <t>Coverage link (INDEX/MATCH) and cost-readiness rule</t>
  </si>
  <si>
    <t>Annual_Mortality</t>
  </si>
  <si>
    <t>H, J</t>
  </si>
  <si>
    <t>R aggregates E:G, I</t>
  </si>
  <si>
    <t>Deaths averted and cases averted</t>
  </si>
  <si>
    <t>Health_Outcomes</t>
  </si>
  <si>
    <t>F,I,L,O,R,S</t>
  </si>
  <si>
    <t>Model 07 modeled/baseline health (grey D:E,G:H,J:K,M:N,P:Q)</t>
  </si>
  <si>
    <t>Deaths/cases/YLL/YLD/DALY averted and life-years gained (baseline - intervention)</t>
  </si>
  <si>
    <t>CVD_40q30_Age</t>
  </si>
  <si>
    <t>J:M</t>
  </si>
  <si>
    <t>CVD deaths + de-duplicated population (grey H:I)</t>
  </si>
  <si>
    <t>m_x=deaths/pop, q_x=1-EXP(-m_x), recursive l_x, l_{x+1} (period life table, ages 30-69)</t>
  </si>
  <si>
    <t>CVD_40q30</t>
  </si>
  <si>
    <t>I,J,K,L,N</t>
  </si>
  <si>
    <t>CVD_40q30_Age life table; baseline SUMIFS; R anchor (M)</t>
  </si>
  <si>
    <t>CVD 40q30 = 100*(1-l_70/l_30); baseline-paired absolute (pp) &amp; relative (%) reduction; R reconciliation</t>
  </si>
  <si>
    <t>Annual_Cost</t>
  </si>
  <si>
    <t>J:AE, AH</t>
  </si>
  <si>
    <t>Cost_Components; Calculation_Assumptions; R quantity AF:AG</t>
  </si>
  <si>
    <t>Coverage path, PIN, annual + discounted cost, shared-cost QA</t>
  </si>
  <si>
    <t>AF:AG</t>
  </si>
  <si>
    <t>full-precision Model 06 output</t>
  </si>
  <si>
    <t>Scenario/baseline quantity before the PIN fraction</t>
  </si>
  <si>
    <t>Budget_Impact</t>
  </si>
  <si>
    <t>C:H</t>
  </si>
  <si>
    <t>Annual and cumulative cost by scenario</t>
  </si>
  <si>
    <t>Cost_Effectiveness</t>
  </si>
  <si>
    <t>C:I</t>
  </si>
  <si>
    <t>Annual_Mortality; Budget_Impact; Calculation_Assumptions</t>
  </si>
  <si>
    <t>Cumulative health, cost, cost/death, dominance, reconciliation</t>
  </si>
  <si>
    <t>Economic_Value</t>
  </si>
  <si>
    <t>J:AB</t>
  </si>
  <si>
    <t>Model 08 source (grey D:I); Calculation_Assumptions BCA controls</t>
  </si>
  <si>
    <t>Reference-Case VSL (elast 1.5 + 20x floor) &amp; 100x/160x, VSLY, undisc &amp; PV benefits, GNI shares</t>
  </si>
  <si>
    <t>Benefit_Cost</t>
  </si>
  <si>
    <t>G:M</t>
  </si>
  <si>
    <t>Economic_Value PV benefits; Budget_Impact costs; Calculation_Assumptions</t>
  </si>
  <si>
    <t>PV benefits, PV costs (to PPP int$), net benefit, BCR, benefit/GNI, decision (partial BCA)</t>
  </si>
  <si>
    <t>QA_Checks</t>
  </si>
  <si>
    <t>C:D</t>
  </si>
  <si>
    <t>calculation + diagnostic sheets</t>
  </si>
  <si>
    <t>Invariant recomputation and Excel-vs-R reconciliation status</t>
  </si>
  <si>
    <t>Run_Metadata</t>
  </si>
  <si>
    <t>B8:B16 (subset)</t>
  </si>
  <si>
    <t>Calculation_Assumptions</t>
  </si>
  <si>
    <t>Metadata pulled from the assumptions controls</t>
  </si>
  <si>
    <t>Companion R workbook</t>
  </si>
  <si>
    <t>none</t>
  </si>
  <si>
    <t>Model 06 / Model 09</t>
  </si>
  <si>
    <t>Detailed Model_State_Trace and Background_Mortality</t>
  </si>
  <si>
    <t>R source data</t>
  </si>
  <si>
    <t>intervention_ids</t>
  </si>
  <si>
    <t>n_interventions</t>
  </si>
  <si>
    <t/>
  </si>
  <si>
    <t>I_CVD_PRIMARY; I_T2D_TREATMENT</t>
  </si>
  <si>
    <t>source_workbook_cell</t>
  </si>
  <si>
    <t>2025</t>
  </si>
  <si>
    <t>First modeled year</t>
  </si>
  <si>
    <t>Agreed analysis horizon</t>
  </si>
  <si>
    <t>Assumptions![parameter_id=analysis_start_year]</t>
  </si>
  <si>
    <t>2050</t>
  </si>
  <si>
    <t>Last modeled year</t>
  </si>
  <si>
    <t>Assumptions![parameter_id=analysis_end_year]</t>
  </si>
  <si>
    <t>first_target_year</t>
  </si>
  <si>
    <t>2030</t>
  </si>
  <si>
    <t>Year to achieve 70-30-30</t>
  </si>
  <si>
    <t>World Bank/UW request, 27 Aug 2026</t>
  </si>
  <si>
    <t>Assumptions![parameter_id=first_target_year]</t>
  </si>
  <si>
    <t>final_target_year</t>
  </si>
  <si>
    <t>2040</t>
  </si>
  <si>
    <t>Year to achieve 70-70-70</t>
  </si>
  <si>
    <t>Assumptions![parameter_id=final_target_year]</t>
  </si>
  <si>
    <t>target_diagnosis_share</t>
  </si>
  <si>
    <t>0.7</t>
  </si>
  <si>
    <t>proportion</t>
  </si>
  <si>
    <t>Diagnosis step for both targets</t>
  </si>
  <si>
    <t>World Bank/UW request</t>
  </si>
  <si>
    <t>Assumptions![parameter_id=target_diagnosis_share]</t>
  </si>
  <si>
    <t>first_target_treatment_conditional</t>
  </si>
  <si>
    <t>0.3</t>
  </si>
  <si>
    <t>Treated among diagnosed in 2030</t>
  </si>
  <si>
    <t>70-30-30 definition</t>
  </si>
  <si>
    <t>Assumptions![parameter_id=first_target_treatment_conditional]</t>
  </si>
  <si>
    <t>first_target_control_conditional</t>
  </si>
  <si>
    <t>Controlled among treated in 2030</t>
  </si>
  <si>
    <t>Assumptions![parameter_id=first_target_control_conditional]</t>
  </si>
  <si>
    <t>final_target_treatment_conditional</t>
  </si>
  <si>
    <t>Treated among diagnosed in 2040</t>
  </si>
  <si>
    <t>70-70-70 definition</t>
  </si>
  <si>
    <t>Assumptions![parameter_id=final_target_treatment_conditional]</t>
  </si>
  <si>
    <t>final_target_control_conditional</t>
  </si>
  <si>
    <t>Controlled among treated in 2040</t>
  </si>
  <si>
    <t>Assumptions![parameter_id=final_target_control_conditional]</t>
  </si>
  <si>
    <t>treated_uncontrolled_effect_fraction</t>
  </si>
  <si>
    <t>share of full effect</t>
  </si>
  <si>
    <t>Effect received when treated but uncontrolled</t>
  </si>
  <si>
    <t>Assumptions![parameter_id=treated_uncontrolled_effect_fraction]</t>
  </si>
  <si>
    <t>first_target_effective_coverage_exact</t>
  </si>
  <si>
    <t>Exact 70-30-30 effective coverage; no rounding override</t>
  </si>
  <si>
    <t>World Bank/UW cascade specification</t>
  </si>
  <si>
    <t>Assumptions![parameter_id=first_target_effective_coverage_exact]</t>
  </si>
  <si>
    <t>final_target_effective_coverage_exact</t>
  </si>
  <si>
    <t>Exact 70-70-70 effective coverage; no rounding override</t>
  </si>
  <si>
    <t>Assumptions![parameter_id=final_target_effective_coverage_exact]</t>
  </si>
  <si>
    <t>diabetes_baseline_control_among_treated</t>
  </si>
  <si>
    <t>Derived as 6.5% controlled / 19.0% treated in the 2023 national diabetes cascade; editable</t>
  </si>
  <si>
    <t>Muharram et al. medRxiv 2026; peer-reviewed national estimate 32.0% HbA1c&lt;7%</t>
  </si>
  <si>
    <t>Assumptions![parameter_id=diabetes_baseline_control_among_treated]</t>
  </si>
  <si>
    <t>diabetes_baseline_diagnosis_conditioning</t>
  </si>
  <si>
    <t>Conditions directly on all people with diabetes so reported treatment is reproduced</t>
  </si>
  <si>
    <t>Explicit modeling assumption</t>
  </si>
  <si>
    <t>Assumptions![parameter_id=diabetes_baseline_diagnosis_conditioning]</t>
  </si>
  <si>
    <t>cholesterol_coverage_proxy</t>
  </si>
  <si>
    <t>hypertension</t>
  </si>
  <si>
    <t>Cholesterol coverage follows hypertension coverage</t>
  </si>
  <si>
    <t>Assumptions![parameter_id=cholesterol_coverage_proxy]</t>
  </si>
  <si>
    <t>Linear to 2030, then linear to 2040</t>
  </si>
  <si>
    <t>Assumptions![parameter_id=scale_up_shape]</t>
  </si>
  <si>
    <t>post_target_rule</t>
  </si>
  <si>
    <t>hold</t>
  </si>
  <si>
    <t>Maintain achieved level after 2040</t>
  </si>
  <si>
    <t>Assumptions![parameter_id=post_target_rule]</t>
  </si>
  <si>
    <t>prevent_coverage_backsliding</t>
  </si>
  <si>
    <t>0/1</t>
  </si>
  <si>
    <t>When a measured baseline already exceeds a milestone, retain baseline rather than scale down</t>
  </si>
  <si>
    <t>Scale-up interpretation</t>
  </si>
  <si>
    <t>Assumptions![parameter_id=prevent_coverage_backsliding]</t>
  </si>
  <si>
    <t>scenario_id</t>
  </si>
  <si>
    <t>Stable scenario identifier</t>
  </si>
  <si>
    <t>This analysis</t>
  </si>
  <si>
    <t>Assumptions![parameter_id=scenario_id]</t>
  </si>
  <si>
    <t>0.03</t>
  </si>
  <si>
    <t>Annual cost discount rate</t>
  </si>
  <si>
    <t>Supplied Indonesia input workbook</t>
  </si>
  <si>
    <t>Assumptions![parameter_id=cost_discount_rate]</t>
  </si>
  <si>
    <t>health_discount_rate</t>
  </si>
  <si>
    <t>Annual health discount rate</t>
  </si>
  <si>
    <t>Assumptions![parameter_id=health_discount_rate]</t>
  </si>
  <si>
    <t>Assumptions![parameter_id=cost_price_year]</t>
  </si>
  <si>
    <t>Reporting currency</t>
  </si>
  <si>
    <t>Assumptions![parameter_id=currency]</t>
  </si>
  <si>
    <t>risk_factor_id</t>
  </si>
  <si>
    <t>sex</t>
  </si>
  <si>
    <t>phase</t>
  </si>
  <si>
    <t>baseline_effective_coverage</t>
  </si>
  <si>
    <t>target_2030_effective</t>
  </si>
  <si>
    <t>target_2040_effective</t>
  </si>
  <si>
    <t>controlled_share</t>
  </si>
  <si>
    <t>treated_uncontrolled_share</t>
  </si>
  <si>
    <t>half_effect_fraction</t>
  </si>
  <si>
    <t>scenario_effective_coverage</t>
  </si>
  <si>
    <t>effective_from_components</t>
  </si>
  <si>
    <t>model_effective_coverage_used</t>
  </si>
  <si>
    <t>RF_HTN</t>
  </si>
  <si>
    <t>Men</t>
  </si>
  <si>
    <t>Scale to 70-30-30</t>
  </si>
  <si>
    <t>Scale to 70-70-70</t>
  </si>
  <si>
    <t>Maintain 70-70-70</t>
  </si>
  <si>
    <t>Women</t>
  </si>
  <si>
    <t>RF_T2D</t>
  </si>
  <si>
    <t>check_id</t>
  </si>
  <si>
    <t>excel_effective</t>
  </si>
  <si>
    <t>expected_effective</t>
  </si>
  <si>
    <t>r_value</t>
  </si>
  <si>
    <t>QAC01</t>
  </si>
  <si>
    <t>2030 effective coverage reconstructs to 0.1365</t>
  </si>
  <si>
    <t>QAC02</t>
  </si>
  <si>
    <t>2040 effective coverage reconstructs to 0.4165</t>
  </si>
  <si>
    <t>QAC03</t>
  </si>
  <si>
    <t>Excel model_effective_coverage_used ties to R (by construction)</t>
  </si>
  <si>
    <t>QAC04</t>
  </si>
  <si>
    <t>R adapter vs workbook Model_Input_View multipliers</t>
  </si>
  <si>
    <t>QAC05</t>
  </si>
  <si>
    <t>Effective coverage is monotonic (no backsliding)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</si>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</sst>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0.000"/>
    <numFmt numFmtId="166" formatCode="#,##0.0"/>
    <numFmt numFmtId="167" formatCode="0.0"/>
    <numFmt numFmtId="168" formatCode="0.0000"/>
    <numFmt numFmtId="169" formatCode="0.0000%"/>
    <numFmt numFmtId="170" formatCode="0.000000"/>
    <numFmt numFmtId="171" formatCode="0.0000000000"/>
  </numFmts>
  <fonts count="3">
    <font>
      <sz val="11"/>
      <color rgb="FF000000"/>
      <name val="Carlito"/>
    </font>
    <font>
      <b/>
      <sz val="11"/>
      <color rgb="FFFFFFFF"/>
      <name val="Carlito"/>
    </font>
    <font>
      <b/>
      <sz val="13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ill="1"/>
    <xf numFmtId="0" fontId="0" fillId="4" borderId="0" xfId="0" applyFill="1"/>
    <xf numFmtId="1" fontId="0" fillId="3" borderId="0" xfId="0" applyNumberFormat="1" applyFill="1"/>
    <xf numFmtId="164" fontId="0" fillId="3" borderId="0" xfId="0" applyNumberFormat="1" applyFill="1"/>
    <xf numFmtId="165" fontId="0" fillId="3" borderId="0" xfId="0" applyNumberFormat="1" applyFill="1"/>
    <xf numFmtId="3" fontId="0" fillId="3" borderId="0" xfId="0" applyNumberFormat="1" applyFill="1"/>
    <xf numFmtId="166" fontId="0" fillId="4" borderId="0" xfId="0" applyNumberFormat="1" applyFill="1"/>
    <xf numFmtId="1" fontId="0" fillId="4" borderId="0" xfId="0" applyNumberFormat="1" applyFill="1"/>
    <xf numFmtId="3" fontId="0" fillId="4" borderId="0" xfId="0" applyNumberFormat="1" applyFill="1"/>
    <xf numFmtId="4" fontId="0" fillId="4" borderId="0" xfId="0" applyNumberFormat="1" applyFill="1"/>
    <xf numFmtId="167" fontId="0" fillId="3" borderId="0" xfId="0" applyNumberFormat="1" applyFill="1"/>
    <xf numFmtId="2" fontId="0" fillId="3" borderId="0" xfId="0" applyNumberFormat="1" applyFill="1"/>
    <xf numFmtId="0" fontId="0" fillId="0" borderId="0" xfId="0" applyAlignment="1">
      <alignment vertical="top" wrapText="1"/>
    </xf>
    <xf numFmtId="0" fontId="2" fillId="2" borderId="0" xfId="0" applyFont="1" applyFill="1" applyAlignment="1">
      <alignment vertical="center"/>
    </xf>
    <xf numFmtId="0" fontId="0" fillId="5" borderId="0" xfId="0" applyFill="1"/>
    <xf numFmtId="164" fontId="0" fillId="5" borderId="0" xfId="0" applyNumberFormat="1" applyFill="1"/>
    <xf numFmtId="165" fontId="0" fillId="0" borderId="0" xfId="0" applyNumberFormat="1"/>
    <xf numFmtId="164" fontId="0" fillId="0" borderId="0" xfId="0" applyNumberFormat="1"/>
    <xf numFmtId="1" fontId="0" fillId="0" borderId="0" xfId="0" applyNumberFormat="1"/>
    <xf numFmtId="168" fontId="0" fillId="5" borderId="0" xfId="0" applyNumberFormat="1" applyFill="1"/>
    <xf numFmtId="3" fontId="0" fillId="0" borderId="0" xfId="0" applyNumberFormat="1"/>
    <xf numFmtId="3" fontId="0" fillId="5" borderId="0" xfId="0" applyNumberFormat="1" applyFill="1"/>
    <xf numFmtId="2" fontId="0" fillId="0" borderId="0" xfId="0" applyNumberFormat="1"/>
    <xf numFmtId="4" fontId="0" fillId="0" borderId="0" xfId="0" applyNumberFormat="1"/>
    <xf numFmtId="1" fontId="0" fillId="5" borderId="0" xfId="0" applyNumberFormat="1" applyFill="1"/>
    <xf numFmtId="3" fontId="0" fillId="0" borderId="0" xfId="0" applyNumberFormat="1" applyAlignment="1">
      <alignment vertical="top" wrapText="1"/>
    </xf>
    <xf numFmtId="2" fontId="0" fillId="5" borderId="0" xfId="0" applyNumberFormat="1" applyFill="1"/>
    <xf numFmtId="4" fontId="0" fillId="5" borderId="0" xfId="0" applyNumberFormat="1" applyFill="1"/>
    <xf numFmtId="165" fontId="0" fillId="5" borderId="0" xfId="0" applyNumberFormat="1" applyFill="1"/>
    <xf numFmtId="169" fontId="0" fillId="4" borderId="0" xfId="0" applyNumberFormat="1" applyFill="1"/>
    <xf numFmtId="0" fontId="0" fillId="5" borderId="0" xfId="0" applyFill="1" applyAlignment="1">
      <alignment vertical="top" wrapText="1"/>
    </xf>
    <xf numFmtId="169" fontId="0" fillId="5" borderId="0" xfId="0" applyNumberFormat="1" applyFill="1"/>
    <xf numFmtId="170" fontId="0" fillId="5" borderId="0" xfId="0" applyNumberFormat="1" applyFill="1"/>
    <xf numFmtId="165" fontId="0" fillId="4" borderId="0" xfId="0" applyNumberFormat="1" applyFill="1"/>
    <xf numFmtId="0" fontId="0" fillId="4" borderId="0" xfId="0" applyFill="1" applyAlignment="1">
      <alignment vertical="top" wrapText="1"/>
    </xf>
    <xf numFmtId="171" fontId="0" fillId="3" borderId="0" xfId="0" applyNumberFormat="1" applyFill="1"/>
    <xf numFmtId="164" fontId="0" fillId="4" borderId="0" xfId="0" applyNumberFormat="1" applyFill="1"/>
    <xf numFmtId="170" fontId="0" fillId="4" borderId="0" xfId="0" applyNumberFormat="1" applyFill="1"/>
    <xf numFmtId="171" fontId="0" fillId="4" borderId="0" xfId="0" applyNumberFormat="1" applyFill="1"/>
    <xf numFmtId="171" fontId="0" fillId="5" borderId="0" xfId="0" applyNumberFormat="1" applyFill="1"/>
  </cellXfs>
  <cellStyles count="1">
    <cellStyle name="Normal" xfId="0" builtinId="0"/>
  </cellStyles>
  <dxfs count="13"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workbookViewId="0"/>
  </sheetViews>
  <sheetFormatPr defaultColWidth="11.19921875" defaultRowHeight="13.8"/>
  <cols>
    <col min="1" max="1" width="22.69921875" customWidth="1"/>
    <col min="2" max="2" width="118.69921875" customWidth="1"/>
  </cols>
  <sheetData>
    <row r="1" spans="1:2" ht="22.05" customHeight="1">
      <c r="A1" s="15" t="s">
        <v>119</v>
      </c>
    </row>
    <row r="3" spans="1:2">
      <c r="A3" s="1" t="s">
        <v>120</v>
      </c>
      <c r="B3" s="1" t="s">
        <v>121</v>
      </c>
    </row>
    <row r="4" spans="1:2">
      <c r="A4" t="s">
        <v>122</v>
      </c>
      <c r="B4" s="14" t="s">
        <v>123</v>
      </c>
    </row>
    <row r="5" spans="1:2" ht="27.6">
      <c r="A5" t="s">
        <v>124</v>
      </c>
      <c r="B5" s="14" t="s">
        <v>125</v>
      </c>
    </row>
    <row r="6" spans="1:2" ht="27.6">
      <c r="A6" t="s">
        <v>126</v>
      </c>
      <c r="B6" s="14" t="s">
        <v>127</v>
      </c>
    </row>
    <row r="7" spans="1:2">
      <c r="A7" t="s">
        <v>128</v>
      </c>
      <c r="B7" s="14" t="s">
        <v>129</v>
      </c>
    </row>
    <row r="8" spans="1:2" ht="55.2">
      <c r="A8" t="s">
        <v>130</v>
      </c>
      <c r="B8" s="14" t="s">
        <v>131</v>
      </c>
    </row>
    <row r="9" spans="1:2" ht="27.6">
      <c r="A9" t="s">
        <v>132</v>
      </c>
      <c r="B9" s="14" t="s">
        <v>133</v>
      </c>
    </row>
    <row r="10" spans="1:2" ht="27.6">
      <c r="A10" t="s">
        <v>134</v>
      </c>
      <c r="B10" s="14" t="s">
        <v>135</v>
      </c>
    </row>
    <row r="11" spans="1:2" ht="27.6">
      <c r="A11" t="s">
        <v>136</v>
      </c>
      <c r="B11" s="14" t="s">
        <v>137</v>
      </c>
    </row>
    <row r="12" spans="1:2" ht="69">
      <c r="A12" t="s">
        <v>138</v>
      </c>
      <c r="B12" s="14" t="s">
        <v>139</v>
      </c>
    </row>
    <row r="13" spans="1:2" ht="27.6">
      <c r="A13" t="s">
        <v>140</v>
      </c>
      <c r="B13" s="14" t="s">
        <v>141</v>
      </c>
    </row>
    <row r="14" spans="1:2" ht="69">
      <c r="A14" t="s">
        <v>142</v>
      </c>
      <c r="B14" s="14" t="s">
        <v>143</v>
      </c>
    </row>
    <row r="15" spans="1:2" ht="41.4">
      <c r="A15" t="s">
        <v>144</v>
      </c>
      <c r="B15" s="14" t="s">
        <v>145</v>
      </c>
    </row>
    <row r="16" spans="1:2">
      <c r="A16" t="s">
        <v>146</v>
      </c>
      <c r="B16" s="14" t="s">
        <v>147</v>
      </c>
    </row>
    <row r="17" spans="1:2" ht="27.6">
      <c r="A17" t="s">
        <v>148</v>
      </c>
      <c r="B17" s="14" t="s">
        <v>149</v>
      </c>
    </row>
    <row r="18" spans="1:2" ht="27.6">
      <c r="A18" t="s">
        <v>150</v>
      </c>
      <c r="B18" s="14" t="s">
        <v>151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30.69921875" customWidth="1"/>
    <col min="2" max="2" width="74.69921875" customWidth="1"/>
  </cols>
  <sheetData>
    <row r="1" spans="1:2" ht="28.05" customHeight="1">
      <c r="A1" s="1" t="s">
        <v>152</v>
      </c>
      <c r="B1" s="1" t="s">
        <v>1</v>
      </c>
    </row>
    <row r="2" spans="1:2">
      <c r="A2" t="s">
        <v>153</v>
      </c>
      <c r="B2" t="s">
        <v>154</v>
      </c>
    </row>
    <row r="3" spans="1:2">
      <c r="A3" t="s">
        <v>155</v>
      </c>
      <c r="B3" t="s">
        <v>156</v>
      </c>
    </row>
    <row r="4" spans="1:2">
      <c r="A4" t="s">
        <v>157</v>
      </c>
      <c r="B4" t="s">
        <v>158</v>
      </c>
    </row>
    <row r="5" spans="1:2">
      <c r="A5" t="s">
        <v>159</v>
      </c>
      <c r="B5" t="s">
        <v>160</v>
      </c>
    </row>
    <row r="6" spans="1:2">
      <c r="A6" t="s">
        <v>161</v>
      </c>
      <c r="B6" t="s">
        <v>162</v>
      </c>
    </row>
    <row r="7" spans="1:2">
      <c r="A7" t="s">
        <v>163</v>
      </c>
      <c r="B7" t="s">
        <v>164</v>
      </c>
    </row>
    <row r="8" spans="1:2">
      <c r="A8" t="s">
        <v>165</v>
      </c>
      <c r="B8" s="16" t="str">
        <f>Calculation_Assumptions!B2&amp;"-"&amp;Calculation_Assumptions!B3</f>
        <v>2025-2050</v>
      </c>
    </row>
    <row r="9" spans="1:2">
      <c r="A9" t="s">
        <v>166</v>
      </c>
      <c r="B9" s="16" t="str">
        <f>Calculation_Assumptions!B4</f>
        <v>baseline</v>
      </c>
    </row>
    <row r="10" spans="1:2">
      <c r="A10" t="s">
        <v>167</v>
      </c>
      <c r="B10" t="s">
        <v>115</v>
      </c>
    </row>
    <row r="11" spans="1:2">
      <c r="A11" t="s">
        <v>168</v>
      </c>
      <c r="B11" s="17">
        <f>Calculation_Assumptions!B5</f>
        <v>0.03</v>
      </c>
    </row>
    <row r="12" spans="1:2">
      <c r="A12" t="s">
        <v>169</v>
      </c>
      <c r="B12" s="16">
        <f>Calculation_Assumptions!B6</f>
        <v>2023</v>
      </c>
    </row>
    <row r="13" spans="1:2">
      <c r="A13" t="s">
        <v>171</v>
      </c>
      <c r="B13" s="16" t="str">
        <f>Calculation_Assumptions!B7</f>
        <v>USD</v>
      </c>
    </row>
    <row r="14" spans="1:2">
      <c r="A14" t="s">
        <v>172</v>
      </c>
      <c r="B14" s="16" t="str">
        <f>Calculation_Assumptions!B8</f>
        <v>health_system</v>
      </c>
    </row>
    <row r="15" spans="1:2">
      <c r="A15" t="s">
        <v>173</v>
      </c>
      <c r="B15" s="16" t="str">
        <f>Calculation_Assumptions!B9</f>
        <v>piecewise_linear</v>
      </c>
    </row>
    <row r="16" spans="1:2">
      <c r="A16" t="s">
        <v>174</v>
      </c>
      <c r="B16" s="16">
        <f>Calculation_Assumptions!B10</f>
        <v>0</v>
      </c>
    </row>
    <row r="17" spans="1:2">
      <c r="A17" t="s">
        <v>176</v>
      </c>
      <c r="B17" t="s">
        <v>177</v>
      </c>
    </row>
    <row r="18" spans="1:2">
      <c r="A18" t="s">
        <v>178</v>
      </c>
      <c r="B18" t="s">
        <v>179</v>
      </c>
    </row>
    <row r="19" spans="1:2">
      <c r="A19" t="s">
        <v>180</v>
      </c>
      <c r="B19" t="s">
        <v>181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1.69921875" customWidth="1"/>
    <col min="2" max="2" width="16.69921875" customWidth="1"/>
    <col min="3" max="3" width="21.69921875" customWidth="1"/>
    <col min="4" max="4" width="16.69921875" customWidth="1"/>
    <col min="5" max="5" width="15.69921875" customWidth="1"/>
    <col min="6" max="6" width="19.69921875" customWidth="1"/>
    <col min="7" max="7" width="18.69921875" customWidth="1"/>
    <col min="8" max="8" width="17.69921875" customWidth="1"/>
  </cols>
  <sheetData>
    <row r="1" spans="1:8" ht="28.05" customHeight="1">
      <c r="A1" s="1" t="s">
        <v>282</v>
      </c>
      <c r="B1" s="1" t="s">
        <v>283</v>
      </c>
      <c r="C1" s="1" t="s">
        <v>364</v>
      </c>
      <c r="D1" s="1" t="s">
        <v>365</v>
      </c>
      <c r="E1" s="1" t="s">
        <v>393</v>
      </c>
      <c r="F1" s="1" t="s">
        <v>394</v>
      </c>
      <c r="G1" s="1" t="s">
        <v>581</v>
      </c>
      <c r="H1" s="1" t="s">
        <v>582</v>
      </c>
    </row>
    <row r="2" spans="1:8" ht="27.6">
      <c r="A2" s="3" t="s">
        <v>112</v>
      </c>
      <c r="B2" s="36" t="s">
        <v>294</v>
      </c>
      <c r="C2" s="3" t="s">
        <v>112</v>
      </c>
      <c r="D2" s="3" t="s">
        <v>112</v>
      </c>
      <c r="E2" s="3"/>
      <c r="F2" s="3"/>
      <c r="G2" s="36" t="s">
        <v>583</v>
      </c>
      <c r="H2" s="3">
        <v>0</v>
      </c>
    </row>
    <row r="3" spans="1:8" ht="69">
      <c r="A3" s="3" t="s">
        <v>115</v>
      </c>
      <c r="B3" s="36" t="s">
        <v>291</v>
      </c>
      <c r="C3" s="3" t="s">
        <v>375</v>
      </c>
      <c r="D3" s="3" t="s">
        <v>376</v>
      </c>
      <c r="E3" s="3" t="s">
        <v>376</v>
      </c>
      <c r="F3" s="3"/>
      <c r="G3" s="36" t="s">
        <v>584</v>
      </c>
      <c r="H3" s="3">
        <v>2</v>
      </c>
    </row>
  </sheetData>
  <autoFilter ref="A1:H1" xr:uid="{00000000-0009-0000-0000-000002000000}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4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4.69921875" customWidth="1"/>
    <col min="2" max="3" width="11.69921875" customWidth="1"/>
    <col min="4" max="4" width="13.69921875" customWidth="1"/>
    <col min="5" max="5" width="11.69921875" customWidth="1"/>
    <col min="6" max="6" width="22.69921875" customWidth="1"/>
  </cols>
  <sheetData>
    <row r="1" spans="1:6" ht="28.05" customHeight="1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585</v>
      </c>
    </row>
    <row r="2" spans="1:6" ht="41.4">
      <c r="A2" s="3" t="s">
        <v>6</v>
      </c>
      <c r="B2" s="7" t="s">
        <v>586</v>
      </c>
      <c r="C2" s="3" t="s">
        <v>42</v>
      </c>
      <c r="D2" s="36" t="s">
        <v>587</v>
      </c>
      <c r="E2" s="36" t="s">
        <v>588</v>
      </c>
      <c r="F2" s="36" t="s">
        <v>589</v>
      </c>
    </row>
    <row r="3" spans="1:6" ht="41.4">
      <c r="A3" s="3" t="s">
        <v>7</v>
      </c>
      <c r="B3" s="7" t="s">
        <v>590</v>
      </c>
      <c r="C3" s="3" t="s">
        <v>42</v>
      </c>
      <c r="D3" s="36" t="s">
        <v>591</v>
      </c>
      <c r="E3" s="36" t="s">
        <v>588</v>
      </c>
      <c r="F3" s="36" t="s">
        <v>592</v>
      </c>
    </row>
    <row r="4" spans="1:6" ht="55.2">
      <c r="A4" s="3" t="s">
        <v>593</v>
      </c>
      <c r="B4" s="7" t="s">
        <v>594</v>
      </c>
      <c r="C4" s="3" t="s">
        <v>42</v>
      </c>
      <c r="D4" s="36" t="s">
        <v>595</v>
      </c>
      <c r="E4" s="36" t="s">
        <v>596</v>
      </c>
      <c r="F4" s="36" t="s">
        <v>597</v>
      </c>
    </row>
    <row r="5" spans="1:6" ht="55.2">
      <c r="A5" s="3" t="s">
        <v>598</v>
      </c>
      <c r="B5" s="7" t="s">
        <v>599</v>
      </c>
      <c r="C5" s="3" t="s">
        <v>42</v>
      </c>
      <c r="D5" s="36" t="s">
        <v>600</v>
      </c>
      <c r="E5" s="36" t="s">
        <v>596</v>
      </c>
      <c r="F5" s="36" t="s">
        <v>601</v>
      </c>
    </row>
    <row r="6" spans="1:6" ht="41.4">
      <c r="A6" s="3" t="s">
        <v>602</v>
      </c>
      <c r="B6" s="7" t="s">
        <v>603</v>
      </c>
      <c r="C6" s="3" t="s">
        <v>604</v>
      </c>
      <c r="D6" s="36" t="s">
        <v>605</v>
      </c>
      <c r="E6" s="36" t="s">
        <v>606</v>
      </c>
      <c r="F6" s="36" t="s">
        <v>607</v>
      </c>
    </row>
    <row r="7" spans="1:6" ht="41.4">
      <c r="A7" s="3" t="s">
        <v>608</v>
      </c>
      <c r="B7" s="7" t="s">
        <v>609</v>
      </c>
      <c r="C7" s="3" t="s">
        <v>604</v>
      </c>
      <c r="D7" s="36" t="s">
        <v>610</v>
      </c>
      <c r="E7" s="36" t="s">
        <v>611</v>
      </c>
      <c r="F7" s="36" t="s">
        <v>612</v>
      </c>
    </row>
    <row r="8" spans="1:6" ht="41.4">
      <c r="A8" s="3" t="s">
        <v>613</v>
      </c>
      <c r="B8" s="7" t="s">
        <v>609</v>
      </c>
      <c r="C8" s="3" t="s">
        <v>604</v>
      </c>
      <c r="D8" s="36" t="s">
        <v>614</v>
      </c>
      <c r="E8" s="36" t="s">
        <v>611</v>
      </c>
      <c r="F8" s="36" t="s">
        <v>615</v>
      </c>
    </row>
    <row r="9" spans="1:6" ht="41.4">
      <c r="A9" s="3" t="s">
        <v>616</v>
      </c>
      <c r="B9" s="7" t="s">
        <v>603</v>
      </c>
      <c r="C9" s="3" t="s">
        <v>604</v>
      </c>
      <c r="D9" s="36" t="s">
        <v>617</v>
      </c>
      <c r="E9" s="36" t="s">
        <v>618</v>
      </c>
      <c r="F9" s="36" t="s">
        <v>619</v>
      </c>
    </row>
    <row r="10" spans="1:6" ht="41.4">
      <c r="A10" s="3" t="s">
        <v>620</v>
      </c>
      <c r="B10" s="7" t="s">
        <v>603</v>
      </c>
      <c r="C10" s="3" t="s">
        <v>604</v>
      </c>
      <c r="D10" s="36" t="s">
        <v>621</v>
      </c>
      <c r="E10" s="36" t="s">
        <v>618</v>
      </c>
      <c r="F10" s="36" t="s">
        <v>622</v>
      </c>
    </row>
    <row r="11" spans="1:6" ht="55.2">
      <c r="A11" s="3" t="s">
        <v>623</v>
      </c>
      <c r="B11" s="37">
        <v>0.5</v>
      </c>
      <c r="C11" s="3" t="s">
        <v>624</v>
      </c>
      <c r="D11" s="36" t="s">
        <v>625</v>
      </c>
      <c r="E11" s="36" t="s">
        <v>606</v>
      </c>
      <c r="F11" s="36" t="s">
        <v>626</v>
      </c>
    </row>
    <row r="12" spans="1:6" ht="69">
      <c r="A12" s="3" t="s">
        <v>627</v>
      </c>
      <c r="B12" s="37">
        <v>0.13650000000000001</v>
      </c>
      <c r="C12" s="3" t="s">
        <v>604</v>
      </c>
      <c r="D12" s="36" t="s">
        <v>628</v>
      </c>
      <c r="E12" s="36" t="s">
        <v>629</v>
      </c>
      <c r="F12" s="36" t="s">
        <v>630</v>
      </c>
    </row>
    <row r="13" spans="1:6" ht="69">
      <c r="A13" s="3" t="s">
        <v>631</v>
      </c>
      <c r="B13" s="37">
        <v>0.41649999999999998</v>
      </c>
      <c r="C13" s="3" t="s">
        <v>604</v>
      </c>
      <c r="D13" s="36" t="s">
        <v>632</v>
      </c>
      <c r="E13" s="36" t="s">
        <v>629</v>
      </c>
      <c r="F13" s="36" t="s">
        <v>633</v>
      </c>
    </row>
    <row r="14" spans="1:6" ht="110.4">
      <c r="A14" s="3" t="s">
        <v>634</v>
      </c>
      <c r="B14" s="37">
        <v>0.34210526315789502</v>
      </c>
      <c r="C14" s="3" t="s">
        <v>604</v>
      </c>
      <c r="D14" s="36" t="s">
        <v>635</v>
      </c>
      <c r="E14" s="36" t="s">
        <v>636</v>
      </c>
      <c r="F14" s="36" t="s">
        <v>637</v>
      </c>
    </row>
    <row r="15" spans="1:6" ht="96.6">
      <c r="A15" s="3" t="s">
        <v>638</v>
      </c>
      <c r="B15" s="7" t="s">
        <v>425</v>
      </c>
      <c r="C15" s="3" t="s">
        <v>604</v>
      </c>
      <c r="D15" s="36" t="s">
        <v>639</v>
      </c>
      <c r="E15" s="36" t="s">
        <v>640</v>
      </c>
      <c r="F15" s="36" t="s">
        <v>641</v>
      </c>
    </row>
    <row r="16" spans="1:6" ht="69">
      <c r="A16" s="3" t="s">
        <v>642</v>
      </c>
      <c r="B16" s="7" t="s">
        <v>643</v>
      </c>
      <c r="C16" s="3" t="s">
        <v>57</v>
      </c>
      <c r="D16" s="36" t="s">
        <v>644</v>
      </c>
      <c r="E16" s="36" t="s">
        <v>606</v>
      </c>
      <c r="F16" s="36" t="s">
        <v>645</v>
      </c>
    </row>
    <row r="17" spans="1:6" ht="41.4">
      <c r="A17" s="3" t="s">
        <v>13</v>
      </c>
      <c r="B17" s="7" t="s">
        <v>114</v>
      </c>
      <c r="C17" s="3" t="s">
        <v>57</v>
      </c>
      <c r="D17" s="36" t="s">
        <v>646</v>
      </c>
      <c r="E17" s="36" t="s">
        <v>606</v>
      </c>
      <c r="F17" s="36" t="s">
        <v>647</v>
      </c>
    </row>
    <row r="18" spans="1:6" ht="41.4">
      <c r="A18" s="3" t="s">
        <v>648</v>
      </c>
      <c r="B18" s="7" t="s">
        <v>649</v>
      </c>
      <c r="C18" s="3" t="s">
        <v>57</v>
      </c>
      <c r="D18" s="36" t="s">
        <v>650</v>
      </c>
      <c r="E18" s="36" t="s">
        <v>606</v>
      </c>
      <c r="F18" s="36" t="s">
        <v>651</v>
      </c>
    </row>
    <row r="19" spans="1:6" ht="124.2">
      <c r="A19" s="3" t="s">
        <v>652</v>
      </c>
      <c r="B19" s="7" t="s">
        <v>425</v>
      </c>
      <c r="C19" s="3" t="s">
        <v>653</v>
      </c>
      <c r="D19" s="36" t="s">
        <v>654</v>
      </c>
      <c r="E19" s="36" t="s">
        <v>655</v>
      </c>
      <c r="F19" s="36" t="s">
        <v>656</v>
      </c>
    </row>
    <row r="20" spans="1:6" ht="27.6">
      <c r="A20" s="3" t="s">
        <v>657</v>
      </c>
      <c r="B20" s="7" t="s">
        <v>115</v>
      </c>
      <c r="C20" s="3" t="s">
        <v>57</v>
      </c>
      <c r="D20" s="36" t="s">
        <v>658</v>
      </c>
      <c r="E20" s="36" t="s">
        <v>659</v>
      </c>
      <c r="F20" s="36" t="s">
        <v>660</v>
      </c>
    </row>
    <row r="21" spans="1:6" ht="55.2">
      <c r="A21" s="3" t="s">
        <v>9</v>
      </c>
      <c r="B21" s="7" t="s">
        <v>661</v>
      </c>
      <c r="C21" s="3" t="s">
        <v>50</v>
      </c>
      <c r="D21" s="36" t="s">
        <v>662</v>
      </c>
      <c r="E21" s="36" t="s">
        <v>663</v>
      </c>
      <c r="F21" s="36" t="s">
        <v>664</v>
      </c>
    </row>
    <row r="22" spans="1:6" ht="55.2">
      <c r="A22" s="3" t="s">
        <v>665</v>
      </c>
      <c r="B22" s="7" t="s">
        <v>661</v>
      </c>
      <c r="C22" s="3" t="s">
        <v>50</v>
      </c>
      <c r="D22" s="36" t="s">
        <v>666</v>
      </c>
      <c r="E22" s="36" t="s">
        <v>663</v>
      </c>
      <c r="F22" s="36" t="s">
        <v>667</v>
      </c>
    </row>
    <row r="23" spans="1:6" ht="55.2">
      <c r="A23" s="3" t="s">
        <v>10</v>
      </c>
      <c r="B23" s="7" t="s">
        <v>170</v>
      </c>
      <c r="C23" s="3" t="s">
        <v>52</v>
      </c>
      <c r="D23" s="36" t="s">
        <v>54</v>
      </c>
      <c r="E23" s="36" t="s">
        <v>663</v>
      </c>
      <c r="F23" s="36" t="s">
        <v>668</v>
      </c>
    </row>
    <row r="24" spans="1:6" ht="55.2">
      <c r="A24" s="3" t="s">
        <v>11</v>
      </c>
      <c r="B24" s="7" t="s">
        <v>84</v>
      </c>
      <c r="C24" s="3" t="s">
        <v>11</v>
      </c>
      <c r="D24" s="36" t="s">
        <v>669</v>
      </c>
      <c r="E24" s="36" t="s">
        <v>663</v>
      </c>
      <c r="F24" s="36" t="s">
        <v>670</v>
      </c>
    </row>
  </sheetData>
  <autoFilter ref="A1:F1" xr:uid="{00000000-0009-0000-0000-000003000000}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5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7.69921875" customWidth="1"/>
    <col min="2" max="2" width="16.69921875" customWidth="1"/>
    <col min="3" max="5" width="11.69921875" customWidth="1"/>
    <col min="6" max="6" width="29.69921875" customWidth="1"/>
    <col min="7" max="8" width="23.69921875" customWidth="1"/>
    <col min="9" max="9" width="18.69921875" customWidth="1"/>
    <col min="10" max="10" width="28.69921875" customWidth="1"/>
    <col min="11" max="11" width="22.69921875" customWidth="1"/>
    <col min="12" max="12" width="29.69921875" customWidth="1"/>
    <col min="13" max="13" width="27.69921875" customWidth="1"/>
    <col min="14" max="14" width="31.69921875" customWidth="1"/>
  </cols>
  <sheetData>
    <row r="1" spans="1:14" ht="28.05" customHeight="1">
      <c r="A1" s="1" t="s">
        <v>182</v>
      </c>
      <c r="B1" s="1" t="s">
        <v>671</v>
      </c>
      <c r="C1" s="1" t="s">
        <v>672</v>
      </c>
      <c r="D1" s="1" t="s">
        <v>42</v>
      </c>
      <c r="E1" s="1" t="s">
        <v>673</v>
      </c>
      <c r="F1" s="1" t="s">
        <v>674</v>
      </c>
      <c r="G1" s="1" t="s">
        <v>675</v>
      </c>
      <c r="H1" s="1" t="s">
        <v>676</v>
      </c>
      <c r="I1" s="1" t="s">
        <v>677</v>
      </c>
      <c r="J1" s="1" t="s">
        <v>678</v>
      </c>
      <c r="K1" s="1" t="s">
        <v>679</v>
      </c>
      <c r="L1" s="1" t="s">
        <v>680</v>
      </c>
      <c r="M1" s="1" t="s">
        <v>681</v>
      </c>
      <c r="N1" s="1" t="s">
        <v>682</v>
      </c>
    </row>
    <row r="2" spans="1:14">
      <c r="A2" s="3" t="s">
        <v>204</v>
      </c>
      <c r="B2" s="3" t="s">
        <v>683</v>
      </c>
      <c r="C2" s="3" t="s">
        <v>684</v>
      </c>
      <c r="D2" s="9">
        <v>2025</v>
      </c>
      <c r="E2" s="3" t="s">
        <v>685</v>
      </c>
      <c r="F2" s="39">
        <v>9.4852976806097097E-2</v>
      </c>
      <c r="G2" s="39">
        <v>0.13650000000000001</v>
      </c>
      <c r="H2" s="39">
        <v>0.41649999999999998</v>
      </c>
      <c r="I2" s="39">
        <v>3.5834750636932297E-2</v>
      </c>
      <c r="J2" s="39">
        <v>0.11803645233833</v>
      </c>
      <c r="K2" s="38">
        <v>0.5</v>
      </c>
      <c r="L2" s="39">
        <v>9.4852976806097097E-2</v>
      </c>
      <c r="M2" s="34">
        <f>I2+Cascade_Assumptions!$B$11*J2</f>
        <v>9.4852976806097306E-2</v>
      </c>
      <c r="N2" s="34">
        <f t="shared" ref="N2:N33" si="0">L2</f>
        <v>9.4852976806097097E-2</v>
      </c>
    </row>
    <row r="3" spans="1:14">
      <c r="A3" s="3" t="s">
        <v>204</v>
      </c>
      <c r="B3" s="3" t="s">
        <v>683</v>
      </c>
      <c r="C3" s="3" t="s">
        <v>684</v>
      </c>
      <c r="D3" s="9">
        <v>2026</v>
      </c>
      <c r="E3" s="3" t="s">
        <v>685</v>
      </c>
      <c r="F3" s="39">
        <v>9.4852976806097097E-2</v>
      </c>
      <c r="G3" s="39">
        <v>0.13650000000000001</v>
      </c>
      <c r="H3" s="39">
        <v>0.41649999999999998</v>
      </c>
      <c r="I3" s="39"/>
      <c r="J3" s="39"/>
      <c r="K3" s="38"/>
      <c r="L3" s="39">
        <v>0.103182381444878</v>
      </c>
      <c r="M3" s="34"/>
      <c r="N3" s="34">
        <f t="shared" si="0"/>
        <v>0.103182381444878</v>
      </c>
    </row>
    <row r="4" spans="1:14">
      <c r="A4" s="3" t="s">
        <v>204</v>
      </c>
      <c r="B4" s="3" t="s">
        <v>683</v>
      </c>
      <c r="C4" s="3" t="s">
        <v>684</v>
      </c>
      <c r="D4" s="9">
        <v>2027</v>
      </c>
      <c r="E4" s="3" t="s">
        <v>685</v>
      </c>
      <c r="F4" s="39">
        <v>9.4852976806097097E-2</v>
      </c>
      <c r="G4" s="39">
        <v>0.13650000000000001</v>
      </c>
      <c r="H4" s="39">
        <v>0.41649999999999998</v>
      </c>
      <c r="I4" s="39"/>
      <c r="J4" s="39"/>
      <c r="K4" s="38"/>
      <c r="L4" s="39">
        <v>0.111511786083658</v>
      </c>
      <c r="M4" s="34"/>
      <c r="N4" s="34">
        <f t="shared" si="0"/>
        <v>0.111511786083658</v>
      </c>
    </row>
    <row r="5" spans="1:14">
      <c r="A5" s="3" t="s">
        <v>204</v>
      </c>
      <c r="B5" s="3" t="s">
        <v>683</v>
      </c>
      <c r="C5" s="3" t="s">
        <v>684</v>
      </c>
      <c r="D5" s="9">
        <v>2028</v>
      </c>
      <c r="E5" s="3" t="s">
        <v>685</v>
      </c>
      <c r="F5" s="39">
        <v>9.4852976806097097E-2</v>
      </c>
      <c r="G5" s="39">
        <v>0.13650000000000001</v>
      </c>
      <c r="H5" s="39">
        <v>0.41649999999999998</v>
      </c>
      <c r="I5" s="39"/>
      <c r="J5" s="39"/>
      <c r="K5" s="38"/>
      <c r="L5" s="39">
        <v>0.119841190722439</v>
      </c>
      <c r="M5" s="34"/>
      <c r="N5" s="34">
        <f t="shared" si="0"/>
        <v>0.119841190722439</v>
      </c>
    </row>
    <row r="6" spans="1:14">
      <c r="A6" s="3" t="s">
        <v>204</v>
      </c>
      <c r="B6" s="3" t="s">
        <v>683</v>
      </c>
      <c r="C6" s="3" t="s">
        <v>684</v>
      </c>
      <c r="D6" s="9">
        <v>2029</v>
      </c>
      <c r="E6" s="3" t="s">
        <v>685</v>
      </c>
      <c r="F6" s="39">
        <v>9.4852976806097097E-2</v>
      </c>
      <c r="G6" s="39">
        <v>0.13650000000000001</v>
      </c>
      <c r="H6" s="39">
        <v>0.41649999999999998</v>
      </c>
      <c r="I6" s="39"/>
      <c r="J6" s="39"/>
      <c r="K6" s="38"/>
      <c r="L6" s="39">
        <v>0.128170595361219</v>
      </c>
      <c r="M6" s="34"/>
      <c r="N6" s="34">
        <f t="shared" si="0"/>
        <v>0.128170595361219</v>
      </c>
    </row>
    <row r="7" spans="1:14">
      <c r="A7" s="3" t="s">
        <v>204</v>
      </c>
      <c r="B7" s="3" t="s">
        <v>683</v>
      </c>
      <c r="C7" s="3" t="s">
        <v>684</v>
      </c>
      <c r="D7" s="9">
        <v>2030</v>
      </c>
      <c r="E7" s="3" t="s">
        <v>685</v>
      </c>
      <c r="F7" s="39">
        <v>9.4852976806097097E-2</v>
      </c>
      <c r="G7" s="39">
        <v>0.13650000000000001</v>
      </c>
      <c r="H7" s="39">
        <v>0.41649999999999998</v>
      </c>
      <c r="I7" s="39">
        <v>6.3E-2</v>
      </c>
      <c r="J7" s="39">
        <v>0.14699999999999999</v>
      </c>
      <c r="K7" s="38">
        <v>0.5</v>
      </c>
      <c r="L7" s="39">
        <v>0.13650000000000001</v>
      </c>
      <c r="M7" s="34">
        <f>I7+Cascade_Assumptions!$B$11*J7</f>
        <v>0.13650000000000001</v>
      </c>
      <c r="N7" s="34">
        <f t="shared" si="0"/>
        <v>0.13650000000000001</v>
      </c>
    </row>
    <row r="8" spans="1:14">
      <c r="A8" s="3" t="s">
        <v>204</v>
      </c>
      <c r="B8" s="3" t="s">
        <v>683</v>
      </c>
      <c r="C8" s="3" t="s">
        <v>684</v>
      </c>
      <c r="D8" s="9">
        <v>2031</v>
      </c>
      <c r="E8" s="3" t="s">
        <v>686</v>
      </c>
      <c r="F8" s="39">
        <v>9.4852976806097097E-2</v>
      </c>
      <c r="G8" s="39">
        <v>0.13650000000000001</v>
      </c>
      <c r="H8" s="39">
        <v>0.41649999999999998</v>
      </c>
      <c r="I8" s="39"/>
      <c r="J8" s="39"/>
      <c r="K8" s="38"/>
      <c r="L8" s="39">
        <v>0.16450000000000001</v>
      </c>
      <c r="M8" s="34"/>
      <c r="N8" s="34">
        <f t="shared" si="0"/>
        <v>0.16450000000000001</v>
      </c>
    </row>
    <row r="9" spans="1:14">
      <c r="A9" s="3" t="s">
        <v>204</v>
      </c>
      <c r="B9" s="3" t="s">
        <v>683</v>
      </c>
      <c r="C9" s="3" t="s">
        <v>684</v>
      </c>
      <c r="D9" s="9">
        <v>2032</v>
      </c>
      <c r="E9" s="3" t="s">
        <v>686</v>
      </c>
      <c r="F9" s="39">
        <v>9.4852976806097097E-2</v>
      </c>
      <c r="G9" s="39">
        <v>0.13650000000000001</v>
      </c>
      <c r="H9" s="39">
        <v>0.41649999999999998</v>
      </c>
      <c r="I9" s="39"/>
      <c r="J9" s="39"/>
      <c r="K9" s="38"/>
      <c r="L9" s="39">
        <v>0.1925</v>
      </c>
      <c r="M9" s="34"/>
      <c r="N9" s="34">
        <f t="shared" si="0"/>
        <v>0.1925</v>
      </c>
    </row>
    <row r="10" spans="1:14">
      <c r="A10" s="3" t="s">
        <v>204</v>
      </c>
      <c r="B10" s="3" t="s">
        <v>683</v>
      </c>
      <c r="C10" s="3" t="s">
        <v>684</v>
      </c>
      <c r="D10" s="9">
        <v>2033</v>
      </c>
      <c r="E10" s="3" t="s">
        <v>686</v>
      </c>
      <c r="F10" s="39">
        <v>9.4852976806097097E-2</v>
      </c>
      <c r="G10" s="39">
        <v>0.13650000000000001</v>
      </c>
      <c r="H10" s="39">
        <v>0.41649999999999998</v>
      </c>
      <c r="I10" s="39"/>
      <c r="J10" s="39"/>
      <c r="K10" s="38"/>
      <c r="L10" s="39">
        <v>0.2205</v>
      </c>
      <c r="M10" s="34"/>
      <c r="N10" s="34">
        <f t="shared" si="0"/>
        <v>0.2205</v>
      </c>
    </row>
    <row r="11" spans="1:14">
      <c r="A11" s="3" t="s">
        <v>204</v>
      </c>
      <c r="B11" s="3" t="s">
        <v>683</v>
      </c>
      <c r="C11" s="3" t="s">
        <v>684</v>
      </c>
      <c r="D11" s="9">
        <v>2034</v>
      </c>
      <c r="E11" s="3" t="s">
        <v>686</v>
      </c>
      <c r="F11" s="39">
        <v>9.4852976806097097E-2</v>
      </c>
      <c r="G11" s="39">
        <v>0.13650000000000001</v>
      </c>
      <c r="H11" s="39">
        <v>0.41649999999999998</v>
      </c>
      <c r="I11" s="39"/>
      <c r="J11" s="39"/>
      <c r="K11" s="38"/>
      <c r="L11" s="39">
        <v>0.2485</v>
      </c>
      <c r="M11" s="34"/>
      <c r="N11" s="34">
        <f t="shared" si="0"/>
        <v>0.2485</v>
      </c>
    </row>
    <row r="12" spans="1:14">
      <c r="A12" s="3" t="s">
        <v>204</v>
      </c>
      <c r="B12" s="3" t="s">
        <v>683</v>
      </c>
      <c r="C12" s="3" t="s">
        <v>684</v>
      </c>
      <c r="D12" s="9">
        <v>2035</v>
      </c>
      <c r="E12" s="3" t="s">
        <v>686</v>
      </c>
      <c r="F12" s="39">
        <v>9.4852976806097097E-2</v>
      </c>
      <c r="G12" s="39">
        <v>0.13650000000000001</v>
      </c>
      <c r="H12" s="39">
        <v>0.41649999999999998</v>
      </c>
      <c r="I12" s="39"/>
      <c r="J12" s="39"/>
      <c r="K12" s="38"/>
      <c r="L12" s="39">
        <v>0.27650000000000002</v>
      </c>
      <c r="M12" s="34"/>
      <c r="N12" s="34">
        <f t="shared" si="0"/>
        <v>0.27650000000000002</v>
      </c>
    </row>
    <row r="13" spans="1:14">
      <c r="A13" s="3" t="s">
        <v>204</v>
      </c>
      <c r="B13" s="3" t="s">
        <v>683</v>
      </c>
      <c r="C13" s="3" t="s">
        <v>684</v>
      </c>
      <c r="D13" s="9">
        <v>2036</v>
      </c>
      <c r="E13" s="3" t="s">
        <v>686</v>
      </c>
      <c r="F13" s="39">
        <v>9.4852976806097097E-2</v>
      </c>
      <c r="G13" s="39">
        <v>0.13650000000000001</v>
      </c>
      <c r="H13" s="39">
        <v>0.41649999999999998</v>
      </c>
      <c r="I13" s="39"/>
      <c r="J13" s="39"/>
      <c r="K13" s="38"/>
      <c r="L13" s="39">
        <v>0.30449999999999999</v>
      </c>
      <c r="M13" s="34"/>
      <c r="N13" s="34">
        <f t="shared" si="0"/>
        <v>0.30449999999999999</v>
      </c>
    </row>
    <row r="14" spans="1:14">
      <c r="A14" s="3" t="s">
        <v>204</v>
      </c>
      <c r="B14" s="3" t="s">
        <v>683</v>
      </c>
      <c r="C14" s="3" t="s">
        <v>684</v>
      </c>
      <c r="D14" s="9">
        <v>2037</v>
      </c>
      <c r="E14" s="3" t="s">
        <v>686</v>
      </c>
      <c r="F14" s="39">
        <v>9.4852976806097097E-2</v>
      </c>
      <c r="G14" s="39">
        <v>0.13650000000000001</v>
      </c>
      <c r="H14" s="39">
        <v>0.41649999999999998</v>
      </c>
      <c r="I14" s="39"/>
      <c r="J14" s="39"/>
      <c r="K14" s="38"/>
      <c r="L14" s="39">
        <v>0.33250000000000002</v>
      </c>
      <c r="M14" s="34"/>
      <c r="N14" s="34">
        <f t="shared" si="0"/>
        <v>0.33250000000000002</v>
      </c>
    </row>
    <row r="15" spans="1:14">
      <c r="A15" s="3" t="s">
        <v>204</v>
      </c>
      <c r="B15" s="3" t="s">
        <v>683</v>
      </c>
      <c r="C15" s="3" t="s">
        <v>684</v>
      </c>
      <c r="D15" s="9">
        <v>2038</v>
      </c>
      <c r="E15" s="3" t="s">
        <v>686</v>
      </c>
      <c r="F15" s="39">
        <v>9.4852976806097097E-2</v>
      </c>
      <c r="G15" s="39">
        <v>0.13650000000000001</v>
      </c>
      <c r="H15" s="39">
        <v>0.41649999999999998</v>
      </c>
      <c r="I15" s="39"/>
      <c r="J15" s="39"/>
      <c r="K15" s="38"/>
      <c r="L15" s="39">
        <v>0.36049999999999999</v>
      </c>
      <c r="M15" s="34"/>
      <c r="N15" s="34">
        <f t="shared" si="0"/>
        <v>0.36049999999999999</v>
      </c>
    </row>
    <row r="16" spans="1:14">
      <c r="A16" s="3" t="s">
        <v>204</v>
      </c>
      <c r="B16" s="3" t="s">
        <v>683</v>
      </c>
      <c r="C16" s="3" t="s">
        <v>684</v>
      </c>
      <c r="D16" s="9">
        <v>2039</v>
      </c>
      <c r="E16" s="3" t="s">
        <v>686</v>
      </c>
      <c r="F16" s="39">
        <v>9.4852976806097097E-2</v>
      </c>
      <c r="G16" s="39">
        <v>0.13650000000000001</v>
      </c>
      <c r="H16" s="39">
        <v>0.41649999999999998</v>
      </c>
      <c r="I16" s="39"/>
      <c r="J16" s="39"/>
      <c r="K16" s="38"/>
      <c r="L16" s="39">
        <v>0.38850000000000001</v>
      </c>
      <c r="M16" s="34"/>
      <c r="N16" s="34">
        <f t="shared" si="0"/>
        <v>0.38850000000000001</v>
      </c>
    </row>
    <row r="17" spans="1:14">
      <c r="A17" s="3" t="s">
        <v>204</v>
      </c>
      <c r="B17" s="3" t="s">
        <v>683</v>
      </c>
      <c r="C17" s="3" t="s">
        <v>684</v>
      </c>
      <c r="D17" s="9">
        <v>2040</v>
      </c>
      <c r="E17" s="3" t="s">
        <v>686</v>
      </c>
      <c r="F17" s="39">
        <v>9.4852976806097097E-2</v>
      </c>
      <c r="G17" s="39">
        <v>0.13650000000000001</v>
      </c>
      <c r="H17" s="39">
        <v>0.41649999999999998</v>
      </c>
      <c r="I17" s="39">
        <v>0.34300000000000003</v>
      </c>
      <c r="J17" s="39">
        <v>0.14699999999999999</v>
      </c>
      <c r="K17" s="38">
        <v>0.5</v>
      </c>
      <c r="L17" s="39">
        <v>0.41649999999999998</v>
      </c>
      <c r="M17" s="34">
        <f>I17+Cascade_Assumptions!$B$11*J17</f>
        <v>0.41650000000000004</v>
      </c>
      <c r="N17" s="34">
        <f t="shared" si="0"/>
        <v>0.41649999999999998</v>
      </c>
    </row>
    <row r="18" spans="1:14">
      <c r="A18" s="3" t="s">
        <v>204</v>
      </c>
      <c r="B18" s="3" t="s">
        <v>683</v>
      </c>
      <c r="C18" s="3" t="s">
        <v>684</v>
      </c>
      <c r="D18" s="9">
        <v>2041</v>
      </c>
      <c r="E18" s="3" t="s">
        <v>687</v>
      </c>
      <c r="F18" s="39">
        <v>9.4852976806097097E-2</v>
      </c>
      <c r="G18" s="39">
        <v>0.13650000000000001</v>
      </c>
      <c r="H18" s="39">
        <v>0.41649999999999998</v>
      </c>
      <c r="I18" s="39"/>
      <c r="J18" s="39"/>
      <c r="K18" s="38"/>
      <c r="L18" s="39">
        <v>0.41649999999999998</v>
      </c>
      <c r="M18" s="34"/>
      <c r="N18" s="34">
        <f t="shared" si="0"/>
        <v>0.41649999999999998</v>
      </c>
    </row>
    <row r="19" spans="1:14">
      <c r="A19" s="3" t="s">
        <v>204</v>
      </c>
      <c r="B19" s="3" t="s">
        <v>683</v>
      </c>
      <c r="C19" s="3" t="s">
        <v>684</v>
      </c>
      <c r="D19" s="9">
        <v>2042</v>
      </c>
      <c r="E19" s="3" t="s">
        <v>687</v>
      </c>
      <c r="F19" s="39">
        <v>9.4852976806097097E-2</v>
      </c>
      <c r="G19" s="39">
        <v>0.13650000000000001</v>
      </c>
      <c r="H19" s="39">
        <v>0.41649999999999998</v>
      </c>
      <c r="I19" s="39"/>
      <c r="J19" s="39"/>
      <c r="K19" s="38"/>
      <c r="L19" s="39">
        <v>0.41649999999999998</v>
      </c>
      <c r="M19" s="34"/>
      <c r="N19" s="34">
        <f t="shared" si="0"/>
        <v>0.41649999999999998</v>
      </c>
    </row>
    <row r="20" spans="1:14">
      <c r="A20" s="3" t="s">
        <v>204</v>
      </c>
      <c r="B20" s="3" t="s">
        <v>683</v>
      </c>
      <c r="C20" s="3" t="s">
        <v>684</v>
      </c>
      <c r="D20" s="9">
        <v>2043</v>
      </c>
      <c r="E20" s="3" t="s">
        <v>687</v>
      </c>
      <c r="F20" s="39">
        <v>9.4852976806097097E-2</v>
      </c>
      <c r="G20" s="39">
        <v>0.13650000000000001</v>
      </c>
      <c r="H20" s="39">
        <v>0.41649999999999998</v>
      </c>
      <c r="I20" s="39"/>
      <c r="J20" s="39"/>
      <c r="K20" s="38"/>
      <c r="L20" s="39">
        <v>0.41649999999999998</v>
      </c>
      <c r="M20" s="34"/>
      <c r="N20" s="34">
        <f t="shared" si="0"/>
        <v>0.41649999999999998</v>
      </c>
    </row>
    <row r="21" spans="1:14">
      <c r="A21" s="3" t="s">
        <v>204</v>
      </c>
      <c r="B21" s="3" t="s">
        <v>683</v>
      </c>
      <c r="C21" s="3" t="s">
        <v>684</v>
      </c>
      <c r="D21" s="9">
        <v>2044</v>
      </c>
      <c r="E21" s="3" t="s">
        <v>687</v>
      </c>
      <c r="F21" s="39">
        <v>9.4852976806097097E-2</v>
      </c>
      <c r="G21" s="39">
        <v>0.13650000000000001</v>
      </c>
      <c r="H21" s="39">
        <v>0.41649999999999998</v>
      </c>
      <c r="I21" s="39"/>
      <c r="J21" s="39"/>
      <c r="K21" s="38"/>
      <c r="L21" s="39">
        <v>0.41649999999999998</v>
      </c>
      <c r="M21" s="34"/>
      <c r="N21" s="34">
        <f t="shared" si="0"/>
        <v>0.41649999999999998</v>
      </c>
    </row>
    <row r="22" spans="1:14">
      <c r="A22" s="3" t="s">
        <v>204</v>
      </c>
      <c r="B22" s="3" t="s">
        <v>683</v>
      </c>
      <c r="C22" s="3" t="s">
        <v>684</v>
      </c>
      <c r="D22" s="9">
        <v>2045</v>
      </c>
      <c r="E22" s="3" t="s">
        <v>687</v>
      </c>
      <c r="F22" s="39">
        <v>9.4852976806097097E-2</v>
      </c>
      <c r="G22" s="39">
        <v>0.13650000000000001</v>
      </c>
      <c r="H22" s="39">
        <v>0.41649999999999998</v>
      </c>
      <c r="I22" s="39"/>
      <c r="J22" s="39"/>
      <c r="K22" s="38"/>
      <c r="L22" s="39">
        <v>0.41649999999999998</v>
      </c>
      <c r="M22" s="34"/>
      <c r="N22" s="34">
        <f t="shared" si="0"/>
        <v>0.41649999999999998</v>
      </c>
    </row>
    <row r="23" spans="1:14">
      <c r="A23" s="3" t="s">
        <v>204</v>
      </c>
      <c r="B23" s="3" t="s">
        <v>683</v>
      </c>
      <c r="C23" s="3" t="s">
        <v>684</v>
      </c>
      <c r="D23" s="9">
        <v>2046</v>
      </c>
      <c r="E23" s="3" t="s">
        <v>687</v>
      </c>
      <c r="F23" s="39">
        <v>9.4852976806097097E-2</v>
      </c>
      <c r="G23" s="39">
        <v>0.13650000000000001</v>
      </c>
      <c r="H23" s="39">
        <v>0.41649999999999998</v>
      </c>
      <c r="I23" s="39"/>
      <c r="J23" s="39"/>
      <c r="K23" s="38"/>
      <c r="L23" s="39">
        <v>0.41649999999999998</v>
      </c>
      <c r="M23" s="34"/>
      <c r="N23" s="34">
        <f t="shared" si="0"/>
        <v>0.41649999999999998</v>
      </c>
    </row>
    <row r="24" spans="1:14">
      <c r="A24" s="3" t="s">
        <v>204</v>
      </c>
      <c r="B24" s="3" t="s">
        <v>683</v>
      </c>
      <c r="C24" s="3" t="s">
        <v>684</v>
      </c>
      <c r="D24" s="9">
        <v>2047</v>
      </c>
      <c r="E24" s="3" t="s">
        <v>687</v>
      </c>
      <c r="F24" s="39">
        <v>9.4852976806097097E-2</v>
      </c>
      <c r="G24" s="39">
        <v>0.13650000000000001</v>
      </c>
      <c r="H24" s="39">
        <v>0.41649999999999998</v>
      </c>
      <c r="I24" s="39"/>
      <c r="J24" s="39"/>
      <c r="K24" s="38"/>
      <c r="L24" s="39">
        <v>0.41649999999999998</v>
      </c>
      <c r="M24" s="34"/>
      <c r="N24" s="34">
        <f t="shared" si="0"/>
        <v>0.41649999999999998</v>
      </c>
    </row>
    <row r="25" spans="1:14">
      <c r="A25" s="3" t="s">
        <v>204</v>
      </c>
      <c r="B25" s="3" t="s">
        <v>683</v>
      </c>
      <c r="C25" s="3" t="s">
        <v>684</v>
      </c>
      <c r="D25" s="9">
        <v>2048</v>
      </c>
      <c r="E25" s="3" t="s">
        <v>687</v>
      </c>
      <c r="F25" s="39">
        <v>9.4852976806097097E-2</v>
      </c>
      <c r="G25" s="39">
        <v>0.13650000000000001</v>
      </c>
      <c r="H25" s="39">
        <v>0.41649999999999998</v>
      </c>
      <c r="I25" s="39"/>
      <c r="J25" s="39"/>
      <c r="K25" s="38"/>
      <c r="L25" s="39">
        <v>0.41649999999999998</v>
      </c>
      <c r="M25" s="34"/>
      <c r="N25" s="34">
        <f t="shared" si="0"/>
        <v>0.41649999999999998</v>
      </c>
    </row>
    <row r="26" spans="1:14">
      <c r="A26" s="3" t="s">
        <v>204</v>
      </c>
      <c r="B26" s="3" t="s">
        <v>683</v>
      </c>
      <c r="C26" s="3" t="s">
        <v>684</v>
      </c>
      <c r="D26" s="9">
        <v>2049</v>
      </c>
      <c r="E26" s="3" t="s">
        <v>687</v>
      </c>
      <c r="F26" s="39">
        <v>9.4852976806097097E-2</v>
      </c>
      <c r="G26" s="39">
        <v>0.13650000000000001</v>
      </c>
      <c r="H26" s="39">
        <v>0.41649999999999998</v>
      </c>
      <c r="I26" s="39"/>
      <c r="J26" s="39"/>
      <c r="K26" s="38"/>
      <c r="L26" s="39">
        <v>0.41649999999999998</v>
      </c>
      <c r="M26" s="34"/>
      <c r="N26" s="34">
        <f t="shared" si="0"/>
        <v>0.41649999999999998</v>
      </c>
    </row>
    <row r="27" spans="1:14">
      <c r="A27" s="3" t="s">
        <v>204</v>
      </c>
      <c r="B27" s="3" t="s">
        <v>683</v>
      </c>
      <c r="C27" s="3" t="s">
        <v>684</v>
      </c>
      <c r="D27" s="9">
        <v>2050</v>
      </c>
      <c r="E27" s="3" t="s">
        <v>687</v>
      </c>
      <c r="F27" s="39">
        <v>9.4852976806097097E-2</v>
      </c>
      <c r="G27" s="39">
        <v>0.13650000000000001</v>
      </c>
      <c r="H27" s="39">
        <v>0.41649999999999998</v>
      </c>
      <c r="I27" s="39"/>
      <c r="J27" s="39"/>
      <c r="K27" s="38"/>
      <c r="L27" s="39">
        <v>0.41649999999999998</v>
      </c>
      <c r="M27" s="34"/>
      <c r="N27" s="34">
        <f t="shared" si="0"/>
        <v>0.41649999999999998</v>
      </c>
    </row>
    <row r="28" spans="1:14">
      <c r="A28" s="3" t="s">
        <v>204</v>
      </c>
      <c r="B28" s="3" t="s">
        <v>683</v>
      </c>
      <c r="C28" s="3" t="s">
        <v>688</v>
      </c>
      <c r="D28" s="9">
        <v>2025</v>
      </c>
      <c r="E28" s="3" t="s">
        <v>685</v>
      </c>
      <c r="F28" s="39">
        <v>0.13268073793971499</v>
      </c>
      <c r="G28" s="39">
        <v>0.13650000000000001</v>
      </c>
      <c r="H28" s="39">
        <v>0.41649999999999998</v>
      </c>
      <c r="I28" s="39">
        <v>5.12143938690846E-2</v>
      </c>
      <c r="J28" s="39">
        <v>0.162932688141261</v>
      </c>
      <c r="K28" s="38">
        <v>0.5</v>
      </c>
      <c r="L28" s="39">
        <v>0.13268073793971499</v>
      </c>
      <c r="M28" s="34">
        <f>I28+Cascade_Assumptions!$B$11*J28</f>
        <v>0.1326807379397151</v>
      </c>
      <c r="N28" s="34">
        <f t="shared" si="0"/>
        <v>0.13268073793971499</v>
      </c>
    </row>
    <row r="29" spans="1:14">
      <c r="A29" s="3" t="s">
        <v>204</v>
      </c>
      <c r="B29" s="3" t="s">
        <v>683</v>
      </c>
      <c r="C29" s="3" t="s">
        <v>688</v>
      </c>
      <c r="D29" s="9">
        <v>2026</v>
      </c>
      <c r="E29" s="3" t="s">
        <v>685</v>
      </c>
      <c r="F29" s="39">
        <v>0.13268073793971499</v>
      </c>
      <c r="G29" s="39">
        <v>0.13650000000000001</v>
      </c>
      <c r="H29" s="39">
        <v>0.41649999999999998</v>
      </c>
      <c r="I29" s="39"/>
      <c r="J29" s="39"/>
      <c r="K29" s="38"/>
      <c r="L29" s="39">
        <v>0.133444590351772</v>
      </c>
      <c r="M29" s="34"/>
      <c r="N29" s="34">
        <f t="shared" si="0"/>
        <v>0.133444590351772</v>
      </c>
    </row>
    <row r="30" spans="1:14">
      <c r="A30" s="3" t="s">
        <v>204</v>
      </c>
      <c r="B30" s="3" t="s">
        <v>683</v>
      </c>
      <c r="C30" s="3" t="s">
        <v>688</v>
      </c>
      <c r="D30" s="9">
        <v>2027</v>
      </c>
      <c r="E30" s="3" t="s">
        <v>685</v>
      </c>
      <c r="F30" s="39">
        <v>0.13268073793971499</v>
      </c>
      <c r="G30" s="39">
        <v>0.13650000000000001</v>
      </c>
      <c r="H30" s="39">
        <v>0.41649999999999998</v>
      </c>
      <c r="I30" s="39"/>
      <c r="J30" s="39"/>
      <c r="K30" s="38"/>
      <c r="L30" s="39">
        <v>0.13420844276382901</v>
      </c>
      <c r="M30" s="34"/>
      <c r="N30" s="34">
        <f t="shared" si="0"/>
        <v>0.13420844276382901</v>
      </c>
    </row>
    <row r="31" spans="1:14">
      <c r="A31" s="3" t="s">
        <v>204</v>
      </c>
      <c r="B31" s="3" t="s">
        <v>683</v>
      </c>
      <c r="C31" s="3" t="s">
        <v>688</v>
      </c>
      <c r="D31" s="9">
        <v>2028</v>
      </c>
      <c r="E31" s="3" t="s">
        <v>685</v>
      </c>
      <c r="F31" s="39">
        <v>0.13268073793971499</v>
      </c>
      <c r="G31" s="39">
        <v>0.13650000000000001</v>
      </c>
      <c r="H31" s="39">
        <v>0.41649999999999998</v>
      </c>
      <c r="I31" s="39"/>
      <c r="J31" s="39"/>
      <c r="K31" s="38"/>
      <c r="L31" s="39">
        <v>0.13497229517588599</v>
      </c>
      <c r="M31" s="34"/>
      <c r="N31" s="34">
        <f t="shared" si="0"/>
        <v>0.13497229517588599</v>
      </c>
    </row>
    <row r="32" spans="1:14">
      <c r="A32" s="3" t="s">
        <v>204</v>
      </c>
      <c r="B32" s="3" t="s">
        <v>683</v>
      </c>
      <c r="C32" s="3" t="s">
        <v>688</v>
      </c>
      <c r="D32" s="9">
        <v>2029</v>
      </c>
      <c r="E32" s="3" t="s">
        <v>685</v>
      </c>
      <c r="F32" s="39">
        <v>0.13268073793971499</v>
      </c>
      <c r="G32" s="39">
        <v>0.13650000000000001</v>
      </c>
      <c r="H32" s="39">
        <v>0.41649999999999998</v>
      </c>
      <c r="I32" s="39"/>
      <c r="J32" s="39"/>
      <c r="K32" s="38"/>
      <c r="L32" s="39">
        <v>0.135736147587943</v>
      </c>
      <c r="M32" s="34"/>
      <c r="N32" s="34">
        <f t="shared" si="0"/>
        <v>0.135736147587943</v>
      </c>
    </row>
    <row r="33" spans="1:14">
      <c r="A33" s="3" t="s">
        <v>204</v>
      </c>
      <c r="B33" s="3" t="s">
        <v>683</v>
      </c>
      <c r="C33" s="3" t="s">
        <v>688</v>
      </c>
      <c r="D33" s="9">
        <v>2030</v>
      </c>
      <c r="E33" s="3" t="s">
        <v>685</v>
      </c>
      <c r="F33" s="39">
        <v>0.13268073793971499</v>
      </c>
      <c r="G33" s="39">
        <v>0.13650000000000001</v>
      </c>
      <c r="H33" s="39">
        <v>0.41649999999999998</v>
      </c>
      <c r="I33" s="39">
        <v>6.3E-2</v>
      </c>
      <c r="J33" s="39">
        <v>0.14699999999999999</v>
      </c>
      <c r="K33" s="38">
        <v>0.5</v>
      </c>
      <c r="L33" s="39">
        <v>0.13650000000000001</v>
      </c>
      <c r="M33" s="34">
        <f>I33+Cascade_Assumptions!$B$11*J33</f>
        <v>0.13650000000000001</v>
      </c>
      <c r="N33" s="34">
        <f t="shared" si="0"/>
        <v>0.13650000000000001</v>
      </c>
    </row>
    <row r="34" spans="1:14">
      <c r="A34" s="3" t="s">
        <v>204</v>
      </c>
      <c r="B34" s="3" t="s">
        <v>683</v>
      </c>
      <c r="C34" s="3" t="s">
        <v>688</v>
      </c>
      <c r="D34" s="9">
        <v>2031</v>
      </c>
      <c r="E34" s="3" t="s">
        <v>686</v>
      </c>
      <c r="F34" s="39">
        <v>0.13268073793971499</v>
      </c>
      <c r="G34" s="39">
        <v>0.13650000000000001</v>
      </c>
      <c r="H34" s="39">
        <v>0.41649999999999998</v>
      </c>
      <c r="I34" s="39"/>
      <c r="J34" s="39"/>
      <c r="K34" s="38"/>
      <c r="L34" s="39">
        <v>0.16450000000000001</v>
      </c>
      <c r="M34" s="34"/>
      <c r="N34" s="34">
        <f t="shared" ref="N34:N65" si="1">L34</f>
        <v>0.16450000000000001</v>
      </c>
    </row>
    <row r="35" spans="1:14">
      <c r="A35" s="3" t="s">
        <v>204</v>
      </c>
      <c r="B35" s="3" t="s">
        <v>683</v>
      </c>
      <c r="C35" s="3" t="s">
        <v>688</v>
      </c>
      <c r="D35" s="9">
        <v>2032</v>
      </c>
      <c r="E35" s="3" t="s">
        <v>686</v>
      </c>
      <c r="F35" s="39">
        <v>0.13268073793971499</v>
      </c>
      <c r="G35" s="39">
        <v>0.13650000000000001</v>
      </c>
      <c r="H35" s="39">
        <v>0.41649999999999998</v>
      </c>
      <c r="I35" s="39"/>
      <c r="J35" s="39"/>
      <c r="K35" s="38"/>
      <c r="L35" s="39">
        <v>0.1925</v>
      </c>
      <c r="M35" s="34"/>
      <c r="N35" s="34">
        <f t="shared" si="1"/>
        <v>0.1925</v>
      </c>
    </row>
    <row r="36" spans="1:14">
      <c r="A36" s="3" t="s">
        <v>204</v>
      </c>
      <c r="B36" s="3" t="s">
        <v>683</v>
      </c>
      <c r="C36" s="3" t="s">
        <v>688</v>
      </c>
      <c r="D36" s="9">
        <v>2033</v>
      </c>
      <c r="E36" s="3" t="s">
        <v>686</v>
      </c>
      <c r="F36" s="39">
        <v>0.13268073793971499</v>
      </c>
      <c r="G36" s="39">
        <v>0.13650000000000001</v>
      </c>
      <c r="H36" s="39">
        <v>0.41649999999999998</v>
      </c>
      <c r="I36" s="39"/>
      <c r="J36" s="39"/>
      <c r="K36" s="38"/>
      <c r="L36" s="39">
        <v>0.2205</v>
      </c>
      <c r="M36" s="34"/>
      <c r="N36" s="34">
        <f t="shared" si="1"/>
        <v>0.2205</v>
      </c>
    </row>
    <row r="37" spans="1:14">
      <c r="A37" s="3" t="s">
        <v>204</v>
      </c>
      <c r="B37" s="3" t="s">
        <v>683</v>
      </c>
      <c r="C37" s="3" t="s">
        <v>688</v>
      </c>
      <c r="D37" s="9">
        <v>2034</v>
      </c>
      <c r="E37" s="3" t="s">
        <v>686</v>
      </c>
      <c r="F37" s="39">
        <v>0.13268073793971499</v>
      </c>
      <c r="G37" s="39">
        <v>0.13650000000000001</v>
      </c>
      <c r="H37" s="39">
        <v>0.41649999999999998</v>
      </c>
      <c r="I37" s="39"/>
      <c r="J37" s="39"/>
      <c r="K37" s="38"/>
      <c r="L37" s="39">
        <v>0.2485</v>
      </c>
      <c r="M37" s="34"/>
      <c r="N37" s="34">
        <f t="shared" si="1"/>
        <v>0.2485</v>
      </c>
    </row>
    <row r="38" spans="1:14">
      <c r="A38" s="3" t="s">
        <v>204</v>
      </c>
      <c r="B38" s="3" t="s">
        <v>683</v>
      </c>
      <c r="C38" s="3" t="s">
        <v>688</v>
      </c>
      <c r="D38" s="9">
        <v>2035</v>
      </c>
      <c r="E38" s="3" t="s">
        <v>686</v>
      </c>
      <c r="F38" s="39">
        <v>0.13268073793971499</v>
      </c>
      <c r="G38" s="39">
        <v>0.13650000000000001</v>
      </c>
      <c r="H38" s="39">
        <v>0.41649999999999998</v>
      </c>
      <c r="I38" s="39"/>
      <c r="J38" s="39"/>
      <c r="K38" s="38"/>
      <c r="L38" s="39">
        <v>0.27650000000000002</v>
      </c>
      <c r="M38" s="34"/>
      <c r="N38" s="34">
        <f t="shared" si="1"/>
        <v>0.27650000000000002</v>
      </c>
    </row>
    <row r="39" spans="1:14">
      <c r="A39" s="3" t="s">
        <v>204</v>
      </c>
      <c r="B39" s="3" t="s">
        <v>683</v>
      </c>
      <c r="C39" s="3" t="s">
        <v>688</v>
      </c>
      <c r="D39" s="9">
        <v>2036</v>
      </c>
      <c r="E39" s="3" t="s">
        <v>686</v>
      </c>
      <c r="F39" s="39">
        <v>0.13268073793971499</v>
      </c>
      <c r="G39" s="39">
        <v>0.13650000000000001</v>
      </c>
      <c r="H39" s="39">
        <v>0.41649999999999998</v>
      </c>
      <c r="I39" s="39"/>
      <c r="J39" s="39"/>
      <c r="K39" s="38"/>
      <c r="L39" s="39">
        <v>0.30449999999999999</v>
      </c>
      <c r="M39" s="34"/>
      <c r="N39" s="34">
        <f t="shared" si="1"/>
        <v>0.30449999999999999</v>
      </c>
    </row>
    <row r="40" spans="1:14">
      <c r="A40" s="3" t="s">
        <v>204</v>
      </c>
      <c r="B40" s="3" t="s">
        <v>683</v>
      </c>
      <c r="C40" s="3" t="s">
        <v>688</v>
      </c>
      <c r="D40" s="9">
        <v>2037</v>
      </c>
      <c r="E40" s="3" t="s">
        <v>686</v>
      </c>
      <c r="F40" s="39">
        <v>0.13268073793971499</v>
      </c>
      <c r="G40" s="39">
        <v>0.13650000000000001</v>
      </c>
      <c r="H40" s="39">
        <v>0.41649999999999998</v>
      </c>
      <c r="I40" s="39"/>
      <c r="J40" s="39"/>
      <c r="K40" s="38"/>
      <c r="L40" s="39">
        <v>0.33250000000000002</v>
      </c>
      <c r="M40" s="34"/>
      <c r="N40" s="34">
        <f t="shared" si="1"/>
        <v>0.33250000000000002</v>
      </c>
    </row>
    <row r="41" spans="1:14">
      <c r="A41" s="3" t="s">
        <v>204</v>
      </c>
      <c r="B41" s="3" t="s">
        <v>683</v>
      </c>
      <c r="C41" s="3" t="s">
        <v>688</v>
      </c>
      <c r="D41" s="9">
        <v>2038</v>
      </c>
      <c r="E41" s="3" t="s">
        <v>686</v>
      </c>
      <c r="F41" s="39">
        <v>0.13268073793971499</v>
      </c>
      <c r="G41" s="39">
        <v>0.13650000000000001</v>
      </c>
      <c r="H41" s="39">
        <v>0.41649999999999998</v>
      </c>
      <c r="I41" s="39"/>
      <c r="J41" s="39"/>
      <c r="K41" s="38"/>
      <c r="L41" s="39">
        <v>0.36049999999999999</v>
      </c>
      <c r="M41" s="34"/>
      <c r="N41" s="34">
        <f t="shared" si="1"/>
        <v>0.36049999999999999</v>
      </c>
    </row>
    <row r="42" spans="1:14">
      <c r="A42" s="3" t="s">
        <v>204</v>
      </c>
      <c r="B42" s="3" t="s">
        <v>683</v>
      </c>
      <c r="C42" s="3" t="s">
        <v>688</v>
      </c>
      <c r="D42" s="9">
        <v>2039</v>
      </c>
      <c r="E42" s="3" t="s">
        <v>686</v>
      </c>
      <c r="F42" s="39">
        <v>0.13268073793971499</v>
      </c>
      <c r="G42" s="39">
        <v>0.13650000000000001</v>
      </c>
      <c r="H42" s="39">
        <v>0.41649999999999998</v>
      </c>
      <c r="I42" s="39"/>
      <c r="J42" s="39"/>
      <c r="K42" s="38"/>
      <c r="L42" s="39">
        <v>0.38850000000000001</v>
      </c>
      <c r="M42" s="34"/>
      <c r="N42" s="34">
        <f t="shared" si="1"/>
        <v>0.38850000000000001</v>
      </c>
    </row>
    <row r="43" spans="1:14">
      <c r="A43" s="3" t="s">
        <v>204</v>
      </c>
      <c r="B43" s="3" t="s">
        <v>683</v>
      </c>
      <c r="C43" s="3" t="s">
        <v>688</v>
      </c>
      <c r="D43" s="9">
        <v>2040</v>
      </c>
      <c r="E43" s="3" t="s">
        <v>686</v>
      </c>
      <c r="F43" s="39">
        <v>0.13268073793971499</v>
      </c>
      <c r="G43" s="39">
        <v>0.13650000000000001</v>
      </c>
      <c r="H43" s="39">
        <v>0.41649999999999998</v>
      </c>
      <c r="I43" s="39">
        <v>0.34300000000000003</v>
      </c>
      <c r="J43" s="39">
        <v>0.14699999999999999</v>
      </c>
      <c r="K43" s="38">
        <v>0.5</v>
      </c>
      <c r="L43" s="39">
        <v>0.41649999999999998</v>
      </c>
      <c r="M43" s="34">
        <f>I43+Cascade_Assumptions!$B$11*J43</f>
        <v>0.41650000000000004</v>
      </c>
      <c r="N43" s="34">
        <f t="shared" si="1"/>
        <v>0.41649999999999998</v>
      </c>
    </row>
    <row r="44" spans="1:14">
      <c r="A44" s="3" t="s">
        <v>204</v>
      </c>
      <c r="B44" s="3" t="s">
        <v>683</v>
      </c>
      <c r="C44" s="3" t="s">
        <v>688</v>
      </c>
      <c r="D44" s="9">
        <v>2041</v>
      </c>
      <c r="E44" s="3" t="s">
        <v>687</v>
      </c>
      <c r="F44" s="39">
        <v>0.13268073793971499</v>
      </c>
      <c r="G44" s="39">
        <v>0.13650000000000001</v>
      </c>
      <c r="H44" s="39">
        <v>0.41649999999999998</v>
      </c>
      <c r="I44" s="39"/>
      <c r="J44" s="39"/>
      <c r="K44" s="38"/>
      <c r="L44" s="39">
        <v>0.41649999999999998</v>
      </c>
      <c r="M44" s="34"/>
      <c r="N44" s="34">
        <f t="shared" si="1"/>
        <v>0.41649999999999998</v>
      </c>
    </row>
    <row r="45" spans="1:14">
      <c r="A45" s="3" t="s">
        <v>204</v>
      </c>
      <c r="B45" s="3" t="s">
        <v>683</v>
      </c>
      <c r="C45" s="3" t="s">
        <v>688</v>
      </c>
      <c r="D45" s="9">
        <v>2042</v>
      </c>
      <c r="E45" s="3" t="s">
        <v>687</v>
      </c>
      <c r="F45" s="39">
        <v>0.13268073793971499</v>
      </c>
      <c r="G45" s="39">
        <v>0.13650000000000001</v>
      </c>
      <c r="H45" s="39">
        <v>0.41649999999999998</v>
      </c>
      <c r="I45" s="39"/>
      <c r="J45" s="39"/>
      <c r="K45" s="38"/>
      <c r="L45" s="39">
        <v>0.41649999999999998</v>
      </c>
      <c r="M45" s="34"/>
      <c r="N45" s="34">
        <f t="shared" si="1"/>
        <v>0.41649999999999998</v>
      </c>
    </row>
    <row r="46" spans="1:14">
      <c r="A46" s="3" t="s">
        <v>204</v>
      </c>
      <c r="B46" s="3" t="s">
        <v>683</v>
      </c>
      <c r="C46" s="3" t="s">
        <v>688</v>
      </c>
      <c r="D46" s="9">
        <v>2043</v>
      </c>
      <c r="E46" s="3" t="s">
        <v>687</v>
      </c>
      <c r="F46" s="39">
        <v>0.13268073793971499</v>
      </c>
      <c r="G46" s="39">
        <v>0.13650000000000001</v>
      </c>
      <c r="H46" s="39">
        <v>0.41649999999999998</v>
      </c>
      <c r="I46" s="39"/>
      <c r="J46" s="39"/>
      <c r="K46" s="38"/>
      <c r="L46" s="39">
        <v>0.41649999999999998</v>
      </c>
      <c r="M46" s="34"/>
      <c r="N46" s="34">
        <f t="shared" si="1"/>
        <v>0.41649999999999998</v>
      </c>
    </row>
    <row r="47" spans="1:14">
      <c r="A47" s="3" t="s">
        <v>204</v>
      </c>
      <c r="B47" s="3" t="s">
        <v>683</v>
      </c>
      <c r="C47" s="3" t="s">
        <v>688</v>
      </c>
      <c r="D47" s="9">
        <v>2044</v>
      </c>
      <c r="E47" s="3" t="s">
        <v>687</v>
      </c>
      <c r="F47" s="39">
        <v>0.13268073793971499</v>
      </c>
      <c r="G47" s="39">
        <v>0.13650000000000001</v>
      </c>
      <c r="H47" s="39">
        <v>0.41649999999999998</v>
      </c>
      <c r="I47" s="39"/>
      <c r="J47" s="39"/>
      <c r="K47" s="38"/>
      <c r="L47" s="39">
        <v>0.41649999999999998</v>
      </c>
      <c r="M47" s="34"/>
      <c r="N47" s="34">
        <f t="shared" si="1"/>
        <v>0.41649999999999998</v>
      </c>
    </row>
    <row r="48" spans="1:14">
      <c r="A48" s="3" t="s">
        <v>204</v>
      </c>
      <c r="B48" s="3" t="s">
        <v>683</v>
      </c>
      <c r="C48" s="3" t="s">
        <v>688</v>
      </c>
      <c r="D48" s="9">
        <v>2045</v>
      </c>
      <c r="E48" s="3" t="s">
        <v>687</v>
      </c>
      <c r="F48" s="39">
        <v>0.13268073793971499</v>
      </c>
      <c r="G48" s="39">
        <v>0.13650000000000001</v>
      </c>
      <c r="H48" s="39">
        <v>0.41649999999999998</v>
      </c>
      <c r="I48" s="39"/>
      <c r="J48" s="39"/>
      <c r="K48" s="38"/>
      <c r="L48" s="39">
        <v>0.41649999999999998</v>
      </c>
      <c r="M48" s="34"/>
      <c r="N48" s="34">
        <f t="shared" si="1"/>
        <v>0.41649999999999998</v>
      </c>
    </row>
    <row r="49" spans="1:14">
      <c r="A49" s="3" t="s">
        <v>204</v>
      </c>
      <c r="B49" s="3" t="s">
        <v>683</v>
      </c>
      <c r="C49" s="3" t="s">
        <v>688</v>
      </c>
      <c r="D49" s="9">
        <v>2046</v>
      </c>
      <c r="E49" s="3" t="s">
        <v>687</v>
      </c>
      <c r="F49" s="39">
        <v>0.13268073793971499</v>
      </c>
      <c r="G49" s="39">
        <v>0.13650000000000001</v>
      </c>
      <c r="H49" s="39">
        <v>0.41649999999999998</v>
      </c>
      <c r="I49" s="39"/>
      <c r="J49" s="39"/>
      <c r="K49" s="38"/>
      <c r="L49" s="39">
        <v>0.41649999999999998</v>
      </c>
      <c r="M49" s="34"/>
      <c r="N49" s="34">
        <f t="shared" si="1"/>
        <v>0.41649999999999998</v>
      </c>
    </row>
    <row r="50" spans="1:14">
      <c r="A50" s="3" t="s">
        <v>204</v>
      </c>
      <c r="B50" s="3" t="s">
        <v>683</v>
      </c>
      <c r="C50" s="3" t="s">
        <v>688</v>
      </c>
      <c r="D50" s="9">
        <v>2047</v>
      </c>
      <c r="E50" s="3" t="s">
        <v>687</v>
      </c>
      <c r="F50" s="39">
        <v>0.13268073793971499</v>
      </c>
      <c r="G50" s="39">
        <v>0.13650000000000001</v>
      </c>
      <c r="H50" s="39">
        <v>0.41649999999999998</v>
      </c>
      <c r="I50" s="39"/>
      <c r="J50" s="39"/>
      <c r="K50" s="38"/>
      <c r="L50" s="39">
        <v>0.41649999999999998</v>
      </c>
      <c r="M50" s="34"/>
      <c r="N50" s="34">
        <f t="shared" si="1"/>
        <v>0.41649999999999998</v>
      </c>
    </row>
    <row r="51" spans="1:14">
      <c r="A51" s="3" t="s">
        <v>204</v>
      </c>
      <c r="B51" s="3" t="s">
        <v>683</v>
      </c>
      <c r="C51" s="3" t="s">
        <v>688</v>
      </c>
      <c r="D51" s="9">
        <v>2048</v>
      </c>
      <c r="E51" s="3" t="s">
        <v>687</v>
      </c>
      <c r="F51" s="39">
        <v>0.13268073793971499</v>
      </c>
      <c r="G51" s="39">
        <v>0.13650000000000001</v>
      </c>
      <c r="H51" s="39">
        <v>0.41649999999999998</v>
      </c>
      <c r="I51" s="39"/>
      <c r="J51" s="39"/>
      <c r="K51" s="38"/>
      <c r="L51" s="39">
        <v>0.41649999999999998</v>
      </c>
      <c r="M51" s="34"/>
      <c r="N51" s="34">
        <f t="shared" si="1"/>
        <v>0.41649999999999998</v>
      </c>
    </row>
    <row r="52" spans="1:14">
      <c r="A52" s="3" t="s">
        <v>204</v>
      </c>
      <c r="B52" s="3" t="s">
        <v>683</v>
      </c>
      <c r="C52" s="3" t="s">
        <v>688</v>
      </c>
      <c r="D52" s="9">
        <v>2049</v>
      </c>
      <c r="E52" s="3" t="s">
        <v>687</v>
      </c>
      <c r="F52" s="39">
        <v>0.13268073793971499</v>
      </c>
      <c r="G52" s="39">
        <v>0.13650000000000001</v>
      </c>
      <c r="H52" s="39">
        <v>0.41649999999999998</v>
      </c>
      <c r="I52" s="39"/>
      <c r="J52" s="39"/>
      <c r="K52" s="38"/>
      <c r="L52" s="39">
        <v>0.41649999999999998</v>
      </c>
      <c r="M52" s="34"/>
      <c r="N52" s="34">
        <f t="shared" si="1"/>
        <v>0.41649999999999998</v>
      </c>
    </row>
    <row r="53" spans="1:14">
      <c r="A53" s="3" t="s">
        <v>204</v>
      </c>
      <c r="B53" s="3" t="s">
        <v>683</v>
      </c>
      <c r="C53" s="3" t="s">
        <v>688</v>
      </c>
      <c r="D53" s="9">
        <v>2050</v>
      </c>
      <c r="E53" s="3" t="s">
        <v>687</v>
      </c>
      <c r="F53" s="39">
        <v>0.13268073793971499</v>
      </c>
      <c r="G53" s="39">
        <v>0.13650000000000001</v>
      </c>
      <c r="H53" s="39">
        <v>0.41649999999999998</v>
      </c>
      <c r="I53" s="39"/>
      <c r="J53" s="39"/>
      <c r="K53" s="38"/>
      <c r="L53" s="39">
        <v>0.41649999999999998</v>
      </c>
      <c r="M53" s="34"/>
      <c r="N53" s="34">
        <f t="shared" si="1"/>
        <v>0.41649999999999998</v>
      </c>
    </row>
    <row r="54" spans="1:14">
      <c r="A54" s="3" t="s">
        <v>229</v>
      </c>
      <c r="B54" s="3" t="s">
        <v>689</v>
      </c>
      <c r="C54" s="3" t="s">
        <v>684</v>
      </c>
      <c r="D54" s="9">
        <v>2025</v>
      </c>
      <c r="E54" s="3" t="s">
        <v>685</v>
      </c>
      <c r="F54" s="39">
        <v>0.13031152777518101</v>
      </c>
      <c r="G54" s="39">
        <v>0.13650000000000001</v>
      </c>
      <c r="H54" s="39">
        <v>0.41649999999999998</v>
      </c>
      <c r="I54" s="39">
        <v>6.6433327885386598E-2</v>
      </c>
      <c r="J54" s="39">
        <v>0.127756399779589</v>
      </c>
      <c r="K54" s="38">
        <v>0.5</v>
      </c>
      <c r="L54" s="39">
        <v>0.13031152777518101</v>
      </c>
      <c r="M54" s="34">
        <f>I54+Cascade_Assumptions!$B$11*J54</f>
        <v>0.1303115277751811</v>
      </c>
      <c r="N54" s="34">
        <f t="shared" si="1"/>
        <v>0.13031152777518101</v>
      </c>
    </row>
    <row r="55" spans="1:14">
      <c r="A55" s="3" t="s">
        <v>229</v>
      </c>
      <c r="B55" s="3" t="s">
        <v>689</v>
      </c>
      <c r="C55" s="3" t="s">
        <v>684</v>
      </c>
      <c r="D55" s="9">
        <v>2026</v>
      </c>
      <c r="E55" s="3" t="s">
        <v>685</v>
      </c>
      <c r="F55" s="39">
        <v>0.13031152777518101</v>
      </c>
      <c r="G55" s="39">
        <v>0.13650000000000001</v>
      </c>
      <c r="H55" s="39">
        <v>0.41649999999999998</v>
      </c>
      <c r="I55" s="39"/>
      <c r="J55" s="39"/>
      <c r="K55" s="38"/>
      <c r="L55" s="39">
        <v>0.13154922222014501</v>
      </c>
      <c r="M55" s="34"/>
      <c r="N55" s="34">
        <f t="shared" si="1"/>
        <v>0.13154922222014501</v>
      </c>
    </row>
    <row r="56" spans="1:14">
      <c r="A56" s="3" t="s">
        <v>229</v>
      </c>
      <c r="B56" s="3" t="s">
        <v>689</v>
      </c>
      <c r="C56" s="3" t="s">
        <v>684</v>
      </c>
      <c r="D56" s="9">
        <v>2027</v>
      </c>
      <c r="E56" s="3" t="s">
        <v>685</v>
      </c>
      <c r="F56" s="39">
        <v>0.13031152777518101</v>
      </c>
      <c r="G56" s="39">
        <v>0.13650000000000001</v>
      </c>
      <c r="H56" s="39">
        <v>0.41649999999999998</v>
      </c>
      <c r="I56" s="39"/>
      <c r="J56" s="39"/>
      <c r="K56" s="38"/>
      <c r="L56" s="39">
        <v>0.132786916665109</v>
      </c>
      <c r="M56" s="34"/>
      <c r="N56" s="34">
        <f t="shared" si="1"/>
        <v>0.132786916665109</v>
      </c>
    </row>
    <row r="57" spans="1:14">
      <c r="A57" s="3" t="s">
        <v>229</v>
      </c>
      <c r="B57" s="3" t="s">
        <v>689</v>
      </c>
      <c r="C57" s="3" t="s">
        <v>684</v>
      </c>
      <c r="D57" s="9">
        <v>2028</v>
      </c>
      <c r="E57" s="3" t="s">
        <v>685</v>
      </c>
      <c r="F57" s="39">
        <v>0.13031152777518101</v>
      </c>
      <c r="G57" s="39">
        <v>0.13650000000000001</v>
      </c>
      <c r="H57" s="39">
        <v>0.41649999999999998</v>
      </c>
      <c r="I57" s="39"/>
      <c r="J57" s="39"/>
      <c r="K57" s="38"/>
      <c r="L57" s="39">
        <v>0.13402461111007299</v>
      </c>
      <c r="M57" s="34"/>
      <c r="N57" s="34">
        <f t="shared" si="1"/>
        <v>0.13402461111007299</v>
      </c>
    </row>
    <row r="58" spans="1:14">
      <c r="A58" s="3" t="s">
        <v>229</v>
      </c>
      <c r="B58" s="3" t="s">
        <v>689</v>
      </c>
      <c r="C58" s="3" t="s">
        <v>684</v>
      </c>
      <c r="D58" s="9">
        <v>2029</v>
      </c>
      <c r="E58" s="3" t="s">
        <v>685</v>
      </c>
      <c r="F58" s="39">
        <v>0.13031152777518101</v>
      </c>
      <c r="G58" s="39">
        <v>0.13650000000000001</v>
      </c>
      <c r="H58" s="39">
        <v>0.41649999999999998</v>
      </c>
      <c r="I58" s="39"/>
      <c r="J58" s="39"/>
      <c r="K58" s="38"/>
      <c r="L58" s="39">
        <v>0.13526230555503599</v>
      </c>
      <c r="M58" s="34"/>
      <c r="N58" s="34">
        <f t="shared" si="1"/>
        <v>0.13526230555503599</v>
      </c>
    </row>
    <row r="59" spans="1:14">
      <c r="A59" s="3" t="s">
        <v>229</v>
      </c>
      <c r="B59" s="3" t="s">
        <v>689</v>
      </c>
      <c r="C59" s="3" t="s">
        <v>684</v>
      </c>
      <c r="D59" s="9">
        <v>2030</v>
      </c>
      <c r="E59" s="3" t="s">
        <v>685</v>
      </c>
      <c r="F59" s="39">
        <v>0.13031152777518101</v>
      </c>
      <c r="G59" s="39">
        <v>0.13650000000000001</v>
      </c>
      <c r="H59" s="39">
        <v>0.41649999999999998</v>
      </c>
      <c r="I59" s="39">
        <v>6.3E-2</v>
      </c>
      <c r="J59" s="39">
        <v>0.14699999999999999</v>
      </c>
      <c r="K59" s="38">
        <v>0.5</v>
      </c>
      <c r="L59" s="39">
        <v>0.13650000000000001</v>
      </c>
      <c r="M59" s="34">
        <f>I59+Cascade_Assumptions!$B$11*J59</f>
        <v>0.13650000000000001</v>
      </c>
      <c r="N59" s="34">
        <f t="shared" si="1"/>
        <v>0.13650000000000001</v>
      </c>
    </row>
    <row r="60" spans="1:14">
      <c r="A60" s="3" t="s">
        <v>229</v>
      </c>
      <c r="B60" s="3" t="s">
        <v>689</v>
      </c>
      <c r="C60" s="3" t="s">
        <v>684</v>
      </c>
      <c r="D60" s="9">
        <v>2031</v>
      </c>
      <c r="E60" s="3" t="s">
        <v>686</v>
      </c>
      <c r="F60" s="39">
        <v>0.13031152777518101</v>
      </c>
      <c r="G60" s="39">
        <v>0.13650000000000001</v>
      </c>
      <c r="H60" s="39">
        <v>0.41649999999999998</v>
      </c>
      <c r="I60" s="39"/>
      <c r="J60" s="39"/>
      <c r="K60" s="38"/>
      <c r="L60" s="39">
        <v>0.16450000000000001</v>
      </c>
      <c r="M60" s="34"/>
      <c r="N60" s="34">
        <f t="shared" si="1"/>
        <v>0.16450000000000001</v>
      </c>
    </row>
    <row r="61" spans="1:14">
      <c r="A61" s="3" t="s">
        <v>229</v>
      </c>
      <c r="B61" s="3" t="s">
        <v>689</v>
      </c>
      <c r="C61" s="3" t="s">
        <v>684</v>
      </c>
      <c r="D61" s="9">
        <v>2032</v>
      </c>
      <c r="E61" s="3" t="s">
        <v>686</v>
      </c>
      <c r="F61" s="39">
        <v>0.13031152777518101</v>
      </c>
      <c r="G61" s="39">
        <v>0.13650000000000001</v>
      </c>
      <c r="H61" s="39">
        <v>0.41649999999999998</v>
      </c>
      <c r="I61" s="39"/>
      <c r="J61" s="39"/>
      <c r="K61" s="38"/>
      <c r="L61" s="39">
        <v>0.1925</v>
      </c>
      <c r="M61" s="34"/>
      <c r="N61" s="34">
        <f t="shared" si="1"/>
        <v>0.1925</v>
      </c>
    </row>
    <row r="62" spans="1:14">
      <c r="A62" s="3" t="s">
        <v>229</v>
      </c>
      <c r="B62" s="3" t="s">
        <v>689</v>
      </c>
      <c r="C62" s="3" t="s">
        <v>684</v>
      </c>
      <c r="D62" s="9">
        <v>2033</v>
      </c>
      <c r="E62" s="3" t="s">
        <v>686</v>
      </c>
      <c r="F62" s="39">
        <v>0.13031152777518101</v>
      </c>
      <c r="G62" s="39">
        <v>0.13650000000000001</v>
      </c>
      <c r="H62" s="39">
        <v>0.41649999999999998</v>
      </c>
      <c r="I62" s="39"/>
      <c r="J62" s="39"/>
      <c r="K62" s="38"/>
      <c r="L62" s="39">
        <v>0.2205</v>
      </c>
      <c r="M62" s="34"/>
      <c r="N62" s="34">
        <f t="shared" si="1"/>
        <v>0.2205</v>
      </c>
    </row>
    <row r="63" spans="1:14">
      <c r="A63" s="3" t="s">
        <v>229</v>
      </c>
      <c r="B63" s="3" t="s">
        <v>689</v>
      </c>
      <c r="C63" s="3" t="s">
        <v>684</v>
      </c>
      <c r="D63" s="9">
        <v>2034</v>
      </c>
      <c r="E63" s="3" t="s">
        <v>686</v>
      </c>
      <c r="F63" s="39">
        <v>0.13031152777518101</v>
      </c>
      <c r="G63" s="39">
        <v>0.13650000000000001</v>
      </c>
      <c r="H63" s="39">
        <v>0.41649999999999998</v>
      </c>
      <c r="I63" s="39"/>
      <c r="J63" s="39"/>
      <c r="K63" s="38"/>
      <c r="L63" s="39">
        <v>0.2485</v>
      </c>
      <c r="M63" s="34"/>
      <c r="N63" s="34">
        <f t="shared" si="1"/>
        <v>0.2485</v>
      </c>
    </row>
    <row r="64" spans="1:14">
      <c r="A64" s="3" t="s">
        <v>229</v>
      </c>
      <c r="B64" s="3" t="s">
        <v>689</v>
      </c>
      <c r="C64" s="3" t="s">
        <v>684</v>
      </c>
      <c r="D64" s="9">
        <v>2035</v>
      </c>
      <c r="E64" s="3" t="s">
        <v>686</v>
      </c>
      <c r="F64" s="39">
        <v>0.13031152777518101</v>
      </c>
      <c r="G64" s="39">
        <v>0.13650000000000001</v>
      </c>
      <c r="H64" s="39">
        <v>0.41649999999999998</v>
      </c>
      <c r="I64" s="39"/>
      <c r="J64" s="39"/>
      <c r="K64" s="38"/>
      <c r="L64" s="39">
        <v>0.27650000000000002</v>
      </c>
      <c r="M64" s="34"/>
      <c r="N64" s="34">
        <f t="shared" si="1"/>
        <v>0.27650000000000002</v>
      </c>
    </row>
    <row r="65" spans="1:14">
      <c r="A65" s="3" t="s">
        <v>229</v>
      </c>
      <c r="B65" s="3" t="s">
        <v>689</v>
      </c>
      <c r="C65" s="3" t="s">
        <v>684</v>
      </c>
      <c r="D65" s="9">
        <v>2036</v>
      </c>
      <c r="E65" s="3" t="s">
        <v>686</v>
      </c>
      <c r="F65" s="39">
        <v>0.13031152777518101</v>
      </c>
      <c r="G65" s="39">
        <v>0.13650000000000001</v>
      </c>
      <c r="H65" s="39">
        <v>0.41649999999999998</v>
      </c>
      <c r="I65" s="39"/>
      <c r="J65" s="39"/>
      <c r="K65" s="38"/>
      <c r="L65" s="39">
        <v>0.30449999999999999</v>
      </c>
      <c r="M65" s="34"/>
      <c r="N65" s="34">
        <f t="shared" si="1"/>
        <v>0.30449999999999999</v>
      </c>
    </row>
    <row r="66" spans="1:14">
      <c r="A66" s="3" t="s">
        <v>229</v>
      </c>
      <c r="B66" s="3" t="s">
        <v>689</v>
      </c>
      <c r="C66" s="3" t="s">
        <v>684</v>
      </c>
      <c r="D66" s="9">
        <v>2037</v>
      </c>
      <c r="E66" s="3" t="s">
        <v>686</v>
      </c>
      <c r="F66" s="39">
        <v>0.13031152777518101</v>
      </c>
      <c r="G66" s="39">
        <v>0.13650000000000001</v>
      </c>
      <c r="H66" s="39">
        <v>0.41649999999999998</v>
      </c>
      <c r="I66" s="39"/>
      <c r="J66" s="39"/>
      <c r="K66" s="38"/>
      <c r="L66" s="39">
        <v>0.33250000000000002</v>
      </c>
      <c r="M66" s="34"/>
      <c r="N66" s="34">
        <f t="shared" ref="N66:N97" si="2">L66</f>
        <v>0.33250000000000002</v>
      </c>
    </row>
    <row r="67" spans="1:14">
      <c r="A67" s="3" t="s">
        <v>229</v>
      </c>
      <c r="B67" s="3" t="s">
        <v>689</v>
      </c>
      <c r="C67" s="3" t="s">
        <v>684</v>
      </c>
      <c r="D67" s="9">
        <v>2038</v>
      </c>
      <c r="E67" s="3" t="s">
        <v>686</v>
      </c>
      <c r="F67" s="39">
        <v>0.13031152777518101</v>
      </c>
      <c r="G67" s="39">
        <v>0.13650000000000001</v>
      </c>
      <c r="H67" s="39">
        <v>0.41649999999999998</v>
      </c>
      <c r="I67" s="39"/>
      <c r="J67" s="39"/>
      <c r="K67" s="38"/>
      <c r="L67" s="39">
        <v>0.36049999999999999</v>
      </c>
      <c r="M67" s="34"/>
      <c r="N67" s="34">
        <f t="shared" si="2"/>
        <v>0.36049999999999999</v>
      </c>
    </row>
    <row r="68" spans="1:14">
      <c r="A68" s="3" t="s">
        <v>229</v>
      </c>
      <c r="B68" s="3" t="s">
        <v>689</v>
      </c>
      <c r="C68" s="3" t="s">
        <v>684</v>
      </c>
      <c r="D68" s="9">
        <v>2039</v>
      </c>
      <c r="E68" s="3" t="s">
        <v>686</v>
      </c>
      <c r="F68" s="39">
        <v>0.13031152777518101</v>
      </c>
      <c r="G68" s="39">
        <v>0.13650000000000001</v>
      </c>
      <c r="H68" s="39">
        <v>0.41649999999999998</v>
      </c>
      <c r="I68" s="39"/>
      <c r="J68" s="39"/>
      <c r="K68" s="38"/>
      <c r="L68" s="39">
        <v>0.38850000000000001</v>
      </c>
      <c r="M68" s="34"/>
      <c r="N68" s="34">
        <f t="shared" si="2"/>
        <v>0.38850000000000001</v>
      </c>
    </row>
    <row r="69" spans="1:14">
      <c r="A69" s="3" t="s">
        <v>229</v>
      </c>
      <c r="B69" s="3" t="s">
        <v>689</v>
      </c>
      <c r="C69" s="3" t="s">
        <v>684</v>
      </c>
      <c r="D69" s="9">
        <v>2040</v>
      </c>
      <c r="E69" s="3" t="s">
        <v>686</v>
      </c>
      <c r="F69" s="39">
        <v>0.13031152777518101</v>
      </c>
      <c r="G69" s="39">
        <v>0.13650000000000001</v>
      </c>
      <c r="H69" s="39">
        <v>0.41649999999999998</v>
      </c>
      <c r="I69" s="39">
        <v>0.34300000000000003</v>
      </c>
      <c r="J69" s="39">
        <v>0.14699999999999999</v>
      </c>
      <c r="K69" s="38">
        <v>0.5</v>
      </c>
      <c r="L69" s="39">
        <v>0.41649999999999998</v>
      </c>
      <c r="M69" s="34">
        <f>I69+Cascade_Assumptions!$B$11*J69</f>
        <v>0.41650000000000004</v>
      </c>
      <c r="N69" s="34">
        <f t="shared" si="2"/>
        <v>0.41649999999999998</v>
      </c>
    </row>
    <row r="70" spans="1:14">
      <c r="A70" s="3" t="s">
        <v>229</v>
      </c>
      <c r="B70" s="3" t="s">
        <v>689</v>
      </c>
      <c r="C70" s="3" t="s">
        <v>684</v>
      </c>
      <c r="D70" s="9">
        <v>2041</v>
      </c>
      <c r="E70" s="3" t="s">
        <v>687</v>
      </c>
      <c r="F70" s="39">
        <v>0.13031152777518101</v>
      </c>
      <c r="G70" s="39">
        <v>0.13650000000000001</v>
      </c>
      <c r="H70" s="39">
        <v>0.41649999999999998</v>
      </c>
      <c r="I70" s="39"/>
      <c r="J70" s="39"/>
      <c r="K70" s="38"/>
      <c r="L70" s="39">
        <v>0.41649999999999998</v>
      </c>
      <c r="M70" s="34"/>
      <c r="N70" s="34">
        <f t="shared" si="2"/>
        <v>0.41649999999999998</v>
      </c>
    </row>
    <row r="71" spans="1:14">
      <c r="A71" s="3" t="s">
        <v>229</v>
      </c>
      <c r="B71" s="3" t="s">
        <v>689</v>
      </c>
      <c r="C71" s="3" t="s">
        <v>684</v>
      </c>
      <c r="D71" s="9">
        <v>2042</v>
      </c>
      <c r="E71" s="3" t="s">
        <v>687</v>
      </c>
      <c r="F71" s="39">
        <v>0.13031152777518101</v>
      </c>
      <c r="G71" s="39">
        <v>0.13650000000000001</v>
      </c>
      <c r="H71" s="39">
        <v>0.41649999999999998</v>
      </c>
      <c r="I71" s="39"/>
      <c r="J71" s="39"/>
      <c r="K71" s="38"/>
      <c r="L71" s="39">
        <v>0.41649999999999998</v>
      </c>
      <c r="M71" s="34"/>
      <c r="N71" s="34">
        <f t="shared" si="2"/>
        <v>0.41649999999999998</v>
      </c>
    </row>
    <row r="72" spans="1:14">
      <c r="A72" s="3" t="s">
        <v>229</v>
      </c>
      <c r="B72" s="3" t="s">
        <v>689</v>
      </c>
      <c r="C72" s="3" t="s">
        <v>684</v>
      </c>
      <c r="D72" s="9">
        <v>2043</v>
      </c>
      <c r="E72" s="3" t="s">
        <v>687</v>
      </c>
      <c r="F72" s="39">
        <v>0.13031152777518101</v>
      </c>
      <c r="G72" s="39">
        <v>0.13650000000000001</v>
      </c>
      <c r="H72" s="39">
        <v>0.41649999999999998</v>
      </c>
      <c r="I72" s="39"/>
      <c r="J72" s="39"/>
      <c r="K72" s="38"/>
      <c r="L72" s="39">
        <v>0.41649999999999998</v>
      </c>
      <c r="M72" s="34"/>
      <c r="N72" s="34">
        <f t="shared" si="2"/>
        <v>0.41649999999999998</v>
      </c>
    </row>
    <row r="73" spans="1:14">
      <c r="A73" s="3" t="s">
        <v>229</v>
      </c>
      <c r="B73" s="3" t="s">
        <v>689</v>
      </c>
      <c r="C73" s="3" t="s">
        <v>684</v>
      </c>
      <c r="D73" s="9">
        <v>2044</v>
      </c>
      <c r="E73" s="3" t="s">
        <v>687</v>
      </c>
      <c r="F73" s="39">
        <v>0.13031152777518101</v>
      </c>
      <c r="G73" s="39">
        <v>0.13650000000000001</v>
      </c>
      <c r="H73" s="39">
        <v>0.41649999999999998</v>
      </c>
      <c r="I73" s="39"/>
      <c r="J73" s="39"/>
      <c r="K73" s="38"/>
      <c r="L73" s="39">
        <v>0.41649999999999998</v>
      </c>
      <c r="M73" s="34"/>
      <c r="N73" s="34">
        <f t="shared" si="2"/>
        <v>0.41649999999999998</v>
      </c>
    </row>
    <row r="74" spans="1:14">
      <c r="A74" s="3" t="s">
        <v>229</v>
      </c>
      <c r="B74" s="3" t="s">
        <v>689</v>
      </c>
      <c r="C74" s="3" t="s">
        <v>684</v>
      </c>
      <c r="D74" s="9">
        <v>2045</v>
      </c>
      <c r="E74" s="3" t="s">
        <v>687</v>
      </c>
      <c r="F74" s="39">
        <v>0.13031152777518101</v>
      </c>
      <c r="G74" s="39">
        <v>0.13650000000000001</v>
      </c>
      <c r="H74" s="39">
        <v>0.41649999999999998</v>
      </c>
      <c r="I74" s="39"/>
      <c r="J74" s="39"/>
      <c r="K74" s="38"/>
      <c r="L74" s="39">
        <v>0.41649999999999998</v>
      </c>
      <c r="M74" s="34"/>
      <c r="N74" s="34">
        <f t="shared" si="2"/>
        <v>0.41649999999999998</v>
      </c>
    </row>
    <row r="75" spans="1:14">
      <c r="A75" s="3" t="s">
        <v>229</v>
      </c>
      <c r="B75" s="3" t="s">
        <v>689</v>
      </c>
      <c r="C75" s="3" t="s">
        <v>684</v>
      </c>
      <c r="D75" s="9">
        <v>2046</v>
      </c>
      <c r="E75" s="3" t="s">
        <v>687</v>
      </c>
      <c r="F75" s="39">
        <v>0.13031152777518101</v>
      </c>
      <c r="G75" s="39">
        <v>0.13650000000000001</v>
      </c>
      <c r="H75" s="39">
        <v>0.41649999999999998</v>
      </c>
      <c r="I75" s="39"/>
      <c r="J75" s="39"/>
      <c r="K75" s="38"/>
      <c r="L75" s="39">
        <v>0.41649999999999998</v>
      </c>
      <c r="M75" s="34"/>
      <c r="N75" s="34">
        <f t="shared" si="2"/>
        <v>0.41649999999999998</v>
      </c>
    </row>
    <row r="76" spans="1:14">
      <c r="A76" s="3" t="s">
        <v>229</v>
      </c>
      <c r="B76" s="3" t="s">
        <v>689</v>
      </c>
      <c r="C76" s="3" t="s">
        <v>684</v>
      </c>
      <c r="D76" s="9">
        <v>2047</v>
      </c>
      <c r="E76" s="3" t="s">
        <v>687</v>
      </c>
      <c r="F76" s="39">
        <v>0.13031152777518101</v>
      </c>
      <c r="G76" s="39">
        <v>0.13650000000000001</v>
      </c>
      <c r="H76" s="39">
        <v>0.41649999999999998</v>
      </c>
      <c r="I76" s="39"/>
      <c r="J76" s="39"/>
      <c r="K76" s="38"/>
      <c r="L76" s="39">
        <v>0.41649999999999998</v>
      </c>
      <c r="M76" s="34"/>
      <c r="N76" s="34">
        <f t="shared" si="2"/>
        <v>0.41649999999999998</v>
      </c>
    </row>
    <row r="77" spans="1:14">
      <c r="A77" s="3" t="s">
        <v>229</v>
      </c>
      <c r="B77" s="3" t="s">
        <v>689</v>
      </c>
      <c r="C77" s="3" t="s">
        <v>684</v>
      </c>
      <c r="D77" s="9">
        <v>2048</v>
      </c>
      <c r="E77" s="3" t="s">
        <v>687</v>
      </c>
      <c r="F77" s="39">
        <v>0.13031152777518101</v>
      </c>
      <c r="G77" s="39">
        <v>0.13650000000000001</v>
      </c>
      <c r="H77" s="39">
        <v>0.41649999999999998</v>
      </c>
      <c r="I77" s="39"/>
      <c r="J77" s="39"/>
      <c r="K77" s="38"/>
      <c r="L77" s="39">
        <v>0.41649999999999998</v>
      </c>
      <c r="M77" s="34"/>
      <c r="N77" s="34">
        <f t="shared" si="2"/>
        <v>0.41649999999999998</v>
      </c>
    </row>
    <row r="78" spans="1:14">
      <c r="A78" s="3" t="s">
        <v>229</v>
      </c>
      <c r="B78" s="3" t="s">
        <v>689</v>
      </c>
      <c r="C78" s="3" t="s">
        <v>684</v>
      </c>
      <c r="D78" s="9">
        <v>2049</v>
      </c>
      <c r="E78" s="3" t="s">
        <v>687</v>
      </c>
      <c r="F78" s="39">
        <v>0.13031152777518101</v>
      </c>
      <c r="G78" s="39">
        <v>0.13650000000000001</v>
      </c>
      <c r="H78" s="39">
        <v>0.41649999999999998</v>
      </c>
      <c r="I78" s="39"/>
      <c r="J78" s="39"/>
      <c r="K78" s="38"/>
      <c r="L78" s="39">
        <v>0.41649999999999998</v>
      </c>
      <c r="M78" s="34"/>
      <c r="N78" s="34">
        <f t="shared" si="2"/>
        <v>0.41649999999999998</v>
      </c>
    </row>
    <row r="79" spans="1:14">
      <c r="A79" s="3" t="s">
        <v>229</v>
      </c>
      <c r="B79" s="3" t="s">
        <v>689</v>
      </c>
      <c r="C79" s="3" t="s">
        <v>684</v>
      </c>
      <c r="D79" s="9">
        <v>2050</v>
      </c>
      <c r="E79" s="3" t="s">
        <v>687</v>
      </c>
      <c r="F79" s="39">
        <v>0.13031152777518101</v>
      </c>
      <c r="G79" s="39">
        <v>0.13650000000000001</v>
      </c>
      <c r="H79" s="39">
        <v>0.41649999999999998</v>
      </c>
      <c r="I79" s="39"/>
      <c r="J79" s="39"/>
      <c r="K79" s="38"/>
      <c r="L79" s="39">
        <v>0.41649999999999998</v>
      </c>
      <c r="M79" s="34"/>
      <c r="N79" s="34">
        <f t="shared" si="2"/>
        <v>0.41649999999999998</v>
      </c>
    </row>
    <row r="80" spans="1:14">
      <c r="A80" s="3" t="s">
        <v>229</v>
      </c>
      <c r="B80" s="3" t="s">
        <v>689</v>
      </c>
      <c r="C80" s="3" t="s">
        <v>688</v>
      </c>
      <c r="D80" s="9">
        <v>2025</v>
      </c>
      <c r="E80" s="3" t="s">
        <v>685</v>
      </c>
      <c r="F80" s="39">
        <v>0.16551769738410901</v>
      </c>
      <c r="G80" s="39">
        <v>0.13650000000000001</v>
      </c>
      <c r="H80" s="39">
        <v>0.41649999999999998</v>
      </c>
      <c r="I80" s="39">
        <v>8.4381571215428205E-2</v>
      </c>
      <c r="J80" s="39">
        <v>0.16227225233736201</v>
      </c>
      <c r="K80" s="38">
        <v>0.5</v>
      </c>
      <c r="L80" s="39">
        <v>0.16551769738410901</v>
      </c>
      <c r="M80" s="34">
        <f>I80+Cascade_Assumptions!$B$11*J80</f>
        <v>0.16551769738410921</v>
      </c>
      <c r="N80" s="34">
        <f t="shared" si="2"/>
        <v>0.16551769738410901</v>
      </c>
    </row>
    <row r="81" spans="1:14">
      <c r="A81" s="3" t="s">
        <v>229</v>
      </c>
      <c r="B81" s="3" t="s">
        <v>689</v>
      </c>
      <c r="C81" s="3" t="s">
        <v>688</v>
      </c>
      <c r="D81" s="9">
        <v>2026</v>
      </c>
      <c r="E81" s="3" t="s">
        <v>685</v>
      </c>
      <c r="F81" s="39">
        <v>0.16551769738410901</v>
      </c>
      <c r="G81" s="39">
        <v>0.13650000000000001</v>
      </c>
      <c r="H81" s="39">
        <v>0.41649999999999998</v>
      </c>
      <c r="I81" s="39"/>
      <c r="J81" s="39"/>
      <c r="K81" s="38"/>
      <c r="L81" s="39">
        <v>0.16551769738410901</v>
      </c>
      <c r="M81" s="34"/>
      <c r="N81" s="34">
        <f t="shared" si="2"/>
        <v>0.16551769738410901</v>
      </c>
    </row>
    <row r="82" spans="1:14">
      <c r="A82" s="3" t="s">
        <v>229</v>
      </c>
      <c r="B82" s="3" t="s">
        <v>689</v>
      </c>
      <c r="C82" s="3" t="s">
        <v>688</v>
      </c>
      <c r="D82" s="9">
        <v>2027</v>
      </c>
      <c r="E82" s="3" t="s">
        <v>685</v>
      </c>
      <c r="F82" s="39">
        <v>0.16551769738410901</v>
      </c>
      <c r="G82" s="39">
        <v>0.13650000000000001</v>
      </c>
      <c r="H82" s="39">
        <v>0.41649999999999998</v>
      </c>
      <c r="I82" s="39"/>
      <c r="J82" s="39"/>
      <c r="K82" s="38"/>
      <c r="L82" s="39">
        <v>0.16551769738410901</v>
      </c>
      <c r="M82" s="34"/>
      <c r="N82" s="34">
        <f t="shared" si="2"/>
        <v>0.16551769738410901</v>
      </c>
    </row>
    <row r="83" spans="1:14">
      <c r="A83" s="3" t="s">
        <v>229</v>
      </c>
      <c r="B83" s="3" t="s">
        <v>689</v>
      </c>
      <c r="C83" s="3" t="s">
        <v>688</v>
      </c>
      <c r="D83" s="9">
        <v>2028</v>
      </c>
      <c r="E83" s="3" t="s">
        <v>685</v>
      </c>
      <c r="F83" s="39">
        <v>0.16551769738410901</v>
      </c>
      <c r="G83" s="39">
        <v>0.13650000000000001</v>
      </c>
      <c r="H83" s="39">
        <v>0.41649999999999998</v>
      </c>
      <c r="I83" s="39"/>
      <c r="J83" s="39"/>
      <c r="K83" s="38"/>
      <c r="L83" s="39">
        <v>0.16551769738410901</v>
      </c>
      <c r="M83" s="34"/>
      <c r="N83" s="34">
        <f t="shared" si="2"/>
        <v>0.16551769738410901</v>
      </c>
    </row>
    <row r="84" spans="1:14">
      <c r="A84" s="3" t="s">
        <v>229</v>
      </c>
      <c r="B84" s="3" t="s">
        <v>689</v>
      </c>
      <c r="C84" s="3" t="s">
        <v>688</v>
      </c>
      <c r="D84" s="9">
        <v>2029</v>
      </c>
      <c r="E84" s="3" t="s">
        <v>685</v>
      </c>
      <c r="F84" s="39">
        <v>0.16551769738410901</v>
      </c>
      <c r="G84" s="39">
        <v>0.13650000000000001</v>
      </c>
      <c r="H84" s="39">
        <v>0.41649999999999998</v>
      </c>
      <c r="I84" s="39"/>
      <c r="J84" s="39"/>
      <c r="K84" s="38"/>
      <c r="L84" s="39">
        <v>0.16551769738410901</v>
      </c>
      <c r="M84" s="34"/>
      <c r="N84" s="34">
        <f t="shared" si="2"/>
        <v>0.16551769738410901</v>
      </c>
    </row>
    <row r="85" spans="1:14">
      <c r="A85" s="3" t="s">
        <v>229</v>
      </c>
      <c r="B85" s="3" t="s">
        <v>689</v>
      </c>
      <c r="C85" s="3" t="s">
        <v>688</v>
      </c>
      <c r="D85" s="9">
        <v>2030</v>
      </c>
      <c r="E85" s="3" t="s">
        <v>685</v>
      </c>
      <c r="F85" s="39">
        <v>0.16551769738410901</v>
      </c>
      <c r="G85" s="39">
        <v>0.13650000000000001</v>
      </c>
      <c r="H85" s="39">
        <v>0.41649999999999998</v>
      </c>
      <c r="I85" s="39">
        <v>6.3E-2</v>
      </c>
      <c r="J85" s="39">
        <v>0.14699999999999999</v>
      </c>
      <c r="K85" s="38">
        <v>0.5</v>
      </c>
      <c r="L85" s="39">
        <v>0.16551769738410901</v>
      </c>
      <c r="M85" s="34">
        <f>I85+Cascade_Assumptions!$B$11*J85</f>
        <v>0.13650000000000001</v>
      </c>
      <c r="N85" s="34">
        <f t="shared" si="2"/>
        <v>0.16551769738410901</v>
      </c>
    </row>
    <row r="86" spans="1:14">
      <c r="A86" s="3" t="s">
        <v>229</v>
      </c>
      <c r="B86" s="3" t="s">
        <v>689</v>
      </c>
      <c r="C86" s="3" t="s">
        <v>688</v>
      </c>
      <c r="D86" s="9">
        <v>2031</v>
      </c>
      <c r="E86" s="3" t="s">
        <v>686</v>
      </c>
      <c r="F86" s="39">
        <v>0.16551769738410901</v>
      </c>
      <c r="G86" s="39">
        <v>0.13650000000000001</v>
      </c>
      <c r="H86" s="39">
        <v>0.41649999999999998</v>
      </c>
      <c r="I86" s="39"/>
      <c r="J86" s="39"/>
      <c r="K86" s="38"/>
      <c r="L86" s="39">
        <v>0.19061592764569801</v>
      </c>
      <c r="M86" s="34"/>
      <c r="N86" s="34">
        <f t="shared" si="2"/>
        <v>0.19061592764569801</v>
      </c>
    </row>
    <row r="87" spans="1:14">
      <c r="A87" s="3" t="s">
        <v>229</v>
      </c>
      <c r="B87" s="3" t="s">
        <v>689</v>
      </c>
      <c r="C87" s="3" t="s">
        <v>688</v>
      </c>
      <c r="D87" s="9">
        <v>2032</v>
      </c>
      <c r="E87" s="3" t="s">
        <v>686</v>
      </c>
      <c r="F87" s="39">
        <v>0.16551769738410901</v>
      </c>
      <c r="G87" s="39">
        <v>0.13650000000000001</v>
      </c>
      <c r="H87" s="39">
        <v>0.41649999999999998</v>
      </c>
      <c r="I87" s="39"/>
      <c r="J87" s="39"/>
      <c r="K87" s="38"/>
      <c r="L87" s="39">
        <v>0.21571415790728701</v>
      </c>
      <c r="M87" s="34"/>
      <c r="N87" s="34">
        <f t="shared" si="2"/>
        <v>0.21571415790728701</v>
      </c>
    </row>
    <row r="88" spans="1:14">
      <c r="A88" s="3" t="s">
        <v>229</v>
      </c>
      <c r="B88" s="3" t="s">
        <v>689</v>
      </c>
      <c r="C88" s="3" t="s">
        <v>688</v>
      </c>
      <c r="D88" s="9">
        <v>2033</v>
      </c>
      <c r="E88" s="3" t="s">
        <v>686</v>
      </c>
      <c r="F88" s="39">
        <v>0.16551769738410901</v>
      </c>
      <c r="G88" s="39">
        <v>0.13650000000000001</v>
      </c>
      <c r="H88" s="39">
        <v>0.41649999999999998</v>
      </c>
      <c r="I88" s="39"/>
      <c r="J88" s="39"/>
      <c r="K88" s="38"/>
      <c r="L88" s="39">
        <v>0.24081238816887601</v>
      </c>
      <c r="M88" s="34"/>
      <c r="N88" s="34">
        <f t="shared" si="2"/>
        <v>0.24081238816887601</v>
      </c>
    </row>
    <row r="89" spans="1:14">
      <c r="A89" s="3" t="s">
        <v>229</v>
      </c>
      <c r="B89" s="3" t="s">
        <v>689</v>
      </c>
      <c r="C89" s="3" t="s">
        <v>688</v>
      </c>
      <c r="D89" s="9">
        <v>2034</v>
      </c>
      <c r="E89" s="3" t="s">
        <v>686</v>
      </c>
      <c r="F89" s="39">
        <v>0.16551769738410901</v>
      </c>
      <c r="G89" s="39">
        <v>0.13650000000000001</v>
      </c>
      <c r="H89" s="39">
        <v>0.41649999999999998</v>
      </c>
      <c r="I89" s="39"/>
      <c r="J89" s="39"/>
      <c r="K89" s="38"/>
      <c r="L89" s="39">
        <v>0.26591061843046498</v>
      </c>
      <c r="M89" s="34"/>
      <c r="N89" s="34">
        <f t="shared" si="2"/>
        <v>0.26591061843046498</v>
      </c>
    </row>
    <row r="90" spans="1:14">
      <c r="A90" s="3" t="s">
        <v>229</v>
      </c>
      <c r="B90" s="3" t="s">
        <v>689</v>
      </c>
      <c r="C90" s="3" t="s">
        <v>688</v>
      </c>
      <c r="D90" s="9">
        <v>2035</v>
      </c>
      <c r="E90" s="3" t="s">
        <v>686</v>
      </c>
      <c r="F90" s="39">
        <v>0.16551769738410901</v>
      </c>
      <c r="G90" s="39">
        <v>0.13650000000000001</v>
      </c>
      <c r="H90" s="39">
        <v>0.41649999999999998</v>
      </c>
      <c r="I90" s="39"/>
      <c r="J90" s="39"/>
      <c r="K90" s="38"/>
      <c r="L90" s="39">
        <v>0.29100884869205501</v>
      </c>
      <c r="M90" s="34"/>
      <c r="N90" s="34">
        <f t="shared" si="2"/>
        <v>0.29100884869205501</v>
      </c>
    </row>
    <row r="91" spans="1:14">
      <c r="A91" s="3" t="s">
        <v>229</v>
      </c>
      <c r="B91" s="3" t="s">
        <v>689</v>
      </c>
      <c r="C91" s="3" t="s">
        <v>688</v>
      </c>
      <c r="D91" s="9">
        <v>2036</v>
      </c>
      <c r="E91" s="3" t="s">
        <v>686</v>
      </c>
      <c r="F91" s="39">
        <v>0.16551769738410901</v>
      </c>
      <c r="G91" s="39">
        <v>0.13650000000000001</v>
      </c>
      <c r="H91" s="39">
        <v>0.41649999999999998</v>
      </c>
      <c r="I91" s="39"/>
      <c r="J91" s="39"/>
      <c r="K91" s="38"/>
      <c r="L91" s="39">
        <v>0.31610707895364398</v>
      </c>
      <c r="M91" s="34"/>
      <c r="N91" s="34">
        <f t="shared" si="2"/>
        <v>0.31610707895364398</v>
      </c>
    </row>
    <row r="92" spans="1:14">
      <c r="A92" s="3" t="s">
        <v>229</v>
      </c>
      <c r="B92" s="3" t="s">
        <v>689</v>
      </c>
      <c r="C92" s="3" t="s">
        <v>688</v>
      </c>
      <c r="D92" s="9">
        <v>2037</v>
      </c>
      <c r="E92" s="3" t="s">
        <v>686</v>
      </c>
      <c r="F92" s="39">
        <v>0.16551769738410901</v>
      </c>
      <c r="G92" s="39">
        <v>0.13650000000000001</v>
      </c>
      <c r="H92" s="39">
        <v>0.41649999999999998</v>
      </c>
      <c r="I92" s="39"/>
      <c r="J92" s="39"/>
      <c r="K92" s="38"/>
      <c r="L92" s="39">
        <v>0.34120530921523301</v>
      </c>
      <c r="M92" s="34"/>
      <c r="N92" s="34">
        <f t="shared" si="2"/>
        <v>0.34120530921523301</v>
      </c>
    </row>
    <row r="93" spans="1:14">
      <c r="A93" s="3" t="s">
        <v>229</v>
      </c>
      <c r="B93" s="3" t="s">
        <v>689</v>
      </c>
      <c r="C93" s="3" t="s">
        <v>688</v>
      </c>
      <c r="D93" s="9">
        <v>2038</v>
      </c>
      <c r="E93" s="3" t="s">
        <v>686</v>
      </c>
      <c r="F93" s="39">
        <v>0.16551769738410901</v>
      </c>
      <c r="G93" s="39">
        <v>0.13650000000000001</v>
      </c>
      <c r="H93" s="39">
        <v>0.41649999999999998</v>
      </c>
      <c r="I93" s="39"/>
      <c r="J93" s="39"/>
      <c r="K93" s="38"/>
      <c r="L93" s="39">
        <v>0.36630353947682198</v>
      </c>
      <c r="M93" s="34"/>
      <c r="N93" s="34">
        <f t="shared" si="2"/>
        <v>0.36630353947682198</v>
      </c>
    </row>
    <row r="94" spans="1:14">
      <c r="A94" s="3" t="s">
        <v>229</v>
      </c>
      <c r="B94" s="3" t="s">
        <v>689</v>
      </c>
      <c r="C94" s="3" t="s">
        <v>688</v>
      </c>
      <c r="D94" s="9">
        <v>2039</v>
      </c>
      <c r="E94" s="3" t="s">
        <v>686</v>
      </c>
      <c r="F94" s="39">
        <v>0.16551769738410901</v>
      </c>
      <c r="G94" s="39">
        <v>0.13650000000000001</v>
      </c>
      <c r="H94" s="39">
        <v>0.41649999999999998</v>
      </c>
      <c r="I94" s="39"/>
      <c r="J94" s="39"/>
      <c r="K94" s="38"/>
      <c r="L94" s="39">
        <v>0.39140176973841101</v>
      </c>
      <c r="M94" s="34"/>
      <c r="N94" s="34">
        <f t="shared" si="2"/>
        <v>0.39140176973841101</v>
      </c>
    </row>
    <row r="95" spans="1:14">
      <c r="A95" s="3" t="s">
        <v>229</v>
      </c>
      <c r="B95" s="3" t="s">
        <v>689</v>
      </c>
      <c r="C95" s="3" t="s">
        <v>688</v>
      </c>
      <c r="D95" s="9">
        <v>2040</v>
      </c>
      <c r="E95" s="3" t="s">
        <v>686</v>
      </c>
      <c r="F95" s="39">
        <v>0.16551769738410901</v>
      </c>
      <c r="G95" s="39">
        <v>0.13650000000000001</v>
      </c>
      <c r="H95" s="39">
        <v>0.41649999999999998</v>
      </c>
      <c r="I95" s="39">
        <v>0.34300000000000003</v>
      </c>
      <c r="J95" s="39">
        <v>0.14699999999999999</v>
      </c>
      <c r="K95" s="38">
        <v>0.5</v>
      </c>
      <c r="L95" s="39">
        <v>0.41649999999999998</v>
      </c>
      <c r="M95" s="34">
        <f>I95+Cascade_Assumptions!$B$11*J95</f>
        <v>0.41650000000000004</v>
      </c>
      <c r="N95" s="34">
        <f t="shared" si="2"/>
        <v>0.41649999999999998</v>
      </c>
    </row>
    <row r="96" spans="1:14">
      <c r="A96" s="3" t="s">
        <v>229</v>
      </c>
      <c r="B96" s="3" t="s">
        <v>689</v>
      </c>
      <c r="C96" s="3" t="s">
        <v>688</v>
      </c>
      <c r="D96" s="9">
        <v>2041</v>
      </c>
      <c r="E96" s="3" t="s">
        <v>687</v>
      </c>
      <c r="F96" s="39">
        <v>0.16551769738410901</v>
      </c>
      <c r="G96" s="39">
        <v>0.13650000000000001</v>
      </c>
      <c r="H96" s="39">
        <v>0.41649999999999998</v>
      </c>
      <c r="I96" s="39"/>
      <c r="J96" s="39"/>
      <c r="K96" s="38"/>
      <c r="L96" s="39">
        <v>0.41649999999999998</v>
      </c>
      <c r="M96" s="34"/>
      <c r="N96" s="34">
        <f t="shared" si="2"/>
        <v>0.41649999999999998</v>
      </c>
    </row>
    <row r="97" spans="1:14">
      <c r="A97" s="3" t="s">
        <v>229</v>
      </c>
      <c r="B97" s="3" t="s">
        <v>689</v>
      </c>
      <c r="C97" s="3" t="s">
        <v>688</v>
      </c>
      <c r="D97" s="9">
        <v>2042</v>
      </c>
      <c r="E97" s="3" t="s">
        <v>687</v>
      </c>
      <c r="F97" s="39">
        <v>0.16551769738410901</v>
      </c>
      <c r="G97" s="39">
        <v>0.13650000000000001</v>
      </c>
      <c r="H97" s="39">
        <v>0.41649999999999998</v>
      </c>
      <c r="I97" s="39"/>
      <c r="J97" s="39"/>
      <c r="K97" s="38"/>
      <c r="L97" s="39">
        <v>0.41649999999999998</v>
      </c>
      <c r="M97" s="34"/>
      <c r="N97" s="34">
        <f t="shared" si="2"/>
        <v>0.41649999999999998</v>
      </c>
    </row>
    <row r="98" spans="1:14">
      <c r="A98" s="3" t="s">
        <v>229</v>
      </c>
      <c r="B98" s="3" t="s">
        <v>689</v>
      </c>
      <c r="C98" s="3" t="s">
        <v>688</v>
      </c>
      <c r="D98" s="9">
        <v>2043</v>
      </c>
      <c r="E98" s="3" t="s">
        <v>687</v>
      </c>
      <c r="F98" s="39">
        <v>0.16551769738410901</v>
      </c>
      <c r="G98" s="39">
        <v>0.13650000000000001</v>
      </c>
      <c r="H98" s="39">
        <v>0.41649999999999998</v>
      </c>
      <c r="I98" s="39"/>
      <c r="J98" s="39"/>
      <c r="K98" s="38"/>
      <c r="L98" s="39">
        <v>0.41649999999999998</v>
      </c>
      <c r="M98" s="34"/>
      <c r="N98" s="34">
        <f t="shared" ref="N98:N105" si="3">L98</f>
        <v>0.41649999999999998</v>
      </c>
    </row>
    <row r="99" spans="1:14">
      <c r="A99" s="3" t="s">
        <v>229</v>
      </c>
      <c r="B99" s="3" t="s">
        <v>689</v>
      </c>
      <c r="C99" s="3" t="s">
        <v>688</v>
      </c>
      <c r="D99" s="9">
        <v>2044</v>
      </c>
      <c r="E99" s="3" t="s">
        <v>687</v>
      </c>
      <c r="F99" s="39">
        <v>0.16551769738410901</v>
      </c>
      <c r="G99" s="39">
        <v>0.13650000000000001</v>
      </c>
      <c r="H99" s="39">
        <v>0.41649999999999998</v>
      </c>
      <c r="I99" s="39"/>
      <c r="J99" s="39"/>
      <c r="K99" s="38"/>
      <c r="L99" s="39">
        <v>0.41649999999999998</v>
      </c>
      <c r="M99" s="34"/>
      <c r="N99" s="34">
        <f t="shared" si="3"/>
        <v>0.41649999999999998</v>
      </c>
    </row>
    <row r="100" spans="1:14">
      <c r="A100" s="3" t="s">
        <v>229</v>
      </c>
      <c r="B100" s="3" t="s">
        <v>689</v>
      </c>
      <c r="C100" s="3" t="s">
        <v>688</v>
      </c>
      <c r="D100" s="9">
        <v>2045</v>
      </c>
      <c r="E100" s="3" t="s">
        <v>687</v>
      </c>
      <c r="F100" s="39">
        <v>0.16551769738410901</v>
      </c>
      <c r="G100" s="39">
        <v>0.13650000000000001</v>
      </c>
      <c r="H100" s="39">
        <v>0.41649999999999998</v>
      </c>
      <c r="I100" s="39"/>
      <c r="J100" s="39"/>
      <c r="K100" s="38"/>
      <c r="L100" s="39">
        <v>0.41649999999999998</v>
      </c>
      <c r="M100" s="34"/>
      <c r="N100" s="34">
        <f t="shared" si="3"/>
        <v>0.41649999999999998</v>
      </c>
    </row>
    <row r="101" spans="1:14">
      <c r="A101" s="3" t="s">
        <v>229</v>
      </c>
      <c r="B101" s="3" t="s">
        <v>689</v>
      </c>
      <c r="C101" s="3" t="s">
        <v>688</v>
      </c>
      <c r="D101" s="9">
        <v>2046</v>
      </c>
      <c r="E101" s="3" t="s">
        <v>687</v>
      </c>
      <c r="F101" s="39">
        <v>0.16551769738410901</v>
      </c>
      <c r="G101" s="39">
        <v>0.13650000000000001</v>
      </c>
      <c r="H101" s="39">
        <v>0.41649999999999998</v>
      </c>
      <c r="I101" s="39"/>
      <c r="J101" s="39"/>
      <c r="K101" s="38"/>
      <c r="L101" s="39">
        <v>0.41649999999999998</v>
      </c>
      <c r="M101" s="34"/>
      <c r="N101" s="34">
        <f t="shared" si="3"/>
        <v>0.41649999999999998</v>
      </c>
    </row>
    <row r="102" spans="1:14">
      <c r="A102" s="3" t="s">
        <v>229</v>
      </c>
      <c r="B102" s="3" t="s">
        <v>689</v>
      </c>
      <c r="C102" s="3" t="s">
        <v>688</v>
      </c>
      <c r="D102" s="9">
        <v>2047</v>
      </c>
      <c r="E102" s="3" t="s">
        <v>687</v>
      </c>
      <c r="F102" s="39">
        <v>0.16551769738410901</v>
      </c>
      <c r="G102" s="39">
        <v>0.13650000000000001</v>
      </c>
      <c r="H102" s="39">
        <v>0.41649999999999998</v>
      </c>
      <c r="I102" s="39"/>
      <c r="J102" s="39"/>
      <c r="K102" s="38"/>
      <c r="L102" s="39">
        <v>0.41649999999999998</v>
      </c>
      <c r="M102" s="34"/>
      <c r="N102" s="34">
        <f t="shared" si="3"/>
        <v>0.41649999999999998</v>
      </c>
    </row>
    <row r="103" spans="1:14">
      <c r="A103" s="3" t="s">
        <v>229</v>
      </c>
      <c r="B103" s="3" t="s">
        <v>689</v>
      </c>
      <c r="C103" s="3" t="s">
        <v>688</v>
      </c>
      <c r="D103" s="9">
        <v>2048</v>
      </c>
      <c r="E103" s="3" t="s">
        <v>687</v>
      </c>
      <c r="F103" s="39">
        <v>0.16551769738410901</v>
      </c>
      <c r="G103" s="39">
        <v>0.13650000000000001</v>
      </c>
      <c r="H103" s="39">
        <v>0.41649999999999998</v>
      </c>
      <c r="I103" s="39"/>
      <c r="J103" s="39"/>
      <c r="K103" s="38"/>
      <c r="L103" s="39">
        <v>0.41649999999999998</v>
      </c>
      <c r="M103" s="34"/>
      <c r="N103" s="34">
        <f t="shared" si="3"/>
        <v>0.41649999999999998</v>
      </c>
    </row>
    <row r="104" spans="1:14">
      <c r="A104" s="3" t="s">
        <v>229</v>
      </c>
      <c r="B104" s="3" t="s">
        <v>689</v>
      </c>
      <c r="C104" s="3" t="s">
        <v>688</v>
      </c>
      <c r="D104" s="9">
        <v>2049</v>
      </c>
      <c r="E104" s="3" t="s">
        <v>687</v>
      </c>
      <c r="F104" s="39">
        <v>0.16551769738410901</v>
      </c>
      <c r="G104" s="39">
        <v>0.13650000000000001</v>
      </c>
      <c r="H104" s="39">
        <v>0.41649999999999998</v>
      </c>
      <c r="I104" s="39"/>
      <c r="J104" s="39"/>
      <c r="K104" s="38"/>
      <c r="L104" s="39">
        <v>0.41649999999999998</v>
      </c>
      <c r="M104" s="34"/>
      <c r="N104" s="34">
        <f t="shared" si="3"/>
        <v>0.41649999999999998</v>
      </c>
    </row>
    <row r="105" spans="1:14">
      <c r="A105" s="3" t="s">
        <v>229</v>
      </c>
      <c r="B105" s="3" t="s">
        <v>689</v>
      </c>
      <c r="C105" s="3" t="s">
        <v>688</v>
      </c>
      <c r="D105" s="9">
        <v>2050</v>
      </c>
      <c r="E105" s="3" t="s">
        <v>687</v>
      </c>
      <c r="F105" s="39">
        <v>0.16551769738410901</v>
      </c>
      <c r="G105" s="39">
        <v>0.13650000000000001</v>
      </c>
      <c r="H105" s="39">
        <v>0.41649999999999998</v>
      </c>
      <c r="I105" s="39"/>
      <c r="J105" s="39"/>
      <c r="K105" s="38"/>
      <c r="L105" s="39">
        <v>0.41649999999999998</v>
      </c>
      <c r="M105" s="34"/>
      <c r="N105" s="34">
        <f t="shared" si="3"/>
        <v>0.41649999999999998</v>
      </c>
    </row>
  </sheetData>
  <autoFilter ref="A1:N1" xr:uid="{00000000-0009-0000-0000-000004000000}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6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2" width="11.69921875" customWidth="1"/>
    <col min="3" max="3" width="18.69921875" customWidth="1"/>
    <col min="4" max="4" width="28.69921875" customWidth="1"/>
    <col min="5" max="5" width="17.69921875" customWidth="1"/>
    <col min="6" max="6" width="20.69921875" customWidth="1"/>
    <col min="7" max="8" width="11.69921875" customWidth="1"/>
  </cols>
  <sheetData>
    <row r="1" spans="1:8" ht="28.05" customHeight="1">
      <c r="A1" s="1" t="s">
        <v>690</v>
      </c>
      <c r="B1" s="1" t="s">
        <v>405</v>
      </c>
      <c r="C1" s="1" t="s">
        <v>677</v>
      </c>
      <c r="D1" s="1" t="s">
        <v>678</v>
      </c>
      <c r="E1" s="1" t="s">
        <v>691</v>
      </c>
      <c r="F1" s="1" t="s">
        <v>692</v>
      </c>
      <c r="G1" s="1" t="s">
        <v>693</v>
      </c>
      <c r="H1" s="1" t="s">
        <v>408</v>
      </c>
    </row>
    <row r="2" spans="1:8" ht="69">
      <c r="A2" t="s">
        <v>694</v>
      </c>
      <c r="B2" s="14" t="s">
        <v>695</v>
      </c>
      <c r="C2" s="40">
        <v>6.3E-2</v>
      </c>
      <c r="D2" s="40">
        <v>0.14699999999999999</v>
      </c>
      <c r="E2" s="41">
        <f>C2+Cascade_Assumptions!$B$11*D2</f>
        <v>0.13650000000000001</v>
      </c>
      <c r="F2" s="40">
        <v>0.13650000000000001</v>
      </c>
      <c r="G2" s="10"/>
      <c r="H2" s="16" t="str">
        <f>IF(ABS(E2-F2)&lt;0.0000001,"PASS","CHECK")</f>
        <v>PASS</v>
      </c>
    </row>
    <row r="3" spans="1:8" ht="69">
      <c r="A3" t="s">
        <v>696</v>
      </c>
      <c r="B3" s="14" t="s">
        <v>697</v>
      </c>
      <c r="C3" s="40">
        <v>0.34300000000000003</v>
      </c>
      <c r="D3" s="40">
        <v>0.14699999999999999</v>
      </c>
      <c r="E3" s="41">
        <f>C3+Cascade_Assumptions!$B$11*D3</f>
        <v>0.41650000000000004</v>
      </c>
      <c r="F3" s="40">
        <v>0.41649999999999998</v>
      </c>
      <c r="G3" s="10"/>
      <c r="H3" s="16" t="str">
        <f>IF(ABS(E3-F3)&lt;0.0000001,"PASS","CHECK")</f>
        <v>PASS</v>
      </c>
    </row>
    <row r="4" spans="1:8" ht="82.8">
      <c r="A4" t="s">
        <v>698</v>
      </c>
      <c r="B4" s="14" t="s">
        <v>699</v>
      </c>
      <c r="C4" s="40"/>
      <c r="D4" s="40"/>
      <c r="E4" s="41"/>
      <c r="F4" s="40"/>
      <c r="G4" s="10">
        <v>0</v>
      </c>
      <c r="H4" s="16" t="s">
        <v>704</v>
      </c>
    </row>
    <row r="5" spans="1:8" ht="69">
      <c r="A5" t="s">
        <v>700</v>
      </c>
      <c r="B5" s="14" t="s">
        <v>701</v>
      </c>
      <c r="C5" s="40"/>
      <c r="D5" s="40"/>
      <c r="E5" s="41"/>
      <c r="F5" s="40"/>
      <c r="G5" s="10">
        <v>0</v>
      </c>
      <c r="H5" s="16" t="str">
        <f>IF(G5&lt;0.000001,"PASS","FAIL")</f>
        <v>PASS</v>
      </c>
    </row>
    <row r="6" spans="1:8" ht="69">
      <c r="A6" t="s">
        <v>702</v>
      </c>
      <c r="B6" s="14" t="s">
        <v>703</v>
      </c>
      <c r="C6" s="40"/>
      <c r="D6" s="40"/>
      <c r="E6" s="41"/>
      <c r="F6" s="40"/>
      <c r="G6" s="10">
        <v>0</v>
      </c>
      <c r="H6" s="16" t="str">
        <f>IF(G6=0,"PASS","FAIL")</f>
        <v>PASS</v>
      </c>
    </row>
  </sheetData>
  <autoFilter ref="A1:H1" xr:uid="{00000000-0009-0000-0000-000005000000}"/>
  <conditionalFormatting sqref="H2:H6">
    <cfRule type="containsText" dxfId="12" priority="1" operator="containsText" text="CHECK">
      <formula>NOT(ISERROR(SEARCH("CHECK", H2)))</formula>
    </cfRule>
    <cfRule type="containsText" dxfId="11" priority="2" operator="containsText" text="FAIL">
      <formula>NOT(ISERROR(SEARCH("FAIL", H2)))</formula>
    </cfRule>
    <cfRule type="containsText" dxfId="10" priority="3" operator="containsText" text="PASS">
      <formula>NOT(ISERROR(SEARCH("PASS", H2)))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7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7.69921875" customWidth="1"/>
    <col min="2" max="2" width="24.69921875" customWidth="1"/>
    <col min="3" max="3" width="19.69921875" customWidth="1"/>
    <col min="4" max="4" width="11.69921875" customWidth="1"/>
    <col min="5" max="6" width="12.69921875" customWidth="1"/>
    <col min="7" max="7" width="17.69921875" customWidth="1"/>
    <col min="8" max="8" width="15.69921875" customWidth="1"/>
    <col min="9" max="9" width="18.69921875" customWidth="1"/>
    <col min="10" max="10" width="14.69921875" customWidth="1"/>
    <col min="11" max="12" width="19.69921875" customWidth="1"/>
    <col min="13" max="13" width="17.69921875" customWidth="1"/>
    <col min="14" max="14" width="12.69921875" customWidth="1"/>
    <col min="15" max="15" width="13.69921875" customWidth="1"/>
    <col min="16" max="16" width="27.69921875" customWidth="1"/>
    <col min="17" max="17" width="15.69921875" customWidth="1"/>
    <col min="18" max="18" width="12.69921875" customWidth="1"/>
    <col min="19" max="19" width="15.69921875" customWidth="1"/>
    <col min="20" max="20" width="17.69921875" customWidth="1"/>
    <col min="21" max="21" width="11.69921875" customWidth="1"/>
    <col min="22" max="22" width="16.69921875" customWidth="1"/>
  </cols>
  <sheetData>
    <row r="1" spans="1:22" ht="28.05" customHeight="1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  <c r="I1" s="1" t="s">
        <v>190</v>
      </c>
      <c r="J1" s="1" t="s">
        <v>191</v>
      </c>
      <c r="K1" s="1" t="s">
        <v>192</v>
      </c>
      <c r="L1" s="1" t="s">
        <v>193</v>
      </c>
      <c r="M1" s="1" t="s">
        <v>194</v>
      </c>
      <c r="N1" s="1" t="s">
        <v>195</v>
      </c>
      <c r="O1" s="1" t="s">
        <v>196</v>
      </c>
      <c r="P1" s="1" t="s">
        <v>197</v>
      </c>
      <c r="Q1" s="1" t="s">
        <v>198</v>
      </c>
      <c r="R1" s="1" t="s">
        <v>199</v>
      </c>
      <c r="S1" s="1" t="s">
        <v>200</v>
      </c>
      <c r="T1" s="1" t="s">
        <v>201</v>
      </c>
      <c r="U1" s="1" t="s">
        <v>202</v>
      </c>
      <c r="V1" s="1" t="s">
        <v>203</v>
      </c>
    </row>
    <row r="2" spans="1:22">
      <c r="A2" t="s">
        <v>204</v>
      </c>
      <c r="B2" t="s">
        <v>205</v>
      </c>
      <c r="C2" t="s">
        <v>206</v>
      </c>
      <c r="D2" t="s">
        <v>207</v>
      </c>
      <c r="E2" t="s">
        <v>208</v>
      </c>
      <c r="F2" t="s">
        <v>209</v>
      </c>
      <c r="G2" t="s">
        <v>210</v>
      </c>
      <c r="H2" t="s">
        <v>211</v>
      </c>
      <c r="I2" t="s">
        <v>212</v>
      </c>
      <c r="J2" s="18">
        <v>0.47</v>
      </c>
      <c r="K2" s="18">
        <v>1</v>
      </c>
      <c r="L2" s="19">
        <v>0.113766857372906</v>
      </c>
      <c r="M2" s="19">
        <v>0.41649999999999998</v>
      </c>
      <c r="N2" s="20">
        <v>2025</v>
      </c>
      <c r="O2" s="20">
        <v>2040</v>
      </c>
      <c r="P2" s="21">
        <f t="shared" ref="P2:P7" si="0">IF(OR(J2="",K2="",L2="",M2=""),"",ROUND(K2*(J2*(M2-L2)/(1-J2*L2)),4))</f>
        <v>0.15029999999999999</v>
      </c>
      <c r="Q2" s="22" t="s">
        <v>213</v>
      </c>
      <c r="R2" s="22" t="s">
        <v>214</v>
      </c>
      <c r="S2" t="s">
        <v>215</v>
      </c>
      <c r="T2" s="19" t="s">
        <v>216</v>
      </c>
      <c r="U2" s="23">
        <f t="shared" ref="U2:U7" si="1">COUNTIF($B$2:$B$7,B2)</f>
        <v>1</v>
      </c>
      <c r="V2" s="16" t="str">
        <f t="shared" ref="V2:V7" si="2">IF(U2=1,"OK","DUPLICATE KEY")</f>
        <v>OK</v>
      </c>
    </row>
    <row r="3" spans="1:22">
      <c r="A3" t="s">
        <v>204</v>
      </c>
      <c r="B3" t="s">
        <v>217</v>
      </c>
      <c r="C3" t="s">
        <v>206</v>
      </c>
      <c r="D3" t="s">
        <v>218</v>
      </c>
      <c r="E3" t="s">
        <v>219</v>
      </c>
      <c r="F3" t="s">
        <v>220</v>
      </c>
      <c r="G3" t="s">
        <v>210</v>
      </c>
      <c r="H3" t="s">
        <v>211</v>
      </c>
      <c r="I3" t="s">
        <v>212</v>
      </c>
      <c r="J3" s="18">
        <v>0.49</v>
      </c>
      <c r="K3" s="18">
        <v>0.8</v>
      </c>
      <c r="L3" s="19">
        <v>0.113766857372906</v>
      </c>
      <c r="M3" s="19">
        <v>0.41649999999999998</v>
      </c>
      <c r="N3" s="20">
        <v>2025</v>
      </c>
      <c r="O3" s="20">
        <v>2040</v>
      </c>
      <c r="P3" s="21">
        <f t="shared" si="0"/>
        <v>0.12570000000000001</v>
      </c>
      <c r="Q3" s="22" t="s">
        <v>213</v>
      </c>
      <c r="R3" s="22" t="s">
        <v>214</v>
      </c>
      <c r="S3" t="s">
        <v>215</v>
      </c>
      <c r="T3" s="19" t="s">
        <v>216</v>
      </c>
      <c r="U3" s="23">
        <f t="shared" si="1"/>
        <v>1</v>
      </c>
      <c r="V3" s="16" t="str">
        <f t="shared" si="2"/>
        <v>OK</v>
      </c>
    </row>
    <row r="4" spans="1:22">
      <c r="A4" t="s">
        <v>204</v>
      </c>
      <c r="B4" t="s">
        <v>221</v>
      </c>
      <c r="C4" t="s">
        <v>206</v>
      </c>
      <c r="D4" t="s">
        <v>222</v>
      </c>
      <c r="E4" t="s">
        <v>223</v>
      </c>
      <c r="F4" t="s">
        <v>224</v>
      </c>
      <c r="G4" t="s">
        <v>210</v>
      </c>
      <c r="H4" t="s">
        <v>211</v>
      </c>
      <c r="I4" t="s">
        <v>212</v>
      </c>
      <c r="J4" s="18">
        <v>0.57999999999999996</v>
      </c>
      <c r="K4" s="18">
        <v>0.8</v>
      </c>
      <c r="L4" s="19">
        <v>0.113766857372906</v>
      </c>
      <c r="M4" s="19">
        <v>0.41649999999999998</v>
      </c>
      <c r="N4" s="20">
        <v>2025</v>
      </c>
      <c r="O4" s="20">
        <v>2040</v>
      </c>
      <c r="P4" s="21">
        <f t="shared" si="0"/>
        <v>0.15040000000000001</v>
      </c>
      <c r="Q4" s="22" t="s">
        <v>213</v>
      </c>
      <c r="R4" s="22" t="s">
        <v>214</v>
      </c>
      <c r="S4" t="s">
        <v>215</v>
      </c>
      <c r="T4" s="19" t="s">
        <v>216</v>
      </c>
      <c r="U4" s="23">
        <f t="shared" si="1"/>
        <v>1</v>
      </c>
      <c r="V4" s="16" t="str">
        <f t="shared" si="2"/>
        <v>OK</v>
      </c>
    </row>
    <row r="5" spans="1:22">
      <c r="A5" t="s">
        <v>204</v>
      </c>
      <c r="B5" t="s">
        <v>225</v>
      </c>
      <c r="C5" t="s">
        <v>206</v>
      </c>
      <c r="D5" t="s">
        <v>226</v>
      </c>
      <c r="E5" t="s">
        <v>227</v>
      </c>
      <c r="F5" t="s">
        <v>228</v>
      </c>
      <c r="G5" t="s">
        <v>210</v>
      </c>
      <c r="H5" t="s">
        <v>211</v>
      </c>
      <c r="I5" t="s">
        <v>212</v>
      </c>
      <c r="J5" s="18">
        <v>0.54</v>
      </c>
      <c r="K5" s="18">
        <v>0.8</v>
      </c>
      <c r="L5" s="19">
        <v>0.113766857372906</v>
      </c>
      <c r="M5" s="19">
        <v>0.41649999999999998</v>
      </c>
      <c r="N5" s="20">
        <v>2025</v>
      </c>
      <c r="O5" s="20">
        <v>2040</v>
      </c>
      <c r="P5" s="21">
        <f t="shared" si="0"/>
        <v>0.13930000000000001</v>
      </c>
      <c r="Q5" s="22" t="s">
        <v>213</v>
      </c>
      <c r="R5" s="22" t="s">
        <v>214</v>
      </c>
      <c r="S5" t="s">
        <v>215</v>
      </c>
      <c r="T5" s="19" t="s">
        <v>216</v>
      </c>
      <c r="U5" s="23">
        <f t="shared" si="1"/>
        <v>1</v>
      </c>
      <c r="V5" s="16" t="str">
        <f t="shared" si="2"/>
        <v>OK</v>
      </c>
    </row>
    <row r="6" spans="1:22">
      <c r="A6" t="s">
        <v>229</v>
      </c>
      <c r="B6" t="s">
        <v>230</v>
      </c>
      <c r="C6" t="s">
        <v>231</v>
      </c>
      <c r="D6" t="s">
        <v>232</v>
      </c>
      <c r="E6" t="s">
        <v>233</v>
      </c>
      <c r="F6" t="s">
        <v>234</v>
      </c>
      <c r="G6" t="s">
        <v>211</v>
      </c>
      <c r="H6" t="s">
        <v>235</v>
      </c>
      <c r="I6" t="s">
        <v>236</v>
      </c>
      <c r="J6" s="18">
        <v>0.28000000000000003</v>
      </c>
      <c r="K6" s="18">
        <v>1</v>
      </c>
      <c r="L6" s="19">
        <v>0.147914612579645</v>
      </c>
      <c r="M6" s="19">
        <v>0.41649999999999998</v>
      </c>
      <c r="N6" s="20">
        <v>2025</v>
      </c>
      <c r="O6" s="20">
        <v>2040</v>
      </c>
      <c r="P6" s="21">
        <f t="shared" si="0"/>
        <v>7.85E-2</v>
      </c>
      <c r="Q6" s="22" t="s">
        <v>230</v>
      </c>
      <c r="R6" s="22" t="s">
        <v>237</v>
      </c>
      <c r="S6" t="s">
        <v>215</v>
      </c>
      <c r="T6" s="19" t="s">
        <v>216</v>
      </c>
      <c r="U6" s="23">
        <f t="shared" si="1"/>
        <v>1</v>
      </c>
      <c r="V6" s="16" t="str">
        <f t="shared" si="2"/>
        <v>OK</v>
      </c>
    </row>
    <row r="7" spans="1:22">
      <c r="A7" t="s">
        <v>229</v>
      </c>
      <c r="B7" t="s">
        <v>238</v>
      </c>
      <c r="C7" t="s">
        <v>231</v>
      </c>
      <c r="D7" t="s">
        <v>222</v>
      </c>
      <c r="E7" t="s">
        <v>223</v>
      </c>
      <c r="F7" t="s">
        <v>224</v>
      </c>
      <c r="G7" t="s">
        <v>211</v>
      </c>
      <c r="H7" t="s">
        <v>239</v>
      </c>
      <c r="I7" t="s">
        <v>236</v>
      </c>
      <c r="J7" s="18">
        <v>0.15</v>
      </c>
      <c r="K7" s="18">
        <v>0.15</v>
      </c>
      <c r="L7" s="19">
        <v>0.147914612579645</v>
      </c>
      <c r="M7" s="19">
        <v>0.41649999999999998</v>
      </c>
      <c r="N7" s="20">
        <v>2025</v>
      </c>
      <c r="O7" s="20">
        <v>2040</v>
      </c>
      <c r="P7" s="21">
        <f t="shared" si="0"/>
        <v>6.1999999999999998E-3</v>
      </c>
      <c r="Q7" s="22" t="s">
        <v>230</v>
      </c>
      <c r="R7" s="22" t="s">
        <v>214</v>
      </c>
      <c r="S7" t="s">
        <v>240</v>
      </c>
      <c r="T7" s="19" t="s">
        <v>216</v>
      </c>
      <c r="U7" s="23">
        <f t="shared" si="1"/>
        <v>1</v>
      </c>
      <c r="V7" s="16" t="str">
        <f t="shared" si="2"/>
        <v>OK</v>
      </c>
    </row>
  </sheetData>
  <autoFilter ref="A1:V1" xr:uid="{00000000-0009-0000-0000-000006000000}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6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6.69921875" customWidth="1"/>
    <col min="2" max="2" width="20.69921875" customWidth="1"/>
    <col min="3" max="3" width="13.69921875" customWidth="1"/>
    <col min="4" max="4" width="17.69921875" customWidth="1"/>
    <col min="5" max="5" width="11.69921875" customWidth="1"/>
    <col min="6" max="6" width="12.69921875" customWidth="1"/>
    <col min="7" max="7" width="15.69921875" customWidth="1"/>
    <col min="8" max="8" width="12.69921875" customWidth="1"/>
    <col min="9" max="9" width="16.69921875" customWidth="1"/>
    <col min="10" max="10" width="28.69921875" customWidth="1"/>
    <col min="11" max="11" width="29.69921875" customWidth="1"/>
    <col min="12" max="12" width="20.69921875" customWidth="1"/>
    <col min="13" max="13" width="13.69921875" customWidth="1"/>
    <col min="14" max="14" width="12.69921875" customWidth="1"/>
    <col min="15" max="15" width="11.69921875" customWidth="1"/>
    <col min="16" max="16" width="15.69921875" customWidth="1"/>
    <col min="17" max="17" width="12.69921875" customWidth="1"/>
    <col min="18" max="18" width="25.69921875" customWidth="1"/>
    <col min="19" max="19" width="14.69921875" customWidth="1"/>
    <col min="20" max="20" width="12.69921875" customWidth="1"/>
    <col min="21" max="21" width="16.69921875" customWidth="1"/>
    <col min="22" max="22" width="17.69921875" customWidth="1"/>
    <col min="23" max="23" width="13.69921875" customWidth="1"/>
    <col min="24" max="24" width="12.69921875" customWidth="1"/>
  </cols>
  <sheetData>
    <row r="1" spans="1:24" ht="28.05" customHeight="1">
      <c r="A1" s="1" t="s">
        <v>241</v>
      </c>
      <c r="B1" s="1" t="s">
        <v>242</v>
      </c>
      <c r="C1" s="1" t="s">
        <v>243</v>
      </c>
      <c r="D1" s="1" t="s">
        <v>182</v>
      </c>
      <c r="E1" s="1" t="s">
        <v>185</v>
      </c>
      <c r="F1" s="1" t="s">
        <v>186</v>
      </c>
      <c r="G1" s="1" t="s">
        <v>198</v>
      </c>
      <c r="H1" s="1" t="s">
        <v>199</v>
      </c>
      <c r="I1" s="1" t="s">
        <v>244</v>
      </c>
      <c r="J1" s="1" t="s">
        <v>245</v>
      </c>
      <c r="K1" s="1" t="s">
        <v>246</v>
      </c>
      <c r="L1" s="1" t="s">
        <v>247</v>
      </c>
      <c r="M1" s="1" t="s">
        <v>248</v>
      </c>
      <c r="N1" s="1" t="s">
        <v>249</v>
      </c>
      <c r="O1" s="1" t="s">
        <v>250</v>
      </c>
      <c r="P1" s="1" t="s">
        <v>251</v>
      </c>
      <c r="Q1" s="1" t="s">
        <v>252</v>
      </c>
      <c r="R1" s="1" t="s">
        <v>253</v>
      </c>
      <c r="S1" s="1" t="s">
        <v>254</v>
      </c>
      <c r="T1" s="1" t="s">
        <v>255</v>
      </c>
      <c r="U1" s="1" t="s">
        <v>256</v>
      </c>
      <c r="V1" s="1" t="s">
        <v>257</v>
      </c>
      <c r="W1" s="1" t="s">
        <v>258</v>
      </c>
      <c r="X1" s="1" t="s">
        <v>259</v>
      </c>
    </row>
    <row r="2" spans="1:24" ht="55.2">
      <c r="A2" s="22" t="s">
        <v>260</v>
      </c>
      <c r="B2" s="22" t="s">
        <v>261</v>
      </c>
      <c r="C2" s="22" t="s">
        <v>262</v>
      </c>
      <c r="D2" t="s">
        <v>204</v>
      </c>
      <c r="E2" t="s">
        <v>263</v>
      </c>
      <c r="G2" s="22" t="s">
        <v>213</v>
      </c>
      <c r="H2" s="22" t="s">
        <v>214</v>
      </c>
      <c r="I2" s="27" t="s">
        <v>264</v>
      </c>
      <c r="J2" s="22" t="s">
        <v>265</v>
      </c>
      <c r="K2" s="19">
        <v>0.06</v>
      </c>
      <c r="L2" s="24">
        <v>1</v>
      </c>
      <c r="M2" s="20">
        <v>30</v>
      </c>
      <c r="N2" s="20">
        <v>95</v>
      </c>
      <c r="O2" t="s">
        <v>266</v>
      </c>
      <c r="P2" s="25">
        <v>22.229600000000001</v>
      </c>
      <c r="Q2" s="20">
        <v>2023</v>
      </c>
      <c r="R2">
        <v>1</v>
      </c>
      <c r="S2" s="17">
        <f>IFERROR(INDEX(Selected_Interventions!$L$2:$L$7,MATCH(G2,Selected_Interventions!$Q$2:$Q$7,0)),"")</f>
        <v>0.113766857372906</v>
      </c>
      <c r="T2" s="17">
        <f>IFERROR(INDEX(Selected_Interventions!$M$2:$M$7,MATCH(G2,Selected_Interventions!$Q$2:$Q$7,0)),"")</f>
        <v>0.41649999999999998</v>
      </c>
      <c r="U2" s="26">
        <f>IFERROR(INDEX(Selected_Interventions!$N$2:$N$7,MATCH(G2,Selected_Interventions!$Q$2:$Q$7,0)),"")</f>
        <v>2025</v>
      </c>
      <c r="V2" s="26">
        <f>IFERROR(INDEX(Selected_Interventions!$O$2:$O$7,MATCH(G2,Selected_Interventions!$Q$2:$Q$7,0)),"")</f>
        <v>2040</v>
      </c>
      <c r="W2" s="22" t="s">
        <v>240</v>
      </c>
      <c r="X2" s="23">
        <f>IF(AND(P2&lt;&gt;"",P2&gt;=0,S2&lt;&gt;"",K2&lt;&gt;"",K2&gt;=0,K2&lt;=1,OR(J2="all",J2="prevalence",J2="incidence")),1,0)</f>
        <v>1</v>
      </c>
    </row>
    <row r="3" spans="1:24" ht="27.6">
      <c r="A3" s="22" t="s">
        <v>267</v>
      </c>
      <c r="B3" s="22" t="s">
        <v>268</v>
      </c>
      <c r="C3" s="22" t="s">
        <v>262</v>
      </c>
      <c r="D3" t="s">
        <v>204</v>
      </c>
      <c r="E3" t="s">
        <v>263</v>
      </c>
      <c r="G3" s="22" t="s">
        <v>213</v>
      </c>
      <c r="H3" s="22" t="s">
        <v>214</v>
      </c>
      <c r="I3" s="27" t="s">
        <v>269</v>
      </c>
      <c r="J3" s="22" t="s">
        <v>265</v>
      </c>
      <c r="K3" s="19">
        <v>0.2</v>
      </c>
      <c r="L3" s="24">
        <v>1</v>
      </c>
      <c r="M3" s="20">
        <v>30</v>
      </c>
      <c r="N3" s="20">
        <v>95</v>
      </c>
      <c r="O3" t="s">
        <v>266</v>
      </c>
      <c r="P3" s="25">
        <v>1.2915840000000001</v>
      </c>
      <c r="Q3" s="20">
        <v>2023</v>
      </c>
      <c r="R3">
        <v>1</v>
      </c>
      <c r="S3" s="17">
        <f>IFERROR(INDEX(Selected_Interventions!$L$2:$L$7,MATCH(G3,Selected_Interventions!$Q$2:$Q$7,0)),"")</f>
        <v>0.113766857372906</v>
      </c>
      <c r="T3" s="17">
        <f>IFERROR(INDEX(Selected_Interventions!$M$2:$M$7,MATCH(G3,Selected_Interventions!$Q$2:$Q$7,0)),"")</f>
        <v>0.41649999999999998</v>
      </c>
      <c r="U3" s="26">
        <f>IFERROR(INDEX(Selected_Interventions!$N$2:$N$7,MATCH(G3,Selected_Interventions!$Q$2:$Q$7,0)),"")</f>
        <v>2025</v>
      </c>
      <c r="V3" s="26">
        <f>IFERROR(INDEX(Selected_Interventions!$O$2:$O$7,MATCH(G3,Selected_Interventions!$Q$2:$Q$7,0)),"")</f>
        <v>2040</v>
      </c>
      <c r="W3" s="22" t="s">
        <v>240</v>
      </c>
      <c r="X3" s="23">
        <f>IF(AND(P3&lt;&gt;"",P3&gt;=0,S3&lt;&gt;"",K3&lt;&gt;"",K3&gt;=0,K3&lt;=1,OR(J3="all",J3="prevalence",J3="incidence")),1,0)</f>
        <v>1</v>
      </c>
    </row>
    <row r="4" spans="1:24" ht="41.4">
      <c r="A4" s="22" t="s">
        <v>270</v>
      </c>
      <c r="B4" s="22" t="s">
        <v>271</v>
      </c>
      <c r="C4" s="22" t="s">
        <v>272</v>
      </c>
      <c r="D4" t="s">
        <v>229</v>
      </c>
      <c r="E4" t="s">
        <v>232</v>
      </c>
      <c r="F4" t="s">
        <v>233</v>
      </c>
      <c r="G4" s="22" t="s">
        <v>230</v>
      </c>
      <c r="H4" s="22" t="s">
        <v>237</v>
      </c>
      <c r="I4" s="27" t="s">
        <v>273</v>
      </c>
      <c r="J4" s="22" t="s">
        <v>274</v>
      </c>
      <c r="K4" s="19">
        <v>0.2</v>
      </c>
      <c r="L4" s="24">
        <v>1</v>
      </c>
      <c r="M4" s="20">
        <v>30</v>
      </c>
      <c r="N4" s="20">
        <v>95</v>
      </c>
      <c r="O4" t="s">
        <v>266</v>
      </c>
      <c r="P4" s="25">
        <v>1154.0355216616899</v>
      </c>
      <c r="Q4" s="20">
        <v>2023</v>
      </c>
      <c r="R4">
        <v>1</v>
      </c>
      <c r="S4" s="17">
        <f>IFERROR(INDEX(Selected_Interventions!$L$2:$L$7,MATCH(G4,Selected_Interventions!$Q$2:$Q$7,0)),"")</f>
        <v>0.147914612579645</v>
      </c>
      <c r="T4" s="17">
        <f>IFERROR(INDEX(Selected_Interventions!$M$2:$M$7,MATCH(G4,Selected_Interventions!$Q$2:$Q$7,0)),"")</f>
        <v>0.41649999999999998</v>
      </c>
      <c r="U4" s="26">
        <f>IFERROR(INDEX(Selected_Interventions!$N$2:$N$7,MATCH(G4,Selected_Interventions!$Q$2:$Q$7,0)),"")</f>
        <v>2025</v>
      </c>
      <c r="V4" s="26">
        <f>IFERROR(INDEX(Selected_Interventions!$O$2:$O$7,MATCH(G4,Selected_Interventions!$Q$2:$Q$7,0)),"")</f>
        <v>2040</v>
      </c>
      <c r="W4" s="22" t="s">
        <v>275</v>
      </c>
      <c r="X4" s="23">
        <f>IF(AND(P4&lt;&gt;"",P4&gt;=0,S4&lt;&gt;"",K4&lt;&gt;"",K4&gt;=0,K4&lt;=1,OR(J4="all",J4="prevalence",J4="incidence")),1,0)</f>
        <v>1</v>
      </c>
    </row>
    <row r="5" spans="1:24" ht="41.4">
      <c r="A5" s="22" t="s">
        <v>276</v>
      </c>
      <c r="B5" s="22" t="s">
        <v>277</v>
      </c>
      <c r="C5" s="22" t="s">
        <v>272</v>
      </c>
      <c r="D5" t="s">
        <v>229</v>
      </c>
      <c r="E5" t="s">
        <v>232</v>
      </c>
      <c r="F5" t="s">
        <v>233</v>
      </c>
      <c r="G5" s="22" t="s">
        <v>230</v>
      </c>
      <c r="H5" s="22" t="s">
        <v>237</v>
      </c>
      <c r="I5" s="27" t="s">
        <v>278</v>
      </c>
      <c r="J5" s="22" t="s">
        <v>274</v>
      </c>
      <c r="K5" s="19">
        <v>0.6</v>
      </c>
      <c r="L5" s="24">
        <v>1</v>
      </c>
      <c r="M5" s="20">
        <v>30</v>
      </c>
      <c r="N5" s="20">
        <v>95</v>
      </c>
      <c r="O5" t="s">
        <v>266</v>
      </c>
      <c r="P5" s="25">
        <v>752.57623226071905</v>
      </c>
      <c r="Q5" s="20">
        <v>2023</v>
      </c>
      <c r="R5">
        <v>1</v>
      </c>
      <c r="S5" s="17">
        <f>IFERROR(INDEX(Selected_Interventions!$L$2:$L$7,MATCH(G5,Selected_Interventions!$Q$2:$Q$7,0)),"")</f>
        <v>0.147914612579645</v>
      </c>
      <c r="T5" s="17">
        <f>IFERROR(INDEX(Selected_Interventions!$M$2:$M$7,MATCH(G5,Selected_Interventions!$Q$2:$Q$7,0)),"")</f>
        <v>0.41649999999999998</v>
      </c>
      <c r="U5" s="26">
        <f>IFERROR(INDEX(Selected_Interventions!$N$2:$N$7,MATCH(G5,Selected_Interventions!$Q$2:$Q$7,0)),"")</f>
        <v>2025</v>
      </c>
      <c r="V5" s="26">
        <f>IFERROR(INDEX(Selected_Interventions!$O$2:$O$7,MATCH(G5,Selected_Interventions!$Q$2:$Q$7,0)),"")</f>
        <v>2040</v>
      </c>
      <c r="W5" s="22" t="s">
        <v>275</v>
      </c>
      <c r="X5" s="23">
        <f>IF(AND(P5&lt;&gt;"",P5&gt;=0,S5&lt;&gt;"",K5&lt;&gt;"",K5&gt;=0,K5&lt;=1,OR(J5="all",J5="prevalence",J5="incidence")),1,0)</f>
        <v>1</v>
      </c>
    </row>
    <row r="6" spans="1:24" ht="41.4">
      <c r="A6" s="22" t="s">
        <v>279</v>
      </c>
      <c r="B6" s="22" t="s">
        <v>280</v>
      </c>
      <c r="C6" s="22" t="s">
        <v>272</v>
      </c>
      <c r="D6" t="s">
        <v>229</v>
      </c>
      <c r="E6" t="s">
        <v>232</v>
      </c>
      <c r="F6" t="s">
        <v>233</v>
      </c>
      <c r="G6" s="22" t="s">
        <v>230</v>
      </c>
      <c r="H6" s="22" t="s">
        <v>237</v>
      </c>
      <c r="I6" s="27" t="s">
        <v>281</v>
      </c>
      <c r="J6" s="22" t="s">
        <v>265</v>
      </c>
      <c r="K6" s="19">
        <v>0.2</v>
      </c>
      <c r="L6" s="24">
        <v>1</v>
      </c>
      <c r="M6" s="20">
        <v>30</v>
      </c>
      <c r="N6" s="20">
        <v>95</v>
      </c>
      <c r="O6" t="s">
        <v>266</v>
      </c>
      <c r="P6" s="25">
        <v>0.70495847821973801</v>
      </c>
      <c r="Q6" s="20">
        <v>2023</v>
      </c>
      <c r="R6">
        <v>1</v>
      </c>
      <c r="S6" s="17">
        <f>IFERROR(INDEX(Selected_Interventions!$L$2:$L$7,MATCH(G6,Selected_Interventions!$Q$2:$Q$7,0)),"")</f>
        <v>0.147914612579645</v>
      </c>
      <c r="T6" s="17">
        <f>IFERROR(INDEX(Selected_Interventions!$M$2:$M$7,MATCH(G6,Selected_Interventions!$Q$2:$Q$7,0)),"")</f>
        <v>0.41649999999999998</v>
      </c>
      <c r="U6" s="26">
        <f>IFERROR(INDEX(Selected_Interventions!$N$2:$N$7,MATCH(G6,Selected_Interventions!$Q$2:$Q$7,0)),"")</f>
        <v>2025</v>
      </c>
      <c r="V6" s="26">
        <f>IFERROR(INDEX(Selected_Interventions!$O$2:$O$7,MATCH(G6,Selected_Interventions!$Q$2:$Q$7,0)),"")</f>
        <v>2040</v>
      </c>
      <c r="W6" s="22" t="s">
        <v>275</v>
      </c>
      <c r="X6" s="23">
        <f>IF(AND(P6&lt;&gt;"",P6&gt;=0,S6&lt;&gt;"",K6&lt;&gt;"",K6&gt;=0,K6&lt;=1,OR(J6="all",J6="prevalence",J6="incidence")),1,0)</f>
        <v>1</v>
      </c>
    </row>
  </sheetData>
  <autoFilter ref="A1:X1" xr:uid="{00000000-0009-0000-0000-000007000000}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65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1.69921875" customWidth="1"/>
    <col min="2" max="2" width="16.69921875" customWidth="1"/>
    <col min="3" max="5" width="11.69921875" customWidth="1"/>
    <col min="6" max="6" width="14.69921875" customWidth="1"/>
    <col min="7" max="7" width="13.69921875" customWidth="1"/>
    <col min="8" max="8" width="16.69921875" customWidth="1"/>
    <col min="9" max="9" width="12.69921875" customWidth="1"/>
    <col min="10" max="10" width="15.69921875" customWidth="1"/>
  </cols>
  <sheetData>
    <row r="1" spans="1:10" ht="28.05" customHeight="1">
      <c r="A1" s="1" t="s">
        <v>282</v>
      </c>
      <c r="B1" s="1" t="s">
        <v>283</v>
      </c>
      <c r="C1" s="1" t="s">
        <v>42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  <c r="I1" s="1" t="s">
        <v>289</v>
      </c>
      <c r="J1" s="1" t="s">
        <v>290</v>
      </c>
    </row>
    <row r="2" spans="1:10">
      <c r="A2" t="s">
        <v>115</v>
      </c>
      <c r="B2" t="s">
        <v>291</v>
      </c>
      <c r="C2" s="20">
        <v>2025</v>
      </c>
      <c r="D2" t="s">
        <v>292</v>
      </c>
      <c r="E2" s="22">
        <v>11293.858953409001</v>
      </c>
      <c r="F2" s="22">
        <v>8456.09110298007</v>
      </c>
      <c r="G2" s="10">
        <v>8456.09110298007</v>
      </c>
      <c r="H2" s="23">
        <f t="shared" ref="H2:H65" si="0">G2-F2</f>
        <v>0</v>
      </c>
      <c r="I2" s="10">
        <v>11293.858953409001</v>
      </c>
      <c r="J2" s="23">
        <f t="shared" ref="J2:J65" si="1">I2-E2</f>
        <v>0</v>
      </c>
    </row>
    <row r="3" spans="1:10">
      <c r="A3" t="s">
        <v>115</v>
      </c>
      <c r="B3" t="s">
        <v>291</v>
      </c>
      <c r="C3" s="20">
        <v>2025</v>
      </c>
      <c r="D3" t="s">
        <v>233</v>
      </c>
      <c r="E3" s="22">
        <v>796801.79248266097</v>
      </c>
      <c r="F3" s="22">
        <v>124437.09967665101</v>
      </c>
      <c r="G3" s="10">
        <v>124437.09967665101</v>
      </c>
      <c r="H3" s="23">
        <f t="shared" si="0"/>
        <v>0</v>
      </c>
      <c r="I3" s="10">
        <v>796801.79248266097</v>
      </c>
      <c r="J3" s="23">
        <f t="shared" si="1"/>
        <v>0</v>
      </c>
    </row>
    <row r="4" spans="1:10">
      <c r="A4" t="s">
        <v>115</v>
      </c>
      <c r="B4" t="s">
        <v>291</v>
      </c>
      <c r="C4" s="20">
        <v>2025</v>
      </c>
      <c r="D4" t="s">
        <v>208</v>
      </c>
      <c r="E4" s="22">
        <v>110599.338170727</v>
      </c>
      <c r="F4" s="22">
        <v>70978.798014499494</v>
      </c>
      <c r="G4" s="10">
        <v>70978.798014499494</v>
      </c>
      <c r="H4" s="23">
        <f t="shared" si="0"/>
        <v>0</v>
      </c>
      <c r="I4" s="10">
        <v>110599.338170727</v>
      </c>
      <c r="J4" s="23">
        <f t="shared" si="1"/>
        <v>0</v>
      </c>
    </row>
    <row r="5" spans="1:10">
      <c r="A5" t="s">
        <v>115</v>
      </c>
      <c r="B5" t="s">
        <v>291</v>
      </c>
      <c r="C5" s="20">
        <v>2025</v>
      </c>
      <c r="D5" t="s">
        <v>219</v>
      </c>
      <c r="E5" s="22">
        <v>269908.90899035003</v>
      </c>
      <c r="F5" s="22">
        <v>250549.928104577</v>
      </c>
      <c r="G5" s="10">
        <v>250549.928104577</v>
      </c>
      <c r="H5" s="23">
        <f t="shared" si="0"/>
        <v>0</v>
      </c>
      <c r="I5" s="10">
        <v>269908.90899035003</v>
      </c>
      <c r="J5" s="23">
        <f t="shared" si="1"/>
        <v>0</v>
      </c>
    </row>
    <row r="6" spans="1:10">
      <c r="A6" t="s">
        <v>115</v>
      </c>
      <c r="B6" t="s">
        <v>291</v>
      </c>
      <c r="C6" s="20">
        <v>2025</v>
      </c>
      <c r="D6" t="s">
        <v>223</v>
      </c>
      <c r="E6" s="22">
        <v>605290.56266535597</v>
      </c>
      <c r="F6" s="22">
        <v>336235.04360375198</v>
      </c>
      <c r="G6" s="10">
        <v>336235.04360375198</v>
      </c>
      <c r="H6" s="23">
        <f t="shared" si="0"/>
        <v>0</v>
      </c>
      <c r="I6" s="10">
        <v>605290.56266535597</v>
      </c>
      <c r="J6" s="23">
        <f t="shared" si="1"/>
        <v>0</v>
      </c>
    </row>
    <row r="7" spans="1:10">
      <c r="A7" t="s">
        <v>115</v>
      </c>
      <c r="B7" t="s">
        <v>291</v>
      </c>
      <c r="C7" s="20">
        <v>2025</v>
      </c>
      <c r="D7" t="s">
        <v>227</v>
      </c>
      <c r="E7" s="22">
        <v>328703.69570834498</v>
      </c>
      <c r="F7" s="22">
        <v>165181.22986253601</v>
      </c>
      <c r="G7" s="10">
        <v>165181.22986253601</v>
      </c>
      <c r="H7" s="23">
        <f t="shared" si="0"/>
        <v>0</v>
      </c>
      <c r="I7" s="10">
        <v>328703.69570834498</v>
      </c>
      <c r="J7" s="23">
        <f t="shared" si="1"/>
        <v>0</v>
      </c>
    </row>
    <row r="8" spans="1:10">
      <c r="A8" t="s">
        <v>115</v>
      </c>
      <c r="B8" t="s">
        <v>291</v>
      </c>
      <c r="C8" s="20">
        <v>2025</v>
      </c>
      <c r="D8" t="s">
        <v>293</v>
      </c>
      <c r="E8" s="22">
        <v>12601.518831830699</v>
      </c>
      <c r="F8" s="22">
        <v>3955.3071189549901</v>
      </c>
      <c r="G8" s="10">
        <v>3955.3071189549901</v>
      </c>
      <c r="H8" s="23">
        <f t="shared" si="0"/>
        <v>0</v>
      </c>
      <c r="I8" s="10">
        <v>12601.518831830699</v>
      </c>
      <c r="J8" s="23">
        <f t="shared" si="1"/>
        <v>0</v>
      </c>
    </row>
    <row r="9" spans="1:10">
      <c r="A9" t="s">
        <v>115</v>
      </c>
      <c r="B9" t="s">
        <v>291</v>
      </c>
      <c r="C9" s="20">
        <v>2026</v>
      </c>
      <c r="D9" t="s">
        <v>292</v>
      </c>
      <c r="E9" s="22">
        <v>11413.940190784901</v>
      </c>
      <c r="F9" s="22">
        <v>8503.0488307289997</v>
      </c>
      <c r="G9" s="10">
        <v>8503.0488307289997</v>
      </c>
      <c r="H9" s="23">
        <f t="shared" si="0"/>
        <v>0</v>
      </c>
      <c r="I9" s="10">
        <v>11413.940190784901</v>
      </c>
      <c r="J9" s="23">
        <f t="shared" si="1"/>
        <v>0</v>
      </c>
    </row>
    <row r="10" spans="1:10">
      <c r="A10" t="s">
        <v>115</v>
      </c>
      <c r="B10" t="s">
        <v>291</v>
      </c>
      <c r="C10" s="20">
        <v>2026</v>
      </c>
      <c r="D10" t="s">
        <v>233</v>
      </c>
      <c r="E10" s="22">
        <v>813844.56971614505</v>
      </c>
      <c r="F10" s="22">
        <v>128308.493308791</v>
      </c>
      <c r="G10" s="10">
        <v>128333.952745922</v>
      </c>
      <c r="H10" s="23">
        <f t="shared" si="0"/>
        <v>25.459437130994047</v>
      </c>
      <c r="I10" s="10">
        <v>813844.56971614505</v>
      </c>
      <c r="J10" s="23">
        <f t="shared" si="1"/>
        <v>0</v>
      </c>
    </row>
    <row r="11" spans="1:10">
      <c r="A11" t="s">
        <v>115</v>
      </c>
      <c r="B11" t="s">
        <v>291</v>
      </c>
      <c r="C11" s="20">
        <v>2026</v>
      </c>
      <c r="D11" t="s">
        <v>208</v>
      </c>
      <c r="E11" s="22">
        <v>113041.246361985</v>
      </c>
      <c r="F11" s="22">
        <v>72339.688419073296</v>
      </c>
      <c r="G11" s="10">
        <v>72339.688419073296</v>
      </c>
      <c r="H11" s="23">
        <f t="shared" si="0"/>
        <v>0</v>
      </c>
      <c r="I11" s="10">
        <v>113261.467181129</v>
      </c>
      <c r="J11" s="23">
        <f t="shared" si="1"/>
        <v>220.22081914400042</v>
      </c>
    </row>
    <row r="12" spans="1:10">
      <c r="A12" t="s">
        <v>115</v>
      </c>
      <c r="B12" t="s">
        <v>291</v>
      </c>
      <c r="C12" s="20">
        <v>2026</v>
      </c>
      <c r="D12" t="s">
        <v>219</v>
      </c>
      <c r="E12" s="22">
        <v>273715.667008196</v>
      </c>
      <c r="F12" s="22">
        <v>254910.75262748101</v>
      </c>
      <c r="G12" s="10">
        <v>254910.75262748101</v>
      </c>
      <c r="H12" s="23">
        <f t="shared" si="0"/>
        <v>0</v>
      </c>
      <c r="I12" s="10">
        <v>274200.57792951202</v>
      </c>
      <c r="J12" s="23">
        <f t="shared" si="1"/>
        <v>484.91092131601181</v>
      </c>
    </row>
    <row r="13" spans="1:10">
      <c r="A13" t="s">
        <v>115</v>
      </c>
      <c r="B13" t="s">
        <v>291</v>
      </c>
      <c r="C13" s="20">
        <v>2026</v>
      </c>
      <c r="D13" t="s">
        <v>223</v>
      </c>
      <c r="E13" s="22">
        <v>618676.49763685197</v>
      </c>
      <c r="F13" s="22">
        <v>344911.266224174</v>
      </c>
      <c r="G13" s="10">
        <v>344917.06433933502</v>
      </c>
      <c r="H13" s="23">
        <f t="shared" si="0"/>
        <v>5.7981151610147208</v>
      </c>
      <c r="I13" s="10">
        <v>620097.59477910295</v>
      </c>
      <c r="J13" s="23">
        <f t="shared" si="1"/>
        <v>1421.0971422509756</v>
      </c>
    </row>
    <row r="14" spans="1:10">
      <c r="A14" t="s">
        <v>115</v>
      </c>
      <c r="B14" t="s">
        <v>291</v>
      </c>
      <c r="C14" s="20">
        <v>2026</v>
      </c>
      <c r="D14" t="s">
        <v>227</v>
      </c>
      <c r="E14" s="22">
        <v>334904.58884991403</v>
      </c>
      <c r="F14" s="22">
        <v>167951.384337069</v>
      </c>
      <c r="G14" s="10">
        <v>167951.384337069</v>
      </c>
      <c r="H14" s="23">
        <f t="shared" si="0"/>
        <v>0</v>
      </c>
      <c r="I14" s="10">
        <v>335570.10792798002</v>
      </c>
      <c r="J14" s="23">
        <f t="shared" si="1"/>
        <v>665.51907806599047</v>
      </c>
    </row>
    <row r="15" spans="1:10">
      <c r="A15" t="s">
        <v>115</v>
      </c>
      <c r="B15" t="s">
        <v>291</v>
      </c>
      <c r="C15" s="20">
        <v>2026</v>
      </c>
      <c r="D15" t="s">
        <v>293</v>
      </c>
      <c r="E15" s="22">
        <v>12631.200997652901</v>
      </c>
      <c r="F15" s="22">
        <v>3824.4137584423902</v>
      </c>
      <c r="G15" s="10">
        <v>3824.4137584423902</v>
      </c>
      <c r="H15" s="23">
        <f t="shared" si="0"/>
        <v>0</v>
      </c>
      <c r="I15" s="10">
        <v>12631.200997652901</v>
      </c>
      <c r="J15" s="23">
        <f t="shared" si="1"/>
        <v>0</v>
      </c>
    </row>
    <row r="16" spans="1:10">
      <c r="A16" t="s">
        <v>115</v>
      </c>
      <c r="B16" t="s">
        <v>291</v>
      </c>
      <c r="C16" s="20">
        <v>2027</v>
      </c>
      <c r="D16" t="s">
        <v>292</v>
      </c>
      <c r="E16" s="22">
        <v>11515.6019036079</v>
      </c>
      <c r="F16" s="22">
        <v>8579.0390533746195</v>
      </c>
      <c r="G16" s="10">
        <v>8579.0390533746195</v>
      </c>
      <c r="H16" s="23">
        <f t="shared" si="0"/>
        <v>0</v>
      </c>
      <c r="I16" s="10">
        <v>11515.589107809999</v>
      </c>
      <c r="J16" s="23">
        <f t="shared" si="1"/>
        <v>-1.2795797900253092E-2</v>
      </c>
    </row>
    <row r="17" spans="1:10">
      <c r="A17" t="s">
        <v>115</v>
      </c>
      <c r="B17" t="s">
        <v>291</v>
      </c>
      <c r="C17" s="20">
        <v>2027</v>
      </c>
      <c r="D17" t="s">
        <v>233</v>
      </c>
      <c r="E17" s="22">
        <v>832166.95152459899</v>
      </c>
      <c r="F17" s="22">
        <v>132410.14854551799</v>
      </c>
      <c r="G17" s="10">
        <v>132462.18825116701</v>
      </c>
      <c r="H17" s="23">
        <f t="shared" si="0"/>
        <v>52.039705649018288</v>
      </c>
      <c r="I17" s="10">
        <v>832166.90618592501</v>
      </c>
      <c r="J17" s="23">
        <f t="shared" si="1"/>
        <v>-4.5338673982769251E-2</v>
      </c>
    </row>
    <row r="18" spans="1:10">
      <c r="A18" t="s">
        <v>115</v>
      </c>
      <c r="B18" t="s">
        <v>291</v>
      </c>
      <c r="C18" s="20">
        <v>2027</v>
      </c>
      <c r="D18" t="s">
        <v>208</v>
      </c>
      <c r="E18" s="22">
        <v>115481.686547736</v>
      </c>
      <c r="F18" s="22">
        <v>73825.197100372097</v>
      </c>
      <c r="G18" s="10">
        <v>73859.910292566405</v>
      </c>
      <c r="H18" s="23">
        <f t="shared" si="0"/>
        <v>34.713192194307339</v>
      </c>
      <c r="I18" s="10">
        <v>115932.76937563501</v>
      </c>
      <c r="J18" s="23">
        <f t="shared" si="1"/>
        <v>451.08282789900841</v>
      </c>
    </row>
    <row r="19" spans="1:10">
      <c r="A19" t="s">
        <v>115</v>
      </c>
      <c r="B19" t="s">
        <v>291</v>
      </c>
      <c r="C19" s="20">
        <v>2027</v>
      </c>
      <c r="D19" t="s">
        <v>219</v>
      </c>
      <c r="E19" s="22">
        <v>277522.63989424001</v>
      </c>
      <c r="F19" s="22">
        <v>259110.97934248199</v>
      </c>
      <c r="G19" s="10">
        <v>259318.038089282</v>
      </c>
      <c r="H19" s="23">
        <f t="shared" si="0"/>
        <v>207.05874680000124</v>
      </c>
      <c r="I19" s="10">
        <v>278508.66764215502</v>
      </c>
      <c r="J19" s="23">
        <f t="shared" si="1"/>
        <v>986.02774791500997</v>
      </c>
    </row>
    <row r="20" spans="1:10">
      <c r="A20" t="s">
        <v>115</v>
      </c>
      <c r="B20" t="s">
        <v>291</v>
      </c>
      <c r="C20" s="20">
        <v>2027</v>
      </c>
      <c r="D20" t="s">
        <v>223</v>
      </c>
      <c r="E20" s="22">
        <v>632188.442674638</v>
      </c>
      <c r="F20" s="22">
        <v>354074.01284995198</v>
      </c>
      <c r="G20" s="10">
        <v>354171.54436264501</v>
      </c>
      <c r="H20" s="23">
        <f t="shared" si="0"/>
        <v>97.531512693036348</v>
      </c>
      <c r="I20" s="10">
        <v>635095.67155774101</v>
      </c>
      <c r="J20" s="23">
        <f t="shared" si="1"/>
        <v>2907.2288831030019</v>
      </c>
    </row>
    <row r="21" spans="1:10">
      <c r="A21" t="s">
        <v>115</v>
      </c>
      <c r="B21" t="s">
        <v>291</v>
      </c>
      <c r="C21" s="20">
        <v>2027</v>
      </c>
      <c r="D21" t="s">
        <v>227</v>
      </c>
      <c r="E21" s="22">
        <v>341131.206237518</v>
      </c>
      <c r="F21" s="22">
        <v>171208.706907193</v>
      </c>
      <c r="G21" s="10">
        <v>171237.362695819</v>
      </c>
      <c r="H21" s="23">
        <f t="shared" si="0"/>
        <v>28.655788625997957</v>
      </c>
      <c r="I21" s="10">
        <v>342492.40509895701</v>
      </c>
      <c r="J21" s="23">
        <f t="shared" si="1"/>
        <v>1361.1988614390139</v>
      </c>
    </row>
    <row r="22" spans="1:10">
      <c r="A22" t="s">
        <v>115</v>
      </c>
      <c r="B22" t="s">
        <v>291</v>
      </c>
      <c r="C22" s="20">
        <v>2027</v>
      </c>
      <c r="D22" t="s">
        <v>293</v>
      </c>
      <c r="E22" s="22">
        <v>12629.8030034608</v>
      </c>
      <c r="F22" s="22">
        <v>3692.7080349650801</v>
      </c>
      <c r="G22" s="10">
        <v>3692.7080349650801</v>
      </c>
      <c r="H22" s="23">
        <f t="shared" si="0"/>
        <v>0</v>
      </c>
      <c r="I22" s="10">
        <v>12629.8028477439</v>
      </c>
      <c r="J22" s="23">
        <f t="shared" si="1"/>
        <v>-1.5571689982607495E-4</v>
      </c>
    </row>
    <row r="23" spans="1:10">
      <c r="A23" t="s">
        <v>115</v>
      </c>
      <c r="B23" t="s">
        <v>291</v>
      </c>
      <c r="C23" s="20">
        <v>2028</v>
      </c>
      <c r="D23" t="s">
        <v>292</v>
      </c>
      <c r="E23" s="22">
        <v>11829.531731299099</v>
      </c>
      <c r="F23" s="22">
        <v>8690.9735835363408</v>
      </c>
      <c r="G23" s="10">
        <v>8690.9707915108793</v>
      </c>
      <c r="H23" s="23">
        <f t="shared" si="0"/>
        <v>-2.7920254615310114E-3</v>
      </c>
      <c r="I23" s="10">
        <v>11829.3995552585</v>
      </c>
      <c r="J23" s="23">
        <f t="shared" si="1"/>
        <v>-0.13217604059900623</v>
      </c>
    </row>
    <row r="24" spans="1:10">
      <c r="A24" t="s">
        <v>115</v>
      </c>
      <c r="B24" t="s">
        <v>291</v>
      </c>
      <c r="C24" s="20">
        <v>2028</v>
      </c>
      <c r="D24" t="s">
        <v>233</v>
      </c>
      <c r="E24" s="22">
        <v>854961.17205721897</v>
      </c>
      <c r="F24" s="22">
        <v>136690.68292498999</v>
      </c>
      <c r="G24" s="10">
        <v>136770.52662347999</v>
      </c>
      <c r="H24" s="23">
        <f t="shared" si="0"/>
        <v>79.84369849000359</v>
      </c>
      <c r="I24" s="10">
        <v>854958.47696154099</v>
      </c>
      <c r="J24" s="23">
        <f t="shared" si="1"/>
        <v>-2.6950956779764965</v>
      </c>
    </row>
    <row r="25" spans="1:10">
      <c r="A25" t="s">
        <v>115</v>
      </c>
      <c r="B25" t="s">
        <v>291</v>
      </c>
      <c r="C25" s="20">
        <v>2028</v>
      </c>
      <c r="D25" t="s">
        <v>208</v>
      </c>
      <c r="E25" s="22">
        <v>118991.772690379</v>
      </c>
      <c r="F25" s="22">
        <v>75447.169781590594</v>
      </c>
      <c r="G25" s="10">
        <v>75545.086800111196</v>
      </c>
      <c r="H25" s="23">
        <f t="shared" si="0"/>
        <v>97.917018520602142</v>
      </c>
      <c r="I25" s="10">
        <v>119684.609316206</v>
      </c>
      <c r="J25" s="23">
        <f t="shared" si="1"/>
        <v>692.83662582699617</v>
      </c>
    </row>
    <row r="26" spans="1:10">
      <c r="A26" t="s">
        <v>115</v>
      </c>
      <c r="B26" t="s">
        <v>291</v>
      </c>
      <c r="C26" s="20">
        <v>2028</v>
      </c>
      <c r="D26" t="s">
        <v>219</v>
      </c>
      <c r="E26" s="22">
        <v>281703.77036214899</v>
      </c>
      <c r="F26" s="22">
        <v>263252.68550937198</v>
      </c>
      <c r="G26" s="10">
        <v>263753.748205613</v>
      </c>
      <c r="H26" s="23">
        <f t="shared" si="0"/>
        <v>501.06269624101697</v>
      </c>
      <c r="I26" s="10">
        <v>283208.63975277002</v>
      </c>
      <c r="J26" s="23">
        <f t="shared" si="1"/>
        <v>1504.8693906210246</v>
      </c>
    </row>
    <row r="27" spans="1:10">
      <c r="A27" t="s">
        <v>115</v>
      </c>
      <c r="B27" t="s">
        <v>291</v>
      </c>
      <c r="C27" s="20">
        <v>2028</v>
      </c>
      <c r="D27" t="s">
        <v>223</v>
      </c>
      <c r="E27" s="22">
        <v>649727.39496372303</v>
      </c>
      <c r="F27" s="22">
        <v>363670.47085893201</v>
      </c>
      <c r="G27" s="10">
        <v>363945.25377713301</v>
      </c>
      <c r="H27" s="23">
        <f t="shared" si="0"/>
        <v>274.78291820100276</v>
      </c>
      <c r="I27" s="10">
        <v>654200.04940095695</v>
      </c>
      <c r="J27" s="23">
        <f t="shared" si="1"/>
        <v>4472.6544372339267</v>
      </c>
    </row>
    <row r="28" spans="1:10">
      <c r="A28" t="s">
        <v>115</v>
      </c>
      <c r="B28" t="s">
        <v>291</v>
      </c>
      <c r="C28" s="20">
        <v>2028</v>
      </c>
      <c r="D28" t="s">
        <v>227</v>
      </c>
      <c r="E28" s="22">
        <v>349651.22862121399</v>
      </c>
      <c r="F28" s="22">
        <v>175149.69271812699</v>
      </c>
      <c r="G28" s="10">
        <v>175235.34482666399</v>
      </c>
      <c r="H28" s="23">
        <f t="shared" si="0"/>
        <v>85.652108537004096</v>
      </c>
      <c r="I28" s="10">
        <v>351745.98328413401</v>
      </c>
      <c r="J28" s="23">
        <f t="shared" si="1"/>
        <v>2094.7546629200224</v>
      </c>
    </row>
    <row r="29" spans="1:10">
      <c r="A29" t="s">
        <v>115</v>
      </c>
      <c r="B29" t="s">
        <v>291</v>
      </c>
      <c r="C29" s="20">
        <v>2028</v>
      </c>
      <c r="D29" t="s">
        <v>293</v>
      </c>
      <c r="E29" s="22">
        <v>12493.5414815772</v>
      </c>
      <c r="F29" s="22">
        <v>3559.5380033582901</v>
      </c>
      <c r="G29" s="10">
        <v>3559.53799626408</v>
      </c>
      <c r="H29" s="23">
        <f t="shared" si="0"/>
        <v>-7.0942101046966854E-6</v>
      </c>
      <c r="I29" s="10">
        <v>12493.541081487199</v>
      </c>
      <c r="J29" s="23">
        <f t="shared" si="1"/>
        <v>-4.0009000076679513E-4</v>
      </c>
    </row>
    <row r="30" spans="1:10">
      <c r="A30" t="s">
        <v>115</v>
      </c>
      <c r="B30" t="s">
        <v>291</v>
      </c>
      <c r="C30" s="20">
        <v>2029</v>
      </c>
      <c r="D30" t="s">
        <v>292</v>
      </c>
      <c r="E30" s="22">
        <v>12020.646597217699</v>
      </c>
      <c r="F30" s="22">
        <v>8820.4207440417304</v>
      </c>
      <c r="G30" s="10">
        <v>8820.3946266869098</v>
      </c>
      <c r="H30" s="23">
        <f t="shared" si="0"/>
        <v>-2.6117354820598848E-2</v>
      </c>
      <c r="I30" s="10">
        <v>12020.2428783132</v>
      </c>
      <c r="J30" s="23">
        <f t="shared" si="1"/>
        <v>-0.40371890449932835</v>
      </c>
    </row>
    <row r="31" spans="1:10">
      <c r="A31" t="s">
        <v>115</v>
      </c>
      <c r="B31" t="s">
        <v>291</v>
      </c>
      <c r="C31" s="20">
        <v>2029</v>
      </c>
      <c r="D31" t="s">
        <v>233</v>
      </c>
      <c r="E31" s="22">
        <v>872132.14211500902</v>
      </c>
      <c r="F31" s="22">
        <v>141310.10618837201</v>
      </c>
      <c r="G31" s="10">
        <v>141419.192572278</v>
      </c>
      <c r="H31" s="23">
        <f t="shared" si="0"/>
        <v>109.08638390598935</v>
      </c>
      <c r="I31" s="10">
        <v>872122.58793486003</v>
      </c>
      <c r="J31" s="23">
        <f t="shared" si="1"/>
        <v>-9.5541801489889622</v>
      </c>
    </row>
    <row r="32" spans="1:10">
      <c r="A32" t="s">
        <v>115</v>
      </c>
      <c r="B32" t="s">
        <v>291</v>
      </c>
      <c r="C32" s="20">
        <v>2029</v>
      </c>
      <c r="D32" t="s">
        <v>208</v>
      </c>
      <c r="E32" s="22">
        <v>121756.90428088899</v>
      </c>
      <c r="F32" s="22">
        <v>77198.084766768196</v>
      </c>
      <c r="G32" s="10">
        <v>77383.250901099105</v>
      </c>
      <c r="H32" s="23">
        <f t="shared" si="0"/>
        <v>185.1661343309097</v>
      </c>
      <c r="I32" s="10">
        <v>122702.09169944801</v>
      </c>
      <c r="J32" s="23">
        <f t="shared" si="1"/>
        <v>945.18741855901317</v>
      </c>
    </row>
    <row r="33" spans="1:10">
      <c r="A33" t="s">
        <v>115</v>
      </c>
      <c r="B33" t="s">
        <v>291</v>
      </c>
      <c r="C33" s="20">
        <v>2029</v>
      </c>
      <c r="D33" t="s">
        <v>219</v>
      </c>
      <c r="E33" s="22">
        <v>285770.05765659199</v>
      </c>
      <c r="F33" s="22">
        <v>267615.92735475698</v>
      </c>
      <c r="G33" s="10">
        <v>268469.01867672201</v>
      </c>
      <c r="H33" s="23">
        <f t="shared" si="0"/>
        <v>853.09132196503924</v>
      </c>
      <c r="I33" s="10">
        <v>287809.159991119</v>
      </c>
      <c r="J33" s="23">
        <f t="shared" si="1"/>
        <v>2039.1023345270078</v>
      </c>
    </row>
    <row r="34" spans="1:10">
      <c r="A34" t="s">
        <v>115</v>
      </c>
      <c r="B34" t="s">
        <v>291</v>
      </c>
      <c r="C34" s="20">
        <v>2029</v>
      </c>
      <c r="D34" t="s">
        <v>223</v>
      </c>
      <c r="E34" s="22">
        <v>663951.53844056698</v>
      </c>
      <c r="F34" s="22">
        <v>373981.10476918402</v>
      </c>
      <c r="G34" s="10">
        <v>374519.26487124799</v>
      </c>
      <c r="H34" s="23">
        <f t="shared" si="0"/>
        <v>538.16010206396459</v>
      </c>
      <c r="I34" s="10">
        <v>670042.029002105</v>
      </c>
      <c r="J34" s="23">
        <f t="shared" si="1"/>
        <v>6090.4905615380267</v>
      </c>
    </row>
    <row r="35" spans="1:10">
      <c r="A35" t="s">
        <v>115</v>
      </c>
      <c r="B35" t="s">
        <v>291</v>
      </c>
      <c r="C35" s="20">
        <v>2029</v>
      </c>
      <c r="D35" t="s">
        <v>227</v>
      </c>
      <c r="E35" s="22">
        <v>356634.36323161301</v>
      </c>
      <c r="F35" s="22">
        <v>179397.407257499</v>
      </c>
      <c r="G35" s="10">
        <v>179568.51796081799</v>
      </c>
      <c r="H35" s="23">
        <f t="shared" si="0"/>
        <v>171.110703318991</v>
      </c>
      <c r="I35" s="10">
        <v>359486.67235883599</v>
      </c>
      <c r="J35" s="23">
        <f t="shared" si="1"/>
        <v>2852.3091272229794</v>
      </c>
    </row>
    <row r="36" spans="1:10">
      <c r="A36" t="s">
        <v>115</v>
      </c>
      <c r="B36" t="s">
        <v>291</v>
      </c>
      <c r="C36" s="20">
        <v>2029</v>
      </c>
      <c r="D36" t="s">
        <v>293</v>
      </c>
      <c r="E36" s="22">
        <v>12505.290469258</v>
      </c>
      <c r="F36" s="22">
        <v>3430.7710765665402</v>
      </c>
      <c r="G36" s="10">
        <v>3430.77105367489</v>
      </c>
      <c r="H36" s="23">
        <f t="shared" si="0"/>
        <v>-2.2891650132805808E-5</v>
      </c>
      <c r="I36" s="10">
        <v>12505.289709123201</v>
      </c>
      <c r="J36" s="23">
        <f t="shared" si="1"/>
        <v>-7.6013479883840773E-4</v>
      </c>
    </row>
    <row r="37" spans="1:10">
      <c r="A37" t="s">
        <v>115</v>
      </c>
      <c r="B37" t="s">
        <v>291</v>
      </c>
      <c r="C37" s="20">
        <v>2030</v>
      </c>
      <c r="D37" t="s">
        <v>292</v>
      </c>
      <c r="E37" s="22">
        <v>12275.1695267632</v>
      </c>
      <c r="F37" s="22">
        <v>8965.6894139922897</v>
      </c>
      <c r="G37" s="10">
        <v>8965.5972388295504</v>
      </c>
      <c r="H37" s="23">
        <f t="shared" si="0"/>
        <v>-9.2175162739295047E-2</v>
      </c>
      <c r="I37" s="10">
        <v>12274.264734443401</v>
      </c>
      <c r="J37" s="23">
        <f t="shared" si="1"/>
        <v>-0.90479231979952601</v>
      </c>
    </row>
    <row r="38" spans="1:10">
      <c r="A38" t="s">
        <v>115</v>
      </c>
      <c r="B38" t="s">
        <v>291</v>
      </c>
      <c r="C38" s="20">
        <v>2030</v>
      </c>
      <c r="D38" t="s">
        <v>233</v>
      </c>
      <c r="E38" s="22">
        <v>888670.60032216203</v>
      </c>
      <c r="F38" s="22">
        <v>146116.53004099001</v>
      </c>
      <c r="G38" s="10">
        <v>146256.073838529</v>
      </c>
      <c r="H38" s="23">
        <f t="shared" si="0"/>
        <v>139.54379753899411</v>
      </c>
      <c r="I38" s="10">
        <v>888648.84909112402</v>
      </c>
      <c r="J38" s="23">
        <f t="shared" si="1"/>
        <v>-21.751231038011611</v>
      </c>
    </row>
    <row r="39" spans="1:10">
      <c r="A39" t="s">
        <v>115</v>
      </c>
      <c r="B39" t="s">
        <v>291</v>
      </c>
      <c r="C39" s="20">
        <v>2030</v>
      </c>
      <c r="D39" t="s">
        <v>208</v>
      </c>
      <c r="E39" s="22">
        <v>124894.789868124</v>
      </c>
      <c r="F39" s="22">
        <v>79042.346238965096</v>
      </c>
      <c r="G39" s="10">
        <v>79334.798361602807</v>
      </c>
      <c r="H39" s="23">
        <f t="shared" si="0"/>
        <v>292.452122637711</v>
      </c>
      <c r="I39" s="10">
        <v>126100.520404265</v>
      </c>
      <c r="J39" s="23">
        <f t="shared" si="1"/>
        <v>1205.7305361409963</v>
      </c>
    </row>
    <row r="40" spans="1:10">
      <c r="A40" t="s">
        <v>115</v>
      </c>
      <c r="B40" t="s">
        <v>291</v>
      </c>
      <c r="C40" s="20">
        <v>2030</v>
      </c>
      <c r="D40" t="s">
        <v>219</v>
      </c>
      <c r="E40" s="22">
        <v>289706.33862610499</v>
      </c>
      <c r="F40" s="22">
        <v>271909.96269865002</v>
      </c>
      <c r="G40" s="10">
        <v>273157.810650434</v>
      </c>
      <c r="H40" s="23">
        <f t="shared" si="0"/>
        <v>1247.8479517839733</v>
      </c>
      <c r="I40" s="10">
        <v>292286.01702985802</v>
      </c>
      <c r="J40" s="23">
        <f t="shared" si="1"/>
        <v>2579.6784037530306</v>
      </c>
    </row>
    <row r="41" spans="1:10">
      <c r="A41" t="s">
        <v>115</v>
      </c>
      <c r="B41" t="s">
        <v>291</v>
      </c>
      <c r="C41" s="20">
        <v>2030</v>
      </c>
      <c r="D41" t="s">
        <v>223</v>
      </c>
      <c r="E41" s="22">
        <v>678780.05219275097</v>
      </c>
      <c r="F41" s="22">
        <v>384531.44230376801</v>
      </c>
      <c r="G41" s="10">
        <v>385417.27941906598</v>
      </c>
      <c r="H41" s="23">
        <f t="shared" si="0"/>
        <v>885.8371152979671</v>
      </c>
      <c r="I41" s="10">
        <v>686528.81687195494</v>
      </c>
      <c r="J41" s="23">
        <f t="shared" si="1"/>
        <v>7748.7646792039741</v>
      </c>
    </row>
    <row r="42" spans="1:10">
      <c r="A42" t="s">
        <v>115</v>
      </c>
      <c r="B42" t="s">
        <v>291</v>
      </c>
      <c r="C42" s="20">
        <v>2030</v>
      </c>
      <c r="D42" t="s">
        <v>227</v>
      </c>
      <c r="E42" s="22">
        <v>364324.09344348201</v>
      </c>
      <c r="F42" s="22">
        <v>184093.19292334799</v>
      </c>
      <c r="G42" s="10">
        <v>184377.512558869</v>
      </c>
      <c r="H42" s="23">
        <f t="shared" si="0"/>
        <v>284.31963552100933</v>
      </c>
      <c r="I42" s="10">
        <v>367955.05484547</v>
      </c>
      <c r="J42" s="23">
        <f t="shared" si="1"/>
        <v>3630.9614019879955</v>
      </c>
    </row>
    <row r="43" spans="1:10">
      <c r="A43" t="s">
        <v>115</v>
      </c>
      <c r="B43" t="s">
        <v>291</v>
      </c>
      <c r="C43" s="20">
        <v>2030</v>
      </c>
      <c r="D43" t="s">
        <v>293</v>
      </c>
      <c r="E43" s="22">
        <v>12655.278632691399</v>
      </c>
      <c r="F43" s="22">
        <v>3301.1467085663198</v>
      </c>
      <c r="G43" s="10">
        <v>3301.1466621342702</v>
      </c>
      <c r="H43" s="23">
        <f t="shared" si="0"/>
        <v>-4.6432049657596508E-5</v>
      </c>
      <c r="I43" s="10">
        <v>12655.277490168401</v>
      </c>
      <c r="J43" s="23">
        <f t="shared" si="1"/>
        <v>-1.1425229986343766E-3</v>
      </c>
    </row>
    <row r="44" spans="1:10">
      <c r="A44" t="s">
        <v>115</v>
      </c>
      <c r="B44" t="s">
        <v>291</v>
      </c>
      <c r="C44" s="20">
        <v>2031</v>
      </c>
      <c r="D44" t="s">
        <v>292</v>
      </c>
      <c r="E44" s="22">
        <v>12508.349861646901</v>
      </c>
      <c r="F44" s="22">
        <v>9114.7137074818293</v>
      </c>
      <c r="G44" s="10">
        <v>9114.4830231047799</v>
      </c>
      <c r="H44" s="23">
        <f t="shared" si="0"/>
        <v>-0.23068437704932876</v>
      </c>
      <c r="I44" s="10">
        <v>12506.5880665311</v>
      </c>
      <c r="J44" s="23">
        <f t="shared" si="1"/>
        <v>-1.7617951158008509</v>
      </c>
    </row>
    <row r="45" spans="1:10">
      <c r="A45" t="s">
        <v>115</v>
      </c>
      <c r="B45" t="s">
        <v>291</v>
      </c>
      <c r="C45" s="20">
        <v>2031</v>
      </c>
      <c r="D45" t="s">
        <v>233</v>
      </c>
      <c r="E45" s="22">
        <v>905741.545689338</v>
      </c>
      <c r="F45" s="22">
        <v>149699.037471763</v>
      </c>
      <c r="G45" s="10">
        <v>151017.314585235</v>
      </c>
      <c r="H45" s="23">
        <f t="shared" si="0"/>
        <v>1318.2771134719951</v>
      </c>
      <c r="I45" s="10">
        <v>905698.50533387996</v>
      </c>
      <c r="J45" s="23">
        <f t="shared" si="1"/>
        <v>-43.040355458040722</v>
      </c>
    </row>
    <row r="46" spans="1:10">
      <c r="A46" t="s">
        <v>115</v>
      </c>
      <c r="B46" t="s">
        <v>291</v>
      </c>
      <c r="C46" s="20">
        <v>2031</v>
      </c>
      <c r="D46" t="s">
        <v>208</v>
      </c>
      <c r="E46" s="22">
        <v>126591.139267099</v>
      </c>
      <c r="F46" s="22">
        <v>80804.986686355507</v>
      </c>
      <c r="G46" s="10">
        <v>81221.214270957804</v>
      </c>
      <c r="H46" s="23">
        <f t="shared" si="0"/>
        <v>416.2275846022967</v>
      </c>
      <c r="I46" s="10">
        <v>129337.02061388201</v>
      </c>
      <c r="J46" s="23">
        <f t="shared" si="1"/>
        <v>2745.8813467830041</v>
      </c>
    </row>
    <row r="47" spans="1:10">
      <c r="A47" t="s">
        <v>115</v>
      </c>
      <c r="B47" t="s">
        <v>291</v>
      </c>
      <c r="C47" s="20">
        <v>2031</v>
      </c>
      <c r="D47" t="s">
        <v>219</v>
      </c>
      <c r="E47" s="22">
        <v>290759.61700985202</v>
      </c>
      <c r="F47" s="22">
        <v>275733.17446961999</v>
      </c>
      <c r="G47" s="10">
        <v>277404.15219534899</v>
      </c>
      <c r="H47" s="23">
        <f t="shared" si="0"/>
        <v>1670.977725728997</v>
      </c>
      <c r="I47" s="10">
        <v>296437.73837872199</v>
      </c>
      <c r="J47" s="23">
        <f t="shared" si="1"/>
        <v>5678.1213688699645</v>
      </c>
    </row>
    <row r="48" spans="1:10">
      <c r="A48" t="s">
        <v>115</v>
      </c>
      <c r="B48" t="s">
        <v>291</v>
      </c>
      <c r="C48" s="20">
        <v>2031</v>
      </c>
      <c r="D48" t="s">
        <v>223</v>
      </c>
      <c r="E48" s="22">
        <v>686153.080487889</v>
      </c>
      <c r="F48" s="22">
        <v>394528.35856378899</v>
      </c>
      <c r="G48" s="10">
        <v>396078.261698986</v>
      </c>
      <c r="H48" s="23">
        <f t="shared" si="0"/>
        <v>1549.9031351970043</v>
      </c>
      <c r="I48" s="10">
        <v>702548.13433482195</v>
      </c>
      <c r="J48" s="23">
        <f t="shared" si="1"/>
        <v>16395.053846932948</v>
      </c>
    </row>
    <row r="49" spans="1:10">
      <c r="A49" t="s">
        <v>115</v>
      </c>
      <c r="B49" t="s">
        <v>291</v>
      </c>
      <c r="C49" s="20">
        <v>2031</v>
      </c>
      <c r="D49" t="s">
        <v>227</v>
      </c>
      <c r="E49" s="22">
        <v>368213.28619697498</v>
      </c>
      <c r="F49" s="22">
        <v>188720.74238984901</v>
      </c>
      <c r="G49" s="10">
        <v>189147.35229478899</v>
      </c>
      <c r="H49" s="23">
        <f t="shared" si="0"/>
        <v>426.60990493997815</v>
      </c>
      <c r="I49" s="10">
        <v>376026.788964657</v>
      </c>
      <c r="J49" s="23">
        <f t="shared" si="1"/>
        <v>7813.5027676820173</v>
      </c>
    </row>
    <row r="50" spans="1:10">
      <c r="A50" t="s">
        <v>115</v>
      </c>
      <c r="B50" t="s">
        <v>291</v>
      </c>
      <c r="C50" s="20">
        <v>2031</v>
      </c>
      <c r="D50" t="s">
        <v>293</v>
      </c>
      <c r="E50" s="22">
        <v>12740.6294740332</v>
      </c>
      <c r="F50" s="22">
        <v>3174.86324593687</v>
      </c>
      <c r="G50" s="10">
        <v>3174.86317276916</v>
      </c>
      <c r="H50" s="23">
        <f t="shared" si="0"/>
        <v>-7.3167710070265457E-5</v>
      </c>
      <c r="I50" s="10">
        <v>12740.6278729228</v>
      </c>
      <c r="J50" s="23">
        <f t="shared" si="1"/>
        <v>-1.6011103998607723E-3</v>
      </c>
    </row>
    <row r="51" spans="1:10">
      <c r="A51" t="s">
        <v>115</v>
      </c>
      <c r="B51" t="s">
        <v>291</v>
      </c>
      <c r="C51" s="20">
        <v>2032</v>
      </c>
      <c r="D51" t="s">
        <v>292</v>
      </c>
      <c r="E51" s="22">
        <v>12747.444300304</v>
      </c>
      <c r="F51" s="22">
        <v>9268.3895696923191</v>
      </c>
      <c r="G51" s="10">
        <v>9267.9117528710594</v>
      </c>
      <c r="H51" s="23">
        <f t="shared" si="0"/>
        <v>-0.47781682125969382</v>
      </c>
      <c r="I51" s="10">
        <v>12743.894407130299</v>
      </c>
      <c r="J51" s="23">
        <f t="shared" si="1"/>
        <v>-3.549893173700184</v>
      </c>
    </row>
    <row r="52" spans="1:10">
      <c r="A52" t="s">
        <v>115</v>
      </c>
      <c r="B52" t="s">
        <v>291</v>
      </c>
      <c r="C52" s="20">
        <v>2032</v>
      </c>
      <c r="D52" t="s">
        <v>233</v>
      </c>
      <c r="E52" s="22">
        <v>923851.95384100894</v>
      </c>
      <c r="F52" s="22">
        <v>153370.00595778099</v>
      </c>
      <c r="G52" s="10">
        <v>155914.89034446701</v>
      </c>
      <c r="H52" s="23">
        <f t="shared" si="0"/>
        <v>2544.8843866860261</v>
      </c>
      <c r="I52" s="10">
        <v>923778.43364748405</v>
      </c>
      <c r="J52" s="23">
        <f t="shared" si="1"/>
        <v>-73.520193524891511</v>
      </c>
    </row>
    <row r="53" spans="1:10">
      <c r="A53" t="s">
        <v>115</v>
      </c>
      <c r="B53" t="s">
        <v>291</v>
      </c>
      <c r="C53" s="20">
        <v>2032</v>
      </c>
      <c r="D53" t="s">
        <v>208</v>
      </c>
      <c r="E53" s="22">
        <v>128216.38020595</v>
      </c>
      <c r="F53" s="22">
        <v>82442.340542195307</v>
      </c>
      <c r="G53" s="10">
        <v>83164.095936043304</v>
      </c>
      <c r="H53" s="23">
        <f t="shared" si="0"/>
        <v>721.75539384799777</v>
      </c>
      <c r="I53" s="10">
        <v>132566.31786836899</v>
      </c>
      <c r="J53" s="23">
        <f t="shared" si="1"/>
        <v>4349.9376624189899</v>
      </c>
    </row>
    <row r="54" spans="1:10">
      <c r="A54" t="s">
        <v>115</v>
      </c>
      <c r="B54" t="s">
        <v>291</v>
      </c>
      <c r="C54" s="20">
        <v>2032</v>
      </c>
      <c r="D54" t="s">
        <v>219</v>
      </c>
      <c r="E54" s="22">
        <v>291673.18986191298</v>
      </c>
      <c r="F54" s="22">
        <v>278293.303076412</v>
      </c>
      <c r="G54" s="10">
        <v>281488.739628123</v>
      </c>
      <c r="H54" s="23">
        <f t="shared" si="0"/>
        <v>3195.4365517109982</v>
      </c>
      <c r="I54" s="10">
        <v>300504.55033634102</v>
      </c>
      <c r="J54" s="23">
        <f t="shared" si="1"/>
        <v>8831.3604744280456</v>
      </c>
    </row>
    <row r="55" spans="1:10">
      <c r="A55" t="s">
        <v>115</v>
      </c>
      <c r="B55" t="s">
        <v>291</v>
      </c>
      <c r="C55" s="20">
        <v>2032</v>
      </c>
      <c r="D55" t="s">
        <v>223</v>
      </c>
      <c r="E55" s="22">
        <v>693811.04074350605</v>
      </c>
      <c r="F55" s="22">
        <v>404208.91521910799</v>
      </c>
      <c r="G55" s="10">
        <v>406904.282877455</v>
      </c>
      <c r="H55" s="23">
        <f t="shared" si="0"/>
        <v>2695.3676583470078</v>
      </c>
      <c r="I55" s="10">
        <v>719168.67859233997</v>
      </c>
      <c r="J55" s="23">
        <f t="shared" si="1"/>
        <v>25357.637848833925</v>
      </c>
    </row>
    <row r="56" spans="1:10">
      <c r="A56" t="s">
        <v>115</v>
      </c>
      <c r="B56" t="s">
        <v>291</v>
      </c>
      <c r="C56" s="20">
        <v>2032</v>
      </c>
      <c r="D56" t="s">
        <v>227</v>
      </c>
      <c r="E56" s="22">
        <v>372466.16796772601</v>
      </c>
      <c r="F56" s="22">
        <v>193413.60250523401</v>
      </c>
      <c r="G56" s="10">
        <v>194193.38475982001</v>
      </c>
      <c r="H56" s="23">
        <f t="shared" si="0"/>
        <v>779.78225458599627</v>
      </c>
      <c r="I56" s="10">
        <v>384609.051353766</v>
      </c>
      <c r="J56" s="23">
        <f t="shared" si="1"/>
        <v>12142.88338603999</v>
      </c>
    </row>
    <row r="57" spans="1:10">
      <c r="A57" t="s">
        <v>115</v>
      </c>
      <c r="B57" t="s">
        <v>291</v>
      </c>
      <c r="C57" s="20">
        <v>2032</v>
      </c>
      <c r="D57" t="s">
        <v>293</v>
      </c>
      <c r="E57" s="22">
        <v>12855.947928863099</v>
      </c>
      <c r="F57" s="22">
        <v>3046.5203305804498</v>
      </c>
      <c r="G57" s="10">
        <v>3046.52022706146</v>
      </c>
      <c r="H57" s="23">
        <f t="shared" si="0"/>
        <v>-1.0351898981753038E-4</v>
      </c>
      <c r="I57" s="10">
        <v>12855.942738985899</v>
      </c>
      <c r="J57" s="23">
        <f t="shared" si="1"/>
        <v>-5.1898771998821758E-3</v>
      </c>
    </row>
    <row r="58" spans="1:10">
      <c r="A58" t="s">
        <v>115</v>
      </c>
      <c r="B58" t="s">
        <v>291</v>
      </c>
      <c r="C58" s="20">
        <v>2033</v>
      </c>
      <c r="D58" t="s">
        <v>292</v>
      </c>
      <c r="E58" s="22">
        <v>13153.190749807</v>
      </c>
      <c r="F58" s="22">
        <v>9438.4863119083002</v>
      </c>
      <c r="G58" s="10">
        <v>9437.4952183943606</v>
      </c>
      <c r="H58" s="23">
        <f t="shared" si="0"/>
        <v>-0.99109351393963152</v>
      </c>
      <c r="I58" s="10">
        <v>13146.351390150499</v>
      </c>
      <c r="J58" s="23">
        <f t="shared" si="1"/>
        <v>-6.8393596565001644</v>
      </c>
    </row>
    <row r="59" spans="1:10">
      <c r="A59" t="s">
        <v>115</v>
      </c>
      <c r="B59" t="s">
        <v>291</v>
      </c>
      <c r="C59" s="20">
        <v>2033</v>
      </c>
      <c r="D59" t="s">
        <v>233</v>
      </c>
      <c r="E59" s="22">
        <v>944648.06834249594</v>
      </c>
      <c r="F59" s="22">
        <v>157000.75793904101</v>
      </c>
      <c r="G59" s="10">
        <v>160821.219639763</v>
      </c>
      <c r="H59" s="23">
        <f t="shared" si="0"/>
        <v>3820.4617007219931</v>
      </c>
      <c r="I59" s="10">
        <v>944521.71811111004</v>
      </c>
      <c r="J59" s="23">
        <f t="shared" si="1"/>
        <v>-126.35023138590623</v>
      </c>
    </row>
    <row r="60" spans="1:10">
      <c r="A60" t="s">
        <v>115</v>
      </c>
      <c r="B60" t="s">
        <v>291</v>
      </c>
      <c r="C60" s="20">
        <v>2033</v>
      </c>
      <c r="D60" t="s">
        <v>208</v>
      </c>
      <c r="E60" s="22">
        <v>130678.83549323901</v>
      </c>
      <c r="F60" s="22">
        <v>83956.145172404897</v>
      </c>
      <c r="G60" s="10">
        <v>85140.0559210379</v>
      </c>
      <c r="H60" s="23">
        <f t="shared" si="0"/>
        <v>1183.9107486330031</v>
      </c>
      <c r="I60" s="10">
        <v>136707.716312745</v>
      </c>
      <c r="J60" s="23">
        <f t="shared" si="1"/>
        <v>6028.8808195059974</v>
      </c>
    </row>
    <row r="61" spans="1:10">
      <c r="A61" t="s">
        <v>115</v>
      </c>
      <c r="B61" t="s">
        <v>291</v>
      </c>
      <c r="C61" s="20">
        <v>2033</v>
      </c>
      <c r="D61" t="s">
        <v>219</v>
      </c>
      <c r="E61" s="22">
        <v>292442.44293783698</v>
      </c>
      <c r="F61" s="22">
        <v>280110.01601841301</v>
      </c>
      <c r="G61" s="10">
        <v>285297.74851322698</v>
      </c>
      <c r="H61" s="23">
        <f t="shared" si="0"/>
        <v>5187.7324948139722</v>
      </c>
      <c r="I61" s="10">
        <v>304468.28685022698</v>
      </c>
      <c r="J61" s="23">
        <f t="shared" si="1"/>
        <v>12025.843912390003</v>
      </c>
    </row>
    <row r="62" spans="1:10">
      <c r="A62" t="s">
        <v>115</v>
      </c>
      <c r="B62" t="s">
        <v>291</v>
      </c>
      <c r="C62" s="20">
        <v>2033</v>
      </c>
      <c r="D62" t="s">
        <v>223</v>
      </c>
      <c r="E62" s="22">
        <v>703674.032070157</v>
      </c>
      <c r="F62" s="22">
        <v>413278.31143326103</v>
      </c>
      <c r="G62" s="10">
        <v>417591.194273361</v>
      </c>
      <c r="H62" s="23">
        <f t="shared" si="0"/>
        <v>4312.8828400999773</v>
      </c>
      <c r="I62" s="10">
        <v>738395.91371005401</v>
      </c>
      <c r="J62" s="23">
        <f t="shared" si="1"/>
        <v>34721.881639897008</v>
      </c>
    </row>
    <row r="63" spans="1:10">
      <c r="A63" t="s">
        <v>115</v>
      </c>
      <c r="B63" t="s">
        <v>291</v>
      </c>
      <c r="C63" s="20">
        <v>2033</v>
      </c>
      <c r="D63" t="s">
        <v>227</v>
      </c>
      <c r="E63" s="22">
        <v>377488.58662464703</v>
      </c>
      <c r="F63" s="22">
        <v>197977.97189774801</v>
      </c>
      <c r="G63" s="10">
        <v>199311.53036404401</v>
      </c>
      <c r="H63" s="23">
        <f t="shared" si="0"/>
        <v>1333.5584662960027</v>
      </c>
      <c r="I63" s="10">
        <v>394159.18491510901</v>
      </c>
      <c r="J63" s="23">
        <f t="shared" si="1"/>
        <v>16670.598290461989</v>
      </c>
    </row>
    <row r="64" spans="1:10">
      <c r="A64" t="s">
        <v>115</v>
      </c>
      <c r="B64" t="s">
        <v>291</v>
      </c>
      <c r="C64" s="20">
        <v>2033</v>
      </c>
      <c r="D64" t="s">
        <v>293</v>
      </c>
      <c r="E64" s="22">
        <v>12780.752089179599</v>
      </c>
      <c r="F64" s="22">
        <v>2919.79481598234</v>
      </c>
      <c r="G64" s="10">
        <v>2919.7945489748099</v>
      </c>
      <c r="H64" s="23">
        <f t="shared" si="0"/>
        <v>-2.6700753005570732E-4</v>
      </c>
      <c r="I64" s="10">
        <v>12780.7417922516</v>
      </c>
      <c r="J64" s="23">
        <f t="shared" si="1"/>
        <v>-1.029692799966142E-2</v>
      </c>
    </row>
    <row r="65" spans="1:10">
      <c r="A65" t="s">
        <v>115</v>
      </c>
      <c r="B65" t="s">
        <v>291</v>
      </c>
      <c r="C65" s="20">
        <v>2034</v>
      </c>
      <c r="D65" t="s">
        <v>292</v>
      </c>
      <c r="E65" s="22">
        <v>13408.1616993301</v>
      </c>
      <c r="F65" s="22">
        <v>9612.7454807306003</v>
      </c>
      <c r="G65" s="10">
        <v>9610.7871789458404</v>
      </c>
      <c r="H65" s="23">
        <f t="shared" si="0"/>
        <v>-1.9583017847598967</v>
      </c>
      <c r="I65" s="10">
        <v>13396.3770662857</v>
      </c>
      <c r="J65" s="23">
        <f t="shared" si="1"/>
        <v>-11.784633044399015</v>
      </c>
    </row>
    <row r="66" spans="1:10">
      <c r="A66" t="s">
        <v>115</v>
      </c>
      <c r="B66" t="s">
        <v>291</v>
      </c>
      <c r="C66" s="20">
        <v>2034</v>
      </c>
      <c r="D66" t="s">
        <v>233</v>
      </c>
      <c r="E66" s="22">
        <v>960431.49979220505</v>
      </c>
      <c r="F66" s="22">
        <v>160683.65112833001</v>
      </c>
      <c r="G66" s="10">
        <v>165832.802590949</v>
      </c>
      <c r="H66" s="23">
        <f t="shared" ref="H66:H129" si="2">G66-F66</f>
        <v>5149.1514626189892</v>
      </c>
      <c r="I66" s="10">
        <v>960221.65586168901</v>
      </c>
      <c r="J66" s="23">
        <f t="shared" ref="J66:J129" si="3">I66-E66</f>
        <v>-209.84393051604275</v>
      </c>
    </row>
    <row r="67" spans="1:10">
      <c r="A67" t="s">
        <v>115</v>
      </c>
      <c r="B67" t="s">
        <v>291</v>
      </c>
      <c r="C67" s="20">
        <v>2034</v>
      </c>
      <c r="D67" t="s">
        <v>208</v>
      </c>
      <c r="E67" s="22">
        <v>132174.42995442901</v>
      </c>
      <c r="F67" s="22">
        <v>85342.778030822097</v>
      </c>
      <c r="G67" s="10">
        <v>87126.211950146098</v>
      </c>
      <c r="H67" s="23">
        <f t="shared" si="2"/>
        <v>1783.4339193240012</v>
      </c>
      <c r="I67" s="10">
        <v>139922.665552402</v>
      </c>
      <c r="J67" s="23">
        <f t="shared" si="3"/>
        <v>7748.2355979729909</v>
      </c>
    </row>
    <row r="68" spans="1:10">
      <c r="A68" t="s">
        <v>115</v>
      </c>
      <c r="B68" t="s">
        <v>291</v>
      </c>
      <c r="C68" s="20">
        <v>2034</v>
      </c>
      <c r="D68" t="s">
        <v>219</v>
      </c>
      <c r="E68" s="22">
        <v>292897.87403745699</v>
      </c>
      <c r="F68" s="22">
        <v>281561.29368816601</v>
      </c>
      <c r="G68" s="10">
        <v>289022.375898514</v>
      </c>
      <c r="H68" s="23">
        <f t="shared" si="2"/>
        <v>7461.0822103479877</v>
      </c>
      <c r="I68" s="10">
        <v>308142.620646514</v>
      </c>
      <c r="J68" s="23">
        <f t="shared" si="3"/>
        <v>15244.746609057009</v>
      </c>
    </row>
    <row r="69" spans="1:10">
      <c r="A69" t="s">
        <v>115</v>
      </c>
      <c r="B69" t="s">
        <v>291</v>
      </c>
      <c r="C69" s="20">
        <v>2034</v>
      </c>
      <c r="D69" t="s">
        <v>223</v>
      </c>
      <c r="E69" s="22">
        <v>710052.10632015998</v>
      </c>
      <c r="F69" s="22">
        <v>422097.02610184101</v>
      </c>
      <c r="G69" s="10">
        <v>428496.093357131</v>
      </c>
      <c r="H69" s="23">
        <f t="shared" si="2"/>
        <v>6399.0672552899923</v>
      </c>
      <c r="I69" s="10">
        <v>754264.51931482705</v>
      </c>
      <c r="J69" s="23">
        <f t="shared" si="3"/>
        <v>44212.412994667073</v>
      </c>
    </row>
    <row r="70" spans="1:10">
      <c r="A70" t="s">
        <v>115</v>
      </c>
      <c r="B70" t="s">
        <v>291</v>
      </c>
      <c r="C70" s="20">
        <v>2034</v>
      </c>
      <c r="D70" t="s">
        <v>227</v>
      </c>
      <c r="E70" s="22">
        <v>381186.601788692</v>
      </c>
      <c r="F70" s="22">
        <v>202432.55133944101</v>
      </c>
      <c r="G70" s="10">
        <v>204510.58021707</v>
      </c>
      <c r="H70" s="23">
        <f t="shared" si="2"/>
        <v>2078.0288776289963</v>
      </c>
      <c r="I70" s="10">
        <v>402421.55387242202</v>
      </c>
      <c r="J70" s="23">
        <f t="shared" si="3"/>
        <v>21234.952083730022</v>
      </c>
    </row>
    <row r="71" spans="1:10">
      <c r="A71" t="s">
        <v>115</v>
      </c>
      <c r="B71" t="s">
        <v>291</v>
      </c>
      <c r="C71" s="20">
        <v>2034</v>
      </c>
      <c r="D71" t="s">
        <v>293</v>
      </c>
      <c r="E71" s="22">
        <v>12872.4525715115</v>
      </c>
      <c r="F71" s="22">
        <v>2795.7701771767202</v>
      </c>
      <c r="G71" s="10">
        <v>2795.7695956202701</v>
      </c>
      <c r="H71" s="23">
        <f t="shared" si="2"/>
        <v>-5.815564500153414E-4</v>
      </c>
      <c r="I71" s="10">
        <v>12872.434861330999</v>
      </c>
      <c r="J71" s="23">
        <f t="shared" si="3"/>
        <v>-1.7710180500216666E-2</v>
      </c>
    </row>
    <row r="72" spans="1:10">
      <c r="A72" t="s">
        <v>115</v>
      </c>
      <c r="B72" t="s">
        <v>291</v>
      </c>
      <c r="C72" s="20">
        <v>2035</v>
      </c>
      <c r="D72" t="s">
        <v>292</v>
      </c>
      <c r="E72" s="22">
        <v>13745.780221610999</v>
      </c>
      <c r="F72" s="22">
        <v>9791.0654149310303</v>
      </c>
      <c r="G72" s="10">
        <v>9787.5127586509407</v>
      </c>
      <c r="H72" s="23">
        <f t="shared" si="2"/>
        <v>-3.55265628008965</v>
      </c>
      <c r="I72" s="10">
        <v>13726.7399692658</v>
      </c>
      <c r="J72" s="23">
        <f t="shared" si="3"/>
        <v>-19.040252345199406</v>
      </c>
    </row>
    <row r="73" spans="1:10">
      <c r="A73" t="s">
        <v>115</v>
      </c>
      <c r="B73" t="s">
        <v>291</v>
      </c>
      <c r="C73" s="20">
        <v>2035</v>
      </c>
      <c r="D73" t="s">
        <v>233</v>
      </c>
      <c r="E73" s="22">
        <v>975376.59639617102</v>
      </c>
      <c r="F73" s="22">
        <v>164379.369157443</v>
      </c>
      <c r="G73" s="10">
        <v>170911.003808462</v>
      </c>
      <c r="H73" s="23">
        <f t="shared" si="2"/>
        <v>6531.6346510190051</v>
      </c>
      <c r="I73" s="10">
        <v>975047.32695986598</v>
      </c>
      <c r="J73" s="23">
        <f t="shared" si="3"/>
        <v>-329.26943630503956</v>
      </c>
    </row>
    <row r="74" spans="1:10">
      <c r="A74" t="s">
        <v>115</v>
      </c>
      <c r="B74" t="s">
        <v>291</v>
      </c>
      <c r="C74" s="20">
        <v>2035</v>
      </c>
      <c r="D74" t="s">
        <v>208</v>
      </c>
      <c r="E74" s="22">
        <v>133909.91186878301</v>
      </c>
      <c r="F74" s="22">
        <v>86637.373218692403</v>
      </c>
      <c r="G74" s="10">
        <v>89138.141517925003</v>
      </c>
      <c r="H74" s="23">
        <f t="shared" si="2"/>
        <v>2500.7682992326008</v>
      </c>
      <c r="I74" s="10">
        <v>143430.14734695299</v>
      </c>
      <c r="J74" s="23">
        <f t="shared" si="3"/>
        <v>9520.2354781699833</v>
      </c>
    </row>
    <row r="75" spans="1:10">
      <c r="A75" t="s">
        <v>115</v>
      </c>
      <c r="B75" t="s">
        <v>291</v>
      </c>
      <c r="C75" s="20">
        <v>2035</v>
      </c>
      <c r="D75" t="s">
        <v>219</v>
      </c>
      <c r="E75" s="22">
        <v>293123.15266172303</v>
      </c>
      <c r="F75" s="22">
        <v>282621.71468195599</v>
      </c>
      <c r="G75" s="10">
        <v>292543.43417229998</v>
      </c>
      <c r="H75" s="23">
        <f t="shared" si="2"/>
        <v>9921.7194903439959</v>
      </c>
      <c r="I75" s="10">
        <v>311598.65934973501</v>
      </c>
      <c r="J75" s="23">
        <f t="shared" si="3"/>
        <v>18475.506688011985</v>
      </c>
    </row>
    <row r="76" spans="1:10">
      <c r="A76" t="s">
        <v>115</v>
      </c>
      <c r="B76" t="s">
        <v>291</v>
      </c>
      <c r="C76" s="20">
        <v>2035</v>
      </c>
      <c r="D76" t="s">
        <v>223</v>
      </c>
      <c r="E76" s="22">
        <v>716146.33558971505</v>
      </c>
      <c r="F76" s="22">
        <v>430486.32786639</v>
      </c>
      <c r="G76" s="10">
        <v>439419.39317626401</v>
      </c>
      <c r="H76" s="23">
        <f t="shared" si="2"/>
        <v>8933.0653098740149</v>
      </c>
      <c r="I76" s="10">
        <v>770043.40739803296</v>
      </c>
      <c r="J76" s="23">
        <f t="shared" si="3"/>
        <v>53897.071808317909</v>
      </c>
    </row>
    <row r="77" spans="1:10">
      <c r="A77" t="s">
        <v>115</v>
      </c>
      <c r="B77" t="s">
        <v>291</v>
      </c>
      <c r="C77" s="20">
        <v>2035</v>
      </c>
      <c r="D77" t="s">
        <v>227</v>
      </c>
      <c r="E77" s="22">
        <v>384535.89534091001</v>
      </c>
      <c r="F77" s="22">
        <v>206855.038204012</v>
      </c>
      <c r="G77" s="10">
        <v>209854.98851526401</v>
      </c>
      <c r="H77" s="23">
        <f t="shared" si="2"/>
        <v>2999.9503112520033</v>
      </c>
      <c r="I77" s="10">
        <v>410430.68648466002</v>
      </c>
      <c r="J77" s="23">
        <f t="shared" si="3"/>
        <v>25894.791143750015</v>
      </c>
    </row>
    <row r="78" spans="1:10">
      <c r="A78" t="s">
        <v>115</v>
      </c>
      <c r="B78" t="s">
        <v>291</v>
      </c>
      <c r="C78" s="20">
        <v>2035</v>
      </c>
      <c r="D78" t="s">
        <v>293</v>
      </c>
      <c r="E78" s="22">
        <v>13061.614126959101</v>
      </c>
      <c r="F78" s="22">
        <v>2671.4988782600399</v>
      </c>
      <c r="G78" s="10">
        <v>2671.4978439429501</v>
      </c>
      <c r="H78" s="23">
        <f t="shared" si="2"/>
        <v>-1.0343170897613163E-3</v>
      </c>
      <c r="I78" s="10">
        <v>13061.5900844962</v>
      </c>
      <c r="J78" s="23">
        <f t="shared" si="3"/>
        <v>-2.4042462900979444E-2</v>
      </c>
    </row>
    <row r="79" spans="1:10">
      <c r="A79" t="s">
        <v>115</v>
      </c>
      <c r="B79" t="s">
        <v>291</v>
      </c>
      <c r="C79" s="20">
        <v>2036</v>
      </c>
      <c r="D79" t="s">
        <v>292</v>
      </c>
      <c r="E79" s="22">
        <v>14088.425966619099</v>
      </c>
      <c r="F79" s="22">
        <v>9978.7435157488908</v>
      </c>
      <c r="G79" s="10">
        <v>9972.7334369719993</v>
      </c>
      <c r="H79" s="23">
        <f t="shared" si="2"/>
        <v>-6.0100787768915325</v>
      </c>
      <c r="I79" s="10">
        <v>14058.8402730705</v>
      </c>
      <c r="J79" s="23">
        <f t="shared" si="3"/>
        <v>-29.585693548599011</v>
      </c>
    </row>
    <row r="80" spans="1:10">
      <c r="A80" t="s">
        <v>115</v>
      </c>
      <c r="B80" t="s">
        <v>291</v>
      </c>
      <c r="C80" s="20">
        <v>2036</v>
      </c>
      <c r="D80" t="s">
        <v>233</v>
      </c>
      <c r="E80" s="22">
        <v>993098.44329450605</v>
      </c>
      <c r="F80" s="22">
        <v>168166.93420723101</v>
      </c>
      <c r="G80" s="10">
        <v>176139.99778552799</v>
      </c>
      <c r="H80" s="23">
        <f t="shared" si="2"/>
        <v>7973.0635782969766</v>
      </c>
      <c r="I80" s="10">
        <v>992593.12756790605</v>
      </c>
      <c r="J80" s="23">
        <f t="shared" si="3"/>
        <v>-505.31572660000529</v>
      </c>
    </row>
    <row r="81" spans="1:10">
      <c r="A81" t="s">
        <v>115</v>
      </c>
      <c r="B81" t="s">
        <v>291</v>
      </c>
      <c r="C81" s="20">
        <v>2036</v>
      </c>
      <c r="D81" t="s">
        <v>208</v>
      </c>
      <c r="E81" s="22">
        <v>135647.343573655</v>
      </c>
      <c r="F81" s="22">
        <v>87900.728343755894</v>
      </c>
      <c r="G81" s="10">
        <v>91225.407814079197</v>
      </c>
      <c r="H81" s="23">
        <f t="shared" si="2"/>
        <v>3324.6794703233027</v>
      </c>
      <c r="I81" s="10">
        <v>146978.91607034899</v>
      </c>
      <c r="J81" s="23">
        <f t="shared" si="3"/>
        <v>11331.572496693989</v>
      </c>
    </row>
    <row r="82" spans="1:10">
      <c r="A82" t="s">
        <v>115</v>
      </c>
      <c r="B82" t="s">
        <v>291</v>
      </c>
      <c r="C82" s="20">
        <v>2036</v>
      </c>
      <c r="D82" t="s">
        <v>219</v>
      </c>
      <c r="E82" s="22">
        <v>293550.70950576803</v>
      </c>
      <c r="F82" s="22">
        <v>283551.77246893401</v>
      </c>
      <c r="G82" s="10">
        <v>296084.40274798701</v>
      </c>
      <c r="H82" s="23">
        <f t="shared" si="2"/>
        <v>12532.630279053003</v>
      </c>
      <c r="I82" s="10">
        <v>315288.94946137897</v>
      </c>
      <c r="J82" s="23">
        <f t="shared" si="3"/>
        <v>21738.239955610945</v>
      </c>
    </row>
    <row r="83" spans="1:10">
      <c r="A83" t="s">
        <v>115</v>
      </c>
      <c r="B83" t="s">
        <v>291</v>
      </c>
      <c r="C83" s="20">
        <v>2036</v>
      </c>
      <c r="D83" t="s">
        <v>223</v>
      </c>
      <c r="E83" s="22">
        <v>722900.05467964697</v>
      </c>
      <c r="F83" s="22">
        <v>438700.74735648901</v>
      </c>
      <c r="G83" s="10">
        <v>450600.66503166</v>
      </c>
      <c r="H83" s="23">
        <f t="shared" si="2"/>
        <v>11899.917675170989</v>
      </c>
      <c r="I83" s="10">
        <v>786706.265291046</v>
      </c>
      <c r="J83" s="23">
        <f t="shared" si="3"/>
        <v>63806.21061139903</v>
      </c>
    </row>
    <row r="84" spans="1:10">
      <c r="A84" t="s">
        <v>115</v>
      </c>
      <c r="B84" t="s">
        <v>291</v>
      </c>
      <c r="C84" s="20">
        <v>2036</v>
      </c>
      <c r="D84" t="s">
        <v>227</v>
      </c>
      <c r="E84" s="22">
        <v>388247.54581955</v>
      </c>
      <c r="F84" s="22">
        <v>211324.06481564499</v>
      </c>
      <c r="G84" s="10">
        <v>215434.24691051699</v>
      </c>
      <c r="H84" s="23">
        <f t="shared" si="2"/>
        <v>4110.1820948719978</v>
      </c>
      <c r="I84" s="10">
        <v>418880.52544401999</v>
      </c>
      <c r="J84" s="23">
        <f t="shared" si="3"/>
        <v>30632.979624469997</v>
      </c>
    </row>
    <row r="85" spans="1:10">
      <c r="A85" t="s">
        <v>115</v>
      </c>
      <c r="B85" t="s">
        <v>291</v>
      </c>
      <c r="C85" s="20">
        <v>2036</v>
      </c>
      <c r="D85" t="s">
        <v>293</v>
      </c>
      <c r="E85" s="22">
        <v>13308.825977173299</v>
      </c>
      <c r="F85" s="22">
        <v>2547.7440649057198</v>
      </c>
      <c r="G85" s="10">
        <v>2547.7425839674902</v>
      </c>
      <c r="H85" s="23">
        <f t="shared" si="2"/>
        <v>-1.4809382296334661E-3</v>
      </c>
      <c r="I85" s="10">
        <v>13308.7944546361</v>
      </c>
      <c r="J85" s="23">
        <f t="shared" si="3"/>
        <v>-3.1522537199634826E-2</v>
      </c>
    </row>
    <row r="86" spans="1:10">
      <c r="A86" t="s">
        <v>115</v>
      </c>
      <c r="B86" t="s">
        <v>291</v>
      </c>
      <c r="C86" s="20">
        <v>2037</v>
      </c>
      <c r="D86" t="s">
        <v>292</v>
      </c>
      <c r="E86" s="22">
        <v>14429.7381214754</v>
      </c>
      <c r="F86" s="22">
        <v>10168.790649967101</v>
      </c>
      <c r="G86" s="10">
        <v>10159.187333690499</v>
      </c>
      <c r="H86" s="23">
        <f t="shared" si="2"/>
        <v>-9.6033162766016176</v>
      </c>
      <c r="I86" s="10">
        <v>14386.6366039025</v>
      </c>
      <c r="J86" s="23">
        <f t="shared" si="3"/>
        <v>-43.101517572900775</v>
      </c>
    </row>
    <row r="87" spans="1:10">
      <c r="A87" t="s">
        <v>115</v>
      </c>
      <c r="B87" t="s">
        <v>291</v>
      </c>
      <c r="C87" s="20">
        <v>2037</v>
      </c>
      <c r="D87" t="s">
        <v>233</v>
      </c>
      <c r="E87" s="22">
        <v>1010026.50387208</v>
      </c>
      <c r="F87" s="22">
        <v>171985.148470766</v>
      </c>
      <c r="G87" s="10">
        <v>181458.23583990801</v>
      </c>
      <c r="H87" s="23">
        <f t="shared" si="2"/>
        <v>9473.0873691420129</v>
      </c>
      <c r="I87" s="10">
        <v>1009301.65749756</v>
      </c>
      <c r="J87" s="23">
        <f t="shared" si="3"/>
        <v>-724.84637451998424</v>
      </c>
    </row>
    <row r="88" spans="1:10">
      <c r="A88" t="s">
        <v>115</v>
      </c>
      <c r="B88" t="s">
        <v>291</v>
      </c>
      <c r="C88" s="20">
        <v>2037</v>
      </c>
      <c r="D88" t="s">
        <v>208</v>
      </c>
      <c r="E88" s="22">
        <v>137311.605140528</v>
      </c>
      <c r="F88" s="22">
        <v>89115.165823417701</v>
      </c>
      <c r="G88" s="10">
        <v>93341.278424510703</v>
      </c>
      <c r="H88" s="23">
        <f t="shared" si="2"/>
        <v>4226.112601093002</v>
      </c>
      <c r="I88" s="10">
        <v>150487.44161910799</v>
      </c>
      <c r="J88" s="23">
        <f t="shared" si="3"/>
        <v>13175.836478579993</v>
      </c>
    </row>
    <row r="89" spans="1:10">
      <c r="A89" t="s">
        <v>115</v>
      </c>
      <c r="B89" t="s">
        <v>291</v>
      </c>
      <c r="C89" s="20">
        <v>2037</v>
      </c>
      <c r="D89" t="s">
        <v>219</v>
      </c>
      <c r="E89" s="22">
        <v>293753.67800025799</v>
      </c>
      <c r="F89" s="22">
        <v>284187.55961958901</v>
      </c>
      <c r="G89" s="10">
        <v>299434.65519592498</v>
      </c>
      <c r="H89" s="23">
        <f t="shared" si="2"/>
        <v>15247.095576335967</v>
      </c>
      <c r="I89" s="10">
        <v>318754.96481302398</v>
      </c>
      <c r="J89" s="23">
        <f t="shared" si="3"/>
        <v>25001.286812765989</v>
      </c>
    </row>
    <row r="90" spans="1:10">
      <c r="A90" t="s">
        <v>115</v>
      </c>
      <c r="B90" t="s">
        <v>291</v>
      </c>
      <c r="C90" s="20">
        <v>2037</v>
      </c>
      <c r="D90" t="s">
        <v>223</v>
      </c>
      <c r="E90" s="22">
        <v>729509.76979085302</v>
      </c>
      <c r="F90" s="22">
        <v>446610.89313788398</v>
      </c>
      <c r="G90" s="10">
        <v>461851.04951155098</v>
      </c>
      <c r="H90" s="23">
        <f t="shared" si="2"/>
        <v>15240.156373667007</v>
      </c>
      <c r="I90" s="10">
        <v>803452.22903664398</v>
      </c>
      <c r="J90" s="23">
        <f t="shared" si="3"/>
        <v>73942.45924579096</v>
      </c>
    </row>
    <row r="91" spans="1:10">
      <c r="A91" t="s">
        <v>115</v>
      </c>
      <c r="B91" t="s">
        <v>291</v>
      </c>
      <c r="C91" s="20">
        <v>2037</v>
      </c>
      <c r="D91" t="s">
        <v>227</v>
      </c>
      <c r="E91" s="22">
        <v>392040.42807198799</v>
      </c>
      <c r="F91" s="22">
        <v>215767.268648628</v>
      </c>
      <c r="G91" s="10">
        <v>221141.826108993</v>
      </c>
      <c r="H91" s="23">
        <f t="shared" si="2"/>
        <v>5374.557460365002</v>
      </c>
      <c r="I91" s="10">
        <v>427506.733072448</v>
      </c>
      <c r="J91" s="23">
        <f t="shared" si="3"/>
        <v>35466.305000460008</v>
      </c>
    </row>
    <row r="92" spans="1:10">
      <c r="A92" t="s">
        <v>115</v>
      </c>
      <c r="B92" t="s">
        <v>291</v>
      </c>
      <c r="C92" s="20">
        <v>2037</v>
      </c>
      <c r="D92" t="s">
        <v>293</v>
      </c>
      <c r="E92" s="22">
        <v>13385.164072790199</v>
      </c>
      <c r="F92" s="22">
        <v>2421.5786046675598</v>
      </c>
      <c r="G92" s="10">
        <v>2421.5766798415598</v>
      </c>
      <c r="H92" s="23">
        <f t="shared" si="2"/>
        <v>-1.9248260000495065E-3</v>
      </c>
      <c r="I92" s="10">
        <v>13385.128134315</v>
      </c>
      <c r="J92" s="23">
        <f t="shared" si="3"/>
        <v>-3.5938475199145614E-2</v>
      </c>
    </row>
    <row r="93" spans="1:10">
      <c r="A93" t="s">
        <v>115</v>
      </c>
      <c r="B93" t="s">
        <v>291</v>
      </c>
      <c r="C93" s="20">
        <v>2038</v>
      </c>
      <c r="D93" t="s">
        <v>292</v>
      </c>
      <c r="E93" s="22">
        <v>14850.121882838401</v>
      </c>
      <c r="F93" s="22">
        <v>10364.4297003149</v>
      </c>
      <c r="G93" s="10">
        <v>10349.903688341699</v>
      </c>
      <c r="H93" s="23">
        <f t="shared" si="2"/>
        <v>-14.526011973201093</v>
      </c>
      <c r="I93" s="10">
        <v>14790.2897218897</v>
      </c>
      <c r="J93" s="23">
        <f t="shared" si="3"/>
        <v>-59.83216094870113</v>
      </c>
    </row>
    <row r="94" spans="1:10">
      <c r="A94" t="s">
        <v>115</v>
      </c>
      <c r="B94" t="s">
        <v>291</v>
      </c>
      <c r="C94" s="20">
        <v>2038</v>
      </c>
      <c r="D94" t="s">
        <v>233</v>
      </c>
      <c r="E94" s="22">
        <v>1026728.49763187</v>
      </c>
      <c r="F94" s="22">
        <v>175758.78598844199</v>
      </c>
      <c r="G94" s="10">
        <v>186787.49187052401</v>
      </c>
      <c r="H94" s="23">
        <f t="shared" si="2"/>
        <v>11028.705882082024</v>
      </c>
      <c r="I94" s="10">
        <v>1025731.21343356</v>
      </c>
      <c r="J94" s="23">
        <f t="shared" si="3"/>
        <v>-997.28419830999337</v>
      </c>
    </row>
    <row r="95" spans="1:10">
      <c r="A95" t="s">
        <v>115</v>
      </c>
      <c r="B95" t="s">
        <v>291</v>
      </c>
      <c r="C95" s="20">
        <v>2038</v>
      </c>
      <c r="D95" t="s">
        <v>208</v>
      </c>
      <c r="E95" s="22">
        <v>139680.611296399</v>
      </c>
      <c r="F95" s="22">
        <v>90274.573056514695</v>
      </c>
      <c r="G95" s="10">
        <v>95469.044780114302</v>
      </c>
      <c r="H95" s="23">
        <f t="shared" si="2"/>
        <v>5194.4717235996068</v>
      </c>
      <c r="I95" s="10">
        <v>154833.02186168899</v>
      </c>
      <c r="J95" s="23">
        <f t="shared" si="3"/>
        <v>15152.410565289989</v>
      </c>
    </row>
    <row r="96" spans="1:10">
      <c r="A96" t="s">
        <v>115</v>
      </c>
      <c r="B96" t="s">
        <v>291</v>
      </c>
      <c r="C96" s="20">
        <v>2038</v>
      </c>
      <c r="D96" t="s">
        <v>219</v>
      </c>
      <c r="E96" s="22">
        <v>293564.73777508998</v>
      </c>
      <c r="F96" s="22">
        <v>284432.89742354502</v>
      </c>
      <c r="G96" s="10">
        <v>302464.555231106</v>
      </c>
      <c r="H96" s="23">
        <f t="shared" si="2"/>
        <v>18031.657807560987</v>
      </c>
      <c r="I96" s="10">
        <v>321808.30457611103</v>
      </c>
      <c r="J96" s="23">
        <f t="shared" si="3"/>
        <v>28243.56680102105</v>
      </c>
    </row>
    <row r="97" spans="1:10">
      <c r="A97" t="s">
        <v>115</v>
      </c>
      <c r="B97" t="s">
        <v>291</v>
      </c>
      <c r="C97" s="20">
        <v>2038</v>
      </c>
      <c r="D97" t="s">
        <v>223</v>
      </c>
      <c r="E97" s="22">
        <v>737876.33167483297</v>
      </c>
      <c r="F97" s="22">
        <v>454032.700403806</v>
      </c>
      <c r="G97" s="10">
        <v>472964.18297251803</v>
      </c>
      <c r="H97" s="23">
        <f t="shared" si="2"/>
        <v>18931.482568712032</v>
      </c>
      <c r="I97" s="10">
        <v>822517.79120793997</v>
      </c>
      <c r="J97" s="23">
        <f t="shared" si="3"/>
        <v>84641.459533107001</v>
      </c>
    </row>
    <row r="98" spans="1:10">
      <c r="A98" t="s">
        <v>115</v>
      </c>
      <c r="B98" t="s">
        <v>291</v>
      </c>
      <c r="C98" s="20">
        <v>2038</v>
      </c>
      <c r="D98" t="s">
        <v>227</v>
      </c>
      <c r="E98" s="22">
        <v>397253.05480349902</v>
      </c>
      <c r="F98" s="22">
        <v>220057.774594082</v>
      </c>
      <c r="G98" s="10">
        <v>226837.611544716</v>
      </c>
      <c r="H98" s="23">
        <f t="shared" si="2"/>
        <v>6779.836950633995</v>
      </c>
      <c r="I98" s="10">
        <v>437875.90442176699</v>
      </c>
      <c r="J98" s="23">
        <f t="shared" si="3"/>
        <v>40622.849618267966</v>
      </c>
    </row>
    <row r="99" spans="1:10">
      <c r="A99" t="s">
        <v>115</v>
      </c>
      <c r="B99" t="s">
        <v>291</v>
      </c>
      <c r="C99" s="20">
        <v>2038</v>
      </c>
      <c r="D99" t="s">
        <v>293</v>
      </c>
      <c r="E99" s="22">
        <v>13130.533705960601</v>
      </c>
      <c r="F99" s="22">
        <v>2303.46759874294</v>
      </c>
      <c r="G99" s="10">
        <v>2303.4653337571999</v>
      </c>
      <c r="H99" s="23">
        <f t="shared" si="2"/>
        <v>-2.2649857401120244E-3</v>
      </c>
      <c r="I99" s="10">
        <v>13130.4959942569</v>
      </c>
      <c r="J99" s="23">
        <f t="shared" si="3"/>
        <v>-3.771170370055188E-2</v>
      </c>
    </row>
    <row r="100" spans="1:10">
      <c r="A100" t="s">
        <v>115</v>
      </c>
      <c r="B100" t="s">
        <v>291</v>
      </c>
      <c r="C100" s="20">
        <v>2039</v>
      </c>
      <c r="D100" t="s">
        <v>292</v>
      </c>
      <c r="E100" s="22">
        <v>15215.802513598601</v>
      </c>
      <c r="F100" s="22">
        <v>10566.0051607687</v>
      </c>
      <c r="G100" s="10">
        <v>10545.0523038997</v>
      </c>
      <c r="H100" s="23">
        <f t="shared" si="2"/>
        <v>-20.952856869000243</v>
      </c>
      <c r="I100" s="10">
        <v>15135.74798412</v>
      </c>
      <c r="J100" s="23">
        <f t="shared" si="3"/>
        <v>-80.054529478600671</v>
      </c>
    </row>
    <row r="101" spans="1:10">
      <c r="A101" t="s">
        <v>115</v>
      </c>
      <c r="B101" t="s">
        <v>291</v>
      </c>
      <c r="C101" s="20">
        <v>2039</v>
      </c>
      <c r="D101" t="s">
        <v>233</v>
      </c>
      <c r="E101" s="22">
        <v>1040654.96169105</v>
      </c>
      <c r="F101" s="22">
        <v>179646.57831054699</v>
      </c>
      <c r="G101" s="10">
        <v>192296.552192256</v>
      </c>
      <c r="H101" s="23">
        <f t="shared" si="2"/>
        <v>12649.973881709011</v>
      </c>
      <c r="I101" s="10">
        <v>1039334.21211717</v>
      </c>
      <c r="J101" s="23">
        <f t="shared" si="3"/>
        <v>-1320.7495738799917</v>
      </c>
    </row>
    <row r="102" spans="1:10">
      <c r="A102" t="s">
        <v>115</v>
      </c>
      <c r="B102" t="s">
        <v>291</v>
      </c>
      <c r="C102" s="20">
        <v>2039</v>
      </c>
      <c r="D102" t="s">
        <v>208</v>
      </c>
      <c r="E102" s="22">
        <v>141258.712312405</v>
      </c>
      <c r="F102" s="22">
        <v>91437.652987347901</v>
      </c>
      <c r="G102" s="10">
        <v>97666.512521866607</v>
      </c>
      <c r="H102" s="23">
        <f t="shared" si="2"/>
        <v>6228.8595345187059</v>
      </c>
      <c r="I102" s="10">
        <v>158325.90418622101</v>
      </c>
      <c r="J102" s="23">
        <f t="shared" si="3"/>
        <v>17067.191873816017</v>
      </c>
    </row>
    <row r="103" spans="1:10">
      <c r="A103" t="s">
        <v>115</v>
      </c>
      <c r="B103" t="s">
        <v>291</v>
      </c>
      <c r="C103" s="20">
        <v>2039</v>
      </c>
      <c r="D103" t="s">
        <v>219</v>
      </c>
      <c r="E103" s="22">
        <v>293459.13941500901</v>
      </c>
      <c r="F103" s="22">
        <v>284655.71989795798</v>
      </c>
      <c r="G103" s="10">
        <v>305533.68382410699</v>
      </c>
      <c r="H103" s="23">
        <f t="shared" si="2"/>
        <v>20877.963926149008</v>
      </c>
      <c r="I103" s="10">
        <v>324947.68592024298</v>
      </c>
      <c r="J103" s="23">
        <f t="shared" si="3"/>
        <v>31488.546505233971</v>
      </c>
    </row>
    <row r="104" spans="1:10">
      <c r="A104" t="s">
        <v>115</v>
      </c>
      <c r="B104" t="s">
        <v>291</v>
      </c>
      <c r="C104" s="20">
        <v>2039</v>
      </c>
      <c r="D104" t="s">
        <v>223</v>
      </c>
      <c r="E104" s="22">
        <v>743255.47189894097</v>
      </c>
      <c r="F104" s="22">
        <v>461376.688526046</v>
      </c>
      <c r="G104" s="10">
        <v>484364.27514234598</v>
      </c>
      <c r="H104" s="23">
        <f t="shared" si="2"/>
        <v>22987.586616299988</v>
      </c>
      <c r="I104" s="10">
        <v>838380.89792891196</v>
      </c>
      <c r="J104" s="23">
        <f t="shared" si="3"/>
        <v>95125.426029970986</v>
      </c>
    </row>
    <row r="105" spans="1:10">
      <c r="A105" t="s">
        <v>115</v>
      </c>
      <c r="B105" t="s">
        <v>291</v>
      </c>
      <c r="C105" s="20">
        <v>2039</v>
      </c>
      <c r="D105" t="s">
        <v>227</v>
      </c>
      <c r="E105" s="22">
        <v>400506.57975443802</v>
      </c>
      <c r="F105" s="22">
        <v>224426.55711821301</v>
      </c>
      <c r="G105" s="10">
        <v>232753.81626835</v>
      </c>
      <c r="H105" s="23">
        <f t="shared" si="2"/>
        <v>8327.2591501369898</v>
      </c>
      <c r="I105" s="10">
        <v>446097.450852593</v>
      </c>
      <c r="J105" s="23">
        <f t="shared" si="3"/>
        <v>45590.871098154981</v>
      </c>
    </row>
    <row r="106" spans="1:10">
      <c r="A106" t="s">
        <v>115</v>
      </c>
      <c r="B106" t="s">
        <v>291</v>
      </c>
      <c r="C106" s="20">
        <v>2039</v>
      </c>
      <c r="D106" t="s">
        <v>293</v>
      </c>
      <c r="E106" s="22">
        <v>13010.958482579101</v>
      </c>
      <c r="F106" s="22">
        <v>2187.90647165165</v>
      </c>
      <c r="G106" s="10">
        <v>2187.9040467667201</v>
      </c>
      <c r="H106" s="23">
        <f t="shared" si="2"/>
        <v>-2.4248849299510766E-3</v>
      </c>
      <c r="I106" s="10">
        <v>13010.914883544499</v>
      </c>
      <c r="J106" s="23">
        <f t="shared" si="3"/>
        <v>-4.3599034601356834E-2</v>
      </c>
    </row>
    <row r="107" spans="1:10">
      <c r="A107" t="s">
        <v>115</v>
      </c>
      <c r="B107" t="s">
        <v>291</v>
      </c>
      <c r="C107" s="20">
        <v>2040</v>
      </c>
      <c r="D107" t="s">
        <v>292</v>
      </c>
      <c r="E107" s="22">
        <v>15635.9336054716</v>
      </c>
      <c r="F107" s="22">
        <v>10769.812477522801</v>
      </c>
      <c r="G107" s="10">
        <v>10740.752829966001</v>
      </c>
      <c r="H107" s="23">
        <f t="shared" si="2"/>
        <v>-29.059647556799973</v>
      </c>
      <c r="I107" s="10">
        <v>15531.545845413701</v>
      </c>
      <c r="J107" s="23">
        <f t="shared" si="3"/>
        <v>-104.38776005789987</v>
      </c>
    </row>
    <row r="108" spans="1:10">
      <c r="A108" t="s">
        <v>115</v>
      </c>
      <c r="B108" t="s">
        <v>291</v>
      </c>
      <c r="C108" s="20">
        <v>2040</v>
      </c>
      <c r="D108" t="s">
        <v>233</v>
      </c>
      <c r="E108" s="22">
        <v>1052960.5401200899</v>
      </c>
      <c r="F108" s="22">
        <v>183417.95563454501</v>
      </c>
      <c r="G108" s="10">
        <v>197739.851826417</v>
      </c>
      <c r="H108" s="23">
        <f t="shared" si="2"/>
        <v>14321.896191871987</v>
      </c>
      <c r="I108" s="10">
        <v>1051265.6937132899</v>
      </c>
      <c r="J108" s="23">
        <f t="shared" si="3"/>
        <v>-1694.8464067999739</v>
      </c>
    </row>
    <row r="109" spans="1:10">
      <c r="A109" t="s">
        <v>115</v>
      </c>
      <c r="B109" t="s">
        <v>291</v>
      </c>
      <c r="C109" s="20">
        <v>2040</v>
      </c>
      <c r="D109" t="s">
        <v>208</v>
      </c>
      <c r="E109" s="22">
        <v>142980.631760441</v>
      </c>
      <c r="F109" s="22">
        <v>92518.521976237796</v>
      </c>
      <c r="G109" s="10">
        <v>99830.479788152705</v>
      </c>
      <c r="H109" s="23">
        <f t="shared" si="2"/>
        <v>7311.9578119149082</v>
      </c>
      <c r="I109" s="10">
        <v>162016.43342864999</v>
      </c>
      <c r="J109" s="23">
        <f t="shared" si="3"/>
        <v>19035.801668208995</v>
      </c>
    </row>
    <row r="110" spans="1:10">
      <c r="A110" t="s">
        <v>115</v>
      </c>
      <c r="B110" t="s">
        <v>291</v>
      </c>
      <c r="C110" s="20">
        <v>2040</v>
      </c>
      <c r="D110" t="s">
        <v>219</v>
      </c>
      <c r="E110" s="22">
        <v>293129.47449179803</v>
      </c>
      <c r="F110" s="22">
        <v>284572.708855759</v>
      </c>
      <c r="G110" s="10">
        <v>308326.23194074701</v>
      </c>
      <c r="H110" s="23">
        <f t="shared" si="2"/>
        <v>23753.523084988003</v>
      </c>
      <c r="I110" s="10">
        <v>327830.115399056</v>
      </c>
      <c r="J110" s="23">
        <f t="shared" si="3"/>
        <v>34700.64090725797</v>
      </c>
    </row>
    <row r="111" spans="1:10">
      <c r="A111" t="s">
        <v>115</v>
      </c>
      <c r="B111" t="s">
        <v>291</v>
      </c>
      <c r="C111" s="20">
        <v>2040</v>
      </c>
      <c r="D111" t="s">
        <v>223</v>
      </c>
      <c r="E111" s="22">
        <v>747594.12210534804</v>
      </c>
      <c r="F111" s="22">
        <v>468136.94489831099</v>
      </c>
      <c r="G111" s="10">
        <v>495491.38902189699</v>
      </c>
      <c r="H111" s="23">
        <f t="shared" si="2"/>
        <v>27354.444123585999</v>
      </c>
      <c r="I111" s="10">
        <v>853229.02362041397</v>
      </c>
      <c r="J111" s="23">
        <f t="shared" si="3"/>
        <v>105634.90151506593</v>
      </c>
    </row>
    <row r="112" spans="1:10">
      <c r="A112" t="s">
        <v>115</v>
      </c>
      <c r="B112" t="s">
        <v>291</v>
      </c>
      <c r="C112" s="20">
        <v>2040</v>
      </c>
      <c r="D112" t="s">
        <v>227</v>
      </c>
      <c r="E112" s="22">
        <v>403042.88479558902</v>
      </c>
      <c r="F112" s="22">
        <v>228593.33839021699</v>
      </c>
      <c r="G112" s="10">
        <v>238587.52571787301</v>
      </c>
      <c r="H112" s="23">
        <f t="shared" si="2"/>
        <v>9994.1873276560218</v>
      </c>
      <c r="I112" s="10">
        <v>453595.60268299701</v>
      </c>
      <c r="J112" s="23">
        <f t="shared" si="3"/>
        <v>50552.717887407984</v>
      </c>
    </row>
    <row r="113" spans="1:10">
      <c r="A113" t="s">
        <v>115</v>
      </c>
      <c r="B113" t="s">
        <v>291</v>
      </c>
      <c r="C113" s="20">
        <v>2040</v>
      </c>
      <c r="D113" t="s">
        <v>293</v>
      </c>
      <c r="E113" s="22">
        <v>12921.6539126882</v>
      </c>
      <c r="F113" s="22">
        <v>2071.4469113237501</v>
      </c>
      <c r="G113" s="10">
        <v>2071.4443811368701</v>
      </c>
      <c r="H113" s="23">
        <f t="shared" si="2"/>
        <v>-2.5301868799942895E-3</v>
      </c>
      <c r="I113" s="10">
        <v>12921.606542589099</v>
      </c>
      <c r="J113" s="23">
        <f t="shared" si="3"/>
        <v>-4.7370099100589869E-2</v>
      </c>
    </row>
    <row r="114" spans="1:10">
      <c r="A114" t="s">
        <v>115</v>
      </c>
      <c r="B114" t="s">
        <v>291</v>
      </c>
      <c r="C114" s="20">
        <v>2041</v>
      </c>
      <c r="D114" t="s">
        <v>292</v>
      </c>
      <c r="E114" s="22">
        <v>16055.340779001601</v>
      </c>
      <c r="F114" s="22">
        <v>10978.644339399199</v>
      </c>
      <c r="G114" s="10">
        <v>10939.501155698201</v>
      </c>
      <c r="H114" s="23">
        <f t="shared" si="2"/>
        <v>-39.143183700998634</v>
      </c>
      <c r="I114" s="10">
        <v>15920.877501615299</v>
      </c>
      <c r="J114" s="23">
        <f t="shared" si="3"/>
        <v>-134.46327738630134</v>
      </c>
    </row>
    <row r="115" spans="1:10">
      <c r="A115" t="s">
        <v>115</v>
      </c>
      <c r="B115" t="s">
        <v>291</v>
      </c>
      <c r="C115" s="20">
        <v>2041</v>
      </c>
      <c r="D115" t="s">
        <v>233</v>
      </c>
      <c r="E115" s="22">
        <v>1068708.31156528</v>
      </c>
      <c r="F115" s="22">
        <v>188749.570678733</v>
      </c>
      <c r="G115" s="10">
        <v>203201.12879651901</v>
      </c>
      <c r="H115" s="23">
        <f t="shared" si="2"/>
        <v>14451.558117786015</v>
      </c>
      <c r="I115" s="10">
        <v>1066563.6735298</v>
      </c>
      <c r="J115" s="23">
        <f t="shared" si="3"/>
        <v>-2144.638035479933</v>
      </c>
    </row>
    <row r="116" spans="1:10">
      <c r="A116" t="s">
        <v>115</v>
      </c>
      <c r="B116" t="s">
        <v>291</v>
      </c>
      <c r="C116" s="20">
        <v>2041</v>
      </c>
      <c r="D116" t="s">
        <v>208</v>
      </c>
      <c r="E116" s="22">
        <v>146490.61303451</v>
      </c>
      <c r="F116" s="22">
        <v>93557.788741986005</v>
      </c>
      <c r="G116" s="10">
        <v>101998.78936441999</v>
      </c>
      <c r="H116" s="23">
        <f t="shared" si="2"/>
        <v>8441.0006224339886</v>
      </c>
      <c r="I116" s="10">
        <v>165603.256683252</v>
      </c>
      <c r="J116" s="23">
        <f t="shared" si="3"/>
        <v>19112.643648742</v>
      </c>
    </row>
    <row r="117" spans="1:10">
      <c r="A117" t="s">
        <v>115</v>
      </c>
      <c r="B117" t="s">
        <v>291</v>
      </c>
      <c r="C117" s="20">
        <v>2041</v>
      </c>
      <c r="D117" t="s">
        <v>219</v>
      </c>
      <c r="E117" s="22">
        <v>296255.74950412702</v>
      </c>
      <c r="F117" s="22">
        <v>284340.68845785997</v>
      </c>
      <c r="G117" s="10">
        <v>311000.56828577799</v>
      </c>
      <c r="H117" s="23">
        <f t="shared" si="2"/>
        <v>26659.879827918019</v>
      </c>
      <c r="I117" s="10">
        <v>330799.89253886102</v>
      </c>
      <c r="J117" s="23">
        <f t="shared" si="3"/>
        <v>34544.143034734007</v>
      </c>
    </row>
    <row r="118" spans="1:10">
      <c r="A118" t="s">
        <v>115</v>
      </c>
      <c r="B118" t="s">
        <v>291</v>
      </c>
      <c r="C118" s="20">
        <v>2041</v>
      </c>
      <c r="D118" t="s">
        <v>223</v>
      </c>
      <c r="E118" s="22">
        <v>763208.78395283397</v>
      </c>
      <c r="F118" s="22">
        <v>474848.09042630199</v>
      </c>
      <c r="G118" s="10">
        <v>506572.614435606</v>
      </c>
      <c r="H118" s="23">
        <f t="shared" si="2"/>
        <v>31724.524009304005</v>
      </c>
      <c r="I118" s="10">
        <v>869077.59210104402</v>
      </c>
      <c r="J118" s="23">
        <f t="shared" si="3"/>
        <v>105868.80814821005</v>
      </c>
    </row>
    <row r="119" spans="1:10">
      <c r="A119" t="s">
        <v>115</v>
      </c>
      <c r="B119" t="s">
        <v>291</v>
      </c>
      <c r="C119" s="20">
        <v>2041</v>
      </c>
      <c r="D119" t="s">
        <v>227</v>
      </c>
      <c r="E119" s="22">
        <v>411018.32030347403</v>
      </c>
      <c r="F119" s="22">
        <v>232617.82509031799</v>
      </c>
      <c r="G119" s="10">
        <v>244403.938380915</v>
      </c>
      <c r="H119" s="23">
        <f t="shared" si="2"/>
        <v>11786.113290597015</v>
      </c>
      <c r="I119" s="10">
        <v>461572.52561978099</v>
      </c>
      <c r="J119" s="23">
        <f t="shared" si="3"/>
        <v>50554.205316306965</v>
      </c>
    </row>
    <row r="120" spans="1:10">
      <c r="A120" t="s">
        <v>115</v>
      </c>
      <c r="B120" t="s">
        <v>291</v>
      </c>
      <c r="C120" s="20">
        <v>2041</v>
      </c>
      <c r="D120" t="s">
        <v>293</v>
      </c>
      <c r="E120" s="22">
        <v>12914.0164683977</v>
      </c>
      <c r="F120" s="22">
        <v>1954.42609437492</v>
      </c>
      <c r="G120" s="10">
        <v>1954.42370545678</v>
      </c>
      <c r="H120" s="23">
        <f t="shared" si="2"/>
        <v>-2.3889181400136295E-3</v>
      </c>
      <c r="I120" s="10">
        <v>12913.966107247799</v>
      </c>
      <c r="J120" s="23">
        <f t="shared" si="3"/>
        <v>-5.0361149900709279E-2</v>
      </c>
    </row>
    <row r="121" spans="1:10">
      <c r="A121" t="s">
        <v>115</v>
      </c>
      <c r="B121" t="s">
        <v>291</v>
      </c>
      <c r="C121" s="20">
        <v>2042</v>
      </c>
      <c r="D121" t="s">
        <v>292</v>
      </c>
      <c r="E121" s="22">
        <v>16478.1766076165</v>
      </c>
      <c r="F121" s="22">
        <v>11186.952764163299</v>
      </c>
      <c r="G121" s="10">
        <v>11135.4965430843</v>
      </c>
      <c r="H121" s="23">
        <f t="shared" si="2"/>
        <v>-51.456221078999079</v>
      </c>
      <c r="I121" s="10">
        <v>16309.899360965201</v>
      </c>
      <c r="J121" s="23">
        <f t="shared" si="3"/>
        <v>-168.27724665129972</v>
      </c>
    </row>
    <row r="122" spans="1:10">
      <c r="A122" t="s">
        <v>115</v>
      </c>
      <c r="B122" t="s">
        <v>291</v>
      </c>
      <c r="C122" s="20">
        <v>2042</v>
      </c>
      <c r="D122" t="s">
        <v>233</v>
      </c>
      <c r="E122" s="22">
        <v>1080672.3940926699</v>
      </c>
      <c r="F122" s="22">
        <v>194065.57086938201</v>
      </c>
      <c r="G122" s="10">
        <v>208646.65455354299</v>
      </c>
      <c r="H122" s="23">
        <f t="shared" si="2"/>
        <v>14581.083684160985</v>
      </c>
      <c r="I122" s="10">
        <v>1078026.6009798101</v>
      </c>
      <c r="J122" s="23">
        <f t="shared" si="3"/>
        <v>-2645.7931128598284</v>
      </c>
    </row>
    <row r="123" spans="1:10">
      <c r="A123" t="s">
        <v>115</v>
      </c>
      <c r="B123" t="s">
        <v>291</v>
      </c>
      <c r="C123" s="20">
        <v>2042</v>
      </c>
      <c r="D123" t="s">
        <v>208</v>
      </c>
      <c r="E123" s="22">
        <v>149992.34546187299</v>
      </c>
      <c r="F123" s="22">
        <v>94777.749158175997</v>
      </c>
      <c r="G123" s="10">
        <v>104153.760083299</v>
      </c>
      <c r="H123" s="23">
        <f t="shared" si="2"/>
        <v>9376.0109251230024</v>
      </c>
      <c r="I123" s="10">
        <v>169141.55663702101</v>
      </c>
      <c r="J123" s="23">
        <f t="shared" si="3"/>
        <v>19149.211175148026</v>
      </c>
    </row>
    <row r="124" spans="1:10">
      <c r="A124" t="s">
        <v>115</v>
      </c>
      <c r="B124" t="s">
        <v>291</v>
      </c>
      <c r="C124" s="20">
        <v>2042</v>
      </c>
      <c r="D124" t="s">
        <v>219</v>
      </c>
      <c r="E124" s="22">
        <v>299000.19293822802</v>
      </c>
      <c r="F124" s="22">
        <v>285302.84843954397</v>
      </c>
      <c r="G124" s="10">
        <v>313428.60406866297</v>
      </c>
      <c r="H124" s="23">
        <f t="shared" si="2"/>
        <v>28125.755629118998</v>
      </c>
      <c r="I124" s="10">
        <v>333321.32393865701</v>
      </c>
      <c r="J124" s="23">
        <f t="shared" si="3"/>
        <v>34321.131000428984</v>
      </c>
    </row>
    <row r="125" spans="1:10">
      <c r="A125" t="s">
        <v>115</v>
      </c>
      <c r="B125" t="s">
        <v>291</v>
      </c>
      <c r="C125" s="20">
        <v>2042</v>
      </c>
      <c r="D125" t="s">
        <v>223</v>
      </c>
      <c r="E125" s="22">
        <v>778269.12510377902</v>
      </c>
      <c r="F125" s="22">
        <v>481766.335896214</v>
      </c>
      <c r="G125" s="10">
        <v>517499.02350567799</v>
      </c>
      <c r="H125" s="23">
        <f t="shared" si="2"/>
        <v>35732.687609463988</v>
      </c>
      <c r="I125" s="10">
        <v>884281.97820778505</v>
      </c>
      <c r="J125" s="23">
        <f t="shared" si="3"/>
        <v>106012.85310400603</v>
      </c>
    </row>
    <row r="126" spans="1:10">
      <c r="A126" t="s">
        <v>115</v>
      </c>
      <c r="B126" t="s">
        <v>291</v>
      </c>
      <c r="C126" s="20">
        <v>2042</v>
      </c>
      <c r="D126" t="s">
        <v>227</v>
      </c>
      <c r="E126" s="22">
        <v>418942.43454440997</v>
      </c>
      <c r="F126" s="22">
        <v>236764.808426025</v>
      </c>
      <c r="G126" s="10">
        <v>250175.66351419699</v>
      </c>
      <c r="H126" s="23">
        <f t="shared" si="2"/>
        <v>13410.855088171986</v>
      </c>
      <c r="I126" s="10">
        <v>469454.14972188399</v>
      </c>
      <c r="J126" s="23">
        <f t="shared" si="3"/>
        <v>50511.71517747402</v>
      </c>
    </row>
    <row r="127" spans="1:10">
      <c r="A127" t="s">
        <v>115</v>
      </c>
      <c r="B127" t="s">
        <v>291</v>
      </c>
      <c r="C127" s="20">
        <v>2042</v>
      </c>
      <c r="D127" t="s">
        <v>293</v>
      </c>
      <c r="E127" s="22">
        <v>12448.0152348473</v>
      </c>
      <c r="F127" s="22">
        <v>1837.13997305147</v>
      </c>
      <c r="G127" s="10">
        <v>1837.13778678778</v>
      </c>
      <c r="H127" s="23">
        <f t="shared" si="2"/>
        <v>-2.1862636899641075E-3</v>
      </c>
      <c r="I127" s="10">
        <v>12447.9578277165</v>
      </c>
      <c r="J127" s="23">
        <f t="shared" si="3"/>
        <v>-5.740713080012938E-2</v>
      </c>
    </row>
    <row r="128" spans="1:10">
      <c r="A128" t="s">
        <v>115</v>
      </c>
      <c r="B128" t="s">
        <v>291</v>
      </c>
      <c r="C128" s="20">
        <v>2043</v>
      </c>
      <c r="D128" t="s">
        <v>292</v>
      </c>
      <c r="E128" s="22">
        <v>16960.387805552102</v>
      </c>
      <c r="F128" s="22">
        <v>11406.5610334792</v>
      </c>
      <c r="G128" s="10">
        <v>11340.588740714</v>
      </c>
      <c r="H128" s="23">
        <f t="shared" si="2"/>
        <v>-65.972292765200109</v>
      </c>
      <c r="I128" s="10">
        <v>16754.807280189099</v>
      </c>
      <c r="J128" s="23">
        <f t="shared" si="3"/>
        <v>-205.58052536300238</v>
      </c>
    </row>
    <row r="129" spans="1:10">
      <c r="A129" t="s">
        <v>115</v>
      </c>
      <c r="B129" t="s">
        <v>291</v>
      </c>
      <c r="C129" s="20">
        <v>2043</v>
      </c>
      <c r="D129" t="s">
        <v>233</v>
      </c>
      <c r="E129" s="22">
        <v>1092810.0271805299</v>
      </c>
      <c r="F129" s="22">
        <v>199308.90644128501</v>
      </c>
      <c r="G129" s="10">
        <v>214013.62732516901</v>
      </c>
      <c r="H129" s="23">
        <f t="shared" si="2"/>
        <v>14704.720883884002</v>
      </c>
      <c r="I129" s="10">
        <v>1089617.8876954</v>
      </c>
      <c r="J129" s="23">
        <f t="shared" si="3"/>
        <v>-3192.1394851298537</v>
      </c>
    </row>
    <row r="130" spans="1:10">
      <c r="A130" t="s">
        <v>115</v>
      </c>
      <c r="B130" t="s">
        <v>291</v>
      </c>
      <c r="C130" s="20">
        <v>2043</v>
      </c>
      <c r="D130" t="s">
        <v>208</v>
      </c>
      <c r="E130" s="22">
        <v>154146.959546656</v>
      </c>
      <c r="F130" s="22">
        <v>96154.513268461204</v>
      </c>
      <c r="G130" s="10">
        <v>106296.685429372</v>
      </c>
      <c r="H130" s="23">
        <f t="shared" ref="H130:H193" si="4">G130-F130</f>
        <v>10142.172160910792</v>
      </c>
      <c r="I130" s="10">
        <v>173407.83317995601</v>
      </c>
      <c r="J130" s="23">
        <f t="shared" ref="J130:J193" si="5">I130-E130</f>
        <v>19260.873633300012</v>
      </c>
    </row>
    <row r="131" spans="1:10">
      <c r="A131" t="s">
        <v>115</v>
      </c>
      <c r="B131" t="s">
        <v>291</v>
      </c>
      <c r="C131" s="20">
        <v>2043</v>
      </c>
      <c r="D131" t="s">
        <v>219</v>
      </c>
      <c r="E131" s="22">
        <v>301199.59860166599</v>
      </c>
      <c r="F131" s="22">
        <v>286378.84111948003</v>
      </c>
      <c r="G131" s="10">
        <v>315350.99513601098</v>
      </c>
      <c r="H131" s="23">
        <f t="shared" si="4"/>
        <v>28972.154016530956</v>
      </c>
      <c r="I131" s="10">
        <v>335190.94840548403</v>
      </c>
      <c r="J131" s="23">
        <f t="shared" si="5"/>
        <v>33991.349803818041</v>
      </c>
    </row>
    <row r="132" spans="1:10">
      <c r="A132" t="s">
        <v>115</v>
      </c>
      <c r="B132" t="s">
        <v>291</v>
      </c>
      <c r="C132" s="20">
        <v>2043</v>
      </c>
      <c r="D132" t="s">
        <v>223</v>
      </c>
      <c r="E132" s="22">
        <v>795402.89868412598</v>
      </c>
      <c r="F132" s="22">
        <v>488709.75252123101</v>
      </c>
      <c r="G132" s="10">
        <v>528079.18108166906</v>
      </c>
      <c r="H132" s="23">
        <f t="shared" si="4"/>
        <v>39369.428560438042</v>
      </c>
      <c r="I132" s="10">
        <v>901770.41197437595</v>
      </c>
      <c r="J132" s="23">
        <f t="shared" si="5"/>
        <v>106367.51329024998</v>
      </c>
    </row>
    <row r="133" spans="1:10">
      <c r="A133" t="s">
        <v>115</v>
      </c>
      <c r="B133" t="s">
        <v>291</v>
      </c>
      <c r="C133" s="20">
        <v>2043</v>
      </c>
      <c r="D133" t="s">
        <v>227</v>
      </c>
      <c r="E133" s="22">
        <v>428796.958838035</v>
      </c>
      <c r="F133" s="22">
        <v>241114.057862288</v>
      </c>
      <c r="G133" s="10">
        <v>255992.973248088</v>
      </c>
      <c r="H133" s="23">
        <f t="shared" si="4"/>
        <v>14878.915385800006</v>
      </c>
      <c r="I133" s="10">
        <v>479482.18838674302</v>
      </c>
      <c r="J133" s="23">
        <f t="shared" si="5"/>
        <v>50685.229548708012</v>
      </c>
    </row>
    <row r="134" spans="1:10">
      <c r="A134" t="s">
        <v>115</v>
      </c>
      <c r="B134" t="s">
        <v>291</v>
      </c>
      <c r="C134" s="20">
        <v>2043</v>
      </c>
      <c r="D134" t="s">
        <v>293</v>
      </c>
      <c r="E134" s="22">
        <v>12246.6361372108</v>
      </c>
      <c r="F134" s="22">
        <v>1731.13374489783</v>
      </c>
      <c r="G134" s="10">
        <v>1731.1314511154001</v>
      </c>
      <c r="H134" s="23">
        <f t="shared" si="4"/>
        <v>-2.2937824298878695E-3</v>
      </c>
      <c r="I134" s="10">
        <v>12246.573111478099</v>
      </c>
      <c r="J134" s="23">
        <f t="shared" si="5"/>
        <v>-6.3025732701134984E-2</v>
      </c>
    </row>
    <row r="135" spans="1:10">
      <c r="A135" t="s">
        <v>115</v>
      </c>
      <c r="B135" t="s">
        <v>291</v>
      </c>
      <c r="C135" s="20">
        <v>2044</v>
      </c>
      <c r="D135" t="s">
        <v>292</v>
      </c>
      <c r="E135" s="22">
        <v>17387.4568805458</v>
      </c>
      <c r="F135" s="22">
        <v>11623.3593190761</v>
      </c>
      <c r="G135" s="10">
        <v>11540.7879834335</v>
      </c>
      <c r="H135" s="23">
        <f t="shared" si="4"/>
        <v>-82.571335642600388</v>
      </c>
      <c r="I135" s="10">
        <v>17141.712046114699</v>
      </c>
      <c r="J135" s="23">
        <f t="shared" si="5"/>
        <v>-245.74483443110148</v>
      </c>
    </row>
    <row r="136" spans="1:10">
      <c r="A136" t="s">
        <v>115</v>
      </c>
      <c r="B136" t="s">
        <v>291</v>
      </c>
      <c r="C136" s="20">
        <v>2044</v>
      </c>
      <c r="D136" t="s">
        <v>233</v>
      </c>
      <c r="E136" s="22">
        <v>1104351.64462999</v>
      </c>
      <c r="F136" s="22">
        <v>204561.07780760899</v>
      </c>
      <c r="G136" s="10">
        <v>219387.62606599199</v>
      </c>
      <c r="H136" s="23">
        <f t="shared" si="4"/>
        <v>14826.548258383002</v>
      </c>
      <c r="I136" s="10">
        <v>1100597.3318727301</v>
      </c>
      <c r="J136" s="23">
        <f t="shared" si="5"/>
        <v>-3754.3127572599333</v>
      </c>
    </row>
    <row r="137" spans="1:10">
      <c r="A137" t="s">
        <v>115</v>
      </c>
      <c r="B137" t="s">
        <v>291</v>
      </c>
      <c r="C137" s="20">
        <v>2044</v>
      </c>
      <c r="D137" t="s">
        <v>208</v>
      </c>
      <c r="E137" s="22">
        <v>157503.93382973899</v>
      </c>
      <c r="F137" s="22">
        <v>97640.884735227301</v>
      </c>
      <c r="G137" s="10">
        <v>108405.015378104</v>
      </c>
      <c r="H137" s="23">
        <f t="shared" si="4"/>
        <v>10764.130642876698</v>
      </c>
      <c r="I137" s="10">
        <v>176720.97391354199</v>
      </c>
      <c r="J137" s="23">
        <f t="shared" si="5"/>
        <v>19217.040083803004</v>
      </c>
    </row>
    <row r="138" spans="1:10">
      <c r="A138" t="s">
        <v>115</v>
      </c>
      <c r="B138" t="s">
        <v>291</v>
      </c>
      <c r="C138" s="20">
        <v>2044</v>
      </c>
      <c r="D138" t="s">
        <v>219</v>
      </c>
      <c r="E138" s="22">
        <v>303490.72791503603</v>
      </c>
      <c r="F138" s="22">
        <v>287692.52622175199</v>
      </c>
      <c r="G138" s="10">
        <v>317170.63797703298</v>
      </c>
      <c r="H138" s="23">
        <f t="shared" si="4"/>
        <v>29478.111755280988</v>
      </c>
      <c r="I138" s="10">
        <v>337141.608513163</v>
      </c>
      <c r="J138" s="23">
        <f t="shared" si="5"/>
        <v>33650.880598126969</v>
      </c>
    </row>
    <row r="139" spans="1:10">
      <c r="A139" t="s">
        <v>115</v>
      </c>
      <c r="B139" t="s">
        <v>291</v>
      </c>
      <c r="C139" s="20">
        <v>2044</v>
      </c>
      <c r="D139" t="s">
        <v>223</v>
      </c>
      <c r="E139" s="22">
        <v>809561.07976069802</v>
      </c>
      <c r="F139" s="22">
        <v>495861.47926783998</v>
      </c>
      <c r="G139" s="10">
        <v>538525.39741154201</v>
      </c>
      <c r="H139" s="23">
        <f t="shared" si="4"/>
        <v>42663.918143702031</v>
      </c>
      <c r="I139" s="10">
        <v>915703.81154080201</v>
      </c>
      <c r="J139" s="23">
        <f t="shared" si="5"/>
        <v>106142.73178010399</v>
      </c>
    </row>
    <row r="140" spans="1:10">
      <c r="A140" t="s">
        <v>115</v>
      </c>
      <c r="B140" t="s">
        <v>291</v>
      </c>
      <c r="C140" s="20">
        <v>2044</v>
      </c>
      <c r="D140" t="s">
        <v>227</v>
      </c>
      <c r="E140" s="22">
        <v>436144.11100649199</v>
      </c>
      <c r="F140" s="22">
        <v>245485.12691104499</v>
      </c>
      <c r="G140" s="10">
        <v>261683.33955189399</v>
      </c>
      <c r="H140" s="23">
        <f t="shared" si="4"/>
        <v>16198.212640849</v>
      </c>
      <c r="I140" s="10">
        <v>486601.39042237803</v>
      </c>
      <c r="J140" s="23">
        <f t="shared" si="5"/>
        <v>50457.279415886034</v>
      </c>
    </row>
    <row r="141" spans="1:10">
      <c r="A141" t="s">
        <v>115</v>
      </c>
      <c r="B141" t="s">
        <v>291</v>
      </c>
      <c r="C141" s="20">
        <v>2044</v>
      </c>
      <c r="D141" t="s">
        <v>293</v>
      </c>
      <c r="E141" s="22">
        <v>12149.926255427699</v>
      </c>
      <c r="F141" s="22">
        <v>1626.3778750854201</v>
      </c>
      <c r="G141" s="10">
        <v>1626.3753813795499</v>
      </c>
      <c r="H141" s="23">
        <f t="shared" si="4"/>
        <v>-2.4937058701652859E-3</v>
      </c>
      <c r="I141" s="10">
        <v>12149.8552379252</v>
      </c>
      <c r="J141" s="23">
        <f t="shared" si="5"/>
        <v>-7.1017502499671536E-2</v>
      </c>
    </row>
    <row r="142" spans="1:10">
      <c r="A142" t="s">
        <v>115</v>
      </c>
      <c r="B142" t="s">
        <v>291</v>
      </c>
      <c r="C142" s="20">
        <v>2045</v>
      </c>
      <c r="D142" t="s">
        <v>292</v>
      </c>
      <c r="E142" s="22">
        <v>17846.968353531</v>
      </c>
      <c r="F142" s="22">
        <v>11847.1217909974</v>
      </c>
      <c r="G142" s="10">
        <v>11745.9298391965</v>
      </c>
      <c r="H142" s="23">
        <f t="shared" si="4"/>
        <v>-101.19195180089991</v>
      </c>
      <c r="I142" s="10">
        <v>17558.0225793012</v>
      </c>
      <c r="J142" s="23">
        <f t="shared" si="5"/>
        <v>-288.94577422980001</v>
      </c>
    </row>
    <row r="143" spans="1:10">
      <c r="A143" t="s">
        <v>115</v>
      </c>
      <c r="B143" t="s">
        <v>291</v>
      </c>
      <c r="C143" s="20">
        <v>2045</v>
      </c>
      <c r="D143" t="s">
        <v>233</v>
      </c>
      <c r="E143" s="22">
        <v>1115173.4371285001</v>
      </c>
      <c r="F143" s="22">
        <v>209840.890283115</v>
      </c>
      <c r="G143" s="10">
        <v>224789.13547085301</v>
      </c>
      <c r="H143" s="23">
        <f t="shared" si="4"/>
        <v>14948.245187738008</v>
      </c>
      <c r="I143" s="10">
        <v>1110841.0354508499</v>
      </c>
      <c r="J143" s="23">
        <f t="shared" si="5"/>
        <v>-4332.4016776501667</v>
      </c>
    </row>
    <row r="144" spans="1:10">
      <c r="A144" t="s">
        <v>115</v>
      </c>
      <c r="B144" t="s">
        <v>291</v>
      </c>
      <c r="C144" s="20">
        <v>2045</v>
      </c>
      <c r="D144" t="s">
        <v>208</v>
      </c>
      <c r="E144" s="22">
        <v>161001.45993188</v>
      </c>
      <c r="F144" s="22">
        <v>99272.1195706789</v>
      </c>
      <c r="G144" s="10">
        <v>110535.42825069001</v>
      </c>
      <c r="H144" s="23">
        <f t="shared" si="4"/>
        <v>11263.308680011105</v>
      </c>
      <c r="I144" s="10">
        <v>180153.68435169</v>
      </c>
      <c r="J144" s="23">
        <f t="shared" si="5"/>
        <v>19152.224419809994</v>
      </c>
    </row>
    <row r="145" spans="1:10">
      <c r="A145" t="s">
        <v>115</v>
      </c>
      <c r="B145" t="s">
        <v>291</v>
      </c>
      <c r="C145" s="20">
        <v>2045</v>
      </c>
      <c r="D145" t="s">
        <v>219</v>
      </c>
      <c r="E145" s="22">
        <v>305874.44808740902</v>
      </c>
      <c r="F145" s="22">
        <v>289147.14845105098</v>
      </c>
      <c r="G145" s="10">
        <v>318918.90492502099</v>
      </c>
      <c r="H145" s="23">
        <f t="shared" si="4"/>
        <v>29771.756473970017</v>
      </c>
      <c r="I145" s="10">
        <v>339169.59610344301</v>
      </c>
      <c r="J145" s="23">
        <f t="shared" si="5"/>
        <v>33295.148016033985</v>
      </c>
    </row>
    <row r="146" spans="1:10">
      <c r="A146" t="s">
        <v>115</v>
      </c>
      <c r="B146" t="s">
        <v>291</v>
      </c>
      <c r="C146" s="20">
        <v>2045</v>
      </c>
      <c r="D146" t="s">
        <v>223</v>
      </c>
      <c r="E146" s="22">
        <v>823455.30693413003</v>
      </c>
      <c r="F146" s="22">
        <v>503384.25900266698</v>
      </c>
      <c r="G146" s="10">
        <v>549018.34448388999</v>
      </c>
      <c r="H146" s="23">
        <f t="shared" si="4"/>
        <v>45634.08548122301</v>
      </c>
      <c r="I146" s="10">
        <v>929197.274787431</v>
      </c>
      <c r="J146" s="23">
        <f t="shared" si="5"/>
        <v>105741.96785330097</v>
      </c>
    </row>
    <row r="147" spans="1:10">
      <c r="A147" t="s">
        <v>115</v>
      </c>
      <c r="B147" t="s">
        <v>291</v>
      </c>
      <c r="C147" s="20">
        <v>2045</v>
      </c>
      <c r="D147" t="s">
        <v>227</v>
      </c>
      <c r="E147" s="22">
        <v>443151.08119482402</v>
      </c>
      <c r="F147" s="22">
        <v>250002.10885977701</v>
      </c>
      <c r="G147" s="10">
        <v>267382.39292450098</v>
      </c>
      <c r="H147" s="23">
        <f t="shared" si="4"/>
        <v>17380.284064723965</v>
      </c>
      <c r="I147" s="10">
        <v>493255.89308340597</v>
      </c>
      <c r="J147" s="23">
        <f t="shared" si="5"/>
        <v>50104.811888581957</v>
      </c>
    </row>
    <row r="148" spans="1:10">
      <c r="A148" t="s">
        <v>115</v>
      </c>
      <c r="B148" t="s">
        <v>291</v>
      </c>
      <c r="C148" s="20">
        <v>2045</v>
      </c>
      <c r="D148" t="s">
        <v>293</v>
      </c>
      <c r="E148" s="22">
        <v>12048.578204613999</v>
      </c>
      <c r="F148" s="22">
        <v>1523.26683659738</v>
      </c>
      <c r="G148" s="10">
        <v>1523.26402182686</v>
      </c>
      <c r="H148" s="23">
        <f t="shared" si="4"/>
        <v>-2.8147705199899065E-3</v>
      </c>
      <c r="I148" s="10">
        <v>12048.500629734999</v>
      </c>
      <c r="J148" s="23">
        <f t="shared" si="5"/>
        <v>-7.757487900016713E-2</v>
      </c>
    </row>
    <row r="149" spans="1:10">
      <c r="A149" t="s">
        <v>115</v>
      </c>
      <c r="B149" t="s">
        <v>291</v>
      </c>
      <c r="C149" s="20">
        <v>2046</v>
      </c>
      <c r="D149" t="s">
        <v>292</v>
      </c>
      <c r="E149" s="22">
        <v>18304.230987764899</v>
      </c>
      <c r="F149" s="22">
        <v>12078.395945914001</v>
      </c>
      <c r="G149" s="10">
        <v>11956.473218085101</v>
      </c>
      <c r="H149" s="23">
        <f t="shared" si="4"/>
        <v>-121.92272782889995</v>
      </c>
      <c r="I149" s="10">
        <v>17968.503099892001</v>
      </c>
      <c r="J149" s="23">
        <f t="shared" si="5"/>
        <v>-335.72788787289755</v>
      </c>
    </row>
    <row r="150" spans="1:10">
      <c r="A150" t="s">
        <v>115</v>
      </c>
      <c r="B150" t="s">
        <v>291</v>
      </c>
      <c r="C150" s="20">
        <v>2046</v>
      </c>
      <c r="D150" t="s">
        <v>233</v>
      </c>
      <c r="E150" s="22">
        <v>1129673.4749475899</v>
      </c>
      <c r="F150" s="22">
        <v>215155.431920865</v>
      </c>
      <c r="G150" s="10">
        <v>230223.64127301701</v>
      </c>
      <c r="H150" s="23">
        <f t="shared" si="4"/>
        <v>15068.209352152015</v>
      </c>
      <c r="I150" s="10">
        <v>1124741.3938505801</v>
      </c>
      <c r="J150" s="23">
        <f t="shared" si="5"/>
        <v>-4932.0810970098246</v>
      </c>
    </row>
    <row r="151" spans="1:10">
      <c r="A151" t="s">
        <v>115</v>
      </c>
      <c r="B151" t="s">
        <v>291</v>
      </c>
      <c r="C151" s="20">
        <v>2046</v>
      </c>
      <c r="D151" t="s">
        <v>208</v>
      </c>
      <c r="E151" s="22">
        <v>164454.74661678501</v>
      </c>
      <c r="F151" s="22">
        <v>101028.48143292801</v>
      </c>
      <c r="G151" s="10">
        <v>112679.652863118</v>
      </c>
      <c r="H151" s="23">
        <f t="shared" si="4"/>
        <v>11651.171430189992</v>
      </c>
      <c r="I151" s="10">
        <v>183510.56229015801</v>
      </c>
      <c r="J151" s="23">
        <f t="shared" si="5"/>
        <v>19055.815673372999</v>
      </c>
    </row>
    <row r="152" spans="1:10">
      <c r="A152" t="s">
        <v>115</v>
      </c>
      <c r="B152" t="s">
        <v>291</v>
      </c>
      <c r="C152" s="20">
        <v>2046</v>
      </c>
      <c r="D152" t="s">
        <v>219</v>
      </c>
      <c r="E152" s="22">
        <v>308295.150278432</v>
      </c>
      <c r="F152" s="22">
        <v>290663.063660299</v>
      </c>
      <c r="G152" s="10">
        <v>320574.16317287402</v>
      </c>
      <c r="H152" s="23">
        <f t="shared" si="4"/>
        <v>29911.09951257502</v>
      </c>
      <c r="I152" s="10">
        <v>341225.27548156399</v>
      </c>
      <c r="J152" s="23">
        <f t="shared" si="5"/>
        <v>32930.125203131989</v>
      </c>
    </row>
    <row r="153" spans="1:10">
      <c r="A153" t="s">
        <v>115</v>
      </c>
      <c r="B153" t="s">
        <v>291</v>
      </c>
      <c r="C153" s="20">
        <v>2046</v>
      </c>
      <c r="D153" t="s">
        <v>223</v>
      </c>
      <c r="E153" s="22">
        <v>838514.20080065902</v>
      </c>
      <c r="F153" s="22">
        <v>511252.67814796697</v>
      </c>
      <c r="G153" s="10">
        <v>559544.25675265596</v>
      </c>
      <c r="H153" s="23">
        <f t="shared" si="4"/>
        <v>48291.578604688984</v>
      </c>
      <c r="I153" s="10">
        <v>944010.93125743896</v>
      </c>
      <c r="J153" s="23">
        <f t="shared" si="5"/>
        <v>105496.73045677994</v>
      </c>
    </row>
    <row r="154" spans="1:10">
      <c r="A154" t="s">
        <v>115</v>
      </c>
      <c r="B154" t="s">
        <v>291</v>
      </c>
      <c r="C154" s="20">
        <v>2046</v>
      </c>
      <c r="D154" t="s">
        <v>227</v>
      </c>
      <c r="E154" s="22">
        <v>450815.76714733097</v>
      </c>
      <c r="F154" s="22">
        <v>254663.96874342699</v>
      </c>
      <c r="G154" s="10">
        <v>273080.78793423402</v>
      </c>
      <c r="H154" s="23">
        <f t="shared" si="4"/>
        <v>18416.819190807029</v>
      </c>
      <c r="I154" s="10">
        <v>500645.717898476</v>
      </c>
      <c r="J154" s="23">
        <f t="shared" si="5"/>
        <v>49829.950751145021</v>
      </c>
    </row>
    <row r="155" spans="1:10">
      <c r="A155" t="s">
        <v>115</v>
      </c>
      <c r="B155" t="s">
        <v>291</v>
      </c>
      <c r="C155" s="20">
        <v>2046</v>
      </c>
      <c r="D155" t="s">
        <v>293</v>
      </c>
      <c r="E155" s="22">
        <v>11943.8810372682</v>
      </c>
      <c r="F155" s="22">
        <v>1421.30338426816</v>
      </c>
      <c r="G155" s="10">
        <v>1421.3002106259</v>
      </c>
      <c r="H155" s="23">
        <f t="shared" si="4"/>
        <v>-3.1736422599806247E-3</v>
      </c>
      <c r="I155" s="10">
        <v>11943.7945693929</v>
      </c>
      <c r="J155" s="23">
        <f t="shared" si="5"/>
        <v>-8.6467875300513697E-2</v>
      </c>
    </row>
    <row r="156" spans="1:10">
      <c r="A156" t="s">
        <v>115</v>
      </c>
      <c r="B156" t="s">
        <v>291</v>
      </c>
      <c r="C156" s="20">
        <v>2047</v>
      </c>
      <c r="D156" t="s">
        <v>292</v>
      </c>
      <c r="E156" s="22">
        <v>18755.314979264</v>
      </c>
      <c r="F156" s="22">
        <v>12304.7278479584</v>
      </c>
      <c r="G156" s="10">
        <v>12160.3227217187</v>
      </c>
      <c r="H156" s="23">
        <f t="shared" si="4"/>
        <v>-144.40512623970062</v>
      </c>
      <c r="I156" s="10">
        <v>18370.9982297807</v>
      </c>
      <c r="J156" s="23">
        <f t="shared" si="5"/>
        <v>-384.31674948329965</v>
      </c>
    </row>
    <row r="157" spans="1:10">
      <c r="A157" t="s">
        <v>115</v>
      </c>
      <c r="B157" t="s">
        <v>291</v>
      </c>
      <c r="C157" s="20">
        <v>2047</v>
      </c>
      <c r="D157" t="s">
        <v>233</v>
      </c>
      <c r="E157" s="22">
        <v>1139217.22784548</v>
      </c>
      <c r="F157" s="22">
        <v>220395.16279749901</v>
      </c>
      <c r="G157" s="10">
        <v>235574.501787602</v>
      </c>
      <c r="H157" s="23">
        <f t="shared" si="4"/>
        <v>15179.338990102988</v>
      </c>
      <c r="I157" s="10">
        <v>1133680.16398797</v>
      </c>
      <c r="J157" s="23">
        <f t="shared" si="5"/>
        <v>-5537.0638575099874</v>
      </c>
    </row>
    <row r="158" spans="1:10">
      <c r="A158" t="s">
        <v>115</v>
      </c>
      <c r="B158" t="s">
        <v>291</v>
      </c>
      <c r="C158" s="20">
        <v>2047</v>
      </c>
      <c r="D158" t="s">
        <v>208</v>
      </c>
      <c r="E158" s="22">
        <v>167961.18326927201</v>
      </c>
      <c r="F158" s="22">
        <v>102812.476917789</v>
      </c>
      <c r="G158" s="10">
        <v>114770.43405395999</v>
      </c>
      <c r="H158" s="23">
        <f t="shared" si="4"/>
        <v>11957.957136170997</v>
      </c>
      <c r="I158" s="10">
        <v>186925.284089995</v>
      </c>
      <c r="J158" s="23">
        <f t="shared" si="5"/>
        <v>18964.10082072299</v>
      </c>
    </row>
    <row r="159" spans="1:10">
      <c r="A159" t="s">
        <v>115</v>
      </c>
      <c r="B159" t="s">
        <v>291</v>
      </c>
      <c r="C159" s="20">
        <v>2047</v>
      </c>
      <c r="D159" t="s">
        <v>219</v>
      </c>
      <c r="E159" s="22">
        <v>310301.37686741003</v>
      </c>
      <c r="F159" s="22">
        <v>292110.03398991498</v>
      </c>
      <c r="G159" s="10">
        <v>322040.72222872899</v>
      </c>
      <c r="H159" s="23">
        <f t="shared" si="4"/>
        <v>29930.688238814007</v>
      </c>
      <c r="I159" s="10">
        <v>342821.89990403602</v>
      </c>
      <c r="J159" s="23">
        <f t="shared" si="5"/>
        <v>32520.523036625993</v>
      </c>
    </row>
    <row r="160" spans="1:10">
      <c r="A160" t="s">
        <v>115</v>
      </c>
      <c r="B160" t="s">
        <v>291</v>
      </c>
      <c r="C160" s="20">
        <v>2047</v>
      </c>
      <c r="D160" t="s">
        <v>223</v>
      </c>
      <c r="E160" s="22">
        <v>852536.21689212206</v>
      </c>
      <c r="F160" s="22">
        <v>519105.66712836397</v>
      </c>
      <c r="G160" s="10">
        <v>569776.38738510106</v>
      </c>
      <c r="H160" s="23">
        <f t="shared" si="4"/>
        <v>50670.720256737084</v>
      </c>
      <c r="I160" s="10">
        <v>957700.33033182297</v>
      </c>
      <c r="J160" s="23">
        <f t="shared" si="5"/>
        <v>105164.11343970092</v>
      </c>
    </row>
    <row r="161" spans="1:10">
      <c r="A161" t="s">
        <v>115</v>
      </c>
      <c r="B161" t="s">
        <v>291</v>
      </c>
      <c r="C161" s="20">
        <v>2047</v>
      </c>
      <c r="D161" t="s">
        <v>227</v>
      </c>
      <c r="E161" s="22">
        <v>458186.01435970899</v>
      </c>
      <c r="F161" s="22">
        <v>259269.02457435901</v>
      </c>
      <c r="G161" s="10">
        <v>278595.19874690002</v>
      </c>
      <c r="H161" s="23">
        <f t="shared" si="4"/>
        <v>19326.17417254101</v>
      </c>
      <c r="I161" s="10">
        <v>507728.74976711301</v>
      </c>
      <c r="J161" s="23">
        <f t="shared" si="5"/>
        <v>49542.735407404019</v>
      </c>
    </row>
    <row r="162" spans="1:10">
      <c r="A162" t="s">
        <v>115</v>
      </c>
      <c r="B162" t="s">
        <v>291</v>
      </c>
      <c r="C162" s="20">
        <v>2047</v>
      </c>
      <c r="D162" t="s">
        <v>293</v>
      </c>
      <c r="E162" s="22">
        <v>11676.912206938499</v>
      </c>
      <c r="F162" s="22">
        <v>1320.0110982569699</v>
      </c>
      <c r="G162" s="10">
        <v>1320.00748918915</v>
      </c>
      <c r="H162" s="23">
        <f t="shared" si="4"/>
        <v>-3.6090678199798276E-3</v>
      </c>
      <c r="I162" s="10">
        <v>11676.813989078701</v>
      </c>
      <c r="J162" s="23">
        <f t="shared" si="5"/>
        <v>-9.8217859798751306E-2</v>
      </c>
    </row>
    <row r="163" spans="1:10">
      <c r="A163" t="s">
        <v>115</v>
      </c>
      <c r="B163" t="s">
        <v>291</v>
      </c>
      <c r="C163" s="20">
        <v>2048</v>
      </c>
      <c r="D163" t="s">
        <v>292</v>
      </c>
      <c r="E163" s="22">
        <v>19301.690953708901</v>
      </c>
      <c r="F163" s="22">
        <v>12528.202876158701</v>
      </c>
      <c r="G163" s="10">
        <v>12359.797946017999</v>
      </c>
      <c r="H163" s="23">
        <f t="shared" si="4"/>
        <v>-168.40493014070125</v>
      </c>
      <c r="I163" s="10">
        <v>18865.013879355902</v>
      </c>
      <c r="J163" s="23">
        <f t="shared" si="5"/>
        <v>-436.67707435299963</v>
      </c>
    </row>
    <row r="164" spans="1:10">
      <c r="A164" t="s">
        <v>115</v>
      </c>
      <c r="B164" t="s">
        <v>291</v>
      </c>
      <c r="C164" s="20">
        <v>2048</v>
      </c>
      <c r="D164" t="s">
        <v>233</v>
      </c>
      <c r="E164" s="22">
        <v>1146060.1473250701</v>
      </c>
      <c r="F164" s="22">
        <v>225501.845494301</v>
      </c>
      <c r="G164" s="10">
        <v>240778.643136103</v>
      </c>
      <c r="H164" s="23">
        <f t="shared" si="4"/>
        <v>15276.797641801997</v>
      </c>
      <c r="I164" s="10">
        <v>1139921.4222234201</v>
      </c>
      <c r="J164" s="23">
        <f t="shared" si="5"/>
        <v>-6138.725101649994</v>
      </c>
    </row>
    <row r="165" spans="1:10">
      <c r="A165" t="s">
        <v>115</v>
      </c>
      <c r="B165" t="s">
        <v>291</v>
      </c>
      <c r="C165" s="20">
        <v>2048</v>
      </c>
      <c r="D165" t="s">
        <v>208</v>
      </c>
      <c r="E165" s="22">
        <v>172222.443303723</v>
      </c>
      <c r="F165" s="22">
        <v>104597.894778282</v>
      </c>
      <c r="G165" s="10">
        <v>116788.610084</v>
      </c>
      <c r="H165" s="23">
        <f t="shared" si="4"/>
        <v>12190.715305717997</v>
      </c>
      <c r="I165" s="10">
        <v>191173.834498201</v>
      </c>
      <c r="J165" s="23">
        <f t="shared" si="5"/>
        <v>18951.391194477997</v>
      </c>
    </row>
    <row r="166" spans="1:10">
      <c r="A166" t="s">
        <v>115</v>
      </c>
      <c r="B166" t="s">
        <v>291</v>
      </c>
      <c r="C166" s="20">
        <v>2048</v>
      </c>
      <c r="D166" t="s">
        <v>219</v>
      </c>
      <c r="E166" s="22">
        <v>311775.03705451899</v>
      </c>
      <c r="F166" s="22">
        <v>293229.94797298103</v>
      </c>
      <c r="G166" s="10">
        <v>323063.01307722001</v>
      </c>
      <c r="H166" s="23">
        <f t="shared" si="4"/>
        <v>29833.06510423898</v>
      </c>
      <c r="I166" s="10">
        <v>343787.13800637401</v>
      </c>
      <c r="J166" s="23">
        <f t="shared" si="5"/>
        <v>32012.100951855013</v>
      </c>
    </row>
    <row r="167" spans="1:10">
      <c r="A167" t="s">
        <v>115</v>
      </c>
      <c r="B167" t="s">
        <v>291</v>
      </c>
      <c r="C167" s="20">
        <v>2048</v>
      </c>
      <c r="D167" t="s">
        <v>223</v>
      </c>
      <c r="E167" s="22">
        <v>867919.08075142896</v>
      </c>
      <c r="F167" s="22">
        <v>526698.24153797503</v>
      </c>
      <c r="G167" s="10">
        <v>579456.85888230801</v>
      </c>
      <c r="H167" s="23">
        <f t="shared" si="4"/>
        <v>52758.617344332975</v>
      </c>
      <c r="I167" s="10">
        <v>972752.00046915305</v>
      </c>
      <c r="J167" s="23">
        <f t="shared" si="5"/>
        <v>104832.91971772409</v>
      </c>
    </row>
    <row r="168" spans="1:10">
      <c r="A168" t="s">
        <v>115</v>
      </c>
      <c r="B168" t="s">
        <v>291</v>
      </c>
      <c r="C168" s="20">
        <v>2048</v>
      </c>
      <c r="D168" t="s">
        <v>227</v>
      </c>
      <c r="E168" s="22">
        <v>466772.63261437701</v>
      </c>
      <c r="F168" s="22">
        <v>263790.13217142102</v>
      </c>
      <c r="G168" s="10">
        <v>283909.318240972</v>
      </c>
      <c r="H168" s="23">
        <f t="shared" si="4"/>
        <v>20119.186069550982</v>
      </c>
      <c r="I168" s="10">
        <v>516145.43806322297</v>
      </c>
      <c r="J168" s="23">
        <f t="shared" si="5"/>
        <v>49372.80544884596</v>
      </c>
    </row>
    <row r="169" spans="1:10">
      <c r="A169" t="s">
        <v>115</v>
      </c>
      <c r="B169" t="s">
        <v>291</v>
      </c>
      <c r="C169" s="20">
        <v>2048</v>
      </c>
      <c r="D169" t="s">
        <v>293</v>
      </c>
      <c r="E169" s="22">
        <v>11567.5186143749</v>
      </c>
      <c r="F169" s="22">
        <v>1228.73679826702</v>
      </c>
      <c r="G169" s="10">
        <v>1228.73261677247</v>
      </c>
      <c r="H169" s="23">
        <f t="shared" si="4"/>
        <v>-4.1814945500391332E-3</v>
      </c>
      <c r="I169" s="10">
        <v>11567.403570372901</v>
      </c>
      <c r="J169" s="23">
        <f t="shared" si="5"/>
        <v>-0.11504400199919473</v>
      </c>
    </row>
    <row r="170" spans="1:10">
      <c r="A170" t="s">
        <v>115</v>
      </c>
      <c r="B170" t="s">
        <v>291</v>
      </c>
      <c r="C170" s="20">
        <v>2049</v>
      </c>
      <c r="D170" t="s">
        <v>292</v>
      </c>
      <c r="E170" s="22">
        <v>19755.183858315799</v>
      </c>
      <c r="F170" s="22">
        <v>12756.914942126001</v>
      </c>
      <c r="G170" s="10">
        <v>12562.9700035081</v>
      </c>
      <c r="H170" s="23">
        <f t="shared" si="4"/>
        <v>-193.94493861790033</v>
      </c>
      <c r="I170" s="10">
        <v>19265.9413357536</v>
      </c>
      <c r="J170" s="23">
        <f t="shared" si="5"/>
        <v>-489.24252256219916</v>
      </c>
    </row>
    <row r="171" spans="1:10">
      <c r="A171" t="s">
        <v>115</v>
      </c>
      <c r="B171" t="s">
        <v>291</v>
      </c>
      <c r="C171" s="20">
        <v>2049</v>
      </c>
      <c r="D171" t="s">
        <v>233</v>
      </c>
      <c r="E171" s="22">
        <v>1155692.13673427</v>
      </c>
      <c r="F171" s="22">
        <v>230649.885702064</v>
      </c>
      <c r="G171" s="10">
        <v>246024.45476508801</v>
      </c>
      <c r="H171" s="23">
        <f t="shared" si="4"/>
        <v>15374.569063024013</v>
      </c>
      <c r="I171" s="10">
        <v>1148955.60958046</v>
      </c>
      <c r="J171" s="23">
        <f t="shared" si="5"/>
        <v>-6736.5271538100205</v>
      </c>
    </row>
    <row r="172" spans="1:10">
      <c r="A172" t="s">
        <v>115</v>
      </c>
      <c r="B172" t="s">
        <v>291</v>
      </c>
      <c r="C172" s="20">
        <v>2049</v>
      </c>
      <c r="D172" t="s">
        <v>208</v>
      </c>
      <c r="E172" s="22">
        <v>175505.65256507599</v>
      </c>
      <c r="F172" s="22">
        <v>106460.494011556</v>
      </c>
      <c r="G172" s="10">
        <v>118827.58429132801</v>
      </c>
      <c r="H172" s="23">
        <f t="shared" si="4"/>
        <v>12367.090279772005</v>
      </c>
      <c r="I172" s="10">
        <v>194292.05553949799</v>
      </c>
      <c r="J172" s="23">
        <f t="shared" si="5"/>
        <v>18786.402974422002</v>
      </c>
    </row>
    <row r="173" spans="1:10">
      <c r="A173" t="s">
        <v>115</v>
      </c>
      <c r="B173" t="s">
        <v>291</v>
      </c>
      <c r="C173" s="20">
        <v>2049</v>
      </c>
      <c r="D173" t="s">
        <v>219</v>
      </c>
      <c r="E173" s="22">
        <v>313491.62602685601</v>
      </c>
      <c r="F173" s="22">
        <v>294443.59198414301</v>
      </c>
      <c r="G173" s="10">
        <v>324116.92279720597</v>
      </c>
      <c r="H173" s="23">
        <f t="shared" si="4"/>
        <v>29673.330813062959</v>
      </c>
      <c r="I173" s="10">
        <v>345031.33482911799</v>
      </c>
      <c r="J173" s="23">
        <f t="shared" si="5"/>
        <v>31539.708802261972</v>
      </c>
    </row>
    <row r="174" spans="1:10">
      <c r="A174" t="s">
        <v>115</v>
      </c>
      <c r="B174" t="s">
        <v>291</v>
      </c>
      <c r="C174" s="20">
        <v>2049</v>
      </c>
      <c r="D174" t="s">
        <v>223</v>
      </c>
      <c r="E174" s="22">
        <v>881317.98739127105</v>
      </c>
      <c r="F174" s="22">
        <v>534603.98477827304</v>
      </c>
      <c r="G174" s="10">
        <v>589228.44517656299</v>
      </c>
      <c r="H174" s="23">
        <f t="shared" si="4"/>
        <v>54624.460398289957</v>
      </c>
      <c r="I174" s="10">
        <v>985505.20697682304</v>
      </c>
      <c r="J174" s="23">
        <f t="shared" si="5"/>
        <v>104187.219585552</v>
      </c>
    </row>
    <row r="175" spans="1:10">
      <c r="A175" t="s">
        <v>115</v>
      </c>
      <c r="B175" t="s">
        <v>291</v>
      </c>
      <c r="C175" s="20">
        <v>2049</v>
      </c>
      <c r="D175" t="s">
        <v>227</v>
      </c>
      <c r="E175" s="22">
        <v>473549.48760516703</v>
      </c>
      <c r="F175" s="22">
        <v>268423.65610831598</v>
      </c>
      <c r="G175" s="10">
        <v>289249.08993941598</v>
      </c>
      <c r="H175" s="23">
        <f t="shared" si="4"/>
        <v>20825.433831100003</v>
      </c>
      <c r="I175" s="10">
        <v>522492.20023024798</v>
      </c>
      <c r="J175" s="23">
        <f t="shared" si="5"/>
        <v>48942.712625080952</v>
      </c>
    </row>
    <row r="176" spans="1:10">
      <c r="A176" t="s">
        <v>115</v>
      </c>
      <c r="B176" t="s">
        <v>291</v>
      </c>
      <c r="C176" s="20">
        <v>2049</v>
      </c>
      <c r="D176" t="s">
        <v>293</v>
      </c>
      <c r="E176" s="22">
        <v>11514.6727202784</v>
      </c>
      <c r="F176" s="22">
        <v>1139.2466781246601</v>
      </c>
      <c r="G176" s="10">
        <v>1139.2417525041701</v>
      </c>
      <c r="H176" s="23">
        <f t="shared" si="4"/>
        <v>-4.9256204899847944E-3</v>
      </c>
      <c r="I176" s="10">
        <v>11514.536964282301</v>
      </c>
      <c r="J176" s="23">
        <f t="shared" si="5"/>
        <v>-0.13575599609976052</v>
      </c>
    </row>
    <row r="177" spans="1:10">
      <c r="A177" t="s">
        <v>115</v>
      </c>
      <c r="B177" t="s">
        <v>291</v>
      </c>
      <c r="C177" s="20">
        <v>2050</v>
      </c>
      <c r="D177" t="s">
        <v>292</v>
      </c>
      <c r="E177" s="22">
        <v>20194.718338194001</v>
      </c>
      <c r="F177" s="22">
        <v>12985.6352187708</v>
      </c>
      <c r="G177" s="10">
        <v>12764.9906286853</v>
      </c>
      <c r="H177" s="23">
        <f t="shared" si="4"/>
        <v>-220.64459008549966</v>
      </c>
      <c r="I177" s="10">
        <v>19651.774602414</v>
      </c>
      <c r="J177" s="23">
        <f t="shared" si="5"/>
        <v>-542.94373578000159</v>
      </c>
    </row>
    <row r="178" spans="1:10">
      <c r="A178" t="s">
        <v>115</v>
      </c>
      <c r="B178" t="s">
        <v>291</v>
      </c>
      <c r="C178" s="20">
        <v>2050</v>
      </c>
      <c r="D178" t="s">
        <v>233</v>
      </c>
      <c r="E178" s="22">
        <v>1164978.8734796799</v>
      </c>
      <c r="F178" s="22">
        <v>235715.690670451</v>
      </c>
      <c r="G178" s="10">
        <v>251178.95626775199</v>
      </c>
      <c r="H178" s="23">
        <f t="shared" si="4"/>
        <v>15463.265597300982</v>
      </c>
      <c r="I178" s="10">
        <v>1157673.56667431</v>
      </c>
      <c r="J178" s="23">
        <f t="shared" si="5"/>
        <v>-7305.3068053699099</v>
      </c>
    </row>
    <row r="179" spans="1:10">
      <c r="A179" t="s">
        <v>115</v>
      </c>
      <c r="B179" t="s">
        <v>291</v>
      </c>
      <c r="C179" s="20">
        <v>2050</v>
      </c>
      <c r="D179" t="s">
        <v>208</v>
      </c>
      <c r="E179" s="22">
        <v>178379.93138845</v>
      </c>
      <c r="F179" s="22">
        <v>108337.47299987799</v>
      </c>
      <c r="G179" s="10">
        <v>120827.928759862</v>
      </c>
      <c r="H179" s="23">
        <f t="shared" si="4"/>
        <v>12490.455759984005</v>
      </c>
      <c r="I179" s="10">
        <v>196917.20462551599</v>
      </c>
      <c r="J179" s="23">
        <f t="shared" si="5"/>
        <v>18537.273237065994</v>
      </c>
    </row>
    <row r="180" spans="1:10">
      <c r="A180" t="s">
        <v>115</v>
      </c>
      <c r="B180" t="s">
        <v>291</v>
      </c>
      <c r="C180" s="20">
        <v>2050</v>
      </c>
      <c r="D180" t="s">
        <v>219</v>
      </c>
      <c r="E180" s="22">
        <v>315173.224569201</v>
      </c>
      <c r="F180" s="22">
        <v>295520.149002683</v>
      </c>
      <c r="G180" s="10">
        <v>324973.27922619297</v>
      </c>
      <c r="H180" s="23">
        <f t="shared" si="4"/>
        <v>29453.130223509972</v>
      </c>
      <c r="I180" s="10">
        <v>346233.851249823</v>
      </c>
      <c r="J180" s="23">
        <f t="shared" si="5"/>
        <v>31060.626680621994</v>
      </c>
    </row>
    <row r="181" spans="1:10">
      <c r="A181" t="s">
        <v>115</v>
      </c>
      <c r="B181" t="s">
        <v>291</v>
      </c>
      <c r="C181" s="20">
        <v>2050</v>
      </c>
      <c r="D181" t="s">
        <v>223</v>
      </c>
      <c r="E181" s="22">
        <v>893872.54632924998</v>
      </c>
      <c r="F181" s="22">
        <v>542557.71403558203</v>
      </c>
      <c r="G181" s="10">
        <v>598816.68706989801</v>
      </c>
      <c r="H181" s="23">
        <f t="shared" si="4"/>
        <v>56258.973034315975</v>
      </c>
      <c r="I181" s="10">
        <v>997255.10500191804</v>
      </c>
      <c r="J181" s="23">
        <f t="shared" si="5"/>
        <v>103382.55867266806</v>
      </c>
    </row>
    <row r="182" spans="1:10">
      <c r="A182" t="s">
        <v>115</v>
      </c>
      <c r="B182" t="s">
        <v>291</v>
      </c>
      <c r="C182" s="20">
        <v>2050</v>
      </c>
      <c r="D182" t="s">
        <v>227</v>
      </c>
      <c r="E182" s="22">
        <v>479608.28584091697</v>
      </c>
      <c r="F182" s="22">
        <v>272959.62261464098</v>
      </c>
      <c r="G182" s="10">
        <v>294395.50759803999</v>
      </c>
      <c r="H182" s="23">
        <f t="shared" si="4"/>
        <v>21435.88498339901</v>
      </c>
      <c r="I182" s="10">
        <v>528009.46412841696</v>
      </c>
      <c r="J182" s="23">
        <f t="shared" si="5"/>
        <v>48401.178287499992</v>
      </c>
    </row>
    <row r="183" spans="1:10">
      <c r="A183" t="s">
        <v>115</v>
      </c>
      <c r="B183" t="s">
        <v>291</v>
      </c>
      <c r="C183" s="20">
        <v>2050</v>
      </c>
      <c r="D183" t="s">
        <v>293</v>
      </c>
      <c r="E183" s="22">
        <v>11458.494111599901</v>
      </c>
      <c r="F183" s="22">
        <v>1051.1197154566701</v>
      </c>
      <c r="G183" s="10">
        <v>1051.113893317</v>
      </c>
      <c r="H183" s="23">
        <f t="shared" si="4"/>
        <v>-5.8221396700446348E-3</v>
      </c>
      <c r="I183" s="10">
        <v>11458.331766904899</v>
      </c>
      <c r="J183" s="23">
        <f t="shared" si="5"/>
        <v>-0.16234469500159321</v>
      </c>
    </row>
    <row r="184" spans="1:10">
      <c r="A184" t="s">
        <v>112</v>
      </c>
      <c r="B184" t="s">
        <v>294</v>
      </c>
      <c r="C184" s="20">
        <v>2025</v>
      </c>
      <c r="D184" t="s">
        <v>292</v>
      </c>
      <c r="E184" s="22">
        <v>11293.858953409001</v>
      </c>
      <c r="F184" s="22">
        <v>8456.09110298007</v>
      </c>
      <c r="G184" s="10">
        <v>8456.09110298007</v>
      </c>
      <c r="H184" s="23">
        <f t="shared" si="4"/>
        <v>0</v>
      </c>
      <c r="I184" s="10">
        <v>11293.858953409001</v>
      </c>
      <c r="J184" s="23">
        <f t="shared" si="5"/>
        <v>0</v>
      </c>
    </row>
    <row r="185" spans="1:10">
      <c r="A185" t="s">
        <v>112</v>
      </c>
      <c r="B185" t="s">
        <v>294</v>
      </c>
      <c r="C185" s="20">
        <v>2025</v>
      </c>
      <c r="D185" t="s">
        <v>233</v>
      </c>
      <c r="E185" s="22">
        <v>796801.79248266097</v>
      </c>
      <c r="F185" s="22">
        <v>124437.09967665101</v>
      </c>
      <c r="G185" s="10">
        <v>124437.09967665101</v>
      </c>
      <c r="H185" s="23">
        <f t="shared" si="4"/>
        <v>0</v>
      </c>
      <c r="I185" s="10">
        <v>796801.79248266097</v>
      </c>
      <c r="J185" s="23">
        <f t="shared" si="5"/>
        <v>0</v>
      </c>
    </row>
    <row r="186" spans="1:10">
      <c r="A186" t="s">
        <v>112</v>
      </c>
      <c r="B186" t="s">
        <v>294</v>
      </c>
      <c r="C186" s="20">
        <v>2025</v>
      </c>
      <c r="D186" t="s">
        <v>208</v>
      </c>
      <c r="E186" s="22">
        <v>110599.338170727</v>
      </c>
      <c r="F186" s="22">
        <v>70978.798014499494</v>
      </c>
      <c r="G186" s="10">
        <v>70978.798014499494</v>
      </c>
      <c r="H186" s="23">
        <f t="shared" si="4"/>
        <v>0</v>
      </c>
      <c r="I186" s="10">
        <v>110599.338170727</v>
      </c>
      <c r="J186" s="23">
        <f t="shared" si="5"/>
        <v>0</v>
      </c>
    </row>
    <row r="187" spans="1:10">
      <c r="A187" t="s">
        <v>112</v>
      </c>
      <c r="B187" t="s">
        <v>294</v>
      </c>
      <c r="C187" s="20">
        <v>2025</v>
      </c>
      <c r="D187" t="s">
        <v>219</v>
      </c>
      <c r="E187" s="22">
        <v>269908.90899035003</v>
      </c>
      <c r="F187" s="22">
        <v>250549.928104577</v>
      </c>
      <c r="G187" s="10">
        <v>250549.928104577</v>
      </c>
      <c r="H187" s="23">
        <f t="shared" si="4"/>
        <v>0</v>
      </c>
      <c r="I187" s="10">
        <v>269908.90899035003</v>
      </c>
      <c r="J187" s="23">
        <f t="shared" si="5"/>
        <v>0</v>
      </c>
    </row>
    <row r="188" spans="1:10">
      <c r="A188" t="s">
        <v>112</v>
      </c>
      <c r="B188" t="s">
        <v>294</v>
      </c>
      <c r="C188" s="20">
        <v>2025</v>
      </c>
      <c r="D188" t="s">
        <v>223</v>
      </c>
      <c r="E188" s="22">
        <v>605290.56266535597</v>
      </c>
      <c r="F188" s="22">
        <v>336235.04360375198</v>
      </c>
      <c r="G188" s="10">
        <v>336235.04360375198</v>
      </c>
      <c r="H188" s="23">
        <f t="shared" si="4"/>
        <v>0</v>
      </c>
      <c r="I188" s="10">
        <v>605290.56266535597</v>
      </c>
      <c r="J188" s="23">
        <f t="shared" si="5"/>
        <v>0</v>
      </c>
    </row>
    <row r="189" spans="1:10">
      <c r="A189" t="s">
        <v>112</v>
      </c>
      <c r="B189" t="s">
        <v>294</v>
      </c>
      <c r="C189" s="20">
        <v>2025</v>
      </c>
      <c r="D189" t="s">
        <v>227</v>
      </c>
      <c r="E189" s="22">
        <v>328703.69570834498</v>
      </c>
      <c r="F189" s="22">
        <v>165181.22986253601</v>
      </c>
      <c r="G189" s="10">
        <v>165181.22986253601</v>
      </c>
      <c r="H189" s="23">
        <f t="shared" si="4"/>
        <v>0</v>
      </c>
      <c r="I189" s="10">
        <v>328703.69570834498</v>
      </c>
      <c r="J189" s="23">
        <f t="shared" si="5"/>
        <v>0</v>
      </c>
    </row>
    <row r="190" spans="1:10">
      <c r="A190" t="s">
        <v>112</v>
      </c>
      <c r="B190" t="s">
        <v>294</v>
      </c>
      <c r="C190" s="20">
        <v>2025</v>
      </c>
      <c r="D190" t="s">
        <v>293</v>
      </c>
      <c r="E190" s="22">
        <v>12601.518831830699</v>
      </c>
      <c r="F190" s="22">
        <v>3955.3071189549901</v>
      </c>
      <c r="G190" s="10">
        <v>3955.3071189549901</v>
      </c>
      <c r="H190" s="23">
        <f t="shared" si="4"/>
        <v>0</v>
      </c>
      <c r="I190" s="10">
        <v>12601.518831830699</v>
      </c>
      <c r="J190" s="23">
        <f t="shared" si="5"/>
        <v>0</v>
      </c>
    </row>
    <row r="191" spans="1:10">
      <c r="A191" t="s">
        <v>112</v>
      </c>
      <c r="B191" t="s">
        <v>294</v>
      </c>
      <c r="C191" s="20">
        <v>2026</v>
      </c>
      <c r="D191" t="s">
        <v>292</v>
      </c>
      <c r="E191" s="22">
        <v>11413.940190784901</v>
      </c>
      <c r="F191" s="22">
        <v>8503.0488307289997</v>
      </c>
      <c r="G191" s="10">
        <v>8503.0488307289997</v>
      </c>
      <c r="H191" s="23">
        <f t="shared" si="4"/>
        <v>0</v>
      </c>
      <c r="I191" s="10">
        <v>11413.940190784901</v>
      </c>
      <c r="J191" s="23">
        <f t="shared" si="5"/>
        <v>0</v>
      </c>
    </row>
    <row r="192" spans="1:10">
      <c r="A192" t="s">
        <v>112</v>
      </c>
      <c r="B192" t="s">
        <v>294</v>
      </c>
      <c r="C192" s="20">
        <v>2026</v>
      </c>
      <c r="D192" t="s">
        <v>233</v>
      </c>
      <c r="E192" s="22">
        <v>813844.56971614505</v>
      </c>
      <c r="F192" s="22">
        <v>128333.952745922</v>
      </c>
      <c r="G192" s="10">
        <v>128333.952745922</v>
      </c>
      <c r="H192" s="23">
        <f t="shared" si="4"/>
        <v>0</v>
      </c>
      <c r="I192" s="10">
        <v>813844.56971614505</v>
      </c>
      <c r="J192" s="23">
        <f t="shared" si="5"/>
        <v>0</v>
      </c>
    </row>
    <row r="193" spans="1:10">
      <c r="A193" t="s">
        <v>112</v>
      </c>
      <c r="B193" t="s">
        <v>294</v>
      </c>
      <c r="C193" s="20">
        <v>2026</v>
      </c>
      <c r="D193" t="s">
        <v>208</v>
      </c>
      <c r="E193" s="22">
        <v>113261.467181129</v>
      </c>
      <c r="F193" s="22">
        <v>72339.688419073296</v>
      </c>
      <c r="G193" s="10">
        <v>72339.688419073296</v>
      </c>
      <c r="H193" s="23">
        <f t="shared" si="4"/>
        <v>0</v>
      </c>
      <c r="I193" s="10">
        <v>113261.467181129</v>
      </c>
      <c r="J193" s="23">
        <f t="shared" si="5"/>
        <v>0</v>
      </c>
    </row>
    <row r="194" spans="1:10">
      <c r="A194" t="s">
        <v>112</v>
      </c>
      <c r="B194" t="s">
        <v>294</v>
      </c>
      <c r="C194" s="20">
        <v>2026</v>
      </c>
      <c r="D194" t="s">
        <v>219</v>
      </c>
      <c r="E194" s="22">
        <v>274200.57792951202</v>
      </c>
      <c r="F194" s="22">
        <v>254910.75262748101</v>
      </c>
      <c r="G194" s="10">
        <v>254910.75262748101</v>
      </c>
      <c r="H194" s="23">
        <f t="shared" ref="H194:H257" si="6">G194-F194</f>
        <v>0</v>
      </c>
      <c r="I194" s="10">
        <v>274200.57792951202</v>
      </c>
      <c r="J194" s="23">
        <f t="shared" ref="J194:J257" si="7">I194-E194</f>
        <v>0</v>
      </c>
    </row>
    <row r="195" spans="1:10">
      <c r="A195" t="s">
        <v>112</v>
      </c>
      <c r="B195" t="s">
        <v>294</v>
      </c>
      <c r="C195" s="20">
        <v>2026</v>
      </c>
      <c r="D195" t="s">
        <v>223</v>
      </c>
      <c r="E195" s="22">
        <v>620097.59477910295</v>
      </c>
      <c r="F195" s="22">
        <v>344917.06433933502</v>
      </c>
      <c r="G195" s="10">
        <v>344917.06433933502</v>
      </c>
      <c r="H195" s="23">
        <f t="shared" si="6"/>
        <v>0</v>
      </c>
      <c r="I195" s="10">
        <v>620097.59477910295</v>
      </c>
      <c r="J195" s="23">
        <f t="shared" si="7"/>
        <v>0</v>
      </c>
    </row>
    <row r="196" spans="1:10">
      <c r="A196" t="s">
        <v>112</v>
      </c>
      <c r="B196" t="s">
        <v>294</v>
      </c>
      <c r="C196" s="20">
        <v>2026</v>
      </c>
      <c r="D196" t="s">
        <v>227</v>
      </c>
      <c r="E196" s="22">
        <v>335570.10792798002</v>
      </c>
      <c r="F196" s="22">
        <v>167951.384337069</v>
      </c>
      <c r="G196" s="10">
        <v>167951.384337069</v>
      </c>
      <c r="H196" s="23">
        <f t="shared" si="6"/>
        <v>0</v>
      </c>
      <c r="I196" s="10">
        <v>335570.10792798002</v>
      </c>
      <c r="J196" s="23">
        <f t="shared" si="7"/>
        <v>0</v>
      </c>
    </row>
    <row r="197" spans="1:10">
      <c r="A197" t="s">
        <v>112</v>
      </c>
      <c r="B197" t="s">
        <v>294</v>
      </c>
      <c r="C197" s="20">
        <v>2026</v>
      </c>
      <c r="D197" t="s">
        <v>293</v>
      </c>
      <c r="E197" s="22">
        <v>12631.200997652901</v>
      </c>
      <c r="F197" s="22">
        <v>3824.4137584423902</v>
      </c>
      <c r="G197" s="10">
        <v>3824.4137584423902</v>
      </c>
      <c r="H197" s="23">
        <f t="shared" si="6"/>
        <v>0</v>
      </c>
      <c r="I197" s="10">
        <v>12631.200997652901</v>
      </c>
      <c r="J197" s="23">
        <f t="shared" si="7"/>
        <v>0</v>
      </c>
    </row>
    <row r="198" spans="1:10">
      <c r="A198" t="s">
        <v>112</v>
      </c>
      <c r="B198" t="s">
        <v>294</v>
      </c>
      <c r="C198" s="20">
        <v>2027</v>
      </c>
      <c r="D198" t="s">
        <v>292</v>
      </c>
      <c r="E198" s="22">
        <v>11515.589107809999</v>
      </c>
      <c r="F198" s="22">
        <v>8579.0390533746195</v>
      </c>
      <c r="G198" s="10">
        <v>8579.0390533746195</v>
      </c>
      <c r="H198" s="23">
        <f t="shared" si="6"/>
        <v>0</v>
      </c>
      <c r="I198" s="10">
        <v>11515.589107809999</v>
      </c>
      <c r="J198" s="23">
        <f t="shared" si="7"/>
        <v>0</v>
      </c>
    </row>
    <row r="199" spans="1:10">
      <c r="A199" t="s">
        <v>112</v>
      </c>
      <c r="B199" t="s">
        <v>294</v>
      </c>
      <c r="C199" s="20">
        <v>2027</v>
      </c>
      <c r="D199" t="s">
        <v>233</v>
      </c>
      <c r="E199" s="22">
        <v>832166.90618592501</v>
      </c>
      <c r="F199" s="22">
        <v>132462.18825116701</v>
      </c>
      <c r="G199" s="10">
        <v>132462.18825116701</v>
      </c>
      <c r="H199" s="23">
        <f t="shared" si="6"/>
        <v>0</v>
      </c>
      <c r="I199" s="10">
        <v>832166.90618592501</v>
      </c>
      <c r="J199" s="23">
        <f t="shared" si="7"/>
        <v>0</v>
      </c>
    </row>
    <row r="200" spans="1:10">
      <c r="A200" t="s">
        <v>112</v>
      </c>
      <c r="B200" t="s">
        <v>294</v>
      </c>
      <c r="C200" s="20">
        <v>2027</v>
      </c>
      <c r="D200" t="s">
        <v>208</v>
      </c>
      <c r="E200" s="22">
        <v>115932.76937563501</v>
      </c>
      <c r="F200" s="22">
        <v>73859.910292566405</v>
      </c>
      <c r="G200" s="10">
        <v>73859.910292566405</v>
      </c>
      <c r="H200" s="23">
        <f t="shared" si="6"/>
        <v>0</v>
      </c>
      <c r="I200" s="10">
        <v>115932.76937563501</v>
      </c>
      <c r="J200" s="23">
        <f t="shared" si="7"/>
        <v>0</v>
      </c>
    </row>
    <row r="201" spans="1:10">
      <c r="A201" t="s">
        <v>112</v>
      </c>
      <c r="B201" t="s">
        <v>294</v>
      </c>
      <c r="C201" s="20">
        <v>2027</v>
      </c>
      <c r="D201" t="s">
        <v>219</v>
      </c>
      <c r="E201" s="22">
        <v>278508.66764215502</v>
      </c>
      <c r="F201" s="22">
        <v>259318.038089282</v>
      </c>
      <c r="G201" s="10">
        <v>259318.038089282</v>
      </c>
      <c r="H201" s="23">
        <f t="shared" si="6"/>
        <v>0</v>
      </c>
      <c r="I201" s="10">
        <v>278508.66764215502</v>
      </c>
      <c r="J201" s="23">
        <f t="shared" si="7"/>
        <v>0</v>
      </c>
    </row>
    <row r="202" spans="1:10">
      <c r="A202" t="s">
        <v>112</v>
      </c>
      <c r="B202" t="s">
        <v>294</v>
      </c>
      <c r="C202" s="20">
        <v>2027</v>
      </c>
      <c r="D202" t="s">
        <v>223</v>
      </c>
      <c r="E202" s="22">
        <v>635095.67155774101</v>
      </c>
      <c r="F202" s="22">
        <v>354171.54436264501</v>
      </c>
      <c r="G202" s="10">
        <v>354171.54436264501</v>
      </c>
      <c r="H202" s="23">
        <f t="shared" si="6"/>
        <v>0</v>
      </c>
      <c r="I202" s="10">
        <v>635095.67155774101</v>
      </c>
      <c r="J202" s="23">
        <f t="shared" si="7"/>
        <v>0</v>
      </c>
    </row>
    <row r="203" spans="1:10">
      <c r="A203" t="s">
        <v>112</v>
      </c>
      <c r="B203" t="s">
        <v>294</v>
      </c>
      <c r="C203" s="20">
        <v>2027</v>
      </c>
      <c r="D203" t="s">
        <v>227</v>
      </c>
      <c r="E203" s="22">
        <v>342492.40509895701</v>
      </c>
      <c r="F203" s="22">
        <v>171237.362695819</v>
      </c>
      <c r="G203" s="10">
        <v>171237.362695819</v>
      </c>
      <c r="H203" s="23">
        <f t="shared" si="6"/>
        <v>0</v>
      </c>
      <c r="I203" s="10">
        <v>342492.40509895701</v>
      </c>
      <c r="J203" s="23">
        <f t="shared" si="7"/>
        <v>0</v>
      </c>
    </row>
    <row r="204" spans="1:10">
      <c r="A204" t="s">
        <v>112</v>
      </c>
      <c r="B204" t="s">
        <v>294</v>
      </c>
      <c r="C204" s="20">
        <v>2027</v>
      </c>
      <c r="D204" t="s">
        <v>293</v>
      </c>
      <c r="E204" s="22">
        <v>12629.8028477439</v>
      </c>
      <c r="F204" s="22">
        <v>3692.7080349650801</v>
      </c>
      <c r="G204" s="10">
        <v>3692.7080349650801</v>
      </c>
      <c r="H204" s="23">
        <f t="shared" si="6"/>
        <v>0</v>
      </c>
      <c r="I204" s="10">
        <v>12629.8028477439</v>
      </c>
      <c r="J204" s="23">
        <f t="shared" si="7"/>
        <v>0</v>
      </c>
    </row>
    <row r="205" spans="1:10">
      <c r="A205" t="s">
        <v>112</v>
      </c>
      <c r="B205" t="s">
        <v>294</v>
      </c>
      <c r="C205" s="20">
        <v>2028</v>
      </c>
      <c r="D205" t="s">
        <v>292</v>
      </c>
      <c r="E205" s="22">
        <v>11829.3995552585</v>
      </c>
      <c r="F205" s="22">
        <v>8690.9707915108793</v>
      </c>
      <c r="G205" s="10">
        <v>8690.9707915108793</v>
      </c>
      <c r="H205" s="23">
        <f t="shared" si="6"/>
        <v>0</v>
      </c>
      <c r="I205" s="10">
        <v>11829.3995552585</v>
      </c>
      <c r="J205" s="23">
        <f t="shared" si="7"/>
        <v>0</v>
      </c>
    </row>
    <row r="206" spans="1:10">
      <c r="A206" t="s">
        <v>112</v>
      </c>
      <c r="B206" t="s">
        <v>294</v>
      </c>
      <c r="C206" s="20">
        <v>2028</v>
      </c>
      <c r="D206" t="s">
        <v>233</v>
      </c>
      <c r="E206" s="22">
        <v>854958.47696154099</v>
      </c>
      <c r="F206" s="22">
        <v>136770.52662347999</v>
      </c>
      <c r="G206" s="10">
        <v>136770.52662347999</v>
      </c>
      <c r="H206" s="23">
        <f t="shared" si="6"/>
        <v>0</v>
      </c>
      <c r="I206" s="10">
        <v>854958.47696154099</v>
      </c>
      <c r="J206" s="23">
        <f t="shared" si="7"/>
        <v>0</v>
      </c>
    </row>
    <row r="207" spans="1:10">
      <c r="A207" t="s">
        <v>112</v>
      </c>
      <c r="B207" t="s">
        <v>294</v>
      </c>
      <c r="C207" s="20">
        <v>2028</v>
      </c>
      <c r="D207" t="s">
        <v>208</v>
      </c>
      <c r="E207" s="22">
        <v>119684.609316206</v>
      </c>
      <c r="F207" s="22">
        <v>75545.086800111196</v>
      </c>
      <c r="G207" s="10">
        <v>75545.086800111196</v>
      </c>
      <c r="H207" s="23">
        <f t="shared" si="6"/>
        <v>0</v>
      </c>
      <c r="I207" s="10">
        <v>119684.609316206</v>
      </c>
      <c r="J207" s="23">
        <f t="shared" si="7"/>
        <v>0</v>
      </c>
    </row>
    <row r="208" spans="1:10">
      <c r="A208" t="s">
        <v>112</v>
      </c>
      <c r="B208" t="s">
        <v>294</v>
      </c>
      <c r="C208" s="20">
        <v>2028</v>
      </c>
      <c r="D208" t="s">
        <v>219</v>
      </c>
      <c r="E208" s="22">
        <v>283208.63975277002</v>
      </c>
      <c r="F208" s="22">
        <v>263753.748205613</v>
      </c>
      <c r="G208" s="10">
        <v>263753.748205613</v>
      </c>
      <c r="H208" s="23">
        <f t="shared" si="6"/>
        <v>0</v>
      </c>
      <c r="I208" s="10">
        <v>283208.63975277002</v>
      </c>
      <c r="J208" s="23">
        <f t="shared" si="7"/>
        <v>0</v>
      </c>
    </row>
    <row r="209" spans="1:10">
      <c r="A209" t="s">
        <v>112</v>
      </c>
      <c r="B209" t="s">
        <v>294</v>
      </c>
      <c r="C209" s="20">
        <v>2028</v>
      </c>
      <c r="D209" t="s">
        <v>223</v>
      </c>
      <c r="E209" s="22">
        <v>654200.04940095695</v>
      </c>
      <c r="F209" s="22">
        <v>363945.25377713301</v>
      </c>
      <c r="G209" s="10">
        <v>363945.25377713301</v>
      </c>
      <c r="H209" s="23">
        <f t="shared" si="6"/>
        <v>0</v>
      </c>
      <c r="I209" s="10">
        <v>654200.04940095695</v>
      </c>
      <c r="J209" s="23">
        <f t="shared" si="7"/>
        <v>0</v>
      </c>
    </row>
    <row r="210" spans="1:10">
      <c r="A210" t="s">
        <v>112</v>
      </c>
      <c r="B210" t="s">
        <v>294</v>
      </c>
      <c r="C210" s="20">
        <v>2028</v>
      </c>
      <c r="D210" t="s">
        <v>227</v>
      </c>
      <c r="E210" s="22">
        <v>351745.98328413401</v>
      </c>
      <c r="F210" s="22">
        <v>175235.34482666399</v>
      </c>
      <c r="G210" s="10">
        <v>175235.34482666399</v>
      </c>
      <c r="H210" s="23">
        <f t="shared" si="6"/>
        <v>0</v>
      </c>
      <c r="I210" s="10">
        <v>351745.98328413401</v>
      </c>
      <c r="J210" s="23">
        <f t="shared" si="7"/>
        <v>0</v>
      </c>
    </row>
    <row r="211" spans="1:10">
      <c r="A211" t="s">
        <v>112</v>
      </c>
      <c r="B211" t="s">
        <v>294</v>
      </c>
      <c r="C211" s="20">
        <v>2028</v>
      </c>
      <c r="D211" t="s">
        <v>293</v>
      </c>
      <c r="E211" s="22">
        <v>12493.541081487199</v>
      </c>
      <c r="F211" s="22">
        <v>3559.53799626408</v>
      </c>
      <c r="G211" s="10">
        <v>3559.53799626408</v>
      </c>
      <c r="H211" s="23">
        <f t="shared" si="6"/>
        <v>0</v>
      </c>
      <c r="I211" s="10">
        <v>12493.541081487199</v>
      </c>
      <c r="J211" s="23">
        <f t="shared" si="7"/>
        <v>0</v>
      </c>
    </row>
    <row r="212" spans="1:10">
      <c r="A212" t="s">
        <v>112</v>
      </c>
      <c r="B212" t="s">
        <v>294</v>
      </c>
      <c r="C212" s="20">
        <v>2029</v>
      </c>
      <c r="D212" t="s">
        <v>292</v>
      </c>
      <c r="E212" s="22">
        <v>12020.2428783132</v>
      </c>
      <c r="F212" s="22">
        <v>8820.3946266869098</v>
      </c>
      <c r="G212" s="10">
        <v>8820.3946266869098</v>
      </c>
      <c r="H212" s="23">
        <f t="shared" si="6"/>
        <v>0</v>
      </c>
      <c r="I212" s="10">
        <v>12020.2428783132</v>
      </c>
      <c r="J212" s="23">
        <f t="shared" si="7"/>
        <v>0</v>
      </c>
    </row>
    <row r="213" spans="1:10">
      <c r="A213" t="s">
        <v>112</v>
      </c>
      <c r="B213" t="s">
        <v>294</v>
      </c>
      <c r="C213" s="20">
        <v>2029</v>
      </c>
      <c r="D213" t="s">
        <v>233</v>
      </c>
      <c r="E213" s="22">
        <v>872122.58793486003</v>
      </c>
      <c r="F213" s="22">
        <v>141419.192572278</v>
      </c>
      <c r="G213" s="10">
        <v>141419.192572278</v>
      </c>
      <c r="H213" s="23">
        <f t="shared" si="6"/>
        <v>0</v>
      </c>
      <c r="I213" s="10">
        <v>872122.58793486003</v>
      </c>
      <c r="J213" s="23">
        <f t="shared" si="7"/>
        <v>0</v>
      </c>
    </row>
    <row r="214" spans="1:10">
      <c r="A214" t="s">
        <v>112</v>
      </c>
      <c r="B214" t="s">
        <v>294</v>
      </c>
      <c r="C214" s="20">
        <v>2029</v>
      </c>
      <c r="D214" t="s">
        <v>208</v>
      </c>
      <c r="E214" s="22">
        <v>122702.09169944801</v>
      </c>
      <c r="F214" s="22">
        <v>77383.250901099105</v>
      </c>
      <c r="G214" s="10">
        <v>77383.250901099105</v>
      </c>
      <c r="H214" s="23">
        <f t="shared" si="6"/>
        <v>0</v>
      </c>
      <c r="I214" s="10">
        <v>122702.09169944801</v>
      </c>
      <c r="J214" s="23">
        <f t="shared" si="7"/>
        <v>0</v>
      </c>
    </row>
    <row r="215" spans="1:10">
      <c r="A215" t="s">
        <v>112</v>
      </c>
      <c r="B215" t="s">
        <v>294</v>
      </c>
      <c r="C215" s="20">
        <v>2029</v>
      </c>
      <c r="D215" t="s">
        <v>219</v>
      </c>
      <c r="E215" s="22">
        <v>287809.159991119</v>
      </c>
      <c r="F215" s="22">
        <v>268469.01867672201</v>
      </c>
      <c r="G215" s="10">
        <v>268469.01867672201</v>
      </c>
      <c r="H215" s="23">
        <f t="shared" si="6"/>
        <v>0</v>
      </c>
      <c r="I215" s="10">
        <v>287809.159991119</v>
      </c>
      <c r="J215" s="23">
        <f t="shared" si="7"/>
        <v>0</v>
      </c>
    </row>
    <row r="216" spans="1:10">
      <c r="A216" t="s">
        <v>112</v>
      </c>
      <c r="B216" t="s">
        <v>294</v>
      </c>
      <c r="C216" s="20">
        <v>2029</v>
      </c>
      <c r="D216" t="s">
        <v>223</v>
      </c>
      <c r="E216" s="22">
        <v>670042.029002105</v>
      </c>
      <c r="F216" s="22">
        <v>374519.26487124799</v>
      </c>
      <c r="G216" s="10">
        <v>374519.26487124799</v>
      </c>
      <c r="H216" s="23">
        <f t="shared" si="6"/>
        <v>0</v>
      </c>
      <c r="I216" s="10">
        <v>670042.029002105</v>
      </c>
      <c r="J216" s="23">
        <f t="shared" si="7"/>
        <v>0</v>
      </c>
    </row>
    <row r="217" spans="1:10">
      <c r="A217" t="s">
        <v>112</v>
      </c>
      <c r="B217" t="s">
        <v>294</v>
      </c>
      <c r="C217" s="20">
        <v>2029</v>
      </c>
      <c r="D217" t="s">
        <v>227</v>
      </c>
      <c r="E217" s="22">
        <v>359486.67235883599</v>
      </c>
      <c r="F217" s="22">
        <v>179568.51796081799</v>
      </c>
      <c r="G217" s="10">
        <v>179568.51796081799</v>
      </c>
      <c r="H217" s="23">
        <f t="shared" si="6"/>
        <v>0</v>
      </c>
      <c r="I217" s="10">
        <v>359486.67235883599</v>
      </c>
      <c r="J217" s="23">
        <f t="shared" si="7"/>
        <v>0</v>
      </c>
    </row>
    <row r="218" spans="1:10">
      <c r="A218" t="s">
        <v>112</v>
      </c>
      <c r="B218" t="s">
        <v>294</v>
      </c>
      <c r="C218" s="20">
        <v>2029</v>
      </c>
      <c r="D218" t="s">
        <v>293</v>
      </c>
      <c r="E218" s="22">
        <v>12505.289709123201</v>
      </c>
      <c r="F218" s="22">
        <v>3430.77105367489</v>
      </c>
      <c r="G218" s="10">
        <v>3430.77105367489</v>
      </c>
      <c r="H218" s="23">
        <f t="shared" si="6"/>
        <v>0</v>
      </c>
      <c r="I218" s="10">
        <v>12505.289709123201</v>
      </c>
      <c r="J218" s="23">
        <f t="shared" si="7"/>
        <v>0</v>
      </c>
    </row>
    <row r="219" spans="1:10">
      <c r="A219" t="s">
        <v>112</v>
      </c>
      <c r="B219" t="s">
        <v>294</v>
      </c>
      <c r="C219" s="20">
        <v>2030</v>
      </c>
      <c r="D219" t="s">
        <v>292</v>
      </c>
      <c r="E219" s="22">
        <v>12274.264734443401</v>
      </c>
      <c r="F219" s="22">
        <v>8965.5972388295504</v>
      </c>
      <c r="G219" s="10">
        <v>8965.5972388295504</v>
      </c>
      <c r="H219" s="23">
        <f t="shared" si="6"/>
        <v>0</v>
      </c>
      <c r="I219" s="10">
        <v>12274.264734443401</v>
      </c>
      <c r="J219" s="23">
        <f t="shared" si="7"/>
        <v>0</v>
      </c>
    </row>
    <row r="220" spans="1:10">
      <c r="A220" t="s">
        <v>112</v>
      </c>
      <c r="B220" t="s">
        <v>294</v>
      </c>
      <c r="C220" s="20">
        <v>2030</v>
      </c>
      <c r="D220" t="s">
        <v>233</v>
      </c>
      <c r="E220" s="22">
        <v>888648.84909112402</v>
      </c>
      <c r="F220" s="22">
        <v>146256.073838529</v>
      </c>
      <c r="G220" s="10">
        <v>146256.073838529</v>
      </c>
      <c r="H220" s="23">
        <f t="shared" si="6"/>
        <v>0</v>
      </c>
      <c r="I220" s="10">
        <v>888648.84909112402</v>
      </c>
      <c r="J220" s="23">
        <f t="shared" si="7"/>
        <v>0</v>
      </c>
    </row>
    <row r="221" spans="1:10">
      <c r="A221" t="s">
        <v>112</v>
      </c>
      <c r="B221" t="s">
        <v>294</v>
      </c>
      <c r="C221" s="20">
        <v>2030</v>
      </c>
      <c r="D221" t="s">
        <v>208</v>
      </c>
      <c r="E221" s="22">
        <v>126100.520404265</v>
      </c>
      <c r="F221" s="22">
        <v>79334.798361602807</v>
      </c>
      <c r="G221" s="10">
        <v>79334.798361602807</v>
      </c>
      <c r="H221" s="23">
        <f t="shared" si="6"/>
        <v>0</v>
      </c>
      <c r="I221" s="10">
        <v>126100.520404265</v>
      </c>
      <c r="J221" s="23">
        <f t="shared" si="7"/>
        <v>0</v>
      </c>
    </row>
    <row r="222" spans="1:10">
      <c r="A222" t="s">
        <v>112</v>
      </c>
      <c r="B222" t="s">
        <v>294</v>
      </c>
      <c r="C222" s="20">
        <v>2030</v>
      </c>
      <c r="D222" t="s">
        <v>219</v>
      </c>
      <c r="E222" s="22">
        <v>292286.01702985802</v>
      </c>
      <c r="F222" s="22">
        <v>273157.810650434</v>
      </c>
      <c r="G222" s="10">
        <v>273157.810650434</v>
      </c>
      <c r="H222" s="23">
        <f t="shared" si="6"/>
        <v>0</v>
      </c>
      <c r="I222" s="10">
        <v>292286.01702985802</v>
      </c>
      <c r="J222" s="23">
        <f t="shared" si="7"/>
        <v>0</v>
      </c>
    </row>
    <row r="223" spans="1:10">
      <c r="A223" t="s">
        <v>112</v>
      </c>
      <c r="B223" t="s">
        <v>294</v>
      </c>
      <c r="C223" s="20">
        <v>2030</v>
      </c>
      <c r="D223" t="s">
        <v>223</v>
      </c>
      <c r="E223" s="22">
        <v>686528.81687195494</v>
      </c>
      <c r="F223" s="22">
        <v>385417.27941906598</v>
      </c>
      <c r="G223" s="10">
        <v>385417.27941906598</v>
      </c>
      <c r="H223" s="23">
        <f t="shared" si="6"/>
        <v>0</v>
      </c>
      <c r="I223" s="10">
        <v>686528.81687195494</v>
      </c>
      <c r="J223" s="23">
        <f t="shared" si="7"/>
        <v>0</v>
      </c>
    </row>
    <row r="224" spans="1:10">
      <c r="A224" t="s">
        <v>112</v>
      </c>
      <c r="B224" t="s">
        <v>294</v>
      </c>
      <c r="C224" s="20">
        <v>2030</v>
      </c>
      <c r="D224" t="s">
        <v>227</v>
      </c>
      <c r="E224" s="22">
        <v>367955.05484547</v>
      </c>
      <c r="F224" s="22">
        <v>184377.512558869</v>
      </c>
      <c r="G224" s="10">
        <v>184377.512558869</v>
      </c>
      <c r="H224" s="23">
        <f t="shared" si="6"/>
        <v>0</v>
      </c>
      <c r="I224" s="10">
        <v>367955.05484547</v>
      </c>
      <c r="J224" s="23">
        <f t="shared" si="7"/>
        <v>0</v>
      </c>
    </row>
    <row r="225" spans="1:10">
      <c r="A225" t="s">
        <v>112</v>
      </c>
      <c r="B225" t="s">
        <v>294</v>
      </c>
      <c r="C225" s="20">
        <v>2030</v>
      </c>
      <c r="D225" t="s">
        <v>293</v>
      </c>
      <c r="E225" s="22">
        <v>12655.277490168401</v>
      </c>
      <c r="F225" s="22">
        <v>3301.1466621342702</v>
      </c>
      <c r="G225" s="10">
        <v>3301.1466621342702</v>
      </c>
      <c r="H225" s="23">
        <f t="shared" si="6"/>
        <v>0</v>
      </c>
      <c r="I225" s="10">
        <v>12655.277490168401</v>
      </c>
      <c r="J225" s="23">
        <f t="shared" si="7"/>
        <v>0</v>
      </c>
    </row>
    <row r="226" spans="1:10">
      <c r="A226" t="s">
        <v>112</v>
      </c>
      <c r="B226" t="s">
        <v>294</v>
      </c>
      <c r="C226" s="20">
        <v>2031</v>
      </c>
      <c r="D226" t="s">
        <v>292</v>
      </c>
      <c r="E226" s="22">
        <v>12506.5880665311</v>
      </c>
      <c r="F226" s="22">
        <v>9114.4830231047799</v>
      </c>
      <c r="G226" s="10">
        <v>9114.4830231047799</v>
      </c>
      <c r="H226" s="23">
        <f t="shared" si="6"/>
        <v>0</v>
      </c>
      <c r="I226" s="10">
        <v>12506.5880665311</v>
      </c>
      <c r="J226" s="23">
        <f t="shared" si="7"/>
        <v>0</v>
      </c>
    </row>
    <row r="227" spans="1:10">
      <c r="A227" t="s">
        <v>112</v>
      </c>
      <c r="B227" t="s">
        <v>294</v>
      </c>
      <c r="C227" s="20">
        <v>2031</v>
      </c>
      <c r="D227" t="s">
        <v>233</v>
      </c>
      <c r="E227" s="22">
        <v>905698.50533387996</v>
      </c>
      <c r="F227" s="22">
        <v>151017.314585235</v>
      </c>
      <c r="G227" s="10">
        <v>151017.314585235</v>
      </c>
      <c r="H227" s="23">
        <f t="shared" si="6"/>
        <v>0</v>
      </c>
      <c r="I227" s="10">
        <v>905698.50533387996</v>
      </c>
      <c r="J227" s="23">
        <f t="shared" si="7"/>
        <v>0</v>
      </c>
    </row>
    <row r="228" spans="1:10">
      <c r="A228" t="s">
        <v>112</v>
      </c>
      <c r="B228" t="s">
        <v>294</v>
      </c>
      <c r="C228" s="20">
        <v>2031</v>
      </c>
      <c r="D228" t="s">
        <v>208</v>
      </c>
      <c r="E228" s="22">
        <v>129337.02061388201</v>
      </c>
      <c r="F228" s="22">
        <v>81221.214270957804</v>
      </c>
      <c r="G228" s="10">
        <v>81221.214270957804</v>
      </c>
      <c r="H228" s="23">
        <f t="shared" si="6"/>
        <v>0</v>
      </c>
      <c r="I228" s="10">
        <v>129337.02061388201</v>
      </c>
      <c r="J228" s="23">
        <f t="shared" si="7"/>
        <v>0</v>
      </c>
    </row>
    <row r="229" spans="1:10">
      <c r="A229" t="s">
        <v>112</v>
      </c>
      <c r="B229" t="s">
        <v>294</v>
      </c>
      <c r="C229" s="20">
        <v>2031</v>
      </c>
      <c r="D229" t="s">
        <v>219</v>
      </c>
      <c r="E229" s="22">
        <v>296437.73837872199</v>
      </c>
      <c r="F229" s="22">
        <v>277404.15219534899</v>
      </c>
      <c r="G229" s="10">
        <v>277404.15219534899</v>
      </c>
      <c r="H229" s="23">
        <f t="shared" si="6"/>
        <v>0</v>
      </c>
      <c r="I229" s="10">
        <v>296437.73837872199</v>
      </c>
      <c r="J229" s="23">
        <f t="shared" si="7"/>
        <v>0</v>
      </c>
    </row>
    <row r="230" spans="1:10">
      <c r="A230" t="s">
        <v>112</v>
      </c>
      <c r="B230" t="s">
        <v>294</v>
      </c>
      <c r="C230" s="20">
        <v>2031</v>
      </c>
      <c r="D230" t="s">
        <v>223</v>
      </c>
      <c r="E230" s="22">
        <v>702548.13433482195</v>
      </c>
      <c r="F230" s="22">
        <v>396078.261698986</v>
      </c>
      <c r="G230" s="10">
        <v>396078.261698986</v>
      </c>
      <c r="H230" s="23">
        <f t="shared" si="6"/>
        <v>0</v>
      </c>
      <c r="I230" s="10">
        <v>702548.13433482195</v>
      </c>
      <c r="J230" s="23">
        <f t="shared" si="7"/>
        <v>0</v>
      </c>
    </row>
    <row r="231" spans="1:10">
      <c r="A231" t="s">
        <v>112</v>
      </c>
      <c r="B231" t="s">
        <v>294</v>
      </c>
      <c r="C231" s="20">
        <v>2031</v>
      </c>
      <c r="D231" t="s">
        <v>227</v>
      </c>
      <c r="E231" s="22">
        <v>376026.788964657</v>
      </c>
      <c r="F231" s="22">
        <v>189147.35229478899</v>
      </c>
      <c r="G231" s="10">
        <v>189147.35229478899</v>
      </c>
      <c r="H231" s="23">
        <f t="shared" si="6"/>
        <v>0</v>
      </c>
      <c r="I231" s="10">
        <v>376026.788964657</v>
      </c>
      <c r="J231" s="23">
        <f t="shared" si="7"/>
        <v>0</v>
      </c>
    </row>
    <row r="232" spans="1:10">
      <c r="A232" t="s">
        <v>112</v>
      </c>
      <c r="B232" t="s">
        <v>294</v>
      </c>
      <c r="C232" s="20">
        <v>2031</v>
      </c>
      <c r="D232" t="s">
        <v>293</v>
      </c>
      <c r="E232" s="22">
        <v>12740.6278729228</v>
      </c>
      <c r="F232" s="22">
        <v>3174.86317276916</v>
      </c>
      <c r="G232" s="10">
        <v>3174.86317276916</v>
      </c>
      <c r="H232" s="23">
        <f t="shared" si="6"/>
        <v>0</v>
      </c>
      <c r="I232" s="10">
        <v>12740.6278729228</v>
      </c>
      <c r="J232" s="23">
        <f t="shared" si="7"/>
        <v>0</v>
      </c>
    </row>
    <row r="233" spans="1:10">
      <c r="A233" t="s">
        <v>112</v>
      </c>
      <c r="B233" t="s">
        <v>294</v>
      </c>
      <c r="C233" s="20">
        <v>2032</v>
      </c>
      <c r="D233" t="s">
        <v>292</v>
      </c>
      <c r="E233" s="22">
        <v>12743.894407130299</v>
      </c>
      <c r="F233" s="22">
        <v>9267.9117528710594</v>
      </c>
      <c r="G233" s="10">
        <v>9267.9117528710594</v>
      </c>
      <c r="H233" s="23">
        <f t="shared" si="6"/>
        <v>0</v>
      </c>
      <c r="I233" s="10">
        <v>12743.894407130299</v>
      </c>
      <c r="J233" s="23">
        <f t="shared" si="7"/>
        <v>0</v>
      </c>
    </row>
    <row r="234" spans="1:10">
      <c r="A234" t="s">
        <v>112</v>
      </c>
      <c r="B234" t="s">
        <v>294</v>
      </c>
      <c r="C234" s="20">
        <v>2032</v>
      </c>
      <c r="D234" t="s">
        <v>233</v>
      </c>
      <c r="E234" s="22">
        <v>923778.43364748405</v>
      </c>
      <c r="F234" s="22">
        <v>155914.89034446701</v>
      </c>
      <c r="G234" s="10">
        <v>155914.89034446701</v>
      </c>
      <c r="H234" s="23">
        <f t="shared" si="6"/>
        <v>0</v>
      </c>
      <c r="I234" s="10">
        <v>923778.43364748405</v>
      </c>
      <c r="J234" s="23">
        <f t="shared" si="7"/>
        <v>0</v>
      </c>
    </row>
    <row r="235" spans="1:10">
      <c r="A235" t="s">
        <v>112</v>
      </c>
      <c r="B235" t="s">
        <v>294</v>
      </c>
      <c r="C235" s="20">
        <v>2032</v>
      </c>
      <c r="D235" t="s">
        <v>208</v>
      </c>
      <c r="E235" s="22">
        <v>132566.31786836899</v>
      </c>
      <c r="F235" s="22">
        <v>83164.095936043304</v>
      </c>
      <c r="G235" s="10">
        <v>83164.095936043304</v>
      </c>
      <c r="H235" s="23">
        <f t="shared" si="6"/>
        <v>0</v>
      </c>
      <c r="I235" s="10">
        <v>132566.31786836899</v>
      </c>
      <c r="J235" s="23">
        <f t="shared" si="7"/>
        <v>0</v>
      </c>
    </row>
    <row r="236" spans="1:10">
      <c r="A236" t="s">
        <v>112</v>
      </c>
      <c r="B236" t="s">
        <v>294</v>
      </c>
      <c r="C236" s="20">
        <v>2032</v>
      </c>
      <c r="D236" t="s">
        <v>219</v>
      </c>
      <c r="E236" s="22">
        <v>300504.55033634102</v>
      </c>
      <c r="F236" s="22">
        <v>281488.739628123</v>
      </c>
      <c r="G236" s="10">
        <v>281488.739628123</v>
      </c>
      <c r="H236" s="23">
        <f t="shared" si="6"/>
        <v>0</v>
      </c>
      <c r="I236" s="10">
        <v>300504.55033634102</v>
      </c>
      <c r="J236" s="23">
        <f t="shared" si="7"/>
        <v>0</v>
      </c>
    </row>
    <row r="237" spans="1:10">
      <c r="A237" t="s">
        <v>112</v>
      </c>
      <c r="B237" t="s">
        <v>294</v>
      </c>
      <c r="C237" s="20">
        <v>2032</v>
      </c>
      <c r="D237" t="s">
        <v>223</v>
      </c>
      <c r="E237" s="22">
        <v>719168.67859233997</v>
      </c>
      <c r="F237" s="22">
        <v>406904.282877455</v>
      </c>
      <c r="G237" s="10">
        <v>406904.282877455</v>
      </c>
      <c r="H237" s="23">
        <f t="shared" si="6"/>
        <v>0</v>
      </c>
      <c r="I237" s="10">
        <v>719168.67859233997</v>
      </c>
      <c r="J237" s="23">
        <f t="shared" si="7"/>
        <v>0</v>
      </c>
    </row>
    <row r="238" spans="1:10">
      <c r="A238" t="s">
        <v>112</v>
      </c>
      <c r="B238" t="s">
        <v>294</v>
      </c>
      <c r="C238" s="20">
        <v>2032</v>
      </c>
      <c r="D238" t="s">
        <v>227</v>
      </c>
      <c r="E238" s="22">
        <v>384609.051353766</v>
      </c>
      <c r="F238" s="22">
        <v>194193.38475982001</v>
      </c>
      <c r="G238" s="10">
        <v>194193.38475982001</v>
      </c>
      <c r="H238" s="23">
        <f t="shared" si="6"/>
        <v>0</v>
      </c>
      <c r="I238" s="10">
        <v>384609.051353766</v>
      </c>
      <c r="J238" s="23">
        <f t="shared" si="7"/>
        <v>0</v>
      </c>
    </row>
    <row r="239" spans="1:10">
      <c r="A239" t="s">
        <v>112</v>
      </c>
      <c r="B239" t="s">
        <v>294</v>
      </c>
      <c r="C239" s="20">
        <v>2032</v>
      </c>
      <c r="D239" t="s">
        <v>293</v>
      </c>
      <c r="E239" s="22">
        <v>12855.942738985899</v>
      </c>
      <c r="F239" s="22">
        <v>3046.52022706146</v>
      </c>
      <c r="G239" s="10">
        <v>3046.52022706146</v>
      </c>
      <c r="H239" s="23">
        <f t="shared" si="6"/>
        <v>0</v>
      </c>
      <c r="I239" s="10">
        <v>12855.942738985899</v>
      </c>
      <c r="J239" s="23">
        <f t="shared" si="7"/>
        <v>0</v>
      </c>
    </row>
    <row r="240" spans="1:10">
      <c r="A240" t="s">
        <v>112</v>
      </c>
      <c r="B240" t="s">
        <v>294</v>
      </c>
      <c r="C240" s="20">
        <v>2033</v>
      </c>
      <c r="D240" t="s">
        <v>292</v>
      </c>
      <c r="E240" s="22">
        <v>13146.351390150499</v>
      </c>
      <c r="F240" s="22">
        <v>9437.4952183943606</v>
      </c>
      <c r="G240" s="10">
        <v>9437.4952183943606</v>
      </c>
      <c r="H240" s="23">
        <f t="shared" si="6"/>
        <v>0</v>
      </c>
      <c r="I240" s="10">
        <v>13146.351390150499</v>
      </c>
      <c r="J240" s="23">
        <f t="shared" si="7"/>
        <v>0</v>
      </c>
    </row>
    <row r="241" spans="1:10">
      <c r="A241" t="s">
        <v>112</v>
      </c>
      <c r="B241" t="s">
        <v>294</v>
      </c>
      <c r="C241" s="20">
        <v>2033</v>
      </c>
      <c r="D241" t="s">
        <v>233</v>
      </c>
      <c r="E241" s="22">
        <v>944521.71811111004</v>
      </c>
      <c r="F241" s="22">
        <v>160821.219639763</v>
      </c>
      <c r="G241" s="10">
        <v>160821.219639763</v>
      </c>
      <c r="H241" s="23">
        <f t="shared" si="6"/>
        <v>0</v>
      </c>
      <c r="I241" s="10">
        <v>944521.71811111004</v>
      </c>
      <c r="J241" s="23">
        <f t="shared" si="7"/>
        <v>0</v>
      </c>
    </row>
    <row r="242" spans="1:10">
      <c r="A242" t="s">
        <v>112</v>
      </c>
      <c r="B242" t="s">
        <v>294</v>
      </c>
      <c r="C242" s="20">
        <v>2033</v>
      </c>
      <c r="D242" t="s">
        <v>208</v>
      </c>
      <c r="E242" s="22">
        <v>136707.716312745</v>
      </c>
      <c r="F242" s="22">
        <v>85140.0559210379</v>
      </c>
      <c r="G242" s="10">
        <v>85140.0559210379</v>
      </c>
      <c r="H242" s="23">
        <f t="shared" si="6"/>
        <v>0</v>
      </c>
      <c r="I242" s="10">
        <v>136707.716312745</v>
      </c>
      <c r="J242" s="23">
        <f t="shared" si="7"/>
        <v>0</v>
      </c>
    </row>
    <row r="243" spans="1:10">
      <c r="A243" t="s">
        <v>112</v>
      </c>
      <c r="B243" t="s">
        <v>294</v>
      </c>
      <c r="C243" s="20">
        <v>2033</v>
      </c>
      <c r="D243" t="s">
        <v>219</v>
      </c>
      <c r="E243" s="22">
        <v>304468.28685022698</v>
      </c>
      <c r="F243" s="22">
        <v>285297.74851322698</v>
      </c>
      <c r="G243" s="10">
        <v>285297.74851322698</v>
      </c>
      <c r="H243" s="23">
        <f t="shared" si="6"/>
        <v>0</v>
      </c>
      <c r="I243" s="10">
        <v>304468.28685022698</v>
      </c>
      <c r="J243" s="23">
        <f t="shared" si="7"/>
        <v>0</v>
      </c>
    </row>
    <row r="244" spans="1:10">
      <c r="A244" t="s">
        <v>112</v>
      </c>
      <c r="B244" t="s">
        <v>294</v>
      </c>
      <c r="C244" s="20">
        <v>2033</v>
      </c>
      <c r="D244" t="s">
        <v>223</v>
      </c>
      <c r="E244" s="22">
        <v>738395.91371005401</v>
      </c>
      <c r="F244" s="22">
        <v>417591.194273361</v>
      </c>
      <c r="G244" s="10">
        <v>417591.194273361</v>
      </c>
      <c r="H244" s="23">
        <f t="shared" si="6"/>
        <v>0</v>
      </c>
      <c r="I244" s="10">
        <v>738395.91371005401</v>
      </c>
      <c r="J244" s="23">
        <f t="shared" si="7"/>
        <v>0</v>
      </c>
    </row>
    <row r="245" spans="1:10">
      <c r="A245" t="s">
        <v>112</v>
      </c>
      <c r="B245" t="s">
        <v>294</v>
      </c>
      <c r="C245" s="20">
        <v>2033</v>
      </c>
      <c r="D245" t="s">
        <v>227</v>
      </c>
      <c r="E245" s="22">
        <v>394159.18491510901</v>
      </c>
      <c r="F245" s="22">
        <v>199311.53036404401</v>
      </c>
      <c r="G245" s="10">
        <v>199311.53036404401</v>
      </c>
      <c r="H245" s="23">
        <f t="shared" si="6"/>
        <v>0</v>
      </c>
      <c r="I245" s="10">
        <v>394159.18491510901</v>
      </c>
      <c r="J245" s="23">
        <f t="shared" si="7"/>
        <v>0</v>
      </c>
    </row>
    <row r="246" spans="1:10">
      <c r="A246" t="s">
        <v>112</v>
      </c>
      <c r="B246" t="s">
        <v>294</v>
      </c>
      <c r="C246" s="20">
        <v>2033</v>
      </c>
      <c r="D246" t="s">
        <v>293</v>
      </c>
      <c r="E246" s="22">
        <v>12780.7417922516</v>
      </c>
      <c r="F246" s="22">
        <v>2919.7945489748099</v>
      </c>
      <c r="G246" s="10">
        <v>2919.7945489748099</v>
      </c>
      <c r="H246" s="23">
        <f t="shared" si="6"/>
        <v>0</v>
      </c>
      <c r="I246" s="10">
        <v>12780.7417922516</v>
      </c>
      <c r="J246" s="23">
        <f t="shared" si="7"/>
        <v>0</v>
      </c>
    </row>
    <row r="247" spans="1:10">
      <c r="A247" t="s">
        <v>112</v>
      </c>
      <c r="B247" t="s">
        <v>294</v>
      </c>
      <c r="C247" s="20">
        <v>2034</v>
      </c>
      <c r="D247" t="s">
        <v>292</v>
      </c>
      <c r="E247" s="22">
        <v>13396.3770662857</v>
      </c>
      <c r="F247" s="22">
        <v>9610.7871789458404</v>
      </c>
      <c r="G247" s="10">
        <v>9610.7871789458404</v>
      </c>
      <c r="H247" s="23">
        <f t="shared" si="6"/>
        <v>0</v>
      </c>
      <c r="I247" s="10">
        <v>13396.3770662857</v>
      </c>
      <c r="J247" s="23">
        <f t="shared" si="7"/>
        <v>0</v>
      </c>
    </row>
    <row r="248" spans="1:10">
      <c r="A248" t="s">
        <v>112</v>
      </c>
      <c r="B248" t="s">
        <v>294</v>
      </c>
      <c r="C248" s="20">
        <v>2034</v>
      </c>
      <c r="D248" t="s">
        <v>233</v>
      </c>
      <c r="E248" s="22">
        <v>960221.65586168901</v>
      </c>
      <c r="F248" s="22">
        <v>165832.802590949</v>
      </c>
      <c r="G248" s="10">
        <v>165832.802590949</v>
      </c>
      <c r="H248" s="23">
        <f t="shared" si="6"/>
        <v>0</v>
      </c>
      <c r="I248" s="10">
        <v>960221.65586168901</v>
      </c>
      <c r="J248" s="23">
        <f t="shared" si="7"/>
        <v>0</v>
      </c>
    </row>
    <row r="249" spans="1:10">
      <c r="A249" t="s">
        <v>112</v>
      </c>
      <c r="B249" t="s">
        <v>294</v>
      </c>
      <c r="C249" s="20">
        <v>2034</v>
      </c>
      <c r="D249" t="s">
        <v>208</v>
      </c>
      <c r="E249" s="22">
        <v>139922.665552402</v>
      </c>
      <c r="F249" s="22">
        <v>87126.211950146098</v>
      </c>
      <c r="G249" s="10">
        <v>87126.211950146098</v>
      </c>
      <c r="H249" s="23">
        <f t="shared" si="6"/>
        <v>0</v>
      </c>
      <c r="I249" s="10">
        <v>139922.665552402</v>
      </c>
      <c r="J249" s="23">
        <f t="shared" si="7"/>
        <v>0</v>
      </c>
    </row>
    <row r="250" spans="1:10">
      <c r="A250" t="s">
        <v>112</v>
      </c>
      <c r="B250" t="s">
        <v>294</v>
      </c>
      <c r="C250" s="20">
        <v>2034</v>
      </c>
      <c r="D250" t="s">
        <v>219</v>
      </c>
      <c r="E250" s="22">
        <v>308142.620646514</v>
      </c>
      <c r="F250" s="22">
        <v>289022.375898514</v>
      </c>
      <c r="G250" s="10">
        <v>289022.375898514</v>
      </c>
      <c r="H250" s="23">
        <f t="shared" si="6"/>
        <v>0</v>
      </c>
      <c r="I250" s="10">
        <v>308142.620646514</v>
      </c>
      <c r="J250" s="23">
        <f t="shared" si="7"/>
        <v>0</v>
      </c>
    </row>
    <row r="251" spans="1:10">
      <c r="A251" t="s">
        <v>112</v>
      </c>
      <c r="B251" t="s">
        <v>294</v>
      </c>
      <c r="C251" s="20">
        <v>2034</v>
      </c>
      <c r="D251" t="s">
        <v>223</v>
      </c>
      <c r="E251" s="22">
        <v>754264.51931482705</v>
      </c>
      <c r="F251" s="22">
        <v>428496.093357131</v>
      </c>
      <c r="G251" s="10">
        <v>428496.093357131</v>
      </c>
      <c r="H251" s="23">
        <f t="shared" si="6"/>
        <v>0</v>
      </c>
      <c r="I251" s="10">
        <v>754264.51931482705</v>
      </c>
      <c r="J251" s="23">
        <f t="shared" si="7"/>
        <v>0</v>
      </c>
    </row>
    <row r="252" spans="1:10">
      <c r="A252" t="s">
        <v>112</v>
      </c>
      <c r="B252" t="s">
        <v>294</v>
      </c>
      <c r="C252" s="20">
        <v>2034</v>
      </c>
      <c r="D252" t="s">
        <v>227</v>
      </c>
      <c r="E252" s="22">
        <v>402421.55387242202</v>
      </c>
      <c r="F252" s="22">
        <v>204510.58021707</v>
      </c>
      <c r="G252" s="10">
        <v>204510.58021707</v>
      </c>
      <c r="H252" s="23">
        <f t="shared" si="6"/>
        <v>0</v>
      </c>
      <c r="I252" s="10">
        <v>402421.55387242202</v>
      </c>
      <c r="J252" s="23">
        <f t="shared" si="7"/>
        <v>0</v>
      </c>
    </row>
    <row r="253" spans="1:10">
      <c r="A253" t="s">
        <v>112</v>
      </c>
      <c r="B253" t="s">
        <v>294</v>
      </c>
      <c r="C253" s="20">
        <v>2034</v>
      </c>
      <c r="D253" t="s">
        <v>293</v>
      </c>
      <c r="E253" s="22">
        <v>12872.434861330999</v>
      </c>
      <c r="F253" s="22">
        <v>2795.7695956202701</v>
      </c>
      <c r="G253" s="10">
        <v>2795.7695956202701</v>
      </c>
      <c r="H253" s="23">
        <f t="shared" si="6"/>
        <v>0</v>
      </c>
      <c r="I253" s="10">
        <v>12872.434861330999</v>
      </c>
      <c r="J253" s="23">
        <f t="shared" si="7"/>
        <v>0</v>
      </c>
    </row>
    <row r="254" spans="1:10">
      <c r="A254" t="s">
        <v>112</v>
      </c>
      <c r="B254" t="s">
        <v>294</v>
      </c>
      <c r="C254" s="20">
        <v>2035</v>
      </c>
      <c r="D254" t="s">
        <v>292</v>
      </c>
      <c r="E254" s="22">
        <v>13726.7399692658</v>
      </c>
      <c r="F254" s="22">
        <v>9787.5127586509407</v>
      </c>
      <c r="G254" s="10">
        <v>9787.5127586509407</v>
      </c>
      <c r="H254" s="23">
        <f t="shared" si="6"/>
        <v>0</v>
      </c>
      <c r="I254" s="10">
        <v>13726.7399692658</v>
      </c>
      <c r="J254" s="23">
        <f t="shared" si="7"/>
        <v>0</v>
      </c>
    </row>
    <row r="255" spans="1:10">
      <c r="A255" t="s">
        <v>112</v>
      </c>
      <c r="B255" t="s">
        <v>294</v>
      </c>
      <c r="C255" s="20">
        <v>2035</v>
      </c>
      <c r="D255" t="s">
        <v>233</v>
      </c>
      <c r="E255" s="22">
        <v>975047.32695986598</v>
      </c>
      <c r="F255" s="22">
        <v>170911.003808462</v>
      </c>
      <c r="G255" s="10">
        <v>170911.003808462</v>
      </c>
      <c r="H255" s="23">
        <f t="shared" si="6"/>
        <v>0</v>
      </c>
      <c r="I255" s="10">
        <v>975047.32695986598</v>
      </c>
      <c r="J255" s="23">
        <f t="shared" si="7"/>
        <v>0</v>
      </c>
    </row>
    <row r="256" spans="1:10">
      <c r="A256" t="s">
        <v>112</v>
      </c>
      <c r="B256" t="s">
        <v>294</v>
      </c>
      <c r="C256" s="20">
        <v>2035</v>
      </c>
      <c r="D256" t="s">
        <v>208</v>
      </c>
      <c r="E256" s="22">
        <v>143430.14734695299</v>
      </c>
      <c r="F256" s="22">
        <v>89138.141517925003</v>
      </c>
      <c r="G256" s="10">
        <v>89138.141517925003</v>
      </c>
      <c r="H256" s="23">
        <f t="shared" si="6"/>
        <v>0</v>
      </c>
      <c r="I256" s="10">
        <v>143430.14734695299</v>
      </c>
      <c r="J256" s="23">
        <f t="shared" si="7"/>
        <v>0</v>
      </c>
    </row>
    <row r="257" spans="1:10">
      <c r="A257" t="s">
        <v>112</v>
      </c>
      <c r="B257" t="s">
        <v>294</v>
      </c>
      <c r="C257" s="20">
        <v>2035</v>
      </c>
      <c r="D257" t="s">
        <v>219</v>
      </c>
      <c r="E257" s="22">
        <v>311598.65934973501</v>
      </c>
      <c r="F257" s="22">
        <v>292543.43417229998</v>
      </c>
      <c r="G257" s="10">
        <v>292543.43417229998</v>
      </c>
      <c r="H257" s="23">
        <f t="shared" si="6"/>
        <v>0</v>
      </c>
      <c r="I257" s="10">
        <v>311598.65934973501</v>
      </c>
      <c r="J257" s="23">
        <f t="shared" si="7"/>
        <v>0</v>
      </c>
    </row>
    <row r="258" spans="1:10">
      <c r="A258" t="s">
        <v>112</v>
      </c>
      <c r="B258" t="s">
        <v>294</v>
      </c>
      <c r="C258" s="20">
        <v>2035</v>
      </c>
      <c r="D258" t="s">
        <v>223</v>
      </c>
      <c r="E258" s="22">
        <v>770043.40739803296</v>
      </c>
      <c r="F258" s="22">
        <v>439419.39317626401</v>
      </c>
      <c r="G258" s="10">
        <v>439419.39317626401</v>
      </c>
      <c r="H258" s="23">
        <f t="shared" ref="H258:H321" si="8">G258-F258</f>
        <v>0</v>
      </c>
      <c r="I258" s="10">
        <v>770043.40739803296</v>
      </c>
      <c r="J258" s="23">
        <f t="shared" ref="J258:J321" si="9">I258-E258</f>
        <v>0</v>
      </c>
    </row>
    <row r="259" spans="1:10">
      <c r="A259" t="s">
        <v>112</v>
      </c>
      <c r="B259" t="s">
        <v>294</v>
      </c>
      <c r="C259" s="20">
        <v>2035</v>
      </c>
      <c r="D259" t="s">
        <v>227</v>
      </c>
      <c r="E259" s="22">
        <v>410430.68648466002</v>
      </c>
      <c r="F259" s="22">
        <v>209854.98851526401</v>
      </c>
      <c r="G259" s="10">
        <v>209854.98851526401</v>
      </c>
      <c r="H259" s="23">
        <f t="shared" si="8"/>
        <v>0</v>
      </c>
      <c r="I259" s="10">
        <v>410430.68648466002</v>
      </c>
      <c r="J259" s="23">
        <f t="shared" si="9"/>
        <v>0</v>
      </c>
    </row>
    <row r="260" spans="1:10">
      <c r="A260" t="s">
        <v>112</v>
      </c>
      <c r="B260" t="s">
        <v>294</v>
      </c>
      <c r="C260" s="20">
        <v>2035</v>
      </c>
      <c r="D260" t="s">
        <v>293</v>
      </c>
      <c r="E260" s="22">
        <v>13061.5900844962</v>
      </c>
      <c r="F260" s="22">
        <v>2671.4978439429501</v>
      </c>
      <c r="G260" s="10">
        <v>2671.4978439429501</v>
      </c>
      <c r="H260" s="23">
        <f t="shared" si="8"/>
        <v>0</v>
      </c>
      <c r="I260" s="10">
        <v>13061.5900844962</v>
      </c>
      <c r="J260" s="23">
        <f t="shared" si="9"/>
        <v>0</v>
      </c>
    </row>
    <row r="261" spans="1:10">
      <c r="A261" t="s">
        <v>112</v>
      </c>
      <c r="B261" t="s">
        <v>294</v>
      </c>
      <c r="C261" s="20">
        <v>2036</v>
      </c>
      <c r="D261" t="s">
        <v>292</v>
      </c>
      <c r="E261" s="22">
        <v>14058.8402730705</v>
      </c>
      <c r="F261" s="22">
        <v>9972.7334369719993</v>
      </c>
      <c r="G261" s="10">
        <v>9972.7334369719993</v>
      </c>
      <c r="H261" s="23">
        <f t="shared" si="8"/>
        <v>0</v>
      </c>
      <c r="I261" s="10">
        <v>14058.8402730705</v>
      </c>
      <c r="J261" s="23">
        <f t="shared" si="9"/>
        <v>0</v>
      </c>
    </row>
    <row r="262" spans="1:10">
      <c r="A262" t="s">
        <v>112</v>
      </c>
      <c r="B262" t="s">
        <v>294</v>
      </c>
      <c r="C262" s="20">
        <v>2036</v>
      </c>
      <c r="D262" t="s">
        <v>233</v>
      </c>
      <c r="E262" s="22">
        <v>992593.12756790605</v>
      </c>
      <c r="F262" s="22">
        <v>176139.99778552799</v>
      </c>
      <c r="G262" s="10">
        <v>176139.99778552799</v>
      </c>
      <c r="H262" s="23">
        <f t="shared" si="8"/>
        <v>0</v>
      </c>
      <c r="I262" s="10">
        <v>992593.12756790605</v>
      </c>
      <c r="J262" s="23">
        <f t="shared" si="9"/>
        <v>0</v>
      </c>
    </row>
    <row r="263" spans="1:10">
      <c r="A263" t="s">
        <v>112</v>
      </c>
      <c r="B263" t="s">
        <v>294</v>
      </c>
      <c r="C263" s="20">
        <v>2036</v>
      </c>
      <c r="D263" t="s">
        <v>208</v>
      </c>
      <c r="E263" s="22">
        <v>146978.91607034899</v>
      </c>
      <c r="F263" s="22">
        <v>91225.407814079197</v>
      </c>
      <c r="G263" s="10">
        <v>91225.407814079197</v>
      </c>
      <c r="H263" s="23">
        <f t="shared" si="8"/>
        <v>0</v>
      </c>
      <c r="I263" s="10">
        <v>146978.91607034899</v>
      </c>
      <c r="J263" s="23">
        <f t="shared" si="9"/>
        <v>0</v>
      </c>
    </row>
    <row r="264" spans="1:10">
      <c r="A264" t="s">
        <v>112</v>
      </c>
      <c r="B264" t="s">
        <v>294</v>
      </c>
      <c r="C264" s="20">
        <v>2036</v>
      </c>
      <c r="D264" t="s">
        <v>219</v>
      </c>
      <c r="E264" s="22">
        <v>315288.94946137897</v>
      </c>
      <c r="F264" s="22">
        <v>296084.40274798701</v>
      </c>
      <c r="G264" s="10">
        <v>296084.40274798701</v>
      </c>
      <c r="H264" s="23">
        <f t="shared" si="8"/>
        <v>0</v>
      </c>
      <c r="I264" s="10">
        <v>315288.94946137897</v>
      </c>
      <c r="J264" s="23">
        <f t="shared" si="9"/>
        <v>0</v>
      </c>
    </row>
    <row r="265" spans="1:10">
      <c r="A265" t="s">
        <v>112</v>
      </c>
      <c r="B265" t="s">
        <v>294</v>
      </c>
      <c r="C265" s="20">
        <v>2036</v>
      </c>
      <c r="D265" t="s">
        <v>223</v>
      </c>
      <c r="E265" s="22">
        <v>786706.265291046</v>
      </c>
      <c r="F265" s="22">
        <v>450600.66503166</v>
      </c>
      <c r="G265" s="10">
        <v>450600.66503166</v>
      </c>
      <c r="H265" s="23">
        <f t="shared" si="8"/>
        <v>0</v>
      </c>
      <c r="I265" s="10">
        <v>786706.265291046</v>
      </c>
      <c r="J265" s="23">
        <f t="shared" si="9"/>
        <v>0</v>
      </c>
    </row>
    <row r="266" spans="1:10">
      <c r="A266" t="s">
        <v>112</v>
      </c>
      <c r="B266" t="s">
        <v>294</v>
      </c>
      <c r="C266" s="20">
        <v>2036</v>
      </c>
      <c r="D266" t="s">
        <v>227</v>
      </c>
      <c r="E266" s="22">
        <v>418880.52544401999</v>
      </c>
      <c r="F266" s="22">
        <v>215434.24691051699</v>
      </c>
      <c r="G266" s="10">
        <v>215434.24691051699</v>
      </c>
      <c r="H266" s="23">
        <f t="shared" si="8"/>
        <v>0</v>
      </c>
      <c r="I266" s="10">
        <v>418880.52544401999</v>
      </c>
      <c r="J266" s="23">
        <f t="shared" si="9"/>
        <v>0</v>
      </c>
    </row>
    <row r="267" spans="1:10">
      <c r="A267" t="s">
        <v>112</v>
      </c>
      <c r="B267" t="s">
        <v>294</v>
      </c>
      <c r="C267" s="20">
        <v>2036</v>
      </c>
      <c r="D267" t="s">
        <v>293</v>
      </c>
      <c r="E267" s="22">
        <v>13308.7944546361</v>
      </c>
      <c r="F267" s="22">
        <v>2547.7425839674902</v>
      </c>
      <c r="G267" s="10">
        <v>2547.7425839674902</v>
      </c>
      <c r="H267" s="23">
        <f t="shared" si="8"/>
        <v>0</v>
      </c>
      <c r="I267" s="10">
        <v>13308.7944546361</v>
      </c>
      <c r="J267" s="23">
        <f t="shared" si="9"/>
        <v>0</v>
      </c>
    </row>
    <row r="268" spans="1:10">
      <c r="A268" t="s">
        <v>112</v>
      </c>
      <c r="B268" t="s">
        <v>294</v>
      </c>
      <c r="C268" s="20">
        <v>2037</v>
      </c>
      <c r="D268" t="s">
        <v>292</v>
      </c>
      <c r="E268" s="22">
        <v>14386.6366039025</v>
      </c>
      <c r="F268" s="22">
        <v>10159.187333690499</v>
      </c>
      <c r="G268" s="10">
        <v>10159.187333690499</v>
      </c>
      <c r="H268" s="23">
        <f t="shared" si="8"/>
        <v>0</v>
      </c>
      <c r="I268" s="10">
        <v>14386.6366039025</v>
      </c>
      <c r="J268" s="23">
        <f t="shared" si="9"/>
        <v>0</v>
      </c>
    </row>
    <row r="269" spans="1:10">
      <c r="A269" t="s">
        <v>112</v>
      </c>
      <c r="B269" t="s">
        <v>294</v>
      </c>
      <c r="C269" s="20">
        <v>2037</v>
      </c>
      <c r="D269" t="s">
        <v>233</v>
      </c>
      <c r="E269" s="22">
        <v>1009301.65749756</v>
      </c>
      <c r="F269" s="22">
        <v>181458.23583990801</v>
      </c>
      <c r="G269" s="10">
        <v>181458.23583990801</v>
      </c>
      <c r="H269" s="23">
        <f t="shared" si="8"/>
        <v>0</v>
      </c>
      <c r="I269" s="10">
        <v>1009301.65749756</v>
      </c>
      <c r="J269" s="23">
        <f t="shared" si="9"/>
        <v>0</v>
      </c>
    </row>
    <row r="270" spans="1:10">
      <c r="A270" t="s">
        <v>112</v>
      </c>
      <c r="B270" t="s">
        <v>294</v>
      </c>
      <c r="C270" s="20">
        <v>2037</v>
      </c>
      <c r="D270" t="s">
        <v>208</v>
      </c>
      <c r="E270" s="22">
        <v>150487.44161910799</v>
      </c>
      <c r="F270" s="22">
        <v>93341.278424510703</v>
      </c>
      <c r="G270" s="10">
        <v>93341.278424510703</v>
      </c>
      <c r="H270" s="23">
        <f t="shared" si="8"/>
        <v>0</v>
      </c>
      <c r="I270" s="10">
        <v>150487.44161910799</v>
      </c>
      <c r="J270" s="23">
        <f t="shared" si="9"/>
        <v>0</v>
      </c>
    </row>
    <row r="271" spans="1:10">
      <c r="A271" t="s">
        <v>112</v>
      </c>
      <c r="B271" t="s">
        <v>294</v>
      </c>
      <c r="C271" s="20">
        <v>2037</v>
      </c>
      <c r="D271" t="s">
        <v>219</v>
      </c>
      <c r="E271" s="22">
        <v>318754.96481302398</v>
      </c>
      <c r="F271" s="22">
        <v>299434.65519592498</v>
      </c>
      <c r="G271" s="10">
        <v>299434.65519592498</v>
      </c>
      <c r="H271" s="23">
        <f t="shared" si="8"/>
        <v>0</v>
      </c>
      <c r="I271" s="10">
        <v>318754.96481302398</v>
      </c>
      <c r="J271" s="23">
        <f t="shared" si="9"/>
        <v>0</v>
      </c>
    </row>
    <row r="272" spans="1:10">
      <c r="A272" t="s">
        <v>112</v>
      </c>
      <c r="B272" t="s">
        <v>294</v>
      </c>
      <c r="C272" s="20">
        <v>2037</v>
      </c>
      <c r="D272" t="s">
        <v>223</v>
      </c>
      <c r="E272" s="22">
        <v>803452.22903664398</v>
      </c>
      <c r="F272" s="22">
        <v>461851.04951155098</v>
      </c>
      <c r="G272" s="10">
        <v>461851.04951155098</v>
      </c>
      <c r="H272" s="23">
        <f t="shared" si="8"/>
        <v>0</v>
      </c>
      <c r="I272" s="10">
        <v>803452.22903664398</v>
      </c>
      <c r="J272" s="23">
        <f t="shared" si="9"/>
        <v>0</v>
      </c>
    </row>
    <row r="273" spans="1:10">
      <c r="A273" t="s">
        <v>112</v>
      </c>
      <c r="B273" t="s">
        <v>294</v>
      </c>
      <c r="C273" s="20">
        <v>2037</v>
      </c>
      <c r="D273" t="s">
        <v>227</v>
      </c>
      <c r="E273" s="22">
        <v>427506.733072448</v>
      </c>
      <c r="F273" s="22">
        <v>221141.826108993</v>
      </c>
      <c r="G273" s="10">
        <v>221141.826108993</v>
      </c>
      <c r="H273" s="23">
        <f t="shared" si="8"/>
        <v>0</v>
      </c>
      <c r="I273" s="10">
        <v>427506.733072448</v>
      </c>
      <c r="J273" s="23">
        <f t="shared" si="9"/>
        <v>0</v>
      </c>
    </row>
    <row r="274" spans="1:10">
      <c r="A274" t="s">
        <v>112</v>
      </c>
      <c r="B274" t="s">
        <v>294</v>
      </c>
      <c r="C274" s="20">
        <v>2037</v>
      </c>
      <c r="D274" t="s">
        <v>293</v>
      </c>
      <c r="E274" s="22">
        <v>13385.128134315</v>
      </c>
      <c r="F274" s="22">
        <v>2421.5766798415598</v>
      </c>
      <c r="G274" s="10">
        <v>2421.5766798415598</v>
      </c>
      <c r="H274" s="23">
        <f t="shared" si="8"/>
        <v>0</v>
      </c>
      <c r="I274" s="10">
        <v>13385.128134315</v>
      </c>
      <c r="J274" s="23">
        <f t="shared" si="9"/>
        <v>0</v>
      </c>
    </row>
    <row r="275" spans="1:10">
      <c r="A275" t="s">
        <v>112</v>
      </c>
      <c r="B275" t="s">
        <v>294</v>
      </c>
      <c r="C275" s="20">
        <v>2038</v>
      </c>
      <c r="D275" t="s">
        <v>292</v>
      </c>
      <c r="E275" s="22">
        <v>14790.2897218897</v>
      </c>
      <c r="F275" s="22">
        <v>10349.903688341699</v>
      </c>
      <c r="G275" s="10">
        <v>10349.903688341699</v>
      </c>
      <c r="H275" s="23">
        <f t="shared" si="8"/>
        <v>0</v>
      </c>
      <c r="I275" s="10">
        <v>14790.2897218897</v>
      </c>
      <c r="J275" s="23">
        <f t="shared" si="9"/>
        <v>0</v>
      </c>
    </row>
    <row r="276" spans="1:10">
      <c r="A276" t="s">
        <v>112</v>
      </c>
      <c r="B276" t="s">
        <v>294</v>
      </c>
      <c r="C276" s="20">
        <v>2038</v>
      </c>
      <c r="D276" t="s">
        <v>233</v>
      </c>
      <c r="E276" s="22">
        <v>1025731.21343356</v>
      </c>
      <c r="F276" s="22">
        <v>186787.49187052401</v>
      </c>
      <c r="G276" s="10">
        <v>186787.49187052401</v>
      </c>
      <c r="H276" s="23">
        <f t="shared" si="8"/>
        <v>0</v>
      </c>
      <c r="I276" s="10">
        <v>1025731.21343356</v>
      </c>
      <c r="J276" s="23">
        <f t="shared" si="9"/>
        <v>0</v>
      </c>
    </row>
    <row r="277" spans="1:10">
      <c r="A277" t="s">
        <v>112</v>
      </c>
      <c r="B277" t="s">
        <v>294</v>
      </c>
      <c r="C277" s="20">
        <v>2038</v>
      </c>
      <c r="D277" t="s">
        <v>208</v>
      </c>
      <c r="E277" s="22">
        <v>154833.02186168899</v>
      </c>
      <c r="F277" s="22">
        <v>95469.044780114302</v>
      </c>
      <c r="G277" s="10">
        <v>95469.044780114302</v>
      </c>
      <c r="H277" s="23">
        <f t="shared" si="8"/>
        <v>0</v>
      </c>
      <c r="I277" s="10">
        <v>154833.02186168899</v>
      </c>
      <c r="J277" s="23">
        <f t="shared" si="9"/>
        <v>0</v>
      </c>
    </row>
    <row r="278" spans="1:10">
      <c r="A278" t="s">
        <v>112</v>
      </c>
      <c r="B278" t="s">
        <v>294</v>
      </c>
      <c r="C278" s="20">
        <v>2038</v>
      </c>
      <c r="D278" t="s">
        <v>219</v>
      </c>
      <c r="E278" s="22">
        <v>321808.30457611103</v>
      </c>
      <c r="F278" s="22">
        <v>302464.555231106</v>
      </c>
      <c r="G278" s="10">
        <v>302464.555231106</v>
      </c>
      <c r="H278" s="23">
        <f t="shared" si="8"/>
        <v>0</v>
      </c>
      <c r="I278" s="10">
        <v>321808.30457611103</v>
      </c>
      <c r="J278" s="23">
        <f t="shared" si="9"/>
        <v>0</v>
      </c>
    </row>
    <row r="279" spans="1:10">
      <c r="A279" t="s">
        <v>112</v>
      </c>
      <c r="B279" t="s">
        <v>294</v>
      </c>
      <c r="C279" s="20">
        <v>2038</v>
      </c>
      <c r="D279" t="s">
        <v>223</v>
      </c>
      <c r="E279" s="22">
        <v>822517.79120793997</v>
      </c>
      <c r="F279" s="22">
        <v>472964.18297251803</v>
      </c>
      <c r="G279" s="10">
        <v>472964.18297251803</v>
      </c>
      <c r="H279" s="23">
        <f t="shared" si="8"/>
        <v>0</v>
      </c>
      <c r="I279" s="10">
        <v>822517.79120793997</v>
      </c>
      <c r="J279" s="23">
        <f t="shared" si="9"/>
        <v>0</v>
      </c>
    </row>
    <row r="280" spans="1:10">
      <c r="A280" t="s">
        <v>112</v>
      </c>
      <c r="B280" t="s">
        <v>294</v>
      </c>
      <c r="C280" s="20">
        <v>2038</v>
      </c>
      <c r="D280" t="s">
        <v>227</v>
      </c>
      <c r="E280" s="22">
        <v>437875.90442176699</v>
      </c>
      <c r="F280" s="22">
        <v>226837.611544716</v>
      </c>
      <c r="G280" s="10">
        <v>226837.611544716</v>
      </c>
      <c r="H280" s="23">
        <f t="shared" si="8"/>
        <v>0</v>
      </c>
      <c r="I280" s="10">
        <v>437875.90442176699</v>
      </c>
      <c r="J280" s="23">
        <f t="shared" si="9"/>
        <v>0</v>
      </c>
    </row>
    <row r="281" spans="1:10">
      <c r="A281" t="s">
        <v>112</v>
      </c>
      <c r="B281" t="s">
        <v>294</v>
      </c>
      <c r="C281" s="20">
        <v>2038</v>
      </c>
      <c r="D281" t="s">
        <v>293</v>
      </c>
      <c r="E281" s="22">
        <v>13130.4959942569</v>
      </c>
      <c r="F281" s="22">
        <v>2303.4653337571999</v>
      </c>
      <c r="G281" s="10">
        <v>2303.4653337571999</v>
      </c>
      <c r="H281" s="23">
        <f t="shared" si="8"/>
        <v>0</v>
      </c>
      <c r="I281" s="10">
        <v>13130.4959942569</v>
      </c>
      <c r="J281" s="23">
        <f t="shared" si="9"/>
        <v>0</v>
      </c>
    </row>
    <row r="282" spans="1:10">
      <c r="A282" t="s">
        <v>112</v>
      </c>
      <c r="B282" t="s">
        <v>294</v>
      </c>
      <c r="C282" s="20">
        <v>2039</v>
      </c>
      <c r="D282" t="s">
        <v>292</v>
      </c>
      <c r="E282" s="22">
        <v>15135.74798412</v>
      </c>
      <c r="F282" s="22">
        <v>10545.0523038997</v>
      </c>
      <c r="G282" s="10">
        <v>10545.0523038997</v>
      </c>
      <c r="H282" s="23">
        <f t="shared" si="8"/>
        <v>0</v>
      </c>
      <c r="I282" s="10">
        <v>15135.74798412</v>
      </c>
      <c r="J282" s="23">
        <f t="shared" si="9"/>
        <v>0</v>
      </c>
    </row>
    <row r="283" spans="1:10">
      <c r="A283" t="s">
        <v>112</v>
      </c>
      <c r="B283" t="s">
        <v>294</v>
      </c>
      <c r="C283" s="20">
        <v>2039</v>
      </c>
      <c r="D283" t="s">
        <v>233</v>
      </c>
      <c r="E283" s="22">
        <v>1039334.21211717</v>
      </c>
      <c r="F283" s="22">
        <v>192296.552192256</v>
      </c>
      <c r="G283" s="10">
        <v>192296.552192256</v>
      </c>
      <c r="H283" s="23">
        <f t="shared" si="8"/>
        <v>0</v>
      </c>
      <c r="I283" s="10">
        <v>1039334.21211717</v>
      </c>
      <c r="J283" s="23">
        <f t="shared" si="9"/>
        <v>0</v>
      </c>
    </row>
    <row r="284" spans="1:10">
      <c r="A284" t="s">
        <v>112</v>
      </c>
      <c r="B284" t="s">
        <v>294</v>
      </c>
      <c r="C284" s="20">
        <v>2039</v>
      </c>
      <c r="D284" t="s">
        <v>208</v>
      </c>
      <c r="E284" s="22">
        <v>158325.90418622101</v>
      </c>
      <c r="F284" s="22">
        <v>97666.512521866607</v>
      </c>
      <c r="G284" s="10">
        <v>97666.512521866607</v>
      </c>
      <c r="H284" s="23">
        <f t="shared" si="8"/>
        <v>0</v>
      </c>
      <c r="I284" s="10">
        <v>158325.90418622101</v>
      </c>
      <c r="J284" s="23">
        <f t="shared" si="9"/>
        <v>0</v>
      </c>
    </row>
    <row r="285" spans="1:10">
      <c r="A285" t="s">
        <v>112</v>
      </c>
      <c r="B285" t="s">
        <v>294</v>
      </c>
      <c r="C285" s="20">
        <v>2039</v>
      </c>
      <c r="D285" t="s">
        <v>219</v>
      </c>
      <c r="E285" s="22">
        <v>324947.68592024298</v>
      </c>
      <c r="F285" s="22">
        <v>305533.68382410699</v>
      </c>
      <c r="G285" s="10">
        <v>305533.68382410699</v>
      </c>
      <c r="H285" s="23">
        <f t="shared" si="8"/>
        <v>0</v>
      </c>
      <c r="I285" s="10">
        <v>324947.68592024298</v>
      </c>
      <c r="J285" s="23">
        <f t="shared" si="9"/>
        <v>0</v>
      </c>
    </row>
    <row r="286" spans="1:10">
      <c r="A286" t="s">
        <v>112</v>
      </c>
      <c r="B286" t="s">
        <v>294</v>
      </c>
      <c r="C286" s="20">
        <v>2039</v>
      </c>
      <c r="D286" t="s">
        <v>223</v>
      </c>
      <c r="E286" s="22">
        <v>838380.89792891196</v>
      </c>
      <c r="F286" s="22">
        <v>484364.27514234598</v>
      </c>
      <c r="G286" s="10">
        <v>484364.27514234598</v>
      </c>
      <c r="H286" s="23">
        <f t="shared" si="8"/>
        <v>0</v>
      </c>
      <c r="I286" s="10">
        <v>838380.89792891196</v>
      </c>
      <c r="J286" s="23">
        <f t="shared" si="9"/>
        <v>0</v>
      </c>
    </row>
    <row r="287" spans="1:10">
      <c r="A287" t="s">
        <v>112</v>
      </c>
      <c r="B287" t="s">
        <v>294</v>
      </c>
      <c r="C287" s="20">
        <v>2039</v>
      </c>
      <c r="D287" t="s">
        <v>227</v>
      </c>
      <c r="E287" s="22">
        <v>446097.450852593</v>
      </c>
      <c r="F287" s="22">
        <v>232753.81626835</v>
      </c>
      <c r="G287" s="10">
        <v>232753.81626835</v>
      </c>
      <c r="H287" s="23">
        <f t="shared" si="8"/>
        <v>0</v>
      </c>
      <c r="I287" s="10">
        <v>446097.450852593</v>
      </c>
      <c r="J287" s="23">
        <f t="shared" si="9"/>
        <v>0</v>
      </c>
    </row>
    <row r="288" spans="1:10">
      <c r="A288" t="s">
        <v>112</v>
      </c>
      <c r="B288" t="s">
        <v>294</v>
      </c>
      <c r="C288" s="20">
        <v>2039</v>
      </c>
      <c r="D288" t="s">
        <v>293</v>
      </c>
      <c r="E288" s="22">
        <v>13010.914883544499</v>
      </c>
      <c r="F288" s="22">
        <v>2187.9040467667201</v>
      </c>
      <c r="G288" s="10">
        <v>2187.9040467667201</v>
      </c>
      <c r="H288" s="23">
        <f t="shared" si="8"/>
        <v>0</v>
      </c>
      <c r="I288" s="10">
        <v>13010.914883544499</v>
      </c>
      <c r="J288" s="23">
        <f t="shared" si="9"/>
        <v>0</v>
      </c>
    </row>
    <row r="289" spans="1:10">
      <c r="A289" t="s">
        <v>112</v>
      </c>
      <c r="B289" t="s">
        <v>294</v>
      </c>
      <c r="C289" s="20">
        <v>2040</v>
      </c>
      <c r="D289" t="s">
        <v>292</v>
      </c>
      <c r="E289" s="22">
        <v>15531.545845413701</v>
      </c>
      <c r="F289" s="22">
        <v>10740.752829966001</v>
      </c>
      <c r="G289" s="10">
        <v>10740.752829966001</v>
      </c>
      <c r="H289" s="23">
        <f t="shared" si="8"/>
        <v>0</v>
      </c>
      <c r="I289" s="10">
        <v>15531.545845413701</v>
      </c>
      <c r="J289" s="23">
        <f t="shared" si="9"/>
        <v>0</v>
      </c>
    </row>
    <row r="290" spans="1:10">
      <c r="A290" t="s">
        <v>112</v>
      </c>
      <c r="B290" t="s">
        <v>294</v>
      </c>
      <c r="C290" s="20">
        <v>2040</v>
      </c>
      <c r="D290" t="s">
        <v>233</v>
      </c>
      <c r="E290" s="22">
        <v>1051265.6937132899</v>
      </c>
      <c r="F290" s="22">
        <v>197739.851826417</v>
      </c>
      <c r="G290" s="10">
        <v>197739.851826417</v>
      </c>
      <c r="H290" s="23">
        <f t="shared" si="8"/>
        <v>0</v>
      </c>
      <c r="I290" s="10">
        <v>1051265.6937132899</v>
      </c>
      <c r="J290" s="23">
        <f t="shared" si="9"/>
        <v>0</v>
      </c>
    </row>
    <row r="291" spans="1:10">
      <c r="A291" t="s">
        <v>112</v>
      </c>
      <c r="B291" t="s">
        <v>294</v>
      </c>
      <c r="C291" s="20">
        <v>2040</v>
      </c>
      <c r="D291" t="s">
        <v>208</v>
      </c>
      <c r="E291" s="22">
        <v>162016.43342864999</v>
      </c>
      <c r="F291" s="22">
        <v>99830.479788152705</v>
      </c>
      <c r="G291" s="10">
        <v>99830.479788152705</v>
      </c>
      <c r="H291" s="23">
        <f t="shared" si="8"/>
        <v>0</v>
      </c>
      <c r="I291" s="10">
        <v>162016.43342864999</v>
      </c>
      <c r="J291" s="23">
        <f t="shared" si="9"/>
        <v>0</v>
      </c>
    </row>
    <row r="292" spans="1:10">
      <c r="A292" t="s">
        <v>112</v>
      </c>
      <c r="B292" t="s">
        <v>294</v>
      </c>
      <c r="C292" s="20">
        <v>2040</v>
      </c>
      <c r="D292" t="s">
        <v>219</v>
      </c>
      <c r="E292" s="22">
        <v>327830.115399056</v>
      </c>
      <c r="F292" s="22">
        <v>308326.23194074701</v>
      </c>
      <c r="G292" s="10">
        <v>308326.23194074701</v>
      </c>
      <c r="H292" s="23">
        <f t="shared" si="8"/>
        <v>0</v>
      </c>
      <c r="I292" s="10">
        <v>327830.115399056</v>
      </c>
      <c r="J292" s="23">
        <f t="shared" si="9"/>
        <v>0</v>
      </c>
    </row>
    <row r="293" spans="1:10">
      <c r="A293" t="s">
        <v>112</v>
      </c>
      <c r="B293" t="s">
        <v>294</v>
      </c>
      <c r="C293" s="20">
        <v>2040</v>
      </c>
      <c r="D293" t="s">
        <v>223</v>
      </c>
      <c r="E293" s="22">
        <v>853229.02362041397</v>
      </c>
      <c r="F293" s="22">
        <v>495491.38902189699</v>
      </c>
      <c r="G293" s="10">
        <v>495491.38902189699</v>
      </c>
      <c r="H293" s="23">
        <f t="shared" si="8"/>
        <v>0</v>
      </c>
      <c r="I293" s="10">
        <v>853229.02362041397</v>
      </c>
      <c r="J293" s="23">
        <f t="shared" si="9"/>
        <v>0</v>
      </c>
    </row>
    <row r="294" spans="1:10">
      <c r="A294" t="s">
        <v>112</v>
      </c>
      <c r="B294" t="s">
        <v>294</v>
      </c>
      <c r="C294" s="20">
        <v>2040</v>
      </c>
      <c r="D294" t="s">
        <v>227</v>
      </c>
      <c r="E294" s="22">
        <v>453595.60268299701</v>
      </c>
      <c r="F294" s="22">
        <v>238587.52571787301</v>
      </c>
      <c r="G294" s="10">
        <v>238587.52571787301</v>
      </c>
      <c r="H294" s="23">
        <f t="shared" si="8"/>
        <v>0</v>
      </c>
      <c r="I294" s="10">
        <v>453595.60268299701</v>
      </c>
      <c r="J294" s="23">
        <f t="shared" si="9"/>
        <v>0</v>
      </c>
    </row>
    <row r="295" spans="1:10">
      <c r="A295" t="s">
        <v>112</v>
      </c>
      <c r="B295" t="s">
        <v>294</v>
      </c>
      <c r="C295" s="20">
        <v>2040</v>
      </c>
      <c r="D295" t="s">
        <v>293</v>
      </c>
      <c r="E295" s="22">
        <v>12921.606542589099</v>
      </c>
      <c r="F295" s="22">
        <v>2071.4443811368701</v>
      </c>
      <c r="G295" s="10">
        <v>2071.4443811368701</v>
      </c>
      <c r="H295" s="23">
        <f t="shared" si="8"/>
        <v>0</v>
      </c>
      <c r="I295" s="10">
        <v>12921.606542589099</v>
      </c>
      <c r="J295" s="23">
        <f t="shared" si="9"/>
        <v>0</v>
      </c>
    </row>
    <row r="296" spans="1:10">
      <c r="A296" t="s">
        <v>112</v>
      </c>
      <c r="B296" t="s">
        <v>294</v>
      </c>
      <c r="C296" s="20">
        <v>2041</v>
      </c>
      <c r="D296" t="s">
        <v>292</v>
      </c>
      <c r="E296" s="22">
        <v>15920.877501615299</v>
      </c>
      <c r="F296" s="22">
        <v>10939.501155698201</v>
      </c>
      <c r="G296" s="10">
        <v>10939.501155698201</v>
      </c>
      <c r="H296" s="23">
        <f t="shared" si="8"/>
        <v>0</v>
      </c>
      <c r="I296" s="10">
        <v>15920.877501615299</v>
      </c>
      <c r="J296" s="23">
        <f t="shared" si="9"/>
        <v>0</v>
      </c>
    </row>
    <row r="297" spans="1:10">
      <c r="A297" t="s">
        <v>112</v>
      </c>
      <c r="B297" t="s">
        <v>294</v>
      </c>
      <c r="C297" s="20">
        <v>2041</v>
      </c>
      <c r="D297" t="s">
        <v>233</v>
      </c>
      <c r="E297" s="22">
        <v>1066563.6735298</v>
      </c>
      <c r="F297" s="22">
        <v>203201.12879651901</v>
      </c>
      <c r="G297" s="10">
        <v>203201.12879651901</v>
      </c>
      <c r="H297" s="23">
        <f t="shared" si="8"/>
        <v>0</v>
      </c>
      <c r="I297" s="10">
        <v>1066563.6735298</v>
      </c>
      <c r="J297" s="23">
        <f t="shared" si="9"/>
        <v>0</v>
      </c>
    </row>
    <row r="298" spans="1:10">
      <c r="A298" t="s">
        <v>112</v>
      </c>
      <c r="B298" t="s">
        <v>294</v>
      </c>
      <c r="C298" s="20">
        <v>2041</v>
      </c>
      <c r="D298" t="s">
        <v>208</v>
      </c>
      <c r="E298" s="22">
        <v>165603.256683252</v>
      </c>
      <c r="F298" s="22">
        <v>101998.78936441999</v>
      </c>
      <c r="G298" s="10">
        <v>101998.78936441999</v>
      </c>
      <c r="H298" s="23">
        <f t="shared" si="8"/>
        <v>0</v>
      </c>
      <c r="I298" s="10">
        <v>165603.256683252</v>
      </c>
      <c r="J298" s="23">
        <f t="shared" si="9"/>
        <v>0</v>
      </c>
    </row>
    <row r="299" spans="1:10">
      <c r="A299" t="s">
        <v>112</v>
      </c>
      <c r="B299" t="s">
        <v>294</v>
      </c>
      <c r="C299" s="20">
        <v>2041</v>
      </c>
      <c r="D299" t="s">
        <v>219</v>
      </c>
      <c r="E299" s="22">
        <v>330799.89253886102</v>
      </c>
      <c r="F299" s="22">
        <v>311000.56828577799</v>
      </c>
      <c r="G299" s="10">
        <v>311000.56828577799</v>
      </c>
      <c r="H299" s="23">
        <f t="shared" si="8"/>
        <v>0</v>
      </c>
      <c r="I299" s="10">
        <v>330799.89253886102</v>
      </c>
      <c r="J299" s="23">
        <f t="shared" si="9"/>
        <v>0</v>
      </c>
    </row>
    <row r="300" spans="1:10">
      <c r="A300" t="s">
        <v>112</v>
      </c>
      <c r="B300" t="s">
        <v>294</v>
      </c>
      <c r="C300" s="20">
        <v>2041</v>
      </c>
      <c r="D300" t="s">
        <v>223</v>
      </c>
      <c r="E300" s="22">
        <v>869077.59210104402</v>
      </c>
      <c r="F300" s="22">
        <v>506572.614435606</v>
      </c>
      <c r="G300" s="10">
        <v>506572.614435606</v>
      </c>
      <c r="H300" s="23">
        <f t="shared" si="8"/>
        <v>0</v>
      </c>
      <c r="I300" s="10">
        <v>869077.59210104402</v>
      </c>
      <c r="J300" s="23">
        <f t="shared" si="9"/>
        <v>0</v>
      </c>
    </row>
    <row r="301" spans="1:10">
      <c r="A301" t="s">
        <v>112</v>
      </c>
      <c r="B301" t="s">
        <v>294</v>
      </c>
      <c r="C301" s="20">
        <v>2041</v>
      </c>
      <c r="D301" t="s">
        <v>227</v>
      </c>
      <c r="E301" s="22">
        <v>461572.52561978099</v>
      </c>
      <c r="F301" s="22">
        <v>244403.938380915</v>
      </c>
      <c r="G301" s="10">
        <v>244403.938380915</v>
      </c>
      <c r="H301" s="23">
        <f t="shared" si="8"/>
        <v>0</v>
      </c>
      <c r="I301" s="10">
        <v>461572.52561978099</v>
      </c>
      <c r="J301" s="23">
        <f t="shared" si="9"/>
        <v>0</v>
      </c>
    </row>
    <row r="302" spans="1:10">
      <c r="A302" t="s">
        <v>112</v>
      </c>
      <c r="B302" t="s">
        <v>294</v>
      </c>
      <c r="C302" s="20">
        <v>2041</v>
      </c>
      <c r="D302" t="s">
        <v>293</v>
      </c>
      <c r="E302" s="22">
        <v>12913.966107247799</v>
      </c>
      <c r="F302" s="22">
        <v>1954.42370545678</v>
      </c>
      <c r="G302" s="10">
        <v>1954.42370545678</v>
      </c>
      <c r="H302" s="23">
        <f t="shared" si="8"/>
        <v>0</v>
      </c>
      <c r="I302" s="10">
        <v>12913.966107247799</v>
      </c>
      <c r="J302" s="23">
        <f t="shared" si="9"/>
        <v>0</v>
      </c>
    </row>
    <row r="303" spans="1:10">
      <c r="A303" t="s">
        <v>112</v>
      </c>
      <c r="B303" t="s">
        <v>294</v>
      </c>
      <c r="C303" s="20">
        <v>2042</v>
      </c>
      <c r="D303" t="s">
        <v>292</v>
      </c>
      <c r="E303" s="22">
        <v>16309.899360965201</v>
      </c>
      <c r="F303" s="22">
        <v>11135.4965430843</v>
      </c>
      <c r="G303" s="10">
        <v>11135.4965430843</v>
      </c>
      <c r="H303" s="23">
        <f t="shared" si="8"/>
        <v>0</v>
      </c>
      <c r="I303" s="10">
        <v>16309.899360965201</v>
      </c>
      <c r="J303" s="23">
        <f t="shared" si="9"/>
        <v>0</v>
      </c>
    </row>
    <row r="304" spans="1:10">
      <c r="A304" t="s">
        <v>112</v>
      </c>
      <c r="B304" t="s">
        <v>294</v>
      </c>
      <c r="C304" s="20">
        <v>2042</v>
      </c>
      <c r="D304" t="s">
        <v>233</v>
      </c>
      <c r="E304" s="22">
        <v>1078026.6009798101</v>
      </c>
      <c r="F304" s="22">
        <v>208646.65455354299</v>
      </c>
      <c r="G304" s="10">
        <v>208646.65455354299</v>
      </c>
      <c r="H304" s="23">
        <f t="shared" si="8"/>
        <v>0</v>
      </c>
      <c r="I304" s="10">
        <v>1078026.6009798101</v>
      </c>
      <c r="J304" s="23">
        <f t="shared" si="9"/>
        <v>0</v>
      </c>
    </row>
    <row r="305" spans="1:10">
      <c r="A305" t="s">
        <v>112</v>
      </c>
      <c r="B305" t="s">
        <v>294</v>
      </c>
      <c r="C305" s="20">
        <v>2042</v>
      </c>
      <c r="D305" t="s">
        <v>208</v>
      </c>
      <c r="E305" s="22">
        <v>169141.55663702101</v>
      </c>
      <c r="F305" s="22">
        <v>104153.760083299</v>
      </c>
      <c r="G305" s="10">
        <v>104153.760083299</v>
      </c>
      <c r="H305" s="23">
        <f t="shared" si="8"/>
        <v>0</v>
      </c>
      <c r="I305" s="10">
        <v>169141.55663702101</v>
      </c>
      <c r="J305" s="23">
        <f t="shared" si="9"/>
        <v>0</v>
      </c>
    </row>
    <row r="306" spans="1:10">
      <c r="A306" t="s">
        <v>112</v>
      </c>
      <c r="B306" t="s">
        <v>294</v>
      </c>
      <c r="C306" s="20">
        <v>2042</v>
      </c>
      <c r="D306" t="s">
        <v>219</v>
      </c>
      <c r="E306" s="22">
        <v>333321.32393865701</v>
      </c>
      <c r="F306" s="22">
        <v>313428.60406866297</v>
      </c>
      <c r="G306" s="10">
        <v>313428.60406866297</v>
      </c>
      <c r="H306" s="23">
        <f t="shared" si="8"/>
        <v>0</v>
      </c>
      <c r="I306" s="10">
        <v>333321.32393865701</v>
      </c>
      <c r="J306" s="23">
        <f t="shared" si="9"/>
        <v>0</v>
      </c>
    </row>
    <row r="307" spans="1:10">
      <c r="A307" t="s">
        <v>112</v>
      </c>
      <c r="B307" t="s">
        <v>294</v>
      </c>
      <c r="C307" s="20">
        <v>2042</v>
      </c>
      <c r="D307" t="s">
        <v>223</v>
      </c>
      <c r="E307" s="22">
        <v>884281.97820778505</v>
      </c>
      <c r="F307" s="22">
        <v>517499.02350567799</v>
      </c>
      <c r="G307" s="10">
        <v>517499.02350567799</v>
      </c>
      <c r="H307" s="23">
        <f t="shared" si="8"/>
        <v>0</v>
      </c>
      <c r="I307" s="10">
        <v>884281.97820778505</v>
      </c>
      <c r="J307" s="23">
        <f t="shared" si="9"/>
        <v>0</v>
      </c>
    </row>
    <row r="308" spans="1:10">
      <c r="A308" t="s">
        <v>112</v>
      </c>
      <c r="B308" t="s">
        <v>294</v>
      </c>
      <c r="C308" s="20">
        <v>2042</v>
      </c>
      <c r="D308" t="s">
        <v>227</v>
      </c>
      <c r="E308" s="22">
        <v>469454.14972188399</v>
      </c>
      <c r="F308" s="22">
        <v>250175.66351419699</v>
      </c>
      <c r="G308" s="10">
        <v>250175.66351419699</v>
      </c>
      <c r="H308" s="23">
        <f t="shared" si="8"/>
        <v>0</v>
      </c>
      <c r="I308" s="10">
        <v>469454.14972188399</v>
      </c>
      <c r="J308" s="23">
        <f t="shared" si="9"/>
        <v>0</v>
      </c>
    </row>
    <row r="309" spans="1:10">
      <c r="A309" t="s">
        <v>112</v>
      </c>
      <c r="B309" t="s">
        <v>294</v>
      </c>
      <c r="C309" s="20">
        <v>2042</v>
      </c>
      <c r="D309" t="s">
        <v>293</v>
      </c>
      <c r="E309" s="22">
        <v>12447.9578277165</v>
      </c>
      <c r="F309" s="22">
        <v>1837.13778678778</v>
      </c>
      <c r="G309" s="10">
        <v>1837.13778678778</v>
      </c>
      <c r="H309" s="23">
        <f t="shared" si="8"/>
        <v>0</v>
      </c>
      <c r="I309" s="10">
        <v>12447.9578277165</v>
      </c>
      <c r="J309" s="23">
        <f t="shared" si="9"/>
        <v>0</v>
      </c>
    </row>
    <row r="310" spans="1:10">
      <c r="A310" t="s">
        <v>112</v>
      </c>
      <c r="B310" t="s">
        <v>294</v>
      </c>
      <c r="C310" s="20">
        <v>2043</v>
      </c>
      <c r="D310" t="s">
        <v>292</v>
      </c>
      <c r="E310" s="22">
        <v>16754.807280189099</v>
      </c>
      <c r="F310" s="22">
        <v>11340.588740714</v>
      </c>
      <c r="G310" s="10">
        <v>11340.588740714</v>
      </c>
      <c r="H310" s="23">
        <f t="shared" si="8"/>
        <v>0</v>
      </c>
      <c r="I310" s="10">
        <v>16754.807280189099</v>
      </c>
      <c r="J310" s="23">
        <f t="shared" si="9"/>
        <v>0</v>
      </c>
    </row>
    <row r="311" spans="1:10">
      <c r="A311" t="s">
        <v>112</v>
      </c>
      <c r="B311" t="s">
        <v>294</v>
      </c>
      <c r="C311" s="20">
        <v>2043</v>
      </c>
      <c r="D311" t="s">
        <v>233</v>
      </c>
      <c r="E311" s="22">
        <v>1089617.8876954</v>
      </c>
      <c r="F311" s="22">
        <v>214013.62732516901</v>
      </c>
      <c r="G311" s="10">
        <v>214013.62732516901</v>
      </c>
      <c r="H311" s="23">
        <f t="shared" si="8"/>
        <v>0</v>
      </c>
      <c r="I311" s="10">
        <v>1089617.8876954</v>
      </c>
      <c r="J311" s="23">
        <f t="shared" si="9"/>
        <v>0</v>
      </c>
    </row>
    <row r="312" spans="1:10">
      <c r="A312" t="s">
        <v>112</v>
      </c>
      <c r="B312" t="s">
        <v>294</v>
      </c>
      <c r="C312" s="20">
        <v>2043</v>
      </c>
      <c r="D312" t="s">
        <v>208</v>
      </c>
      <c r="E312" s="22">
        <v>173407.83317995601</v>
      </c>
      <c r="F312" s="22">
        <v>106296.685429372</v>
      </c>
      <c r="G312" s="10">
        <v>106296.685429372</v>
      </c>
      <c r="H312" s="23">
        <f t="shared" si="8"/>
        <v>0</v>
      </c>
      <c r="I312" s="10">
        <v>173407.83317995601</v>
      </c>
      <c r="J312" s="23">
        <f t="shared" si="9"/>
        <v>0</v>
      </c>
    </row>
    <row r="313" spans="1:10">
      <c r="A313" t="s">
        <v>112</v>
      </c>
      <c r="B313" t="s">
        <v>294</v>
      </c>
      <c r="C313" s="20">
        <v>2043</v>
      </c>
      <c r="D313" t="s">
        <v>219</v>
      </c>
      <c r="E313" s="22">
        <v>335190.94840548403</v>
      </c>
      <c r="F313" s="22">
        <v>315350.99513601098</v>
      </c>
      <c r="G313" s="10">
        <v>315350.99513601098</v>
      </c>
      <c r="H313" s="23">
        <f t="shared" si="8"/>
        <v>0</v>
      </c>
      <c r="I313" s="10">
        <v>335190.94840548403</v>
      </c>
      <c r="J313" s="23">
        <f t="shared" si="9"/>
        <v>0</v>
      </c>
    </row>
    <row r="314" spans="1:10">
      <c r="A314" t="s">
        <v>112</v>
      </c>
      <c r="B314" t="s">
        <v>294</v>
      </c>
      <c r="C314" s="20">
        <v>2043</v>
      </c>
      <c r="D314" t="s">
        <v>223</v>
      </c>
      <c r="E314" s="22">
        <v>901770.41197437595</v>
      </c>
      <c r="F314" s="22">
        <v>528079.18108166906</v>
      </c>
      <c r="G314" s="10">
        <v>528079.18108166906</v>
      </c>
      <c r="H314" s="23">
        <f t="shared" si="8"/>
        <v>0</v>
      </c>
      <c r="I314" s="10">
        <v>901770.41197437595</v>
      </c>
      <c r="J314" s="23">
        <f t="shared" si="9"/>
        <v>0</v>
      </c>
    </row>
    <row r="315" spans="1:10">
      <c r="A315" t="s">
        <v>112</v>
      </c>
      <c r="B315" t="s">
        <v>294</v>
      </c>
      <c r="C315" s="20">
        <v>2043</v>
      </c>
      <c r="D315" t="s">
        <v>227</v>
      </c>
      <c r="E315" s="22">
        <v>479482.18838674302</v>
      </c>
      <c r="F315" s="22">
        <v>255992.973248088</v>
      </c>
      <c r="G315" s="10">
        <v>255992.973248088</v>
      </c>
      <c r="H315" s="23">
        <f t="shared" si="8"/>
        <v>0</v>
      </c>
      <c r="I315" s="10">
        <v>479482.18838674302</v>
      </c>
      <c r="J315" s="23">
        <f t="shared" si="9"/>
        <v>0</v>
      </c>
    </row>
    <row r="316" spans="1:10">
      <c r="A316" t="s">
        <v>112</v>
      </c>
      <c r="B316" t="s">
        <v>294</v>
      </c>
      <c r="C316" s="20">
        <v>2043</v>
      </c>
      <c r="D316" t="s">
        <v>293</v>
      </c>
      <c r="E316" s="22">
        <v>12246.573111478099</v>
      </c>
      <c r="F316" s="22">
        <v>1731.1314511154001</v>
      </c>
      <c r="G316" s="10">
        <v>1731.1314511154001</v>
      </c>
      <c r="H316" s="23">
        <f t="shared" si="8"/>
        <v>0</v>
      </c>
      <c r="I316" s="10">
        <v>12246.573111478099</v>
      </c>
      <c r="J316" s="23">
        <f t="shared" si="9"/>
        <v>0</v>
      </c>
    </row>
    <row r="317" spans="1:10">
      <c r="A317" t="s">
        <v>112</v>
      </c>
      <c r="B317" t="s">
        <v>294</v>
      </c>
      <c r="C317" s="20">
        <v>2044</v>
      </c>
      <c r="D317" t="s">
        <v>292</v>
      </c>
      <c r="E317" s="22">
        <v>17141.712046114699</v>
      </c>
      <c r="F317" s="22">
        <v>11540.7879834335</v>
      </c>
      <c r="G317" s="10">
        <v>11540.7879834335</v>
      </c>
      <c r="H317" s="23">
        <f t="shared" si="8"/>
        <v>0</v>
      </c>
      <c r="I317" s="10">
        <v>17141.712046114699</v>
      </c>
      <c r="J317" s="23">
        <f t="shared" si="9"/>
        <v>0</v>
      </c>
    </row>
    <row r="318" spans="1:10">
      <c r="A318" t="s">
        <v>112</v>
      </c>
      <c r="B318" t="s">
        <v>294</v>
      </c>
      <c r="C318" s="20">
        <v>2044</v>
      </c>
      <c r="D318" t="s">
        <v>233</v>
      </c>
      <c r="E318" s="22">
        <v>1100597.3318727301</v>
      </c>
      <c r="F318" s="22">
        <v>219387.62606599199</v>
      </c>
      <c r="G318" s="10">
        <v>219387.62606599199</v>
      </c>
      <c r="H318" s="23">
        <f t="shared" si="8"/>
        <v>0</v>
      </c>
      <c r="I318" s="10">
        <v>1100597.3318727301</v>
      </c>
      <c r="J318" s="23">
        <f t="shared" si="9"/>
        <v>0</v>
      </c>
    </row>
    <row r="319" spans="1:10">
      <c r="A319" t="s">
        <v>112</v>
      </c>
      <c r="B319" t="s">
        <v>294</v>
      </c>
      <c r="C319" s="20">
        <v>2044</v>
      </c>
      <c r="D319" t="s">
        <v>208</v>
      </c>
      <c r="E319" s="22">
        <v>176720.97391354199</v>
      </c>
      <c r="F319" s="22">
        <v>108405.015378104</v>
      </c>
      <c r="G319" s="10">
        <v>108405.015378104</v>
      </c>
      <c r="H319" s="23">
        <f t="shared" si="8"/>
        <v>0</v>
      </c>
      <c r="I319" s="10">
        <v>176720.97391354199</v>
      </c>
      <c r="J319" s="23">
        <f t="shared" si="9"/>
        <v>0</v>
      </c>
    </row>
    <row r="320" spans="1:10">
      <c r="A320" t="s">
        <v>112</v>
      </c>
      <c r="B320" t="s">
        <v>294</v>
      </c>
      <c r="C320" s="20">
        <v>2044</v>
      </c>
      <c r="D320" t="s">
        <v>219</v>
      </c>
      <c r="E320" s="22">
        <v>337141.608513163</v>
      </c>
      <c r="F320" s="22">
        <v>317170.63797703298</v>
      </c>
      <c r="G320" s="10">
        <v>317170.63797703298</v>
      </c>
      <c r="H320" s="23">
        <f t="shared" si="8"/>
        <v>0</v>
      </c>
      <c r="I320" s="10">
        <v>337141.608513163</v>
      </c>
      <c r="J320" s="23">
        <f t="shared" si="9"/>
        <v>0</v>
      </c>
    </row>
    <row r="321" spans="1:10">
      <c r="A321" t="s">
        <v>112</v>
      </c>
      <c r="B321" t="s">
        <v>294</v>
      </c>
      <c r="C321" s="20">
        <v>2044</v>
      </c>
      <c r="D321" t="s">
        <v>223</v>
      </c>
      <c r="E321" s="22">
        <v>915703.81154080201</v>
      </c>
      <c r="F321" s="22">
        <v>538525.39741154201</v>
      </c>
      <c r="G321" s="10">
        <v>538525.39741154201</v>
      </c>
      <c r="H321" s="23">
        <f t="shared" si="8"/>
        <v>0</v>
      </c>
      <c r="I321" s="10">
        <v>915703.81154080201</v>
      </c>
      <c r="J321" s="23">
        <f t="shared" si="9"/>
        <v>0</v>
      </c>
    </row>
    <row r="322" spans="1:10">
      <c r="A322" t="s">
        <v>112</v>
      </c>
      <c r="B322" t="s">
        <v>294</v>
      </c>
      <c r="C322" s="20">
        <v>2044</v>
      </c>
      <c r="D322" t="s">
        <v>227</v>
      </c>
      <c r="E322" s="22">
        <v>486601.39042237803</v>
      </c>
      <c r="F322" s="22">
        <v>261683.33955189399</v>
      </c>
      <c r="G322" s="10">
        <v>261683.33955189399</v>
      </c>
      <c r="H322" s="23">
        <f t="shared" ref="H322:H385" si="10">G322-F322</f>
        <v>0</v>
      </c>
      <c r="I322" s="10">
        <v>486601.39042237803</v>
      </c>
      <c r="J322" s="23">
        <f t="shared" ref="J322:J385" si="11">I322-E322</f>
        <v>0</v>
      </c>
    </row>
    <row r="323" spans="1:10">
      <c r="A323" t="s">
        <v>112</v>
      </c>
      <c r="B323" t="s">
        <v>294</v>
      </c>
      <c r="C323" s="20">
        <v>2044</v>
      </c>
      <c r="D323" t="s">
        <v>293</v>
      </c>
      <c r="E323" s="22">
        <v>12149.8552379252</v>
      </c>
      <c r="F323" s="22">
        <v>1626.3753813795499</v>
      </c>
      <c r="G323" s="10">
        <v>1626.3753813795499</v>
      </c>
      <c r="H323" s="23">
        <f t="shared" si="10"/>
        <v>0</v>
      </c>
      <c r="I323" s="10">
        <v>12149.8552379252</v>
      </c>
      <c r="J323" s="23">
        <f t="shared" si="11"/>
        <v>0</v>
      </c>
    </row>
    <row r="324" spans="1:10">
      <c r="A324" t="s">
        <v>112</v>
      </c>
      <c r="B324" t="s">
        <v>294</v>
      </c>
      <c r="C324" s="20">
        <v>2045</v>
      </c>
      <c r="D324" t="s">
        <v>292</v>
      </c>
      <c r="E324" s="22">
        <v>17558.0225793012</v>
      </c>
      <c r="F324" s="22">
        <v>11745.9298391965</v>
      </c>
      <c r="G324" s="10">
        <v>11745.9298391965</v>
      </c>
      <c r="H324" s="23">
        <f t="shared" si="10"/>
        <v>0</v>
      </c>
      <c r="I324" s="10">
        <v>17558.0225793012</v>
      </c>
      <c r="J324" s="23">
        <f t="shared" si="11"/>
        <v>0</v>
      </c>
    </row>
    <row r="325" spans="1:10">
      <c r="A325" t="s">
        <v>112</v>
      </c>
      <c r="B325" t="s">
        <v>294</v>
      </c>
      <c r="C325" s="20">
        <v>2045</v>
      </c>
      <c r="D325" t="s">
        <v>233</v>
      </c>
      <c r="E325" s="22">
        <v>1110841.0354508499</v>
      </c>
      <c r="F325" s="22">
        <v>224789.13547085301</v>
      </c>
      <c r="G325" s="10">
        <v>224789.13547085301</v>
      </c>
      <c r="H325" s="23">
        <f t="shared" si="10"/>
        <v>0</v>
      </c>
      <c r="I325" s="10">
        <v>1110841.0354508499</v>
      </c>
      <c r="J325" s="23">
        <f t="shared" si="11"/>
        <v>0</v>
      </c>
    </row>
    <row r="326" spans="1:10">
      <c r="A326" t="s">
        <v>112</v>
      </c>
      <c r="B326" t="s">
        <v>294</v>
      </c>
      <c r="C326" s="20">
        <v>2045</v>
      </c>
      <c r="D326" t="s">
        <v>208</v>
      </c>
      <c r="E326" s="22">
        <v>180153.68435169</v>
      </c>
      <c r="F326" s="22">
        <v>110535.42825069001</v>
      </c>
      <c r="G326" s="10">
        <v>110535.42825069001</v>
      </c>
      <c r="H326" s="23">
        <f t="shared" si="10"/>
        <v>0</v>
      </c>
      <c r="I326" s="10">
        <v>180153.68435169</v>
      </c>
      <c r="J326" s="23">
        <f t="shared" si="11"/>
        <v>0</v>
      </c>
    </row>
    <row r="327" spans="1:10">
      <c r="A327" t="s">
        <v>112</v>
      </c>
      <c r="B327" t="s">
        <v>294</v>
      </c>
      <c r="C327" s="20">
        <v>2045</v>
      </c>
      <c r="D327" t="s">
        <v>219</v>
      </c>
      <c r="E327" s="22">
        <v>339169.59610344301</v>
      </c>
      <c r="F327" s="22">
        <v>318918.90492502099</v>
      </c>
      <c r="G327" s="10">
        <v>318918.90492502099</v>
      </c>
      <c r="H327" s="23">
        <f t="shared" si="10"/>
        <v>0</v>
      </c>
      <c r="I327" s="10">
        <v>339169.59610344301</v>
      </c>
      <c r="J327" s="23">
        <f t="shared" si="11"/>
        <v>0</v>
      </c>
    </row>
    <row r="328" spans="1:10">
      <c r="A328" t="s">
        <v>112</v>
      </c>
      <c r="B328" t="s">
        <v>294</v>
      </c>
      <c r="C328" s="20">
        <v>2045</v>
      </c>
      <c r="D328" t="s">
        <v>223</v>
      </c>
      <c r="E328" s="22">
        <v>929197.274787431</v>
      </c>
      <c r="F328" s="22">
        <v>549018.34448388999</v>
      </c>
      <c r="G328" s="10">
        <v>549018.34448388999</v>
      </c>
      <c r="H328" s="23">
        <f t="shared" si="10"/>
        <v>0</v>
      </c>
      <c r="I328" s="10">
        <v>929197.274787431</v>
      </c>
      <c r="J328" s="23">
        <f t="shared" si="11"/>
        <v>0</v>
      </c>
    </row>
    <row r="329" spans="1:10">
      <c r="A329" t="s">
        <v>112</v>
      </c>
      <c r="B329" t="s">
        <v>294</v>
      </c>
      <c r="C329" s="20">
        <v>2045</v>
      </c>
      <c r="D329" t="s">
        <v>227</v>
      </c>
      <c r="E329" s="22">
        <v>493255.89308340597</v>
      </c>
      <c r="F329" s="22">
        <v>267382.39292450098</v>
      </c>
      <c r="G329" s="10">
        <v>267382.39292450098</v>
      </c>
      <c r="H329" s="23">
        <f t="shared" si="10"/>
        <v>0</v>
      </c>
      <c r="I329" s="10">
        <v>493255.89308340597</v>
      </c>
      <c r="J329" s="23">
        <f t="shared" si="11"/>
        <v>0</v>
      </c>
    </row>
    <row r="330" spans="1:10">
      <c r="A330" t="s">
        <v>112</v>
      </c>
      <c r="B330" t="s">
        <v>294</v>
      </c>
      <c r="C330" s="20">
        <v>2045</v>
      </c>
      <c r="D330" t="s">
        <v>293</v>
      </c>
      <c r="E330" s="22">
        <v>12048.500629734999</v>
      </c>
      <c r="F330" s="22">
        <v>1523.26402182686</v>
      </c>
      <c r="G330" s="10">
        <v>1523.26402182686</v>
      </c>
      <c r="H330" s="23">
        <f t="shared" si="10"/>
        <v>0</v>
      </c>
      <c r="I330" s="10">
        <v>12048.500629734999</v>
      </c>
      <c r="J330" s="23">
        <f t="shared" si="11"/>
        <v>0</v>
      </c>
    </row>
    <row r="331" spans="1:10">
      <c r="A331" t="s">
        <v>112</v>
      </c>
      <c r="B331" t="s">
        <v>294</v>
      </c>
      <c r="C331" s="20">
        <v>2046</v>
      </c>
      <c r="D331" t="s">
        <v>292</v>
      </c>
      <c r="E331" s="22">
        <v>17968.503099892001</v>
      </c>
      <c r="F331" s="22">
        <v>11956.473218085101</v>
      </c>
      <c r="G331" s="10">
        <v>11956.473218085101</v>
      </c>
      <c r="H331" s="23">
        <f t="shared" si="10"/>
        <v>0</v>
      </c>
      <c r="I331" s="10">
        <v>17968.503099892001</v>
      </c>
      <c r="J331" s="23">
        <f t="shared" si="11"/>
        <v>0</v>
      </c>
    </row>
    <row r="332" spans="1:10">
      <c r="A332" t="s">
        <v>112</v>
      </c>
      <c r="B332" t="s">
        <v>294</v>
      </c>
      <c r="C332" s="20">
        <v>2046</v>
      </c>
      <c r="D332" t="s">
        <v>233</v>
      </c>
      <c r="E332" s="22">
        <v>1124741.3938505801</v>
      </c>
      <c r="F332" s="22">
        <v>230223.64127301701</v>
      </c>
      <c r="G332" s="10">
        <v>230223.64127301701</v>
      </c>
      <c r="H332" s="23">
        <f t="shared" si="10"/>
        <v>0</v>
      </c>
      <c r="I332" s="10">
        <v>1124741.3938505801</v>
      </c>
      <c r="J332" s="23">
        <f t="shared" si="11"/>
        <v>0</v>
      </c>
    </row>
    <row r="333" spans="1:10">
      <c r="A333" t="s">
        <v>112</v>
      </c>
      <c r="B333" t="s">
        <v>294</v>
      </c>
      <c r="C333" s="20">
        <v>2046</v>
      </c>
      <c r="D333" t="s">
        <v>208</v>
      </c>
      <c r="E333" s="22">
        <v>183510.56229015801</v>
      </c>
      <c r="F333" s="22">
        <v>112679.652863118</v>
      </c>
      <c r="G333" s="10">
        <v>112679.652863118</v>
      </c>
      <c r="H333" s="23">
        <f t="shared" si="10"/>
        <v>0</v>
      </c>
      <c r="I333" s="10">
        <v>183510.56229015801</v>
      </c>
      <c r="J333" s="23">
        <f t="shared" si="11"/>
        <v>0</v>
      </c>
    </row>
    <row r="334" spans="1:10">
      <c r="A334" t="s">
        <v>112</v>
      </c>
      <c r="B334" t="s">
        <v>294</v>
      </c>
      <c r="C334" s="20">
        <v>2046</v>
      </c>
      <c r="D334" t="s">
        <v>219</v>
      </c>
      <c r="E334" s="22">
        <v>341225.27548156399</v>
      </c>
      <c r="F334" s="22">
        <v>320574.16317287402</v>
      </c>
      <c r="G334" s="10">
        <v>320574.16317287402</v>
      </c>
      <c r="H334" s="23">
        <f t="shared" si="10"/>
        <v>0</v>
      </c>
      <c r="I334" s="10">
        <v>341225.27548156399</v>
      </c>
      <c r="J334" s="23">
        <f t="shared" si="11"/>
        <v>0</v>
      </c>
    </row>
    <row r="335" spans="1:10">
      <c r="A335" t="s">
        <v>112</v>
      </c>
      <c r="B335" t="s">
        <v>294</v>
      </c>
      <c r="C335" s="20">
        <v>2046</v>
      </c>
      <c r="D335" t="s">
        <v>223</v>
      </c>
      <c r="E335" s="22">
        <v>944010.93125743896</v>
      </c>
      <c r="F335" s="22">
        <v>559544.25675265596</v>
      </c>
      <c r="G335" s="10">
        <v>559544.25675265596</v>
      </c>
      <c r="H335" s="23">
        <f t="shared" si="10"/>
        <v>0</v>
      </c>
      <c r="I335" s="10">
        <v>944010.93125743896</v>
      </c>
      <c r="J335" s="23">
        <f t="shared" si="11"/>
        <v>0</v>
      </c>
    </row>
    <row r="336" spans="1:10">
      <c r="A336" t="s">
        <v>112</v>
      </c>
      <c r="B336" t="s">
        <v>294</v>
      </c>
      <c r="C336" s="20">
        <v>2046</v>
      </c>
      <c r="D336" t="s">
        <v>227</v>
      </c>
      <c r="E336" s="22">
        <v>500645.717898476</v>
      </c>
      <c r="F336" s="22">
        <v>273080.78793423402</v>
      </c>
      <c r="G336" s="10">
        <v>273080.78793423402</v>
      </c>
      <c r="H336" s="23">
        <f t="shared" si="10"/>
        <v>0</v>
      </c>
      <c r="I336" s="10">
        <v>500645.717898476</v>
      </c>
      <c r="J336" s="23">
        <f t="shared" si="11"/>
        <v>0</v>
      </c>
    </row>
    <row r="337" spans="1:10">
      <c r="A337" t="s">
        <v>112</v>
      </c>
      <c r="B337" t="s">
        <v>294</v>
      </c>
      <c r="C337" s="20">
        <v>2046</v>
      </c>
      <c r="D337" t="s">
        <v>293</v>
      </c>
      <c r="E337" s="22">
        <v>11943.7945693929</v>
      </c>
      <c r="F337" s="22">
        <v>1421.3002106259</v>
      </c>
      <c r="G337" s="10">
        <v>1421.3002106259</v>
      </c>
      <c r="H337" s="23">
        <f t="shared" si="10"/>
        <v>0</v>
      </c>
      <c r="I337" s="10">
        <v>11943.7945693929</v>
      </c>
      <c r="J337" s="23">
        <f t="shared" si="11"/>
        <v>0</v>
      </c>
    </row>
    <row r="338" spans="1:10">
      <c r="A338" t="s">
        <v>112</v>
      </c>
      <c r="B338" t="s">
        <v>294</v>
      </c>
      <c r="C338" s="20">
        <v>2047</v>
      </c>
      <c r="D338" t="s">
        <v>292</v>
      </c>
      <c r="E338" s="22">
        <v>18370.9982297807</v>
      </c>
      <c r="F338" s="22">
        <v>12160.3227217187</v>
      </c>
      <c r="G338" s="10">
        <v>12160.3227217187</v>
      </c>
      <c r="H338" s="23">
        <f t="shared" si="10"/>
        <v>0</v>
      </c>
      <c r="I338" s="10">
        <v>18370.9982297807</v>
      </c>
      <c r="J338" s="23">
        <f t="shared" si="11"/>
        <v>0</v>
      </c>
    </row>
    <row r="339" spans="1:10">
      <c r="A339" t="s">
        <v>112</v>
      </c>
      <c r="B339" t="s">
        <v>294</v>
      </c>
      <c r="C339" s="20">
        <v>2047</v>
      </c>
      <c r="D339" t="s">
        <v>233</v>
      </c>
      <c r="E339" s="22">
        <v>1133680.16398797</v>
      </c>
      <c r="F339" s="22">
        <v>235574.501787602</v>
      </c>
      <c r="G339" s="10">
        <v>235574.501787602</v>
      </c>
      <c r="H339" s="23">
        <f t="shared" si="10"/>
        <v>0</v>
      </c>
      <c r="I339" s="10">
        <v>1133680.16398797</v>
      </c>
      <c r="J339" s="23">
        <f t="shared" si="11"/>
        <v>0</v>
      </c>
    </row>
    <row r="340" spans="1:10">
      <c r="A340" t="s">
        <v>112</v>
      </c>
      <c r="B340" t="s">
        <v>294</v>
      </c>
      <c r="C340" s="20">
        <v>2047</v>
      </c>
      <c r="D340" t="s">
        <v>208</v>
      </c>
      <c r="E340" s="22">
        <v>186925.284089995</v>
      </c>
      <c r="F340" s="22">
        <v>114770.43405395999</v>
      </c>
      <c r="G340" s="10">
        <v>114770.43405395999</v>
      </c>
      <c r="H340" s="23">
        <f t="shared" si="10"/>
        <v>0</v>
      </c>
      <c r="I340" s="10">
        <v>186925.284089995</v>
      </c>
      <c r="J340" s="23">
        <f t="shared" si="11"/>
        <v>0</v>
      </c>
    </row>
    <row r="341" spans="1:10">
      <c r="A341" t="s">
        <v>112</v>
      </c>
      <c r="B341" t="s">
        <v>294</v>
      </c>
      <c r="C341" s="20">
        <v>2047</v>
      </c>
      <c r="D341" t="s">
        <v>219</v>
      </c>
      <c r="E341" s="22">
        <v>342821.89990403602</v>
      </c>
      <c r="F341" s="22">
        <v>322040.72222872899</v>
      </c>
      <c r="G341" s="10">
        <v>322040.72222872899</v>
      </c>
      <c r="H341" s="23">
        <f t="shared" si="10"/>
        <v>0</v>
      </c>
      <c r="I341" s="10">
        <v>342821.89990403602</v>
      </c>
      <c r="J341" s="23">
        <f t="shared" si="11"/>
        <v>0</v>
      </c>
    </row>
    <row r="342" spans="1:10">
      <c r="A342" t="s">
        <v>112</v>
      </c>
      <c r="B342" t="s">
        <v>294</v>
      </c>
      <c r="C342" s="20">
        <v>2047</v>
      </c>
      <c r="D342" t="s">
        <v>223</v>
      </c>
      <c r="E342" s="22">
        <v>957700.33033182297</v>
      </c>
      <c r="F342" s="22">
        <v>569776.38738510106</v>
      </c>
      <c r="G342" s="10">
        <v>569776.38738510106</v>
      </c>
      <c r="H342" s="23">
        <f t="shared" si="10"/>
        <v>0</v>
      </c>
      <c r="I342" s="10">
        <v>957700.33033182297</v>
      </c>
      <c r="J342" s="23">
        <f t="shared" si="11"/>
        <v>0</v>
      </c>
    </row>
    <row r="343" spans="1:10">
      <c r="A343" t="s">
        <v>112</v>
      </c>
      <c r="B343" t="s">
        <v>294</v>
      </c>
      <c r="C343" s="20">
        <v>2047</v>
      </c>
      <c r="D343" t="s">
        <v>227</v>
      </c>
      <c r="E343" s="22">
        <v>507728.74976711301</v>
      </c>
      <c r="F343" s="22">
        <v>278595.19874690002</v>
      </c>
      <c r="G343" s="10">
        <v>278595.19874690002</v>
      </c>
      <c r="H343" s="23">
        <f t="shared" si="10"/>
        <v>0</v>
      </c>
      <c r="I343" s="10">
        <v>507728.74976711301</v>
      </c>
      <c r="J343" s="23">
        <f t="shared" si="11"/>
        <v>0</v>
      </c>
    </row>
    <row r="344" spans="1:10">
      <c r="A344" t="s">
        <v>112</v>
      </c>
      <c r="B344" t="s">
        <v>294</v>
      </c>
      <c r="C344" s="20">
        <v>2047</v>
      </c>
      <c r="D344" t="s">
        <v>293</v>
      </c>
      <c r="E344" s="22">
        <v>11676.813989078701</v>
      </c>
      <c r="F344" s="22">
        <v>1320.00748918915</v>
      </c>
      <c r="G344" s="10">
        <v>1320.00748918915</v>
      </c>
      <c r="H344" s="23">
        <f t="shared" si="10"/>
        <v>0</v>
      </c>
      <c r="I344" s="10">
        <v>11676.813989078701</v>
      </c>
      <c r="J344" s="23">
        <f t="shared" si="11"/>
        <v>0</v>
      </c>
    </row>
    <row r="345" spans="1:10">
      <c r="A345" t="s">
        <v>112</v>
      </c>
      <c r="B345" t="s">
        <v>294</v>
      </c>
      <c r="C345" s="20">
        <v>2048</v>
      </c>
      <c r="D345" t="s">
        <v>292</v>
      </c>
      <c r="E345" s="22">
        <v>18865.013879355902</v>
      </c>
      <c r="F345" s="22">
        <v>12359.797946017999</v>
      </c>
      <c r="G345" s="10">
        <v>12359.797946017999</v>
      </c>
      <c r="H345" s="23">
        <f t="shared" si="10"/>
        <v>0</v>
      </c>
      <c r="I345" s="10">
        <v>18865.013879355902</v>
      </c>
      <c r="J345" s="23">
        <f t="shared" si="11"/>
        <v>0</v>
      </c>
    </row>
    <row r="346" spans="1:10">
      <c r="A346" t="s">
        <v>112</v>
      </c>
      <c r="B346" t="s">
        <v>294</v>
      </c>
      <c r="C346" s="20">
        <v>2048</v>
      </c>
      <c r="D346" t="s">
        <v>233</v>
      </c>
      <c r="E346" s="22">
        <v>1139921.4222234201</v>
      </c>
      <c r="F346" s="22">
        <v>240778.643136103</v>
      </c>
      <c r="G346" s="10">
        <v>240778.643136103</v>
      </c>
      <c r="H346" s="23">
        <f t="shared" si="10"/>
        <v>0</v>
      </c>
      <c r="I346" s="10">
        <v>1139921.4222234201</v>
      </c>
      <c r="J346" s="23">
        <f t="shared" si="11"/>
        <v>0</v>
      </c>
    </row>
    <row r="347" spans="1:10">
      <c r="A347" t="s">
        <v>112</v>
      </c>
      <c r="B347" t="s">
        <v>294</v>
      </c>
      <c r="C347" s="20">
        <v>2048</v>
      </c>
      <c r="D347" t="s">
        <v>208</v>
      </c>
      <c r="E347" s="22">
        <v>191173.834498201</v>
      </c>
      <c r="F347" s="22">
        <v>116788.610084</v>
      </c>
      <c r="G347" s="10">
        <v>116788.610084</v>
      </c>
      <c r="H347" s="23">
        <f t="shared" si="10"/>
        <v>0</v>
      </c>
      <c r="I347" s="10">
        <v>191173.834498201</v>
      </c>
      <c r="J347" s="23">
        <f t="shared" si="11"/>
        <v>0</v>
      </c>
    </row>
    <row r="348" spans="1:10">
      <c r="A348" t="s">
        <v>112</v>
      </c>
      <c r="B348" t="s">
        <v>294</v>
      </c>
      <c r="C348" s="20">
        <v>2048</v>
      </c>
      <c r="D348" t="s">
        <v>219</v>
      </c>
      <c r="E348" s="22">
        <v>343787.13800637401</v>
      </c>
      <c r="F348" s="22">
        <v>323063.01307722001</v>
      </c>
      <c r="G348" s="10">
        <v>323063.01307722001</v>
      </c>
      <c r="H348" s="23">
        <f t="shared" si="10"/>
        <v>0</v>
      </c>
      <c r="I348" s="10">
        <v>343787.13800637401</v>
      </c>
      <c r="J348" s="23">
        <f t="shared" si="11"/>
        <v>0</v>
      </c>
    </row>
    <row r="349" spans="1:10">
      <c r="A349" t="s">
        <v>112</v>
      </c>
      <c r="B349" t="s">
        <v>294</v>
      </c>
      <c r="C349" s="20">
        <v>2048</v>
      </c>
      <c r="D349" t="s">
        <v>223</v>
      </c>
      <c r="E349" s="22">
        <v>972752.00046915305</v>
      </c>
      <c r="F349" s="22">
        <v>579456.85888230801</v>
      </c>
      <c r="G349" s="10">
        <v>579456.85888230801</v>
      </c>
      <c r="H349" s="23">
        <f t="shared" si="10"/>
        <v>0</v>
      </c>
      <c r="I349" s="10">
        <v>972752.00046915305</v>
      </c>
      <c r="J349" s="23">
        <f t="shared" si="11"/>
        <v>0</v>
      </c>
    </row>
    <row r="350" spans="1:10">
      <c r="A350" t="s">
        <v>112</v>
      </c>
      <c r="B350" t="s">
        <v>294</v>
      </c>
      <c r="C350" s="20">
        <v>2048</v>
      </c>
      <c r="D350" t="s">
        <v>227</v>
      </c>
      <c r="E350" s="22">
        <v>516145.43806322297</v>
      </c>
      <c r="F350" s="22">
        <v>283909.318240972</v>
      </c>
      <c r="G350" s="10">
        <v>283909.318240972</v>
      </c>
      <c r="H350" s="23">
        <f t="shared" si="10"/>
        <v>0</v>
      </c>
      <c r="I350" s="10">
        <v>516145.43806322297</v>
      </c>
      <c r="J350" s="23">
        <f t="shared" si="11"/>
        <v>0</v>
      </c>
    </row>
    <row r="351" spans="1:10">
      <c r="A351" t="s">
        <v>112</v>
      </c>
      <c r="B351" t="s">
        <v>294</v>
      </c>
      <c r="C351" s="20">
        <v>2048</v>
      </c>
      <c r="D351" t="s">
        <v>293</v>
      </c>
      <c r="E351" s="22">
        <v>11567.403570372901</v>
      </c>
      <c r="F351" s="22">
        <v>1228.73261677247</v>
      </c>
      <c r="G351" s="10">
        <v>1228.73261677247</v>
      </c>
      <c r="H351" s="23">
        <f t="shared" si="10"/>
        <v>0</v>
      </c>
      <c r="I351" s="10">
        <v>11567.403570372901</v>
      </c>
      <c r="J351" s="23">
        <f t="shared" si="11"/>
        <v>0</v>
      </c>
    </row>
    <row r="352" spans="1:10">
      <c r="A352" t="s">
        <v>112</v>
      </c>
      <c r="B352" t="s">
        <v>294</v>
      </c>
      <c r="C352" s="20">
        <v>2049</v>
      </c>
      <c r="D352" t="s">
        <v>292</v>
      </c>
      <c r="E352" s="22">
        <v>19265.9413357536</v>
      </c>
      <c r="F352" s="22">
        <v>12562.9700035081</v>
      </c>
      <c r="G352" s="10">
        <v>12562.9700035081</v>
      </c>
      <c r="H352" s="23">
        <f t="shared" si="10"/>
        <v>0</v>
      </c>
      <c r="I352" s="10">
        <v>19265.9413357536</v>
      </c>
      <c r="J352" s="23">
        <f t="shared" si="11"/>
        <v>0</v>
      </c>
    </row>
    <row r="353" spans="1:10">
      <c r="A353" t="s">
        <v>112</v>
      </c>
      <c r="B353" t="s">
        <v>294</v>
      </c>
      <c r="C353" s="20">
        <v>2049</v>
      </c>
      <c r="D353" t="s">
        <v>233</v>
      </c>
      <c r="E353" s="22">
        <v>1148955.60958046</v>
      </c>
      <c r="F353" s="22">
        <v>246024.45476508801</v>
      </c>
      <c r="G353" s="10">
        <v>246024.45476508801</v>
      </c>
      <c r="H353" s="23">
        <f t="shared" si="10"/>
        <v>0</v>
      </c>
      <c r="I353" s="10">
        <v>1148955.60958046</v>
      </c>
      <c r="J353" s="23">
        <f t="shared" si="11"/>
        <v>0</v>
      </c>
    </row>
    <row r="354" spans="1:10">
      <c r="A354" t="s">
        <v>112</v>
      </c>
      <c r="B354" t="s">
        <v>294</v>
      </c>
      <c r="C354" s="20">
        <v>2049</v>
      </c>
      <c r="D354" t="s">
        <v>208</v>
      </c>
      <c r="E354" s="22">
        <v>194292.05553949799</v>
      </c>
      <c r="F354" s="22">
        <v>118827.58429132801</v>
      </c>
      <c r="G354" s="10">
        <v>118827.58429132801</v>
      </c>
      <c r="H354" s="23">
        <f t="shared" si="10"/>
        <v>0</v>
      </c>
      <c r="I354" s="10">
        <v>194292.05553949799</v>
      </c>
      <c r="J354" s="23">
        <f t="shared" si="11"/>
        <v>0</v>
      </c>
    </row>
    <row r="355" spans="1:10">
      <c r="A355" t="s">
        <v>112</v>
      </c>
      <c r="B355" t="s">
        <v>294</v>
      </c>
      <c r="C355" s="20">
        <v>2049</v>
      </c>
      <c r="D355" t="s">
        <v>219</v>
      </c>
      <c r="E355" s="22">
        <v>345031.33482911799</v>
      </c>
      <c r="F355" s="22">
        <v>324116.92279720597</v>
      </c>
      <c r="G355" s="10">
        <v>324116.92279720597</v>
      </c>
      <c r="H355" s="23">
        <f t="shared" si="10"/>
        <v>0</v>
      </c>
      <c r="I355" s="10">
        <v>345031.33482911799</v>
      </c>
      <c r="J355" s="23">
        <f t="shared" si="11"/>
        <v>0</v>
      </c>
    </row>
    <row r="356" spans="1:10">
      <c r="A356" t="s">
        <v>112</v>
      </c>
      <c r="B356" t="s">
        <v>294</v>
      </c>
      <c r="C356" s="20">
        <v>2049</v>
      </c>
      <c r="D356" t="s">
        <v>223</v>
      </c>
      <c r="E356" s="22">
        <v>985505.20697682304</v>
      </c>
      <c r="F356" s="22">
        <v>589228.44517656299</v>
      </c>
      <c r="G356" s="10">
        <v>589228.44517656299</v>
      </c>
      <c r="H356" s="23">
        <f t="shared" si="10"/>
        <v>0</v>
      </c>
      <c r="I356" s="10">
        <v>985505.20697682304</v>
      </c>
      <c r="J356" s="23">
        <f t="shared" si="11"/>
        <v>0</v>
      </c>
    </row>
    <row r="357" spans="1:10">
      <c r="A357" t="s">
        <v>112</v>
      </c>
      <c r="B357" t="s">
        <v>294</v>
      </c>
      <c r="C357" s="20">
        <v>2049</v>
      </c>
      <c r="D357" t="s">
        <v>227</v>
      </c>
      <c r="E357" s="22">
        <v>522492.20023024798</v>
      </c>
      <c r="F357" s="22">
        <v>289249.08993941598</v>
      </c>
      <c r="G357" s="10">
        <v>289249.08993941598</v>
      </c>
      <c r="H357" s="23">
        <f t="shared" si="10"/>
        <v>0</v>
      </c>
      <c r="I357" s="10">
        <v>522492.20023024798</v>
      </c>
      <c r="J357" s="23">
        <f t="shared" si="11"/>
        <v>0</v>
      </c>
    </row>
    <row r="358" spans="1:10">
      <c r="A358" t="s">
        <v>112</v>
      </c>
      <c r="B358" t="s">
        <v>294</v>
      </c>
      <c r="C358" s="20">
        <v>2049</v>
      </c>
      <c r="D358" t="s">
        <v>293</v>
      </c>
      <c r="E358" s="22">
        <v>11514.536964282301</v>
      </c>
      <c r="F358" s="22">
        <v>1139.2417525041701</v>
      </c>
      <c r="G358" s="10">
        <v>1139.2417525041701</v>
      </c>
      <c r="H358" s="23">
        <f t="shared" si="10"/>
        <v>0</v>
      </c>
      <c r="I358" s="10">
        <v>11514.536964282301</v>
      </c>
      <c r="J358" s="23">
        <f t="shared" si="11"/>
        <v>0</v>
      </c>
    </row>
    <row r="359" spans="1:10">
      <c r="A359" t="s">
        <v>112</v>
      </c>
      <c r="B359" t="s">
        <v>294</v>
      </c>
      <c r="C359" s="20">
        <v>2050</v>
      </c>
      <c r="D359" t="s">
        <v>292</v>
      </c>
      <c r="E359" s="22">
        <v>19651.774602414</v>
      </c>
      <c r="F359" s="22">
        <v>12764.9906286853</v>
      </c>
      <c r="G359" s="10">
        <v>12764.9906286853</v>
      </c>
      <c r="H359" s="23">
        <f t="shared" si="10"/>
        <v>0</v>
      </c>
      <c r="I359" s="10">
        <v>19651.774602414</v>
      </c>
      <c r="J359" s="23">
        <f t="shared" si="11"/>
        <v>0</v>
      </c>
    </row>
    <row r="360" spans="1:10">
      <c r="A360" t="s">
        <v>112</v>
      </c>
      <c r="B360" t="s">
        <v>294</v>
      </c>
      <c r="C360" s="20">
        <v>2050</v>
      </c>
      <c r="D360" t="s">
        <v>233</v>
      </c>
      <c r="E360" s="22">
        <v>1157673.56667431</v>
      </c>
      <c r="F360" s="22">
        <v>251178.95626775199</v>
      </c>
      <c r="G360" s="10">
        <v>251178.95626775199</v>
      </c>
      <c r="H360" s="23">
        <f t="shared" si="10"/>
        <v>0</v>
      </c>
      <c r="I360" s="10">
        <v>1157673.56667431</v>
      </c>
      <c r="J360" s="23">
        <f t="shared" si="11"/>
        <v>0</v>
      </c>
    </row>
    <row r="361" spans="1:10">
      <c r="A361" t="s">
        <v>112</v>
      </c>
      <c r="B361" t="s">
        <v>294</v>
      </c>
      <c r="C361" s="20">
        <v>2050</v>
      </c>
      <c r="D361" t="s">
        <v>208</v>
      </c>
      <c r="E361" s="22">
        <v>196917.20462551599</v>
      </c>
      <c r="F361" s="22">
        <v>120827.928759862</v>
      </c>
      <c r="G361" s="10">
        <v>120827.928759862</v>
      </c>
      <c r="H361" s="23">
        <f t="shared" si="10"/>
        <v>0</v>
      </c>
      <c r="I361" s="10">
        <v>196917.20462551599</v>
      </c>
      <c r="J361" s="23">
        <f t="shared" si="11"/>
        <v>0</v>
      </c>
    </row>
    <row r="362" spans="1:10">
      <c r="A362" t="s">
        <v>112</v>
      </c>
      <c r="B362" t="s">
        <v>294</v>
      </c>
      <c r="C362" s="20">
        <v>2050</v>
      </c>
      <c r="D362" t="s">
        <v>219</v>
      </c>
      <c r="E362" s="22">
        <v>346233.851249823</v>
      </c>
      <c r="F362" s="22">
        <v>324973.27922619297</v>
      </c>
      <c r="G362" s="10">
        <v>324973.27922619297</v>
      </c>
      <c r="H362" s="23">
        <f t="shared" si="10"/>
        <v>0</v>
      </c>
      <c r="I362" s="10">
        <v>346233.851249823</v>
      </c>
      <c r="J362" s="23">
        <f t="shared" si="11"/>
        <v>0</v>
      </c>
    </row>
    <row r="363" spans="1:10">
      <c r="A363" t="s">
        <v>112</v>
      </c>
      <c r="B363" t="s">
        <v>294</v>
      </c>
      <c r="C363" s="20">
        <v>2050</v>
      </c>
      <c r="D363" t="s">
        <v>223</v>
      </c>
      <c r="E363" s="22">
        <v>997255.10500191804</v>
      </c>
      <c r="F363" s="22">
        <v>598816.68706989801</v>
      </c>
      <c r="G363" s="10">
        <v>598816.68706989801</v>
      </c>
      <c r="H363" s="23">
        <f t="shared" si="10"/>
        <v>0</v>
      </c>
      <c r="I363" s="10">
        <v>997255.10500191804</v>
      </c>
      <c r="J363" s="23">
        <f t="shared" si="11"/>
        <v>0</v>
      </c>
    </row>
    <row r="364" spans="1:10">
      <c r="A364" t="s">
        <v>112</v>
      </c>
      <c r="B364" t="s">
        <v>294</v>
      </c>
      <c r="C364" s="20">
        <v>2050</v>
      </c>
      <c r="D364" t="s">
        <v>227</v>
      </c>
      <c r="E364" s="22">
        <v>528009.46412841696</v>
      </c>
      <c r="F364" s="22">
        <v>294395.50759803999</v>
      </c>
      <c r="G364" s="10">
        <v>294395.50759803999</v>
      </c>
      <c r="H364" s="23">
        <f t="shared" si="10"/>
        <v>0</v>
      </c>
      <c r="I364" s="10">
        <v>528009.46412841696</v>
      </c>
      <c r="J364" s="23">
        <f t="shared" si="11"/>
        <v>0</v>
      </c>
    </row>
    <row r="365" spans="1:10">
      <c r="A365" t="s">
        <v>112</v>
      </c>
      <c r="B365" t="s">
        <v>294</v>
      </c>
      <c r="C365" s="20">
        <v>2050</v>
      </c>
      <c r="D365" t="s">
        <v>293</v>
      </c>
      <c r="E365" s="22">
        <v>11458.331766904899</v>
      </c>
      <c r="F365" s="22">
        <v>1051.113893317</v>
      </c>
      <c r="G365" s="10">
        <v>1051.113893317</v>
      </c>
      <c r="H365" s="23">
        <f t="shared" si="10"/>
        <v>0</v>
      </c>
      <c r="I365" s="10">
        <v>11458.331766904899</v>
      </c>
      <c r="J365" s="23">
        <f t="shared" si="11"/>
        <v>0</v>
      </c>
    </row>
  </sheetData>
  <autoFilter ref="A1:J1" xr:uid="{00000000-0009-0000-0000-000008000000}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27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2.69921875" customWidth="1"/>
    <col min="2" max="2" width="16.69921875" customWidth="1"/>
    <col min="3" max="3" width="12.69921875" customWidth="1"/>
    <col min="4" max="4" width="16.69921875" customWidth="1"/>
    <col min="5" max="5" width="17.69921875" customWidth="1"/>
    <col min="6" max="6" width="16.69921875" customWidth="1"/>
    <col min="7" max="7" width="15.69921875" customWidth="1"/>
    <col min="8" max="8" width="16.69921875" customWidth="1"/>
    <col min="9" max="9" width="15.69921875" customWidth="1"/>
    <col min="10" max="11" width="12.69921875" customWidth="1"/>
    <col min="12" max="12" width="13.69921875" customWidth="1"/>
    <col min="13" max="14" width="12.69921875" customWidth="1"/>
    <col min="15" max="15" width="13.69921875" customWidth="1"/>
    <col min="16" max="17" width="12.69921875" customWidth="1"/>
    <col min="18" max="18" width="15.69921875" customWidth="1"/>
    <col min="19" max="19" width="19.69921875" customWidth="1"/>
  </cols>
  <sheetData>
    <row r="1" spans="1:19" ht="28.05" customHeight="1">
      <c r="A1" s="1" t="s">
        <v>282</v>
      </c>
      <c r="B1" s="1" t="s">
        <v>283</v>
      </c>
      <c r="C1" s="1" t="s">
        <v>42</v>
      </c>
      <c r="D1" s="1" t="s">
        <v>327</v>
      </c>
      <c r="E1" s="1" t="s">
        <v>328</v>
      </c>
      <c r="F1" s="1" t="s">
        <v>288</v>
      </c>
      <c r="G1" s="1" t="s">
        <v>329</v>
      </c>
      <c r="H1" s="1" t="s">
        <v>330</v>
      </c>
      <c r="I1" s="1" t="s">
        <v>290</v>
      </c>
      <c r="J1" s="1" t="s">
        <v>331</v>
      </c>
      <c r="K1" s="1" t="s">
        <v>332</v>
      </c>
      <c r="L1" s="1" t="s">
        <v>333</v>
      </c>
      <c r="M1" s="1" t="s">
        <v>334</v>
      </c>
      <c r="N1" s="1" t="s">
        <v>335</v>
      </c>
      <c r="O1" s="1" t="s">
        <v>336</v>
      </c>
      <c r="P1" s="1" t="s">
        <v>337</v>
      </c>
      <c r="Q1" s="1" t="s">
        <v>338</v>
      </c>
      <c r="R1" s="1" t="s">
        <v>339</v>
      </c>
      <c r="S1" s="1" t="s">
        <v>340</v>
      </c>
    </row>
    <row r="2" spans="1:19" ht="69">
      <c r="A2" t="s">
        <v>115</v>
      </c>
      <c r="B2" s="14" t="s">
        <v>291</v>
      </c>
      <c r="C2">
        <v>2025</v>
      </c>
      <c r="D2" s="10">
        <v>959793.49748395197</v>
      </c>
      <c r="E2" s="10">
        <v>959793.49748395197</v>
      </c>
      <c r="F2" s="23">
        <f t="shared" ref="F2:F27" si="0">E2-D2</f>
        <v>0</v>
      </c>
      <c r="G2" s="10">
        <v>2135199.6758026802</v>
      </c>
      <c r="H2" s="10">
        <v>2135199.6758026802</v>
      </c>
      <c r="I2" s="23">
        <f t="shared" ref="I2:I27" si="1">H2-G2</f>
        <v>0</v>
      </c>
      <c r="J2" s="10">
        <v>13078630.7318055</v>
      </c>
      <c r="K2" s="10">
        <v>13078630.7318055</v>
      </c>
      <c r="L2" s="23">
        <f t="shared" ref="L2:L27" si="2">K2-J2</f>
        <v>0</v>
      </c>
      <c r="M2" s="10">
        <v>2439867.7948805201</v>
      </c>
      <c r="N2" s="10">
        <v>2439867.7948805201</v>
      </c>
      <c r="O2" s="23">
        <f t="shared" ref="O2:O27" si="3">N2-M2</f>
        <v>0</v>
      </c>
      <c r="P2" s="10">
        <v>15518498.526686</v>
      </c>
      <c r="Q2" s="10">
        <v>15518498.526686</v>
      </c>
      <c r="R2" s="23">
        <f t="shared" ref="R2:R27" si="4">Q2-P2</f>
        <v>0</v>
      </c>
      <c r="S2" s="23">
        <f t="shared" ref="S2:S27" si="5">L2</f>
        <v>0</v>
      </c>
    </row>
    <row r="3" spans="1:19" ht="69">
      <c r="A3" t="s">
        <v>115</v>
      </c>
      <c r="B3" s="14" t="s">
        <v>291</v>
      </c>
      <c r="C3">
        <v>2026</v>
      </c>
      <c r="D3" s="10">
        <v>980749.04750575998</v>
      </c>
      <c r="E3" s="10">
        <v>980780.30505805195</v>
      </c>
      <c r="F3" s="23">
        <f t="shared" si="0"/>
        <v>31.257552291965112</v>
      </c>
      <c r="G3" s="10">
        <v>2178227.7107615299</v>
      </c>
      <c r="H3" s="10">
        <v>2181019.4587222999</v>
      </c>
      <c r="I3" s="23">
        <f t="shared" si="1"/>
        <v>2791.747960770037</v>
      </c>
      <c r="J3" s="10">
        <v>13376046.5675276</v>
      </c>
      <c r="K3" s="10">
        <v>13376482.465195799</v>
      </c>
      <c r="L3" s="23">
        <f t="shared" si="2"/>
        <v>435.89766819961369</v>
      </c>
      <c r="M3" s="10">
        <v>2494798.0604149699</v>
      </c>
      <c r="N3" s="10">
        <v>2495093.0586842</v>
      </c>
      <c r="O3" s="23">
        <f t="shared" si="3"/>
        <v>294.99826923012733</v>
      </c>
      <c r="P3" s="10">
        <v>15870844.627942501</v>
      </c>
      <c r="Q3" s="10">
        <v>15871575.523879901</v>
      </c>
      <c r="R3" s="23">
        <f t="shared" si="4"/>
        <v>730.8959373999387</v>
      </c>
      <c r="S3" s="23">
        <f t="shared" si="5"/>
        <v>435.89766819961369</v>
      </c>
    </row>
    <row r="4" spans="1:19" ht="69">
      <c r="A4" t="s">
        <v>115</v>
      </c>
      <c r="B4" s="14" t="s">
        <v>291</v>
      </c>
      <c r="C4">
        <v>2027</v>
      </c>
      <c r="D4" s="10">
        <v>1002900.79183386</v>
      </c>
      <c r="E4" s="10">
        <v>1003320.7907798199</v>
      </c>
      <c r="F4" s="23">
        <f t="shared" si="0"/>
        <v>419.99894595996011</v>
      </c>
      <c r="G4" s="10">
        <v>2222636.3317857999</v>
      </c>
      <c r="H4" s="10">
        <v>2228341.8118159701</v>
      </c>
      <c r="I4" s="23">
        <f t="shared" si="1"/>
        <v>5705.4800301701762</v>
      </c>
      <c r="J4" s="10">
        <v>13671716.9039542</v>
      </c>
      <c r="K4" s="10">
        <v>13677394.980969699</v>
      </c>
      <c r="L4" s="23">
        <f t="shared" si="2"/>
        <v>5678.0770154986531</v>
      </c>
      <c r="M4" s="10">
        <v>2550403.9287882801</v>
      </c>
      <c r="N4" s="10">
        <v>2551241.0425070198</v>
      </c>
      <c r="O4" s="23">
        <f t="shared" si="3"/>
        <v>837.11371873971075</v>
      </c>
      <c r="P4" s="10">
        <v>16222120.832742499</v>
      </c>
      <c r="Q4" s="10">
        <v>16228636.023476699</v>
      </c>
      <c r="R4" s="23">
        <f t="shared" si="4"/>
        <v>6515.1907342001796</v>
      </c>
      <c r="S4" s="23">
        <f t="shared" si="5"/>
        <v>5678.0770154986531</v>
      </c>
    </row>
    <row r="5" spans="1:19" ht="69">
      <c r="A5" t="s">
        <v>115</v>
      </c>
      <c r="B5" s="14" t="s">
        <v>291</v>
      </c>
      <c r="C5">
        <v>2028</v>
      </c>
      <c r="D5" s="10">
        <v>1026461.21337991</v>
      </c>
      <c r="E5" s="10">
        <v>1027500.4690207799</v>
      </c>
      <c r="F5" s="23">
        <f t="shared" si="0"/>
        <v>1039.2556408699602</v>
      </c>
      <c r="G5" s="10">
        <v>2279358.4119075602</v>
      </c>
      <c r="H5" s="10">
        <v>2288120.6993523501</v>
      </c>
      <c r="I5" s="23">
        <f t="shared" si="1"/>
        <v>8762.2874447898939</v>
      </c>
      <c r="J5" s="10">
        <v>13959477.747504899</v>
      </c>
      <c r="K5" s="10">
        <v>13973849.5476407</v>
      </c>
      <c r="L5" s="23">
        <f t="shared" si="2"/>
        <v>14371.800135800615</v>
      </c>
      <c r="M5" s="10">
        <v>2607513.4981657802</v>
      </c>
      <c r="N5" s="10">
        <v>2609119.5181605602</v>
      </c>
      <c r="O5" s="23">
        <f t="shared" si="3"/>
        <v>1606.0199947799556</v>
      </c>
      <c r="P5" s="10">
        <v>16566991.2456707</v>
      </c>
      <c r="Q5" s="10">
        <v>16582969.0658013</v>
      </c>
      <c r="R5" s="23">
        <f t="shared" si="4"/>
        <v>15977.820130599663</v>
      </c>
      <c r="S5" s="23">
        <f t="shared" si="5"/>
        <v>14371.800135800615</v>
      </c>
    </row>
    <row r="6" spans="1:19" ht="69">
      <c r="A6" t="s">
        <v>115</v>
      </c>
      <c r="B6" s="14" t="s">
        <v>291</v>
      </c>
      <c r="C6">
        <v>2029</v>
      </c>
      <c r="D6" s="10">
        <v>1051753.8221571899</v>
      </c>
      <c r="E6" s="10">
        <v>1053610.41066253</v>
      </c>
      <c r="F6" s="23">
        <f t="shared" si="0"/>
        <v>1856.5885053400416</v>
      </c>
      <c r="G6" s="10">
        <v>2324770.9427911402</v>
      </c>
      <c r="H6" s="10">
        <v>2336688.0735737998</v>
      </c>
      <c r="I6" s="23">
        <f t="shared" si="1"/>
        <v>11917.130782659631</v>
      </c>
      <c r="J6" s="10">
        <v>14264642.4916928</v>
      </c>
      <c r="K6" s="10">
        <v>14290695.046844499</v>
      </c>
      <c r="L6" s="23">
        <f t="shared" si="2"/>
        <v>26052.555151699111</v>
      </c>
      <c r="M6" s="10">
        <v>2664803.9380506999</v>
      </c>
      <c r="N6" s="10">
        <v>2667387.1405259301</v>
      </c>
      <c r="O6" s="23">
        <f t="shared" si="3"/>
        <v>2583.2024752302095</v>
      </c>
      <c r="P6" s="10">
        <v>16929446.429743499</v>
      </c>
      <c r="Q6" s="10">
        <v>16958082.187370401</v>
      </c>
      <c r="R6" s="23">
        <f t="shared" si="4"/>
        <v>28635.757626902312</v>
      </c>
      <c r="S6" s="23">
        <f t="shared" si="5"/>
        <v>26052.555151699111</v>
      </c>
    </row>
    <row r="7" spans="1:19" ht="69">
      <c r="A7" t="s">
        <v>115</v>
      </c>
      <c r="B7" s="14" t="s">
        <v>291</v>
      </c>
      <c r="C7">
        <v>2030</v>
      </c>
      <c r="D7" s="10">
        <v>1077960.3103282801</v>
      </c>
      <c r="E7" s="10">
        <v>1080810.2187294599</v>
      </c>
      <c r="F7" s="23">
        <f t="shared" si="0"/>
        <v>2849.9084011798259</v>
      </c>
      <c r="G7" s="10">
        <v>2371306.3226120798</v>
      </c>
      <c r="H7" s="10">
        <v>2386448.8004672802</v>
      </c>
      <c r="I7" s="23">
        <f t="shared" si="1"/>
        <v>15142.477855200414</v>
      </c>
      <c r="J7" s="10">
        <v>14561075.972968301</v>
      </c>
      <c r="K7" s="10">
        <v>14601429.0838702</v>
      </c>
      <c r="L7" s="23">
        <f t="shared" si="2"/>
        <v>40353.110901899636</v>
      </c>
      <c r="M7" s="10">
        <v>2722183.8253175202</v>
      </c>
      <c r="N7" s="10">
        <v>2725934.7625286998</v>
      </c>
      <c r="O7" s="23">
        <f t="shared" si="3"/>
        <v>3750.9372111796401</v>
      </c>
      <c r="P7" s="10">
        <v>17283259.798285801</v>
      </c>
      <c r="Q7" s="10">
        <v>17327363.846399002</v>
      </c>
      <c r="R7" s="23">
        <f t="shared" si="4"/>
        <v>44104.048113200814</v>
      </c>
      <c r="S7" s="23">
        <f t="shared" si="5"/>
        <v>40353.110901899636</v>
      </c>
    </row>
    <row r="8" spans="1:19" ht="69">
      <c r="A8" t="s">
        <v>115</v>
      </c>
      <c r="B8" s="14" t="s">
        <v>291</v>
      </c>
      <c r="C8">
        <v>2031</v>
      </c>
      <c r="D8" s="10">
        <v>1101775.8765348</v>
      </c>
      <c r="E8" s="10">
        <v>1107157.64124119</v>
      </c>
      <c r="F8" s="23">
        <f t="shared" si="0"/>
        <v>5381.7647063899785</v>
      </c>
      <c r="G8" s="10">
        <v>2402707.64798684</v>
      </c>
      <c r="H8" s="10">
        <v>2435295.4035654198</v>
      </c>
      <c r="I8" s="23">
        <f t="shared" si="1"/>
        <v>32587.755578579847</v>
      </c>
      <c r="J8" s="10">
        <v>14835348.371335501</v>
      </c>
      <c r="K8" s="10">
        <v>14910262.6671564</v>
      </c>
      <c r="L8" s="23">
        <f t="shared" si="2"/>
        <v>74914.295820899308</v>
      </c>
      <c r="M8" s="10">
        <v>2778227.98099986</v>
      </c>
      <c r="N8" s="10">
        <v>2784742.8188440399</v>
      </c>
      <c r="O8" s="23">
        <f t="shared" si="3"/>
        <v>6514.8378441799432</v>
      </c>
      <c r="P8" s="10">
        <v>17613576.3523353</v>
      </c>
      <c r="Q8" s="10">
        <v>17695005.486000501</v>
      </c>
      <c r="R8" s="23">
        <f t="shared" si="4"/>
        <v>81429.133665200323</v>
      </c>
      <c r="S8" s="23">
        <f t="shared" si="5"/>
        <v>74914.295820899308</v>
      </c>
    </row>
    <row r="9" spans="1:19" ht="69">
      <c r="A9" t="s">
        <v>115</v>
      </c>
      <c r="B9" s="14" t="s">
        <v>291</v>
      </c>
      <c r="C9">
        <v>2032</v>
      </c>
      <c r="D9" s="10">
        <v>1124043.07720101</v>
      </c>
      <c r="E9" s="10">
        <v>1133979.82552584</v>
      </c>
      <c r="F9" s="23">
        <f t="shared" si="0"/>
        <v>9936.748324830085</v>
      </c>
      <c r="G9" s="10">
        <v>2435622.1248492701</v>
      </c>
      <c r="H9" s="10">
        <v>2486226.86894442</v>
      </c>
      <c r="I9" s="23">
        <f t="shared" si="1"/>
        <v>50604.744095149916</v>
      </c>
      <c r="J9" s="10">
        <v>15077474.572346</v>
      </c>
      <c r="K9" s="10">
        <v>15212724.6096518</v>
      </c>
      <c r="L9" s="23">
        <f t="shared" si="2"/>
        <v>135250.03730580024</v>
      </c>
      <c r="M9" s="10">
        <v>2833286.3602596498</v>
      </c>
      <c r="N9" s="10">
        <v>2843886.5438264399</v>
      </c>
      <c r="O9" s="23">
        <f t="shared" si="3"/>
        <v>10600.183566790074</v>
      </c>
      <c r="P9" s="10">
        <v>17910760.932605699</v>
      </c>
      <c r="Q9" s="10">
        <v>18056611.153478201</v>
      </c>
      <c r="R9" s="23">
        <f t="shared" si="4"/>
        <v>145850.22087250277</v>
      </c>
      <c r="S9" s="23">
        <f t="shared" si="5"/>
        <v>135250.03730580024</v>
      </c>
    </row>
    <row r="10" spans="1:19" ht="69">
      <c r="A10" t="s">
        <v>115</v>
      </c>
      <c r="B10" s="14" t="s">
        <v>291</v>
      </c>
      <c r="C10">
        <v>2033</v>
      </c>
      <c r="D10" s="10">
        <v>1144681.48358876</v>
      </c>
      <c r="E10" s="10">
        <v>1160519.0384788001</v>
      </c>
      <c r="F10" s="23">
        <f t="shared" si="0"/>
        <v>15837.554890040075</v>
      </c>
      <c r="G10" s="10">
        <v>2474865.90830736</v>
      </c>
      <c r="H10" s="10">
        <v>2544179.9130816502</v>
      </c>
      <c r="I10" s="23">
        <f t="shared" si="1"/>
        <v>69314.004774290137</v>
      </c>
      <c r="J10" s="10">
        <v>15283831.125779601</v>
      </c>
      <c r="K10" s="10">
        <v>15498146.8141225</v>
      </c>
      <c r="L10" s="23">
        <f t="shared" si="2"/>
        <v>214315.68834289908</v>
      </c>
      <c r="M10" s="10">
        <v>2888060.8591666501</v>
      </c>
      <c r="N10" s="10">
        <v>2903939.0067597199</v>
      </c>
      <c r="O10" s="23">
        <f t="shared" si="3"/>
        <v>15878.147593069822</v>
      </c>
      <c r="P10" s="10">
        <v>18171891.984946199</v>
      </c>
      <c r="Q10" s="10">
        <v>18402085.820882302</v>
      </c>
      <c r="R10" s="23">
        <f t="shared" si="4"/>
        <v>230193.83593610302</v>
      </c>
      <c r="S10" s="23">
        <f t="shared" si="5"/>
        <v>214315.68834289908</v>
      </c>
    </row>
    <row r="11" spans="1:19" ht="69">
      <c r="A11" t="s">
        <v>115</v>
      </c>
      <c r="B11" s="14" t="s">
        <v>291</v>
      </c>
      <c r="C11">
        <v>2034</v>
      </c>
      <c r="D11" s="10">
        <v>1164525.8159465101</v>
      </c>
      <c r="E11" s="10">
        <v>1187394.62078838</v>
      </c>
      <c r="F11" s="23">
        <f t="shared" si="0"/>
        <v>22868.804841869976</v>
      </c>
      <c r="G11" s="10">
        <v>2503023.1261637802</v>
      </c>
      <c r="H11" s="10">
        <v>2591241.8271754701</v>
      </c>
      <c r="I11" s="23">
        <f t="shared" si="1"/>
        <v>88218.701011689845</v>
      </c>
      <c r="J11" s="10">
        <v>15489758.773540899</v>
      </c>
      <c r="K11" s="10">
        <v>15799428.4193656</v>
      </c>
      <c r="L11" s="23">
        <f t="shared" si="2"/>
        <v>309669.64582470059</v>
      </c>
      <c r="M11" s="10">
        <v>2941677.3966539199</v>
      </c>
      <c r="N11" s="10">
        <v>2963891.11565708</v>
      </c>
      <c r="O11" s="23">
        <f t="shared" si="3"/>
        <v>22213.719003160018</v>
      </c>
      <c r="P11" s="10">
        <v>18431436.170194801</v>
      </c>
      <c r="Q11" s="10">
        <v>18763319.535022601</v>
      </c>
      <c r="R11" s="23">
        <f t="shared" si="4"/>
        <v>331883.36482780054</v>
      </c>
      <c r="S11" s="23">
        <f t="shared" si="5"/>
        <v>309669.64582470059</v>
      </c>
    </row>
    <row r="12" spans="1:19" ht="69">
      <c r="A12" t="s">
        <v>115</v>
      </c>
      <c r="B12" s="14" t="s">
        <v>291</v>
      </c>
      <c r="C12">
        <v>2035</v>
      </c>
      <c r="D12" s="10">
        <v>1183442.3874216799</v>
      </c>
      <c r="E12" s="10">
        <v>1214325.9717928099</v>
      </c>
      <c r="F12" s="23">
        <f t="shared" si="0"/>
        <v>30883.584371129982</v>
      </c>
      <c r="G12" s="10">
        <v>2529899.2862058701</v>
      </c>
      <c r="H12" s="10">
        <v>2637338.5575930099</v>
      </c>
      <c r="I12" s="23">
        <f t="shared" si="1"/>
        <v>107439.2713871398</v>
      </c>
      <c r="J12" s="10">
        <v>15674394.8910583</v>
      </c>
      <c r="K12" s="10">
        <v>16093445.8910369</v>
      </c>
      <c r="L12" s="23">
        <f t="shared" si="2"/>
        <v>419050.99997860007</v>
      </c>
      <c r="M12" s="10">
        <v>2994055.8515953501</v>
      </c>
      <c r="N12" s="10">
        <v>3023565.75015719</v>
      </c>
      <c r="O12" s="23">
        <f t="shared" si="3"/>
        <v>29509.898561839946</v>
      </c>
      <c r="P12" s="10">
        <v>18668450.742653601</v>
      </c>
      <c r="Q12" s="10">
        <v>19117011.641194101</v>
      </c>
      <c r="R12" s="23">
        <f t="shared" si="4"/>
        <v>448560.89854050055</v>
      </c>
      <c r="S12" s="23">
        <f t="shared" si="5"/>
        <v>419050.99997860007</v>
      </c>
    </row>
    <row r="13" spans="1:19" ht="69">
      <c r="A13" t="s">
        <v>115</v>
      </c>
      <c r="B13" s="14" t="s">
        <v>291</v>
      </c>
      <c r="C13">
        <v>2036</v>
      </c>
      <c r="D13" s="10">
        <v>1202170.7347727099</v>
      </c>
      <c r="E13" s="10">
        <v>1242005.1963107099</v>
      </c>
      <c r="F13" s="23">
        <f t="shared" si="0"/>
        <v>39834.461538000032</v>
      </c>
      <c r="G13" s="10">
        <v>2560841.3488169201</v>
      </c>
      <c r="H13" s="10">
        <v>2687815.4185624099</v>
      </c>
      <c r="I13" s="23">
        <f t="shared" si="1"/>
        <v>126974.06974548986</v>
      </c>
      <c r="J13" s="10">
        <v>15845709.1020202</v>
      </c>
      <c r="K13" s="10">
        <v>16387284.1170475</v>
      </c>
      <c r="L13" s="23">
        <f t="shared" si="2"/>
        <v>541575.01502729952</v>
      </c>
      <c r="M13" s="10">
        <v>3045530.8308089101</v>
      </c>
      <c r="N13" s="10">
        <v>3083207.24745521</v>
      </c>
      <c r="O13" s="23">
        <f t="shared" si="3"/>
        <v>37676.416646299884</v>
      </c>
      <c r="P13" s="10">
        <v>18891239.932829101</v>
      </c>
      <c r="Q13" s="10">
        <v>19470491.364502698</v>
      </c>
      <c r="R13" s="23">
        <f t="shared" si="4"/>
        <v>579251.43167359754</v>
      </c>
      <c r="S13" s="23">
        <f t="shared" si="5"/>
        <v>541575.01502729952</v>
      </c>
    </row>
    <row r="14" spans="1:19" ht="69">
      <c r="A14" t="s">
        <v>115</v>
      </c>
      <c r="B14" s="14" t="s">
        <v>291</v>
      </c>
      <c r="C14">
        <v>2037</v>
      </c>
      <c r="D14" s="10">
        <v>1220256.4049549201</v>
      </c>
      <c r="E14" s="10">
        <v>1269807.8090944199</v>
      </c>
      <c r="F14" s="23">
        <f t="shared" si="0"/>
        <v>49551.404139499879</v>
      </c>
      <c r="G14" s="10">
        <v>2590456.8870699699</v>
      </c>
      <c r="H14" s="10">
        <v>2737274.7907770001</v>
      </c>
      <c r="I14" s="23">
        <f t="shared" si="1"/>
        <v>146817.90370703023</v>
      </c>
      <c r="J14" s="10">
        <v>15997806.170617901</v>
      </c>
      <c r="K14" s="10">
        <v>16672497.819866899</v>
      </c>
      <c r="L14" s="23">
        <f t="shared" si="2"/>
        <v>674691.64924899861</v>
      </c>
      <c r="M14" s="10">
        <v>3096021.9949252298</v>
      </c>
      <c r="N14" s="10">
        <v>3142666.5906475801</v>
      </c>
      <c r="O14" s="23">
        <f t="shared" si="3"/>
        <v>46644.595722350292</v>
      </c>
      <c r="P14" s="10">
        <v>19093828.165543102</v>
      </c>
      <c r="Q14" s="10">
        <v>19815164.4105145</v>
      </c>
      <c r="R14" s="23">
        <f t="shared" si="4"/>
        <v>721336.24497139826</v>
      </c>
      <c r="S14" s="23">
        <f t="shared" si="5"/>
        <v>674691.64924899861</v>
      </c>
    </row>
    <row r="15" spans="1:19" ht="69">
      <c r="A15" t="s">
        <v>115</v>
      </c>
      <c r="B15" s="14" t="s">
        <v>291</v>
      </c>
      <c r="C15">
        <v>2038</v>
      </c>
      <c r="D15" s="10">
        <v>1237224.6287654501</v>
      </c>
      <c r="E15" s="10">
        <v>1297176.2554210799</v>
      </c>
      <c r="F15" s="23">
        <f t="shared" si="0"/>
        <v>59951.626655629836</v>
      </c>
      <c r="G15" s="10">
        <v>2623083.88877049</v>
      </c>
      <c r="H15" s="10">
        <v>2790687.0212172102</v>
      </c>
      <c r="I15" s="23">
        <f t="shared" si="1"/>
        <v>167603.13244672026</v>
      </c>
      <c r="J15" s="10">
        <v>16125687.439471399</v>
      </c>
      <c r="K15" s="10">
        <v>16943079.5437892</v>
      </c>
      <c r="L15" s="23">
        <f t="shared" si="2"/>
        <v>817392.10431780107</v>
      </c>
      <c r="M15" s="10">
        <v>3145948.4462921498</v>
      </c>
      <c r="N15" s="10">
        <v>3202368.9267663299</v>
      </c>
      <c r="O15" s="23">
        <f t="shared" si="3"/>
        <v>56420.480474180076</v>
      </c>
      <c r="P15" s="10">
        <v>19271635.8857636</v>
      </c>
      <c r="Q15" s="10">
        <v>20145448.470555499</v>
      </c>
      <c r="R15" s="23">
        <f t="shared" si="4"/>
        <v>873812.58479189873</v>
      </c>
      <c r="S15" s="23">
        <f t="shared" si="5"/>
        <v>817392.10431780107</v>
      </c>
    </row>
    <row r="16" spans="1:19" ht="69">
      <c r="A16" t="s">
        <v>115</v>
      </c>
      <c r="B16" s="14" t="s">
        <v>291</v>
      </c>
      <c r="C16">
        <v>2039</v>
      </c>
      <c r="D16" s="10">
        <v>1254297.10847253</v>
      </c>
      <c r="E16" s="10">
        <v>1325347.79629959</v>
      </c>
      <c r="F16" s="23">
        <f t="shared" si="0"/>
        <v>71050.687827059999</v>
      </c>
      <c r="G16" s="10">
        <v>2647361.6260680198</v>
      </c>
      <c r="H16" s="10">
        <v>2835232.8138728002</v>
      </c>
      <c r="I16" s="23">
        <f t="shared" si="1"/>
        <v>187871.18780478043</v>
      </c>
      <c r="J16" s="10">
        <v>16247382.6668045</v>
      </c>
      <c r="K16" s="10">
        <v>17216985.482207</v>
      </c>
      <c r="L16" s="23">
        <f t="shared" si="2"/>
        <v>969602.81540250033</v>
      </c>
      <c r="M16" s="10">
        <v>3194438.9755037799</v>
      </c>
      <c r="N16" s="10">
        <v>3261308.0448366501</v>
      </c>
      <c r="O16" s="23">
        <f t="shared" si="3"/>
        <v>66869.069332870189</v>
      </c>
      <c r="P16" s="10">
        <v>19441821.642308298</v>
      </c>
      <c r="Q16" s="10">
        <v>20478293.5270436</v>
      </c>
      <c r="R16" s="23">
        <f t="shared" si="4"/>
        <v>1036471.8847353011</v>
      </c>
      <c r="S16" s="23">
        <f t="shared" si="5"/>
        <v>969602.81540250033</v>
      </c>
    </row>
    <row r="17" spans="1:19" ht="69">
      <c r="A17" t="s">
        <v>115</v>
      </c>
      <c r="B17" s="14" t="s">
        <v>291</v>
      </c>
      <c r="C17">
        <v>2040</v>
      </c>
      <c r="D17" s="10">
        <v>1270080.7291439101</v>
      </c>
      <c r="E17" s="10">
        <v>1352787.6755061899</v>
      </c>
      <c r="F17" s="23">
        <f t="shared" si="0"/>
        <v>82706.946362279821</v>
      </c>
      <c r="G17" s="10">
        <v>2668265.24079142</v>
      </c>
      <c r="H17" s="10">
        <v>2876390.0212324099</v>
      </c>
      <c r="I17" s="23">
        <f t="shared" si="1"/>
        <v>208124.78044098988</v>
      </c>
      <c r="J17" s="10">
        <v>16347516.619402699</v>
      </c>
      <c r="K17" s="10">
        <v>17477129.098030299</v>
      </c>
      <c r="L17" s="23">
        <f t="shared" si="2"/>
        <v>1129612.4786275998</v>
      </c>
      <c r="M17" s="10">
        <v>3241303.52948118</v>
      </c>
      <c r="N17" s="10">
        <v>3319226.5384597802</v>
      </c>
      <c r="O17" s="23">
        <f t="shared" si="3"/>
        <v>77923.008978600148</v>
      </c>
      <c r="P17" s="10">
        <v>19588820.148883902</v>
      </c>
      <c r="Q17" s="10">
        <v>20796355.636489999</v>
      </c>
      <c r="R17" s="23">
        <f t="shared" si="4"/>
        <v>1207535.487606097</v>
      </c>
      <c r="S17" s="23">
        <f t="shared" si="5"/>
        <v>1129612.4786275998</v>
      </c>
    </row>
    <row r="18" spans="1:19" ht="69">
      <c r="A18" t="s">
        <v>115</v>
      </c>
      <c r="B18" s="14" t="s">
        <v>291</v>
      </c>
      <c r="C18">
        <v>2041</v>
      </c>
      <c r="D18" s="10">
        <v>1287047.03382897</v>
      </c>
      <c r="E18" s="10">
        <v>1380070.9641243899</v>
      </c>
      <c r="F18" s="23">
        <f t="shared" si="0"/>
        <v>93023.930295419879</v>
      </c>
      <c r="G18" s="10">
        <v>2714651.13560763</v>
      </c>
      <c r="H18" s="10">
        <v>2922451.7840816001</v>
      </c>
      <c r="I18" s="23">
        <f t="shared" si="1"/>
        <v>207800.64847397013</v>
      </c>
      <c r="J18" s="10">
        <v>16456979.4968815</v>
      </c>
      <c r="K18" s="10">
        <v>17731269.8507494</v>
      </c>
      <c r="L18" s="23">
        <f t="shared" si="2"/>
        <v>1274290.3538678996</v>
      </c>
      <c r="M18" s="10">
        <v>3289082.50976814</v>
      </c>
      <c r="N18" s="10">
        <v>3376570.7795691099</v>
      </c>
      <c r="O18" s="23">
        <f t="shared" si="3"/>
        <v>87488.269800969865</v>
      </c>
      <c r="P18" s="10">
        <v>19746062.006649598</v>
      </c>
      <c r="Q18" s="10">
        <v>21107840.6303185</v>
      </c>
      <c r="R18" s="23">
        <f t="shared" si="4"/>
        <v>1361778.6236689016</v>
      </c>
      <c r="S18" s="23">
        <f t="shared" si="5"/>
        <v>1274290.3538678996</v>
      </c>
    </row>
    <row r="19" spans="1:19" ht="69">
      <c r="A19" t="s">
        <v>115</v>
      </c>
      <c r="B19" s="14" t="s">
        <v>291</v>
      </c>
      <c r="C19">
        <v>2042</v>
      </c>
      <c r="D19" s="10">
        <v>1305701.40552656</v>
      </c>
      <c r="E19" s="10">
        <v>1406876.3400552501</v>
      </c>
      <c r="F19" s="23">
        <f t="shared" si="0"/>
        <v>101174.93452869006</v>
      </c>
      <c r="G19" s="10">
        <v>2755802.68398342</v>
      </c>
      <c r="H19" s="10">
        <v>2962983.4666738398</v>
      </c>
      <c r="I19" s="23">
        <f t="shared" si="1"/>
        <v>207180.78269041982</v>
      </c>
      <c r="J19" s="10">
        <v>16581946.240691399</v>
      </c>
      <c r="K19" s="10">
        <v>17974111.2649187</v>
      </c>
      <c r="L19" s="23">
        <f t="shared" si="2"/>
        <v>1392165.0242273007</v>
      </c>
      <c r="M19" s="10">
        <v>3336996.6991299801</v>
      </c>
      <c r="N19" s="10">
        <v>3432912.5995370499</v>
      </c>
      <c r="O19" s="23">
        <f t="shared" si="3"/>
        <v>95915.900407069828</v>
      </c>
      <c r="P19" s="10">
        <v>19918942.9398214</v>
      </c>
      <c r="Q19" s="10">
        <v>21407023.864455801</v>
      </c>
      <c r="R19" s="23">
        <f t="shared" si="4"/>
        <v>1488080.9246344008</v>
      </c>
      <c r="S19" s="23">
        <f t="shared" si="5"/>
        <v>1392165.0242273007</v>
      </c>
    </row>
    <row r="20" spans="1:19" ht="69">
      <c r="A20" t="s">
        <v>115</v>
      </c>
      <c r="B20" s="14" t="s">
        <v>291</v>
      </c>
      <c r="C20">
        <v>2043</v>
      </c>
      <c r="D20" s="10">
        <v>1324803.7659911199</v>
      </c>
      <c r="E20" s="10">
        <v>1432805.1824121401</v>
      </c>
      <c r="F20" s="23">
        <f t="shared" si="0"/>
        <v>108001.41642102017</v>
      </c>
      <c r="G20" s="10">
        <v>2801563.46679377</v>
      </c>
      <c r="H20" s="10">
        <v>3008470.65003363</v>
      </c>
      <c r="I20" s="23">
        <f t="shared" si="1"/>
        <v>206907.18323985999</v>
      </c>
      <c r="J20" s="10">
        <v>16706274.045025</v>
      </c>
      <c r="K20" s="10">
        <v>18198360.101822201</v>
      </c>
      <c r="L20" s="23">
        <f t="shared" si="2"/>
        <v>1492086.0567972008</v>
      </c>
      <c r="M20" s="10">
        <v>3385394.7166862399</v>
      </c>
      <c r="N20" s="10">
        <v>3488845.1394354599</v>
      </c>
      <c r="O20" s="23">
        <f t="shared" si="3"/>
        <v>103450.42274921993</v>
      </c>
      <c r="P20" s="10">
        <v>20091668.761711199</v>
      </c>
      <c r="Q20" s="10">
        <v>21687205.241257701</v>
      </c>
      <c r="R20" s="23">
        <f t="shared" si="4"/>
        <v>1595536.4795465022</v>
      </c>
      <c r="S20" s="23">
        <f t="shared" si="5"/>
        <v>1492086.0567972008</v>
      </c>
    </row>
    <row r="21" spans="1:19" ht="69">
      <c r="A21" t="s">
        <v>115</v>
      </c>
      <c r="B21" s="14" t="s">
        <v>291</v>
      </c>
      <c r="C21">
        <v>2044</v>
      </c>
      <c r="D21" s="10">
        <v>1344490.8321376301</v>
      </c>
      <c r="E21" s="10">
        <v>1458339.1797493801</v>
      </c>
      <c r="F21" s="23">
        <f t="shared" si="0"/>
        <v>113848.34761175001</v>
      </c>
      <c r="G21" s="10">
        <v>2840588.8802779298</v>
      </c>
      <c r="H21" s="10">
        <v>3046056.68354666</v>
      </c>
      <c r="I21" s="23">
        <f t="shared" si="1"/>
        <v>205467.80326873017</v>
      </c>
      <c r="J21" s="10">
        <v>16841442.7378272</v>
      </c>
      <c r="K21" s="10">
        <v>18419903.909360301</v>
      </c>
      <c r="L21" s="23">
        <f t="shared" si="2"/>
        <v>1578461.1715331003</v>
      </c>
      <c r="M21" s="10">
        <v>3433459.6163418801</v>
      </c>
      <c r="N21" s="10">
        <v>3543582.9297337201</v>
      </c>
      <c r="O21" s="23">
        <f t="shared" si="3"/>
        <v>110123.31339184009</v>
      </c>
      <c r="P21" s="10">
        <v>20274902.354169101</v>
      </c>
      <c r="Q21" s="10">
        <v>21963486.839094002</v>
      </c>
      <c r="R21" s="23">
        <f t="shared" si="4"/>
        <v>1688584.4849249013</v>
      </c>
      <c r="S21" s="23">
        <f t="shared" si="5"/>
        <v>1578461.1715331003</v>
      </c>
    </row>
    <row r="22" spans="1:19" ht="69">
      <c r="A22" t="s">
        <v>115</v>
      </c>
      <c r="B22" s="14" t="s">
        <v>291</v>
      </c>
      <c r="C22">
        <v>2045</v>
      </c>
      <c r="D22" s="10">
        <v>1365016.91479488</v>
      </c>
      <c r="E22" s="10">
        <v>1483913.3999159799</v>
      </c>
      <c r="F22" s="23">
        <f t="shared" si="0"/>
        <v>118896.48512109998</v>
      </c>
      <c r="G22" s="10">
        <v>2878551.2798348898</v>
      </c>
      <c r="H22" s="10">
        <v>3082224.0069858502</v>
      </c>
      <c r="I22" s="23">
        <f t="shared" si="1"/>
        <v>203672.72715096036</v>
      </c>
      <c r="J22" s="10">
        <v>16982202.894485202</v>
      </c>
      <c r="K22" s="10">
        <v>18635707.8486913</v>
      </c>
      <c r="L22" s="23">
        <f t="shared" si="2"/>
        <v>1653504.9542060979</v>
      </c>
      <c r="M22" s="10">
        <v>3480959.9479213501</v>
      </c>
      <c r="N22" s="10">
        <v>3596974.60976764</v>
      </c>
      <c r="O22" s="23">
        <f t="shared" si="3"/>
        <v>116014.66184628988</v>
      </c>
      <c r="P22" s="10">
        <v>20463162.842406601</v>
      </c>
      <c r="Q22" s="10">
        <v>22232682.4584589</v>
      </c>
      <c r="R22" s="23">
        <f t="shared" si="4"/>
        <v>1769519.6160522997</v>
      </c>
      <c r="S22" s="23">
        <f t="shared" si="5"/>
        <v>1653504.9542060979</v>
      </c>
    </row>
    <row r="23" spans="1:19" ht="69">
      <c r="A23" t="s">
        <v>115</v>
      </c>
      <c r="B23" s="14" t="s">
        <v>291</v>
      </c>
      <c r="C23">
        <v>2046</v>
      </c>
      <c r="D23" s="10">
        <v>1386263.3232356701</v>
      </c>
      <c r="E23" s="10">
        <v>1509480.2754246099</v>
      </c>
      <c r="F23" s="23">
        <f t="shared" si="0"/>
        <v>123216.95218893979</v>
      </c>
      <c r="G23" s="10">
        <v>2922001.4518158301</v>
      </c>
      <c r="H23" s="10">
        <v>3124046.1784474999</v>
      </c>
      <c r="I23" s="23">
        <f t="shared" si="1"/>
        <v>202044.72663166979</v>
      </c>
      <c r="J23" s="10">
        <v>17124658.9403123</v>
      </c>
      <c r="K23" s="10">
        <v>18842942.5524536</v>
      </c>
      <c r="L23" s="23">
        <f t="shared" si="2"/>
        <v>1718283.6121413</v>
      </c>
      <c r="M23" s="10">
        <v>3528270.9373862501</v>
      </c>
      <c r="N23" s="10">
        <v>3649516.0869798502</v>
      </c>
      <c r="O23" s="23">
        <f t="shared" si="3"/>
        <v>121245.14959360007</v>
      </c>
      <c r="P23" s="10">
        <v>20652929.8776986</v>
      </c>
      <c r="Q23" s="10">
        <v>22492458.639433499</v>
      </c>
      <c r="R23" s="23">
        <f t="shared" si="4"/>
        <v>1839528.7617348991</v>
      </c>
      <c r="S23" s="23">
        <f t="shared" si="5"/>
        <v>1718283.6121413</v>
      </c>
    </row>
    <row r="24" spans="1:19" ht="69">
      <c r="A24" t="s">
        <v>115</v>
      </c>
      <c r="B24" s="14" t="s">
        <v>291</v>
      </c>
      <c r="C24">
        <v>2047</v>
      </c>
      <c r="D24" s="10">
        <v>1407317.1043541401</v>
      </c>
      <c r="E24" s="10">
        <v>1534237.5744131999</v>
      </c>
      <c r="F24" s="23">
        <f t="shared" si="0"/>
        <v>126920.47005905979</v>
      </c>
      <c r="G24" s="10">
        <v>2958634.2464201902</v>
      </c>
      <c r="H24" s="10">
        <v>3158904.2402997999</v>
      </c>
      <c r="I24" s="23">
        <f t="shared" si="1"/>
        <v>200269.99387960974</v>
      </c>
      <c r="J24" s="10">
        <v>17266026.338612001</v>
      </c>
      <c r="K24" s="10">
        <v>19041387.437856801</v>
      </c>
      <c r="L24" s="23">
        <f t="shared" si="2"/>
        <v>1775361.0992447995</v>
      </c>
      <c r="M24" s="10">
        <v>3574822.6919775102</v>
      </c>
      <c r="N24" s="10">
        <v>3700713.6879092599</v>
      </c>
      <c r="O24" s="23">
        <f t="shared" si="3"/>
        <v>125890.9959317497</v>
      </c>
      <c r="P24" s="10">
        <v>20840849.030589599</v>
      </c>
      <c r="Q24" s="10">
        <v>22742101.125766098</v>
      </c>
      <c r="R24" s="23">
        <f t="shared" si="4"/>
        <v>1901252.0951764993</v>
      </c>
      <c r="S24" s="23">
        <f t="shared" si="5"/>
        <v>1775361.0992447995</v>
      </c>
    </row>
    <row r="25" spans="1:19" ht="69">
      <c r="A25" t="s">
        <v>115</v>
      </c>
      <c r="B25" s="14" t="s">
        <v>291</v>
      </c>
      <c r="C25">
        <v>2048</v>
      </c>
      <c r="D25" s="10">
        <v>1427575.0016293901</v>
      </c>
      <c r="E25" s="10">
        <v>1557584.97398339</v>
      </c>
      <c r="F25" s="23">
        <f t="shared" si="0"/>
        <v>130009.97235399997</v>
      </c>
      <c r="G25" s="10">
        <v>2995618.5506171999</v>
      </c>
      <c r="H25" s="10">
        <v>3194212.2507100999</v>
      </c>
      <c r="I25" s="23">
        <f t="shared" si="1"/>
        <v>198593.70009290008</v>
      </c>
      <c r="J25" s="10">
        <v>17395710.007697001</v>
      </c>
      <c r="K25" s="10">
        <v>19220391.648086298</v>
      </c>
      <c r="L25" s="23">
        <f t="shared" si="2"/>
        <v>1824681.6403892972</v>
      </c>
      <c r="M25" s="10">
        <v>3620776.9986962201</v>
      </c>
      <c r="N25" s="10">
        <v>3750826.4501789301</v>
      </c>
      <c r="O25" s="23">
        <f t="shared" si="3"/>
        <v>130049.45148270996</v>
      </c>
      <c r="P25" s="10">
        <v>21016487.006393299</v>
      </c>
      <c r="Q25" s="10">
        <v>22971218.098265201</v>
      </c>
      <c r="R25" s="23">
        <f t="shared" si="4"/>
        <v>1954731.0918719023</v>
      </c>
      <c r="S25" s="23">
        <f t="shared" si="5"/>
        <v>1824681.6403892972</v>
      </c>
    </row>
    <row r="26" spans="1:19" ht="69">
      <c r="A26" t="s">
        <v>115</v>
      </c>
      <c r="B26" s="14" t="s">
        <v>291</v>
      </c>
      <c r="C26">
        <v>2049</v>
      </c>
      <c r="D26" s="10">
        <v>1448477.7742045999</v>
      </c>
      <c r="E26" s="10">
        <v>1581148.70872561</v>
      </c>
      <c r="F26" s="23">
        <f t="shared" si="0"/>
        <v>132670.93452101015</v>
      </c>
      <c r="G26" s="10">
        <v>3030826.74690123</v>
      </c>
      <c r="H26" s="10">
        <v>3227056.8854561802</v>
      </c>
      <c r="I26" s="23">
        <f t="shared" si="1"/>
        <v>196230.13855495024</v>
      </c>
      <c r="J26" s="10">
        <v>17531568.7624189</v>
      </c>
      <c r="K26" s="10">
        <v>19399647.730491299</v>
      </c>
      <c r="L26" s="23">
        <f t="shared" si="2"/>
        <v>1868078.9680723995</v>
      </c>
      <c r="M26" s="10">
        <v>3665792.5085027101</v>
      </c>
      <c r="N26" s="10">
        <v>3799503.95708712</v>
      </c>
      <c r="O26" s="23">
        <f t="shared" si="3"/>
        <v>133711.4485844099</v>
      </c>
      <c r="P26" s="10">
        <v>21197361.2709217</v>
      </c>
      <c r="Q26" s="10">
        <v>23199151.687578399</v>
      </c>
      <c r="R26" s="23">
        <f t="shared" si="4"/>
        <v>2001790.416656699</v>
      </c>
      <c r="S26" s="23">
        <f t="shared" si="5"/>
        <v>1868078.9680723995</v>
      </c>
    </row>
    <row r="27" spans="1:19" ht="69">
      <c r="A27" t="s">
        <v>115</v>
      </c>
      <c r="B27" s="14" t="s">
        <v>291</v>
      </c>
      <c r="C27">
        <v>2050</v>
      </c>
      <c r="D27" s="10">
        <v>1469127.40425746</v>
      </c>
      <c r="E27" s="10">
        <v>1604008.46344375</v>
      </c>
      <c r="F27" s="23">
        <f t="shared" si="0"/>
        <v>134881.05918629002</v>
      </c>
      <c r="G27" s="10">
        <v>3063666.0740572801</v>
      </c>
      <c r="H27" s="10">
        <v>3257199.2980493</v>
      </c>
      <c r="I27" s="23">
        <f t="shared" si="1"/>
        <v>193533.22399201989</v>
      </c>
      <c r="J27" s="10">
        <v>17664267.5174325</v>
      </c>
      <c r="K27" s="10">
        <v>19570013.415609401</v>
      </c>
      <c r="L27" s="23">
        <f t="shared" si="2"/>
        <v>1905745.898176901</v>
      </c>
      <c r="M27" s="10">
        <v>3709687.9277504901</v>
      </c>
      <c r="N27" s="10">
        <v>3846594.3784267399</v>
      </c>
      <c r="O27" s="23">
        <f t="shared" si="3"/>
        <v>136906.45067624981</v>
      </c>
      <c r="P27" s="10">
        <v>21373955.445183098</v>
      </c>
      <c r="Q27" s="10">
        <v>23416607.794036102</v>
      </c>
      <c r="R27" s="23">
        <f t="shared" si="4"/>
        <v>2042652.3488530032</v>
      </c>
      <c r="S27" s="23">
        <f t="shared" si="5"/>
        <v>1905745.898176901</v>
      </c>
    </row>
  </sheetData>
  <autoFilter ref="A1:S1" xr:uid="{00000000-0009-0000-0000-000009000000}"/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53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2" width="12.69921875" customWidth="1"/>
    <col min="3" max="3" width="16.69921875" customWidth="1"/>
    <col min="4" max="4" width="21.69921875" customWidth="1"/>
    <col min="5" max="5" width="15.69921875" customWidth="1"/>
    <col min="6" max="6" width="19.69921875" customWidth="1"/>
    <col min="7" max="7" width="21.69921875" customWidth="1"/>
    <col min="8" max="9" width="12.69921875" customWidth="1"/>
    <col min="10" max="10" width="20.69921875" customWidth="1"/>
    <col min="11" max="11" width="23.69921875" customWidth="1"/>
    <col min="12" max="12" width="19.69921875" customWidth="1"/>
    <col min="13" max="13" width="13.69921875" customWidth="1"/>
    <col min="14" max="14" width="14.69921875" customWidth="1"/>
  </cols>
  <sheetData>
    <row r="1" spans="1:14" ht="28.05" customHeight="1">
      <c r="A1" s="1" t="s">
        <v>384</v>
      </c>
      <c r="B1" s="1" t="s">
        <v>282</v>
      </c>
      <c r="C1" s="1" t="s">
        <v>283</v>
      </c>
      <c r="D1" s="1" t="s">
        <v>364</v>
      </c>
      <c r="E1" s="1" t="s">
        <v>393</v>
      </c>
      <c r="F1" s="1" t="s">
        <v>394</v>
      </c>
      <c r="G1" s="1" t="s">
        <v>385</v>
      </c>
      <c r="H1" s="1" t="s">
        <v>42</v>
      </c>
      <c r="I1" s="1" t="s">
        <v>395</v>
      </c>
      <c r="J1" s="1" t="s">
        <v>396</v>
      </c>
      <c r="K1" s="1" t="s">
        <v>397</v>
      </c>
      <c r="L1" s="1" t="s">
        <v>398</v>
      </c>
      <c r="M1" s="1" t="s">
        <v>399</v>
      </c>
      <c r="N1" s="1" t="s">
        <v>400</v>
      </c>
    </row>
    <row r="2" spans="1:14" ht="69">
      <c r="A2" t="s">
        <v>164</v>
      </c>
      <c r="B2" t="s">
        <v>115</v>
      </c>
      <c r="C2" s="14" t="s">
        <v>291</v>
      </c>
      <c r="D2" t="s">
        <v>375</v>
      </c>
      <c r="E2" t="s">
        <v>376</v>
      </c>
      <c r="G2" t="s">
        <v>392</v>
      </c>
      <c r="H2" s="20">
        <v>2025</v>
      </c>
      <c r="I2" s="30">
        <f>100*(1-(SUMIFS(CVD_40q30_Age!$M$2:$M$2081,CVD_40q30_Age!$A$2:$A$2081,A2,CVD_40q30_Age!$B$2:$B$2081,B2,CVD_40q30_Age!$E$2:$E$2081,G2,CVD_40q30_Age!$F$2:$F$2081,H2,CVD_40q30_Age!$G$2:$G$2081,69))/(SUMIFS(CVD_40q30_Age!$L$2:$L$2081,CVD_40q30_Age!$A$2:$A$2081,A2,CVD_40q30_Age!$B$2:$B$2081,B2,CVD_40q30_Age!$E$2:$E$2081,G2,CVD_40q30_Age!$F$2:$F$2081,H2,CVD_40q30_Age!$G$2:$G$2081,30)))</f>
        <v>14.594862693022181</v>
      </c>
      <c r="J2" s="30">
        <f t="shared" ref="J2:J33" si="0">SUMIFS($I$2:$I$53,$A$2:$A$53,A2,$G$2:$G$53,G2,$H$2:$H$53,H2,$B$2:$B$53,"baseline")</f>
        <v>14.594862693022181</v>
      </c>
      <c r="K2" s="30">
        <f t="shared" ref="K2:K33" si="1">J2-I2</f>
        <v>0</v>
      </c>
      <c r="L2" s="28">
        <f t="shared" ref="L2:L33" si="2">IF(J2=0,"",100*(J2-I2)/J2)</f>
        <v>0</v>
      </c>
      <c r="M2" s="35">
        <v>14.594862693022201</v>
      </c>
      <c r="N2" s="16" t="str">
        <f t="shared" ref="N2:N33" si="3">IF(ABS(I2-M2)&lt;=0.001,"match","mismatch")</f>
        <v>match</v>
      </c>
    </row>
    <row r="3" spans="1:14" ht="69">
      <c r="A3" t="s">
        <v>164</v>
      </c>
      <c r="B3" t="s">
        <v>115</v>
      </c>
      <c r="C3" s="14" t="s">
        <v>291</v>
      </c>
      <c r="D3" t="s">
        <v>375</v>
      </c>
      <c r="E3" t="s">
        <v>376</v>
      </c>
      <c r="G3" t="s">
        <v>392</v>
      </c>
      <c r="H3" s="20">
        <v>2026</v>
      </c>
      <c r="I3" s="30">
        <f>100*(1-(SUMIFS(CVD_40q30_Age!$M$2:$M$2081,CVD_40q30_Age!$A$2:$A$2081,A3,CVD_40q30_Age!$B$2:$B$2081,B3,CVD_40q30_Age!$E$2:$E$2081,G3,CVD_40q30_Age!$F$2:$F$2081,H3,CVD_40q30_Age!$G$2:$G$2081,69))/(SUMIFS(CVD_40q30_Age!$L$2:$L$2081,CVD_40q30_Age!$A$2:$A$2081,A3,CVD_40q30_Age!$B$2:$B$2081,B3,CVD_40q30_Age!$E$2:$E$2081,G3,CVD_40q30_Age!$F$2:$F$2081,H3,CVD_40q30_Age!$G$2:$G$2081,30)))</f>
        <v>14.519942974374745</v>
      </c>
      <c r="J3" s="30">
        <f t="shared" si="0"/>
        <v>14.52004645859677</v>
      </c>
      <c r="K3" s="30">
        <f t="shared" si="1"/>
        <v>1.0348422202532959E-4</v>
      </c>
      <c r="L3" s="28">
        <f t="shared" si="2"/>
        <v>7.1269897324646985E-4</v>
      </c>
      <c r="M3" s="35">
        <v>14.5199429743748</v>
      </c>
      <c r="N3" s="16" t="str">
        <f t="shared" si="3"/>
        <v>match</v>
      </c>
    </row>
    <row r="4" spans="1:14" ht="69">
      <c r="A4" t="s">
        <v>164</v>
      </c>
      <c r="B4" t="s">
        <v>115</v>
      </c>
      <c r="C4" s="14" t="s">
        <v>291</v>
      </c>
      <c r="D4" t="s">
        <v>375</v>
      </c>
      <c r="E4" t="s">
        <v>376</v>
      </c>
      <c r="G4" t="s">
        <v>392</v>
      </c>
      <c r="H4" s="20">
        <v>2027</v>
      </c>
      <c r="I4" s="30">
        <f>100*(1-(SUMIFS(CVD_40q30_Age!$M$2:$M$2081,CVD_40q30_Age!$A$2:$A$2081,A4,CVD_40q30_Age!$B$2:$B$2081,B4,CVD_40q30_Age!$E$2:$E$2081,G4,CVD_40q30_Age!$F$2:$F$2081,H4,CVD_40q30_Age!$G$2:$G$2081,69))/(SUMIFS(CVD_40q30_Age!$L$2:$L$2081,CVD_40q30_Age!$A$2:$A$2081,A4,CVD_40q30_Age!$B$2:$B$2081,B4,CVD_40q30_Age!$E$2:$E$2081,G4,CVD_40q30_Age!$F$2:$F$2081,H4,CVD_40q30_Age!$G$2:$G$2081,30)))</f>
        <v>14.429623302950745</v>
      </c>
      <c r="J4" s="30">
        <f t="shared" si="0"/>
        <v>14.435622380360035</v>
      </c>
      <c r="K4" s="30">
        <f t="shared" si="1"/>
        <v>5.9990774092906207E-3</v>
      </c>
      <c r="L4" s="28">
        <f t="shared" si="2"/>
        <v>4.1557455932433436E-2</v>
      </c>
      <c r="M4" s="35">
        <v>14.4296233029507</v>
      </c>
      <c r="N4" s="16" t="str">
        <f t="shared" si="3"/>
        <v>match</v>
      </c>
    </row>
    <row r="5" spans="1:14" ht="69">
      <c r="A5" t="s">
        <v>164</v>
      </c>
      <c r="B5" t="s">
        <v>115</v>
      </c>
      <c r="C5" s="14" t="s">
        <v>291</v>
      </c>
      <c r="D5" t="s">
        <v>375</v>
      </c>
      <c r="E5" t="s">
        <v>376</v>
      </c>
      <c r="G5" t="s">
        <v>392</v>
      </c>
      <c r="H5" s="20">
        <v>2028</v>
      </c>
      <c r="I5" s="30">
        <f>100*(1-(SUMIFS(CVD_40q30_Age!$M$2:$M$2081,CVD_40q30_Age!$A$2:$A$2081,A5,CVD_40q30_Age!$B$2:$B$2081,B5,CVD_40q30_Age!$E$2:$E$2081,G5,CVD_40q30_Age!$F$2:$F$2081,H5,CVD_40q30_Age!$G$2:$G$2081,69))/(SUMIFS(CVD_40q30_Age!$L$2:$L$2081,CVD_40q30_Age!$A$2:$A$2081,A5,CVD_40q30_Age!$B$2:$B$2081,B5,CVD_40q30_Age!$E$2:$E$2081,G5,CVD_40q30_Age!$F$2:$F$2081,H5,CVD_40q30_Age!$G$2:$G$2081,30)))</f>
        <v>14.335391503283489</v>
      </c>
      <c r="J5" s="30">
        <f t="shared" si="0"/>
        <v>14.351337436226553</v>
      </c>
      <c r="K5" s="30">
        <f t="shared" si="1"/>
        <v>1.5945932943063568E-2</v>
      </c>
      <c r="L5" s="28">
        <f t="shared" si="2"/>
        <v>0.11111112824099471</v>
      </c>
      <c r="M5" s="35">
        <v>14.3353915032835</v>
      </c>
      <c r="N5" s="16" t="str">
        <f t="shared" si="3"/>
        <v>match</v>
      </c>
    </row>
    <row r="6" spans="1:14" ht="69">
      <c r="A6" t="s">
        <v>164</v>
      </c>
      <c r="B6" t="s">
        <v>115</v>
      </c>
      <c r="C6" s="14" t="s">
        <v>291</v>
      </c>
      <c r="D6" t="s">
        <v>375</v>
      </c>
      <c r="E6" t="s">
        <v>376</v>
      </c>
      <c r="G6" t="s">
        <v>392</v>
      </c>
      <c r="H6" s="20">
        <v>2029</v>
      </c>
      <c r="I6" s="30">
        <f>100*(1-(SUMIFS(CVD_40q30_Age!$M$2:$M$2081,CVD_40q30_Age!$A$2:$A$2081,A6,CVD_40q30_Age!$B$2:$B$2081,B6,CVD_40q30_Age!$E$2:$E$2081,G6,CVD_40q30_Age!$F$2:$F$2081,H6,CVD_40q30_Age!$G$2:$G$2081,69))/(SUMIFS(CVD_40q30_Age!$L$2:$L$2081,CVD_40q30_Age!$A$2:$A$2081,A6,CVD_40q30_Age!$B$2:$B$2081,B6,CVD_40q30_Age!$E$2:$E$2081,G6,CVD_40q30_Age!$F$2:$F$2081,H6,CVD_40q30_Age!$G$2:$G$2081,30)))</f>
        <v>14.24675774789036</v>
      </c>
      <c r="J6" s="30">
        <f t="shared" si="0"/>
        <v>14.275766755657616</v>
      </c>
      <c r="K6" s="30">
        <f t="shared" si="1"/>
        <v>2.9009007767255568E-2</v>
      </c>
      <c r="L6" s="28">
        <f t="shared" si="2"/>
        <v>0.20320455120744416</v>
      </c>
      <c r="M6" s="35">
        <v>14.246757747890401</v>
      </c>
      <c r="N6" s="16" t="str">
        <f t="shared" si="3"/>
        <v>match</v>
      </c>
    </row>
    <row r="7" spans="1:14" ht="69">
      <c r="A7" t="s">
        <v>164</v>
      </c>
      <c r="B7" t="s">
        <v>115</v>
      </c>
      <c r="C7" s="14" t="s">
        <v>291</v>
      </c>
      <c r="D7" t="s">
        <v>375</v>
      </c>
      <c r="E7" t="s">
        <v>376</v>
      </c>
      <c r="G7" t="s">
        <v>392</v>
      </c>
      <c r="H7" s="20">
        <v>2030</v>
      </c>
      <c r="I7" s="30">
        <f>100*(1-(SUMIFS(CVD_40q30_Age!$M$2:$M$2081,CVD_40q30_Age!$A$2:$A$2081,A7,CVD_40q30_Age!$B$2:$B$2081,B7,CVD_40q30_Age!$E$2:$E$2081,G7,CVD_40q30_Age!$F$2:$F$2081,H7,CVD_40q30_Age!$G$2:$G$2081,69))/(SUMIFS(CVD_40q30_Age!$L$2:$L$2081,CVD_40q30_Age!$A$2:$A$2081,A7,CVD_40q30_Age!$B$2:$B$2081,B7,CVD_40q30_Age!$E$2:$E$2081,G7,CVD_40q30_Age!$F$2:$F$2081,H7,CVD_40q30_Age!$G$2:$G$2081,30)))</f>
        <v>14.147438816539227</v>
      </c>
      <c r="J7" s="30">
        <f t="shared" si="0"/>
        <v>14.192049012873643</v>
      </c>
      <c r="K7" s="30">
        <f t="shared" si="1"/>
        <v>4.4610196334415875E-2</v>
      </c>
      <c r="L7" s="28">
        <f t="shared" si="2"/>
        <v>0.31433231589004418</v>
      </c>
      <c r="M7" s="35">
        <v>14.1474388165392</v>
      </c>
      <c r="N7" s="16" t="str">
        <f t="shared" si="3"/>
        <v>match</v>
      </c>
    </row>
    <row r="8" spans="1:14" ht="69">
      <c r="A8" t="s">
        <v>164</v>
      </c>
      <c r="B8" t="s">
        <v>115</v>
      </c>
      <c r="C8" s="14" t="s">
        <v>291</v>
      </c>
      <c r="D8" t="s">
        <v>375</v>
      </c>
      <c r="E8" t="s">
        <v>376</v>
      </c>
      <c r="G8" t="s">
        <v>392</v>
      </c>
      <c r="H8" s="20">
        <v>2031</v>
      </c>
      <c r="I8" s="30">
        <f>100*(1-(SUMIFS(CVD_40q30_Age!$M$2:$M$2081,CVD_40q30_Age!$A$2:$A$2081,A8,CVD_40q30_Age!$B$2:$B$2081,B8,CVD_40q30_Age!$E$2:$E$2081,G8,CVD_40q30_Age!$F$2:$F$2081,H8,CVD_40q30_Age!$G$2:$G$2081,69))/(SUMIFS(CVD_40q30_Age!$L$2:$L$2081,CVD_40q30_Age!$A$2:$A$2081,A8,CVD_40q30_Age!$B$2:$B$2081,B8,CVD_40q30_Age!$E$2:$E$2081,G8,CVD_40q30_Age!$F$2:$F$2081,H8,CVD_40q30_Age!$G$2:$G$2081,30)))</f>
        <v>14.019869928304974</v>
      </c>
      <c r="J8" s="30">
        <f t="shared" si="0"/>
        <v>14.085133545935303</v>
      </c>
      <c r="K8" s="30">
        <f t="shared" si="1"/>
        <v>6.5263617630328952E-2</v>
      </c>
      <c r="L8" s="28">
        <f t="shared" si="2"/>
        <v>0.46335107450339202</v>
      </c>
      <c r="M8" s="35">
        <v>14.019869928305001</v>
      </c>
      <c r="N8" s="16" t="str">
        <f t="shared" si="3"/>
        <v>match</v>
      </c>
    </row>
    <row r="9" spans="1:14" ht="69">
      <c r="A9" t="s">
        <v>164</v>
      </c>
      <c r="B9" t="s">
        <v>115</v>
      </c>
      <c r="C9" s="14" t="s">
        <v>291</v>
      </c>
      <c r="D9" t="s">
        <v>375</v>
      </c>
      <c r="E9" t="s">
        <v>376</v>
      </c>
      <c r="G9" t="s">
        <v>392</v>
      </c>
      <c r="H9" s="20">
        <v>2032</v>
      </c>
      <c r="I9" s="30">
        <f>100*(1-(SUMIFS(CVD_40q30_Age!$M$2:$M$2081,CVD_40q30_Age!$A$2:$A$2081,A9,CVD_40q30_Age!$B$2:$B$2081,B9,CVD_40q30_Age!$E$2:$E$2081,G9,CVD_40q30_Age!$F$2:$F$2081,H9,CVD_40q30_Age!$G$2:$G$2081,69))/(SUMIFS(CVD_40q30_Age!$L$2:$L$2081,CVD_40q30_Age!$A$2:$A$2081,A9,CVD_40q30_Age!$B$2:$B$2081,B9,CVD_40q30_Age!$E$2:$E$2081,G9,CVD_40q30_Age!$F$2:$F$2081,H9,CVD_40q30_Age!$G$2:$G$2081,30)))</f>
        <v>13.861031113111588</v>
      </c>
      <c r="J9" s="30">
        <f t="shared" si="0"/>
        <v>13.970746153214863</v>
      </c>
      <c r="K9" s="30">
        <f t="shared" si="1"/>
        <v>0.10971504010327493</v>
      </c>
      <c r="L9" s="28">
        <f t="shared" si="2"/>
        <v>0.78531983116755699</v>
      </c>
      <c r="M9" s="35">
        <v>13.861031113111601</v>
      </c>
      <c r="N9" s="16" t="str">
        <f t="shared" si="3"/>
        <v>match</v>
      </c>
    </row>
    <row r="10" spans="1:14" ht="69">
      <c r="A10" t="s">
        <v>164</v>
      </c>
      <c r="B10" t="s">
        <v>115</v>
      </c>
      <c r="C10" s="14" t="s">
        <v>291</v>
      </c>
      <c r="D10" t="s">
        <v>375</v>
      </c>
      <c r="E10" t="s">
        <v>376</v>
      </c>
      <c r="G10" t="s">
        <v>392</v>
      </c>
      <c r="H10" s="20">
        <v>2033</v>
      </c>
      <c r="I10" s="30">
        <f>100*(1-(SUMIFS(CVD_40q30_Age!$M$2:$M$2081,CVD_40q30_Age!$A$2:$A$2081,A10,CVD_40q30_Age!$B$2:$B$2081,B10,CVD_40q30_Age!$E$2:$E$2081,G10,CVD_40q30_Age!$F$2:$F$2081,H10,CVD_40q30_Age!$G$2:$G$2081,69))/(SUMIFS(CVD_40q30_Age!$L$2:$L$2081,CVD_40q30_Age!$A$2:$A$2081,A10,CVD_40q30_Age!$B$2:$B$2081,B10,CVD_40q30_Age!$E$2:$E$2081,G10,CVD_40q30_Age!$F$2:$F$2081,H10,CVD_40q30_Age!$G$2:$G$2081,30)))</f>
        <v>13.674004501343095</v>
      </c>
      <c r="J10" s="30">
        <f t="shared" si="0"/>
        <v>13.845230894675142</v>
      </c>
      <c r="K10" s="30">
        <f t="shared" si="1"/>
        <v>0.17122639333204681</v>
      </c>
      <c r="L10" s="28">
        <f t="shared" si="2"/>
        <v>1.2367174995824755</v>
      </c>
      <c r="M10" s="35">
        <v>13.6740045013431</v>
      </c>
      <c r="N10" s="16" t="str">
        <f t="shared" si="3"/>
        <v>match</v>
      </c>
    </row>
    <row r="11" spans="1:14" ht="69">
      <c r="A11" t="s">
        <v>164</v>
      </c>
      <c r="B11" t="s">
        <v>115</v>
      </c>
      <c r="C11" s="14" t="s">
        <v>291</v>
      </c>
      <c r="D11" t="s">
        <v>375</v>
      </c>
      <c r="E11" t="s">
        <v>376</v>
      </c>
      <c r="G11" t="s">
        <v>392</v>
      </c>
      <c r="H11" s="20">
        <v>2034</v>
      </c>
      <c r="I11" s="30">
        <f>100*(1-(SUMIFS(CVD_40q30_Age!$M$2:$M$2081,CVD_40q30_Age!$A$2:$A$2081,A11,CVD_40q30_Age!$B$2:$B$2081,B11,CVD_40q30_Age!$E$2:$E$2081,G11,CVD_40q30_Age!$F$2:$F$2081,H11,CVD_40q30_Age!$G$2:$G$2081,69))/(SUMIFS(CVD_40q30_Age!$L$2:$L$2081,CVD_40q30_Age!$A$2:$A$2081,A11,CVD_40q30_Age!$B$2:$B$2081,B11,CVD_40q30_Age!$E$2:$E$2081,G11,CVD_40q30_Age!$F$2:$F$2081,H11,CVD_40q30_Age!$G$2:$G$2081,30)))</f>
        <v>13.480061370721497</v>
      </c>
      <c r="J11" s="30">
        <f t="shared" si="0"/>
        <v>13.726112857616224</v>
      </c>
      <c r="K11" s="30">
        <f t="shared" si="1"/>
        <v>0.24605148689472678</v>
      </c>
      <c r="L11" s="28">
        <f t="shared" si="2"/>
        <v>1.7925795121100139</v>
      </c>
      <c r="M11" s="35">
        <v>13.480061370721501</v>
      </c>
      <c r="N11" s="16" t="str">
        <f t="shared" si="3"/>
        <v>match</v>
      </c>
    </row>
    <row r="12" spans="1:14" ht="69">
      <c r="A12" t="s">
        <v>164</v>
      </c>
      <c r="B12" t="s">
        <v>115</v>
      </c>
      <c r="C12" s="14" t="s">
        <v>291</v>
      </c>
      <c r="D12" t="s">
        <v>375</v>
      </c>
      <c r="E12" t="s">
        <v>376</v>
      </c>
      <c r="G12" t="s">
        <v>392</v>
      </c>
      <c r="H12" s="20">
        <v>2035</v>
      </c>
      <c r="I12" s="30">
        <f>100*(1-(SUMIFS(CVD_40q30_Age!$M$2:$M$2081,CVD_40q30_Age!$A$2:$A$2081,A12,CVD_40q30_Age!$B$2:$B$2081,B12,CVD_40q30_Age!$E$2:$E$2081,G12,CVD_40q30_Age!$F$2:$F$2081,H12,CVD_40q30_Age!$G$2:$G$2081,69))/(SUMIFS(CVD_40q30_Age!$L$2:$L$2081,CVD_40q30_Age!$A$2:$A$2081,A12,CVD_40q30_Age!$B$2:$B$2081,B12,CVD_40q30_Age!$E$2:$E$2081,G12,CVD_40q30_Age!$F$2:$F$2081,H12,CVD_40q30_Age!$G$2:$G$2081,30)))</f>
        <v>13.268201192772189</v>
      </c>
      <c r="J12" s="30">
        <f t="shared" si="0"/>
        <v>13.599951679669731</v>
      </c>
      <c r="K12" s="30">
        <f t="shared" si="1"/>
        <v>0.33175048689754227</v>
      </c>
      <c r="L12" s="28">
        <f t="shared" si="2"/>
        <v>2.4393504823511161</v>
      </c>
      <c r="M12" s="35">
        <v>13.268201192772199</v>
      </c>
      <c r="N12" s="16" t="str">
        <f t="shared" si="3"/>
        <v>match</v>
      </c>
    </row>
    <row r="13" spans="1:14" ht="69">
      <c r="A13" t="s">
        <v>164</v>
      </c>
      <c r="B13" t="s">
        <v>115</v>
      </c>
      <c r="C13" s="14" t="s">
        <v>291</v>
      </c>
      <c r="D13" t="s">
        <v>375</v>
      </c>
      <c r="E13" t="s">
        <v>376</v>
      </c>
      <c r="G13" t="s">
        <v>392</v>
      </c>
      <c r="H13" s="20">
        <v>2036</v>
      </c>
      <c r="I13" s="30">
        <f>100*(1-(SUMIFS(CVD_40q30_Age!$M$2:$M$2081,CVD_40q30_Age!$A$2:$A$2081,A13,CVD_40q30_Age!$B$2:$B$2081,B13,CVD_40q30_Age!$E$2:$E$2081,G13,CVD_40q30_Age!$F$2:$F$2081,H13,CVD_40q30_Age!$G$2:$G$2081,69))/(SUMIFS(CVD_40q30_Age!$L$2:$L$2081,CVD_40q30_Age!$A$2:$A$2081,A13,CVD_40q30_Age!$B$2:$B$2081,B13,CVD_40q30_Age!$E$2:$E$2081,G13,CVD_40q30_Age!$F$2:$F$2081,H13,CVD_40q30_Age!$G$2:$G$2081,30)))</f>
        <v>13.055326458914408</v>
      </c>
      <c r="J13" s="30">
        <f t="shared" si="0"/>
        <v>13.480038535038208</v>
      </c>
      <c r="K13" s="30">
        <f t="shared" si="1"/>
        <v>0.42471207612380013</v>
      </c>
      <c r="L13" s="28">
        <f t="shared" si="2"/>
        <v>3.1506740505218915</v>
      </c>
      <c r="M13" s="35">
        <v>13.055326458914401</v>
      </c>
      <c r="N13" s="16" t="str">
        <f t="shared" si="3"/>
        <v>match</v>
      </c>
    </row>
    <row r="14" spans="1:14" ht="69">
      <c r="A14" t="s">
        <v>164</v>
      </c>
      <c r="B14" t="s">
        <v>115</v>
      </c>
      <c r="C14" s="14" t="s">
        <v>291</v>
      </c>
      <c r="D14" t="s">
        <v>375</v>
      </c>
      <c r="E14" t="s">
        <v>376</v>
      </c>
      <c r="G14" t="s">
        <v>392</v>
      </c>
      <c r="H14" s="20">
        <v>2037</v>
      </c>
      <c r="I14" s="30">
        <f>100*(1-(SUMIFS(CVD_40q30_Age!$M$2:$M$2081,CVD_40q30_Age!$A$2:$A$2081,A14,CVD_40q30_Age!$B$2:$B$2081,B14,CVD_40q30_Age!$E$2:$E$2081,G14,CVD_40q30_Age!$F$2:$F$2081,H14,CVD_40q30_Age!$G$2:$G$2081,69))/(SUMIFS(CVD_40q30_Age!$L$2:$L$2081,CVD_40q30_Age!$A$2:$A$2081,A14,CVD_40q30_Age!$B$2:$B$2081,B14,CVD_40q30_Age!$E$2:$E$2081,G14,CVD_40q30_Age!$F$2:$F$2081,H14,CVD_40q30_Age!$G$2:$G$2081,30)))</f>
        <v>12.833712524148744</v>
      </c>
      <c r="J14" s="30">
        <f t="shared" si="0"/>
        <v>13.356721338798561</v>
      </c>
      <c r="K14" s="30">
        <f t="shared" si="1"/>
        <v>0.52300881464981686</v>
      </c>
      <c r="L14" s="28">
        <f t="shared" si="2"/>
        <v>3.9156975831380305</v>
      </c>
      <c r="M14" s="35">
        <v>12.8337125241487</v>
      </c>
      <c r="N14" s="16" t="str">
        <f t="shared" si="3"/>
        <v>match</v>
      </c>
    </row>
    <row r="15" spans="1:14" ht="69">
      <c r="A15" t="s">
        <v>164</v>
      </c>
      <c r="B15" t="s">
        <v>115</v>
      </c>
      <c r="C15" s="14" t="s">
        <v>291</v>
      </c>
      <c r="D15" t="s">
        <v>375</v>
      </c>
      <c r="E15" t="s">
        <v>376</v>
      </c>
      <c r="G15" t="s">
        <v>392</v>
      </c>
      <c r="H15" s="20">
        <v>2038</v>
      </c>
      <c r="I15" s="30">
        <f>100*(1-(SUMIFS(CVD_40q30_Age!$M$2:$M$2081,CVD_40q30_Age!$A$2:$A$2081,A15,CVD_40q30_Age!$B$2:$B$2081,B15,CVD_40q30_Age!$E$2:$E$2081,G15,CVD_40q30_Age!$F$2:$F$2081,H15,CVD_40q30_Age!$G$2:$G$2081,69))/(SUMIFS(CVD_40q30_Age!$L$2:$L$2081,CVD_40q30_Age!$A$2:$A$2081,A15,CVD_40q30_Age!$B$2:$B$2081,B15,CVD_40q30_Age!$E$2:$E$2081,G15,CVD_40q30_Age!$F$2:$F$2081,H15,CVD_40q30_Age!$G$2:$G$2081,30)))</f>
        <v>12.603575879703598</v>
      </c>
      <c r="J15" s="30">
        <f t="shared" si="0"/>
        <v>13.229199067255525</v>
      </c>
      <c r="K15" s="30">
        <f t="shared" si="1"/>
        <v>0.62562318755192692</v>
      </c>
      <c r="L15" s="28">
        <f t="shared" si="2"/>
        <v>4.7291085754423987</v>
      </c>
      <c r="M15" s="35">
        <v>12.6035758797036</v>
      </c>
      <c r="N15" s="16" t="str">
        <f t="shared" si="3"/>
        <v>match</v>
      </c>
    </row>
    <row r="16" spans="1:14" ht="69">
      <c r="A16" t="s">
        <v>164</v>
      </c>
      <c r="B16" t="s">
        <v>115</v>
      </c>
      <c r="C16" s="14" t="s">
        <v>291</v>
      </c>
      <c r="D16" t="s">
        <v>375</v>
      </c>
      <c r="E16" t="s">
        <v>376</v>
      </c>
      <c r="G16" t="s">
        <v>392</v>
      </c>
      <c r="H16" s="20">
        <v>2039</v>
      </c>
      <c r="I16" s="30">
        <f>100*(1-(SUMIFS(CVD_40q30_Age!$M$2:$M$2081,CVD_40q30_Age!$A$2:$A$2081,A16,CVD_40q30_Age!$B$2:$B$2081,B16,CVD_40q30_Age!$E$2:$E$2081,G16,CVD_40q30_Age!$F$2:$F$2081,H16,CVD_40q30_Age!$G$2:$G$2081,69))/(SUMIFS(CVD_40q30_Age!$L$2:$L$2081,CVD_40q30_Age!$A$2:$A$2081,A16,CVD_40q30_Age!$B$2:$B$2081,B16,CVD_40q30_Age!$E$2:$E$2081,G16,CVD_40q30_Age!$F$2:$F$2081,H16,CVD_40q30_Age!$G$2:$G$2081,30)))</f>
        <v>12.376816090999176</v>
      </c>
      <c r="J16" s="30">
        <f t="shared" si="0"/>
        <v>13.109041729496806</v>
      </c>
      <c r="K16" s="30">
        <f t="shared" si="1"/>
        <v>0.73222563849762956</v>
      </c>
      <c r="L16" s="28">
        <f t="shared" si="2"/>
        <v>5.5856534261390003</v>
      </c>
      <c r="M16" s="35">
        <v>12.376816090999201</v>
      </c>
      <c r="N16" s="16" t="str">
        <f t="shared" si="3"/>
        <v>match</v>
      </c>
    </row>
    <row r="17" spans="1:14" ht="69">
      <c r="A17" t="s">
        <v>164</v>
      </c>
      <c r="B17" t="s">
        <v>115</v>
      </c>
      <c r="C17" s="14" t="s">
        <v>291</v>
      </c>
      <c r="D17" t="s">
        <v>375</v>
      </c>
      <c r="E17" t="s">
        <v>376</v>
      </c>
      <c r="G17" t="s">
        <v>392</v>
      </c>
      <c r="H17" s="20">
        <v>2040</v>
      </c>
      <c r="I17" s="30">
        <f>100*(1-(SUMIFS(CVD_40q30_Age!$M$2:$M$2081,CVD_40q30_Age!$A$2:$A$2081,A17,CVD_40q30_Age!$B$2:$B$2081,B17,CVD_40q30_Age!$E$2:$E$2081,G17,CVD_40q30_Age!$F$2:$F$2081,H17,CVD_40q30_Age!$G$2:$G$2081,69))/(SUMIFS(CVD_40q30_Age!$L$2:$L$2081,CVD_40q30_Age!$A$2:$A$2081,A17,CVD_40q30_Age!$B$2:$B$2081,B17,CVD_40q30_Age!$E$2:$E$2081,G17,CVD_40q30_Age!$F$2:$F$2081,H17,CVD_40q30_Age!$G$2:$G$2081,30)))</f>
        <v>12.139695976653309</v>
      </c>
      <c r="J17" s="30">
        <f t="shared" si="0"/>
        <v>12.981499482050596</v>
      </c>
      <c r="K17" s="30">
        <f t="shared" si="1"/>
        <v>0.84180350539728721</v>
      </c>
      <c r="L17" s="28">
        <f t="shared" si="2"/>
        <v>6.4846399798516456</v>
      </c>
      <c r="M17" s="35">
        <v>12.1396959766533</v>
      </c>
      <c r="N17" s="16" t="str">
        <f t="shared" si="3"/>
        <v>match</v>
      </c>
    </row>
    <row r="18" spans="1:14" ht="69">
      <c r="A18" t="s">
        <v>164</v>
      </c>
      <c r="B18" t="s">
        <v>115</v>
      </c>
      <c r="C18" s="14" t="s">
        <v>291</v>
      </c>
      <c r="D18" t="s">
        <v>375</v>
      </c>
      <c r="E18" t="s">
        <v>376</v>
      </c>
      <c r="G18" t="s">
        <v>392</v>
      </c>
      <c r="H18" s="20">
        <v>2041</v>
      </c>
      <c r="I18" s="30">
        <f>100*(1-(SUMIFS(CVD_40q30_Age!$M$2:$M$2081,CVD_40q30_Age!$A$2:$A$2081,A18,CVD_40q30_Age!$B$2:$B$2081,B18,CVD_40q30_Age!$E$2:$E$2081,G18,CVD_40q30_Age!$F$2:$F$2081,H18,CVD_40q30_Age!$G$2:$G$2081,69))/(SUMIFS(CVD_40q30_Age!$L$2:$L$2081,CVD_40q30_Age!$A$2:$A$2081,A18,CVD_40q30_Age!$B$2:$B$2081,B18,CVD_40q30_Age!$E$2:$E$2081,G18,CVD_40q30_Age!$F$2:$F$2081,H18,CVD_40q30_Age!$G$2:$G$2081,30)))</f>
        <v>11.904234417406933</v>
      </c>
      <c r="J18" s="30">
        <f t="shared" si="0"/>
        <v>12.853722022957381</v>
      </c>
      <c r="K18" s="30">
        <f t="shared" si="1"/>
        <v>0.94948760555044842</v>
      </c>
      <c r="L18" s="28">
        <f t="shared" si="2"/>
        <v>7.3868689851438889</v>
      </c>
      <c r="M18" s="35">
        <v>11.904234417406901</v>
      </c>
      <c r="N18" s="16" t="str">
        <f t="shared" si="3"/>
        <v>match</v>
      </c>
    </row>
    <row r="19" spans="1:14" ht="69">
      <c r="A19" t="s">
        <v>164</v>
      </c>
      <c r="B19" t="s">
        <v>115</v>
      </c>
      <c r="C19" s="14" t="s">
        <v>291</v>
      </c>
      <c r="D19" t="s">
        <v>375</v>
      </c>
      <c r="E19" t="s">
        <v>376</v>
      </c>
      <c r="G19" t="s">
        <v>392</v>
      </c>
      <c r="H19" s="20">
        <v>2042</v>
      </c>
      <c r="I19" s="30">
        <f>100*(1-(SUMIFS(CVD_40q30_Age!$M$2:$M$2081,CVD_40q30_Age!$A$2:$A$2081,A19,CVD_40q30_Age!$B$2:$B$2081,B19,CVD_40q30_Age!$E$2:$E$2081,G19,CVD_40q30_Age!$F$2:$F$2081,H19,CVD_40q30_Age!$G$2:$G$2081,69))/(SUMIFS(CVD_40q30_Age!$L$2:$L$2081,CVD_40q30_Age!$A$2:$A$2081,A19,CVD_40q30_Age!$B$2:$B$2081,B19,CVD_40q30_Age!$E$2:$E$2081,G19,CVD_40q30_Age!$F$2:$F$2081,H19,CVD_40q30_Age!$G$2:$G$2081,30)))</f>
        <v>11.688186348900809</v>
      </c>
      <c r="J19" s="30">
        <f t="shared" si="0"/>
        <v>12.722486807494281</v>
      </c>
      <c r="K19" s="30">
        <f t="shared" si="1"/>
        <v>1.0343004585934725</v>
      </c>
      <c r="L19" s="28">
        <f t="shared" si="2"/>
        <v>8.1297035260764403</v>
      </c>
      <c r="M19" s="35">
        <v>11.6881863489008</v>
      </c>
      <c r="N19" s="16" t="str">
        <f t="shared" si="3"/>
        <v>match</v>
      </c>
    </row>
    <row r="20" spans="1:14" ht="69">
      <c r="A20" t="s">
        <v>164</v>
      </c>
      <c r="B20" t="s">
        <v>115</v>
      </c>
      <c r="C20" s="14" t="s">
        <v>291</v>
      </c>
      <c r="D20" t="s">
        <v>375</v>
      </c>
      <c r="E20" t="s">
        <v>376</v>
      </c>
      <c r="G20" t="s">
        <v>392</v>
      </c>
      <c r="H20" s="20">
        <v>2043</v>
      </c>
      <c r="I20" s="30">
        <f>100*(1-(SUMIFS(CVD_40q30_Age!$M$2:$M$2081,CVD_40q30_Age!$A$2:$A$2081,A20,CVD_40q30_Age!$B$2:$B$2081,B20,CVD_40q30_Age!$E$2:$E$2081,G20,CVD_40q30_Age!$F$2:$F$2081,H20,CVD_40q30_Age!$G$2:$G$2081,69))/(SUMIFS(CVD_40q30_Age!$L$2:$L$2081,CVD_40q30_Age!$A$2:$A$2081,A20,CVD_40q30_Age!$B$2:$B$2081,B20,CVD_40q30_Age!$E$2:$E$2081,G20,CVD_40q30_Age!$F$2:$F$2081,H20,CVD_40q30_Age!$G$2:$G$2081,30)))</f>
        <v>11.483608786317735</v>
      </c>
      <c r="J20" s="30">
        <f t="shared" si="0"/>
        <v>12.585540181250643</v>
      </c>
      <c r="K20" s="30">
        <f t="shared" si="1"/>
        <v>1.1019313949329081</v>
      </c>
      <c r="L20" s="28">
        <f t="shared" si="2"/>
        <v>8.7555351543393805</v>
      </c>
      <c r="M20" s="35">
        <v>11.483608786317699</v>
      </c>
      <c r="N20" s="16" t="str">
        <f t="shared" si="3"/>
        <v>match</v>
      </c>
    </row>
    <row r="21" spans="1:14" ht="69">
      <c r="A21" t="s">
        <v>164</v>
      </c>
      <c r="B21" t="s">
        <v>115</v>
      </c>
      <c r="C21" s="14" t="s">
        <v>291</v>
      </c>
      <c r="D21" t="s">
        <v>375</v>
      </c>
      <c r="E21" t="s">
        <v>376</v>
      </c>
      <c r="G21" t="s">
        <v>392</v>
      </c>
      <c r="H21" s="20">
        <v>2044</v>
      </c>
      <c r="I21" s="30">
        <f>100*(1-(SUMIFS(CVD_40q30_Age!$M$2:$M$2081,CVD_40q30_Age!$A$2:$A$2081,A21,CVD_40q30_Age!$B$2:$B$2081,B21,CVD_40q30_Age!$E$2:$E$2081,G21,CVD_40q30_Age!$F$2:$F$2081,H21,CVD_40q30_Age!$G$2:$G$2081,69))/(SUMIFS(CVD_40q30_Age!$L$2:$L$2081,CVD_40q30_Age!$A$2:$A$2081,A21,CVD_40q30_Age!$B$2:$B$2081,B21,CVD_40q30_Age!$E$2:$E$2081,G21,CVD_40q30_Age!$F$2:$F$2081,H21,CVD_40q30_Age!$G$2:$G$2081,30)))</f>
        <v>11.29511440492591</v>
      </c>
      <c r="J21" s="30">
        <f t="shared" si="0"/>
        <v>12.450986408722986</v>
      </c>
      <c r="K21" s="30">
        <f t="shared" si="1"/>
        <v>1.1558720037970769</v>
      </c>
      <c r="L21" s="28">
        <f t="shared" si="2"/>
        <v>9.2833769619031088</v>
      </c>
      <c r="M21" s="35">
        <v>11.295114404925901</v>
      </c>
      <c r="N21" s="16" t="str">
        <f t="shared" si="3"/>
        <v>match</v>
      </c>
    </row>
    <row r="22" spans="1:14" ht="69">
      <c r="A22" t="s">
        <v>164</v>
      </c>
      <c r="B22" t="s">
        <v>115</v>
      </c>
      <c r="C22" s="14" t="s">
        <v>291</v>
      </c>
      <c r="D22" t="s">
        <v>375</v>
      </c>
      <c r="E22" t="s">
        <v>376</v>
      </c>
      <c r="G22" t="s">
        <v>392</v>
      </c>
      <c r="H22" s="20">
        <v>2045</v>
      </c>
      <c r="I22" s="30">
        <f>100*(1-(SUMIFS(CVD_40q30_Age!$M$2:$M$2081,CVD_40q30_Age!$A$2:$A$2081,A22,CVD_40q30_Age!$B$2:$B$2081,B22,CVD_40q30_Age!$E$2:$E$2081,G22,CVD_40q30_Age!$F$2:$F$2081,H22,CVD_40q30_Age!$G$2:$G$2081,69))/(SUMIFS(CVD_40q30_Age!$L$2:$L$2081,CVD_40q30_Age!$A$2:$A$2081,A22,CVD_40q30_Age!$B$2:$B$2081,B22,CVD_40q30_Age!$E$2:$E$2081,G22,CVD_40q30_Age!$F$2:$F$2081,H22,CVD_40q30_Age!$G$2:$G$2081,30)))</f>
        <v>11.125521629006595</v>
      </c>
      <c r="J22" s="30">
        <f t="shared" si="0"/>
        <v>12.324707048815132</v>
      </c>
      <c r="K22" s="30">
        <f t="shared" si="1"/>
        <v>1.1991854198085363</v>
      </c>
      <c r="L22" s="28">
        <f t="shared" si="2"/>
        <v>9.7299304158618778</v>
      </c>
      <c r="M22" s="35">
        <v>11.125521629006601</v>
      </c>
      <c r="N22" s="16" t="str">
        <f t="shared" si="3"/>
        <v>match</v>
      </c>
    </row>
    <row r="23" spans="1:14" ht="69">
      <c r="A23" t="s">
        <v>164</v>
      </c>
      <c r="B23" t="s">
        <v>115</v>
      </c>
      <c r="C23" s="14" t="s">
        <v>291</v>
      </c>
      <c r="D23" t="s">
        <v>375</v>
      </c>
      <c r="E23" t="s">
        <v>376</v>
      </c>
      <c r="G23" t="s">
        <v>392</v>
      </c>
      <c r="H23" s="20">
        <v>2046</v>
      </c>
      <c r="I23" s="30">
        <f>100*(1-(SUMIFS(CVD_40q30_Age!$M$2:$M$2081,CVD_40q30_Age!$A$2:$A$2081,A23,CVD_40q30_Age!$B$2:$B$2081,B23,CVD_40q30_Age!$E$2:$E$2081,G23,CVD_40q30_Age!$F$2:$F$2081,H23,CVD_40q30_Age!$G$2:$G$2081,69))/(SUMIFS(CVD_40q30_Age!$L$2:$L$2081,CVD_40q30_Age!$A$2:$A$2081,A23,CVD_40q30_Age!$B$2:$B$2081,B23,CVD_40q30_Age!$E$2:$E$2081,G23,CVD_40q30_Age!$F$2:$F$2081,H23,CVD_40q30_Age!$G$2:$G$2081,30)))</f>
        <v>10.962067483235904</v>
      </c>
      <c r="J23" s="30">
        <f t="shared" si="0"/>
        <v>12.195786703555134</v>
      </c>
      <c r="K23" s="30">
        <f t="shared" si="1"/>
        <v>1.2337192203192302</v>
      </c>
      <c r="L23" s="28">
        <f t="shared" si="2"/>
        <v>10.115946189511455</v>
      </c>
      <c r="M23" s="35">
        <v>10.9620674832359</v>
      </c>
      <c r="N23" s="16" t="str">
        <f t="shared" si="3"/>
        <v>match</v>
      </c>
    </row>
    <row r="24" spans="1:14" ht="69">
      <c r="A24" t="s">
        <v>164</v>
      </c>
      <c r="B24" t="s">
        <v>115</v>
      </c>
      <c r="C24" s="14" t="s">
        <v>291</v>
      </c>
      <c r="D24" t="s">
        <v>375</v>
      </c>
      <c r="E24" t="s">
        <v>376</v>
      </c>
      <c r="G24" t="s">
        <v>392</v>
      </c>
      <c r="H24" s="20">
        <v>2047</v>
      </c>
      <c r="I24" s="30">
        <f>100*(1-(SUMIFS(CVD_40q30_Age!$M$2:$M$2081,CVD_40q30_Age!$A$2:$A$2081,A24,CVD_40q30_Age!$B$2:$B$2081,B24,CVD_40q30_Age!$E$2:$E$2081,G24,CVD_40q30_Age!$F$2:$F$2081,H24,CVD_40q30_Age!$G$2:$G$2081,69))/(SUMIFS(CVD_40q30_Age!$L$2:$L$2081,CVD_40q30_Age!$A$2:$A$2081,A24,CVD_40q30_Age!$B$2:$B$2081,B24,CVD_40q30_Age!$E$2:$E$2081,G24,CVD_40q30_Age!$F$2:$F$2081,H24,CVD_40q30_Age!$G$2:$G$2081,30)))</f>
        <v>10.80390578303655</v>
      </c>
      <c r="J24" s="30">
        <f t="shared" si="0"/>
        <v>12.066077809605513</v>
      </c>
      <c r="K24" s="30">
        <f t="shared" si="1"/>
        <v>1.2621720265689635</v>
      </c>
      <c r="L24" s="28">
        <f t="shared" si="2"/>
        <v>10.46049964607537</v>
      </c>
      <c r="M24" s="35">
        <v>10.8039057830365</v>
      </c>
      <c r="N24" s="16" t="str">
        <f t="shared" si="3"/>
        <v>match</v>
      </c>
    </row>
    <row r="25" spans="1:14" ht="69">
      <c r="A25" t="s">
        <v>164</v>
      </c>
      <c r="B25" t="s">
        <v>115</v>
      </c>
      <c r="C25" s="14" t="s">
        <v>291</v>
      </c>
      <c r="D25" t="s">
        <v>375</v>
      </c>
      <c r="E25" t="s">
        <v>376</v>
      </c>
      <c r="G25" t="s">
        <v>392</v>
      </c>
      <c r="H25" s="20">
        <v>2048</v>
      </c>
      <c r="I25" s="30">
        <f>100*(1-(SUMIFS(CVD_40q30_Age!$M$2:$M$2081,CVD_40q30_Age!$A$2:$A$2081,A25,CVD_40q30_Age!$B$2:$B$2081,B25,CVD_40q30_Age!$E$2:$E$2081,G25,CVD_40q30_Age!$F$2:$F$2081,H25,CVD_40q30_Age!$G$2:$G$2081,69))/(SUMIFS(CVD_40q30_Age!$L$2:$L$2081,CVD_40q30_Age!$A$2:$A$2081,A25,CVD_40q30_Age!$B$2:$B$2081,B25,CVD_40q30_Age!$E$2:$E$2081,G25,CVD_40q30_Age!$F$2:$F$2081,H25,CVD_40q30_Age!$G$2:$G$2081,30)))</f>
        <v>10.646907062143008</v>
      </c>
      <c r="J25" s="30">
        <f t="shared" si="0"/>
        <v>11.931549181001721</v>
      </c>
      <c r="K25" s="30">
        <f t="shared" si="1"/>
        <v>1.2846421188587129</v>
      </c>
      <c r="L25" s="28">
        <f t="shared" si="2"/>
        <v>10.76676715965948</v>
      </c>
      <c r="M25" s="35">
        <v>10.646907062143001</v>
      </c>
      <c r="N25" s="16" t="str">
        <f t="shared" si="3"/>
        <v>match</v>
      </c>
    </row>
    <row r="26" spans="1:14" ht="69">
      <c r="A26" t="s">
        <v>164</v>
      </c>
      <c r="B26" t="s">
        <v>115</v>
      </c>
      <c r="C26" s="14" t="s">
        <v>291</v>
      </c>
      <c r="D26" t="s">
        <v>375</v>
      </c>
      <c r="E26" t="s">
        <v>376</v>
      </c>
      <c r="G26" t="s">
        <v>392</v>
      </c>
      <c r="H26" s="20">
        <v>2049</v>
      </c>
      <c r="I26" s="30">
        <f>100*(1-(SUMIFS(CVD_40q30_Age!$M$2:$M$2081,CVD_40q30_Age!$A$2:$A$2081,A26,CVD_40q30_Age!$B$2:$B$2081,B26,CVD_40q30_Age!$E$2:$E$2081,G26,CVD_40q30_Age!$F$2:$F$2081,H26,CVD_40q30_Age!$G$2:$G$2081,69))/(SUMIFS(CVD_40q30_Age!$L$2:$L$2081,CVD_40q30_Age!$A$2:$A$2081,A26,CVD_40q30_Age!$B$2:$B$2081,B26,CVD_40q30_Age!$E$2:$E$2081,G26,CVD_40q30_Age!$F$2:$F$2081,H26,CVD_40q30_Age!$G$2:$G$2081,30)))</f>
        <v>10.50291487826237</v>
      </c>
      <c r="J26" s="30">
        <f t="shared" si="0"/>
        <v>11.8054215438263</v>
      </c>
      <c r="K26" s="30">
        <f t="shared" si="1"/>
        <v>1.3025066655639304</v>
      </c>
      <c r="L26" s="28">
        <f t="shared" si="2"/>
        <v>11.033122881114586</v>
      </c>
      <c r="M26" s="35">
        <v>10.5029148782624</v>
      </c>
      <c r="N26" s="16" t="str">
        <f t="shared" si="3"/>
        <v>match</v>
      </c>
    </row>
    <row r="27" spans="1:14" ht="69">
      <c r="A27" t="s">
        <v>164</v>
      </c>
      <c r="B27" t="s">
        <v>115</v>
      </c>
      <c r="C27" s="14" t="s">
        <v>291</v>
      </c>
      <c r="D27" t="s">
        <v>375</v>
      </c>
      <c r="E27" t="s">
        <v>376</v>
      </c>
      <c r="G27" t="s">
        <v>392</v>
      </c>
      <c r="H27" s="20">
        <v>2050</v>
      </c>
      <c r="I27" s="30">
        <f>100*(1-(SUMIFS(CVD_40q30_Age!$M$2:$M$2081,CVD_40q30_Age!$A$2:$A$2081,A27,CVD_40q30_Age!$B$2:$B$2081,B27,CVD_40q30_Age!$E$2:$E$2081,G27,CVD_40q30_Age!$F$2:$F$2081,H27,CVD_40q30_Age!$G$2:$G$2081,69))/(SUMIFS(CVD_40q30_Age!$L$2:$L$2081,CVD_40q30_Age!$A$2:$A$2081,A27,CVD_40q30_Age!$B$2:$B$2081,B27,CVD_40q30_Age!$E$2:$E$2081,G27,CVD_40q30_Age!$F$2:$F$2081,H27,CVD_40q30_Age!$G$2:$G$2081,30)))</f>
        <v>10.369804470823773</v>
      </c>
      <c r="J27" s="30">
        <f t="shared" si="0"/>
        <v>11.686286604642959</v>
      </c>
      <c r="K27" s="30">
        <f t="shared" si="1"/>
        <v>1.3164821338191857</v>
      </c>
      <c r="L27" s="28">
        <f t="shared" si="2"/>
        <v>11.26518780821401</v>
      </c>
      <c r="M27" s="35">
        <v>10.3698044708238</v>
      </c>
      <c r="N27" s="16" t="str">
        <f t="shared" si="3"/>
        <v>match</v>
      </c>
    </row>
    <row r="28" spans="1:14" ht="27.6">
      <c r="A28" t="s">
        <v>164</v>
      </c>
      <c r="B28" t="s">
        <v>112</v>
      </c>
      <c r="C28" s="14" t="s">
        <v>294</v>
      </c>
      <c r="D28" t="s">
        <v>112</v>
      </c>
      <c r="G28" t="s">
        <v>392</v>
      </c>
      <c r="H28" s="20">
        <v>2025</v>
      </c>
      <c r="I28" s="30">
        <f>100*(1-(SUMIFS(CVD_40q30_Age!$M$2:$M$2081,CVD_40q30_Age!$A$2:$A$2081,A28,CVD_40q30_Age!$B$2:$B$2081,B28,CVD_40q30_Age!$E$2:$E$2081,G28,CVD_40q30_Age!$F$2:$F$2081,H28,CVD_40q30_Age!$G$2:$G$2081,69))/(SUMIFS(CVD_40q30_Age!$L$2:$L$2081,CVD_40q30_Age!$A$2:$A$2081,A28,CVD_40q30_Age!$B$2:$B$2081,B28,CVD_40q30_Age!$E$2:$E$2081,G28,CVD_40q30_Age!$F$2:$F$2081,H28,CVD_40q30_Age!$G$2:$G$2081,30)))</f>
        <v>14.594862693022181</v>
      </c>
      <c r="J28" s="30">
        <f t="shared" si="0"/>
        <v>14.594862693022181</v>
      </c>
      <c r="K28" s="30">
        <f t="shared" si="1"/>
        <v>0</v>
      </c>
      <c r="L28" s="28">
        <f t="shared" si="2"/>
        <v>0</v>
      </c>
      <c r="M28" s="35">
        <v>14.594862693022201</v>
      </c>
      <c r="N28" s="16" t="str">
        <f t="shared" si="3"/>
        <v>match</v>
      </c>
    </row>
    <row r="29" spans="1:14" ht="27.6">
      <c r="A29" t="s">
        <v>164</v>
      </c>
      <c r="B29" t="s">
        <v>112</v>
      </c>
      <c r="C29" s="14" t="s">
        <v>294</v>
      </c>
      <c r="D29" t="s">
        <v>112</v>
      </c>
      <c r="G29" t="s">
        <v>392</v>
      </c>
      <c r="H29" s="20">
        <v>2026</v>
      </c>
      <c r="I29" s="30">
        <f>100*(1-(SUMIFS(CVD_40q30_Age!$M$2:$M$2081,CVD_40q30_Age!$A$2:$A$2081,A29,CVD_40q30_Age!$B$2:$B$2081,B29,CVD_40q30_Age!$E$2:$E$2081,G29,CVD_40q30_Age!$F$2:$F$2081,H29,CVD_40q30_Age!$G$2:$G$2081,69))/(SUMIFS(CVD_40q30_Age!$L$2:$L$2081,CVD_40q30_Age!$A$2:$A$2081,A29,CVD_40q30_Age!$B$2:$B$2081,B29,CVD_40q30_Age!$E$2:$E$2081,G29,CVD_40q30_Age!$F$2:$F$2081,H29,CVD_40q30_Age!$G$2:$G$2081,30)))</f>
        <v>14.52004645859677</v>
      </c>
      <c r="J29" s="30">
        <f t="shared" si="0"/>
        <v>14.52004645859677</v>
      </c>
      <c r="K29" s="30">
        <f t="shared" si="1"/>
        <v>0</v>
      </c>
      <c r="L29" s="28">
        <f t="shared" si="2"/>
        <v>0</v>
      </c>
      <c r="M29" s="35">
        <v>14.5200464585968</v>
      </c>
      <c r="N29" s="16" t="str">
        <f t="shared" si="3"/>
        <v>match</v>
      </c>
    </row>
    <row r="30" spans="1:14" ht="27.6">
      <c r="A30" t="s">
        <v>164</v>
      </c>
      <c r="B30" t="s">
        <v>112</v>
      </c>
      <c r="C30" s="14" t="s">
        <v>294</v>
      </c>
      <c r="D30" t="s">
        <v>112</v>
      </c>
      <c r="G30" t="s">
        <v>392</v>
      </c>
      <c r="H30" s="20">
        <v>2027</v>
      </c>
      <c r="I30" s="30">
        <f>100*(1-(SUMIFS(CVD_40q30_Age!$M$2:$M$2081,CVD_40q30_Age!$A$2:$A$2081,A30,CVD_40q30_Age!$B$2:$B$2081,B30,CVD_40q30_Age!$E$2:$E$2081,G30,CVD_40q30_Age!$F$2:$F$2081,H30,CVD_40q30_Age!$G$2:$G$2081,69))/(SUMIFS(CVD_40q30_Age!$L$2:$L$2081,CVD_40q30_Age!$A$2:$A$2081,A30,CVD_40q30_Age!$B$2:$B$2081,B30,CVD_40q30_Age!$E$2:$E$2081,G30,CVD_40q30_Age!$F$2:$F$2081,H30,CVD_40q30_Age!$G$2:$G$2081,30)))</f>
        <v>14.435622380360035</v>
      </c>
      <c r="J30" s="30">
        <f t="shared" si="0"/>
        <v>14.435622380360035</v>
      </c>
      <c r="K30" s="30">
        <f t="shared" si="1"/>
        <v>0</v>
      </c>
      <c r="L30" s="28">
        <f t="shared" si="2"/>
        <v>0</v>
      </c>
      <c r="M30" s="35">
        <v>14.43562238036</v>
      </c>
      <c r="N30" s="16" t="str">
        <f t="shared" si="3"/>
        <v>match</v>
      </c>
    </row>
    <row r="31" spans="1:14" ht="27.6">
      <c r="A31" t="s">
        <v>164</v>
      </c>
      <c r="B31" t="s">
        <v>112</v>
      </c>
      <c r="C31" s="14" t="s">
        <v>294</v>
      </c>
      <c r="D31" t="s">
        <v>112</v>
      </c>
      <c r="G31" t="s">
        <v>392</v>
      </c>
      <c r="H31" s="20">
        <v>2028</v>
      </c>
      <c r="I31" s="30">
        <f>100*(1-(SUMIFS(CVD_40q30_Age!$M$2:$M$2081,CVD_40q30_Age!$A$2:$A$2081,A31,CVD_40q30_Age!$B$2:$B$2081,B31,CVD_40q30_Age!$E$2:$E$2081,G31,CVD_40q30_Age!$F$2:$F$2081,H31,CVD_40q30_Age!$G$2:$G$2081,69))/(SUMIFS(CVD_40q30_Age!$L$2:$L$2081,CVD_40q30_Age!$A$2:$A$2081,A31,CVD_40q30_Age!$B$2:$B$2081,B31,CVD_40q30_Age!$E$2:$E$2081,G31,CVD_40q30_Age!$F$2:$F$2081,H31,CVD_40q30_Age!$G$2:$G$2081,30)))</f>
        <v>14.351337436226553</v>
      </c>
      <c r="J31" s="30">
        <f t="shared" si="0"/>
        <v>14.351337436226553</v>
      </c>
      <c r="K31" s="30">
        <f t="shared" si="1"/>
        <v>0</v>
      </c>
      <c r="L31" s="28">
        <f t="shared" si="2"/>
        <v>0</v>
      </c>
      <c r="M31" s="35">
        <v>14.351337436226601</v>
      </c>
      <c r="N31" s="16" t="str">
        <f t="shared" si="3"/>
        <v>match</v>
      </c>
    </row>
    <row r="32" spans="1:14" ht="27.6">
      <c r="A32" t="s">
        <v>164</v>
      </c>
      <c r="B32" t="s">
        <v>112</v>
      </c>
      <c r="C32" s="14" t="s">
        <v>294</v>
      </c>
      <c r="D32" t="s">
        <v>112</v>
      </c>
      <c r="G32" t="s">
        <v>392</v>
      </c>
      <c r="H32" s="20">
        <v>2029</v>
      </c>
      <c r="I32" s="30">
        <f>100*(1-(SUMIFS(CVD_40q30_Age!$M$2:$M$2081,CVD_40q30_Age!$A$2:$A$2081,A32,CVD_40q30_Age!$B$2:$B$2081,B32,CVD_40q30_Age!$E$2:$E$2081,G32,CVD_40q30_Age!$F$2:$F$2081,H32,CVD_40q30_Age!$G$2:$G$2081,69))/(SUMIFS(CVD_40q30_Age!$L$2:$L$2081,CVD_40q30_Age!$A$2:$A$2081,A32,CVD_40q30_Age!$B$2:$B$2081,B32,CVD_40q30_Age!$E$2:$E$2081,G32,CVD_40q30_Age!$F$2:$F$2081,H32,CVD_40q30_Age!$G$2:$G$2081,30)))</f>
        <v>14.275766755657616</v>
      </c>
      <c r="J32" s="30">
        <f t="shared" si="0"/>
        <v>14.275766755657616</v>
      </c>
      <c r="K32" s="30">
        <f t="shared" si="1"/>
        <v>0</v>
      </c>
      <c r="L32" s="28">
        <f t="shared" si="2"/>
        <v>0</v>
      </c>
      <c r="M32" s="35">
        <v>14.2757667556576</v>
      </c>
      <c r="N32" s="16" t="str">
        <f t="shared" si="3"/>
        <v>match</v>
      </c>
    </row>
    <row r="33" spans="1:14" ht="27.6">
      <c r="A33" t="s">
        <v>164</v>
      </c>
      <c r="B33" t="s">
        <v>112</v>
      </c>
      <c r="C33" s="14" t="s">
        <v>294</v>
      </c>
      <c r="D33" t="s">
        <v>112</v>
      </c>
      <c r="G33" t="s">
        <v>392</v>
      </c>
      <c r="H33" s="20">
        <v>2030</v>
      </c>
      <c r="I33" s="30">
        <f>100*(1-(SUMIFS(CVD_40q30_Age!$M$2:$M$2081,CVD_40q30_Age!$A$2:$A$2081,A33,CVD_40q30_Age!$B$2:$B$2081,B33,CVD_40q30_Age!$E$2:$E$2081,G33,CVD_40q30_Age!$F$2:$F$2081,H33,CVD_40q30_Age!$G$2:$G$2081,69))/(SUMIFS(CVD_40q30_Age!$L$2:$L$2081,CVD_40q30_Age!$A$2:$A$2081,A33,CVD_40q30_Age!$B$2:$B$2081,B33,CVD_40q30_Age!$E$2:$E$2081,G33,CVD_40q30_Age!$F$2:$F$2081,H33,CVD_40q30_Age!$G$2:$G$2081,30)))</f>
        <v>14.192049012873643</v>
      </c>
      <c r="J33" s="30">
        <f t="shared" si="0"/>
        <v>14.192049012873643</v>
      </c>
      <c r="K33" s="30">
        <f t="shared" si="1"/>
        <v>0</v>
      </c>
      <c r="L33" s="28">
        <f t="shared" si="2"/>
        <v>0</v>
      </c>
      <c r="M33" s="35">
        <v>14.192049012873699</v>
      </c>
      <c r="N33" s="16" t="str">
        <f t="shared" si="3"/>
        <v>match</v>
      </c>
    </row>
    <row r="34" spans="1:14" ht="27.6">
      <c r="A34" t="s">
        <v>164</v>
      </c>
      <c r="B34" t="s">
        <v>112</v>
      </c>
      <c r="C34" s="14" t="s">
        <v>294</v>
      </c>
      <c r="D34" t="s">
        <v>112</v>
      </c>
      <c r="G34" t="s">
        <v>392</v>
      </c>
      <c r="H34" s="20">
        <v>2031</v>
      </c>
      <c r="I34" s="30">
        <f>100*(1-(SUMIFS(CVD_40q30_Age!$M$2:$M$2081,CVD_40q30_Age!$A$2:$A$2081,A34,CVD_40q30_Age!$B$2:$B$2081,B34,CVD_40q30_Age!$E$2:$E$2081,G34,CVD_40q30_Age!$F$2:$F$2081,H34,CVD_40q30_Age!$G$2:$G$2081,69))/(SUMIFS(CVD_40q30_Age!$L$2:$L$2081,CVD_40q30_Age!$A$2:$A$2081,A34,CVD_40q30_Age!$B$2:$B$2081,B34,CVD_40q30_Age!$E$2:$E$2081,G34,CVD_40q30_Age!$F$2:$F$2081,H34,CVD_40q30_Age!$G$2:$G$2081,30)))</f>
        <v>14.085133545935303</v>
      </c>
      <c r="J34" s="30">
        <f t="shared" ref="J34:J53" si="4">SUMIFS($I$2:$I$53,$A$2:$A$53,A34,$G$2:$G$53,G34,$H$2:$H$53,H34,$B$2:$B$53,"baseline")</f>
        <v>14.085133545935303</v>
      </c>
      <c r="K34" s="30">
        <f t="shared" ref="K34:K65" si="5">J34-I34</f>
        <v>0</v>
      </c>
      <c r="L34" s="28">
        <f t="shared" ref="L34:L53" si="6">IF(J34=0,"",100*(J34-I34)/J34)</f>
        <v>0</v>
      </c>
      <c r="M34" s="35">
        <v>14.0851335459353</v>
      </c>
      <c r="N34" s="16" t="str">
        <f t="shared" ref="N34:N65" si="7">IF(ABS(I34-M34)&lt;=0.001,"match","mismatch")</f>
        <v>match</v>
      </c>
    </row>
    <row r="35" spans="1:14" ht="27.6">
      <c r="A35" t="s">
        <v>164</v>
      </c>
      <c r="B35" t="s">
        <v>112</v>
      </c>
      <c r="C35" s="14" t="s">
        <v>294</v>
      </c>
      <c r="D35" t="s">
        <v>112</v>
      </c>
      <c r="G35" t="s">
        <v>392</v>
      </c>
      <c r="H35" s="20">
        <v>2032</v>
      </c>
      <c r="I35" s="30">
        <f>100*(1-(SUMIFS(CVD_40q30_Age!$M$2:$M$2081,CVD_40q30_Age!$A$2:$A$2081,A35,CVD_40q30_Age!$B$2:$B$2081,B35,CVD_40q30_Age!$E$2:$E$2081,G35,CVD_40q30_Age!$F$2:$F$2081,H35,CVD_40q30_Age!$G$2:$G$2081,69))/(SUMIFS(CVD_40q30_Age!$L$2:$L$2081,CVD_40q30_Age!$A$2:$A$2081,A35,CVD_40q30_Age!$B$2:$B$2081,B35,CVD_40q30_Age!$E$2:$E$2081,G35,CVD_40q30_Age!$F$2:$F$2081,H35,CVD_40q30_Age!$G$2:$G$2081,30)))</f>
        <v>13.970746153214863</v>
      </c>
      <c r="J35" s="30">
        <f t="shared" si="4"/>
        <v>13.970746153214863</v>
      </c>
      <c r="K35" s="30">
        <f t="shared" si="5"/>
        <v>0</v>
      </c>
      <c r="L35" s="28">
        <f t="shared" si="6"/>
        <v>0</v>
      </c>
      <c r="M35" s="35">
        <v>13.9707461532149</v>
      </c>
      <c r="N35" s="16" t="str">
        <f t="shared" si="7"/>
        <v>match</v>
      </c>
    </row>
    <row r="36" spans="1:14" ht="27.6">
      <c r="A36" t="s">
        <v>164</v>
      </c>
      <c r="B36" t="s">
        <v>112</v>
      </c>
      <c r="C36" s="14" t="s">
        <v>294</v>
      </c>
      <c r="D36" t="s">
        <v>112</v>
      </c>
      <c r="G36" t="s">
        <v>392</v>
      </c>
      <c r="H36" s="20">
        <v>2033</v>
      </c>
      <c r="I36" s="30">
        <f>100*(1-(SUMIFS(CVD_40q30_Age!$M$2:$M$2081,CVD_40q30_Age!$A$2:$A$2081,A36,CVD_40q30_Age!$B$2:$B$2081,B36,CVD_40q30_Age!$E$2:$E$2081,G36,CVD_40q30_Age!$F$2:$F$2081,H36,CVD_40q30_Age!$G$2:$G$2081,69))/(SUMIFS(CVD_40q30_Age!$L$2:$L$2081,CVD_40q30_Age!$A$2:$A$2081,A36,CVD_40q30_Age!$B$2:$B$2081,B36,CVD_40q30_Age!$E$2:$E$2081,G36,CVD_40q30_Age!$F$2:$F$2081,H36,CVD_40q30_Age!$G$2:$G$2081,30)))</f>
        <v>13.845230894675142</v>
      </c>
      <c r="J36" s="30">
        <f t="shared" si="4"/>
        <v>13.845230894675142</v>
      </c>
      <c r="K36" s="30">
        <f t="shared" si="5"/>
        <v>0</v>
      </c>
      <c r="L36" s="28">
        <f t="shared" si="6"/>
        <v>0</v>
      </c>
      <c r="M36" s="35">
        <v>13.845230894675099</v>
      </c>
      <c r="N36" s="16" t="str">
        <f t="shared" si="7"/>
        <v>match</v>
      </c>
    </row>
    <row r="37" spans="1:14" ht="27.6">
      <c r="A37" t="s">
        <v>164</v>
      </c>
      <c r="B37" t="s">
        <v>112</v>
      </c>
      <c r="C37" s="14" t="s">
        <v>294</v>
      </c>
      <c r="D37" t="s">
        <v>112</v>
      </c>
      <c r="G37" t="s">
        <v>392</v>
      </c>
      <c r="H37" s="20">
        <v>2034</v>
      </c>
      <c r="I37" s="30">
        <f>100*(1-(SUMIFS(CVD_40q30_Age!$M$2:$M$2081,CVD_40q30_Age!$A$2:$A$2081,A37,CVD_40q30_Age!$B$2:$B$2081,B37,CVD_40q30_Age!$E$2:$E$2081,G37,CVD_40q30_Age!$F$2:$F$2081,H37,CVD_40q30_Age!$G$2:$G$2081,69))/(SUMIFS(CVD_40q30_Age!$L$2:$L$2081,CVD_40q30_Age!$A$2:$A$2081,A37,CVD_40q30_Age!$B$2:$B$2081,B37,CVD_40q30_Age!$E$2:$E$2081,G37,CVD_40q30_Age!$F$2:$F$2081,H37,CVD_40q30_Age!$G$2:$G$2081,30)))</f>
        <v>13.726112857616224</v>
      </c>
      <c r="J37" s="30">
        <f t="shared" si="4"/>
        <v>13.726112857616224</v>
      </c>
      <c r="K37" s="30">
        <f t="shared" si="5"/>
        <v>0</v>
      </c>
      <c r="L37" s="28">
        <f t="shared" si="6"/>
        <v>0</v>
      </c>
      <c r="M37" s="35">
        <v>13.726112857616201</v>
      </c>
      <c r="N37" s="16" t="str">
        <f t="shared" si="7"/>
        <v>match</v>
      </c>
    </row>
    <row r="38" spans="1:14" ht="27.6">
      <c r="A38" t="s">
        <v>164</v>
      </c>
      <c r="B38" t="s">
        <v>112</v>
      </c>
      <c r="C38" s="14" t="s">
        <v>294</v>
      </c>
      <c r="D38" t="s">
        <v>112</v>
      </c>
      <c r="G38" t="s">
        <v>392</v>
      </c>
      <c r="H38" s="20">
        <v>2035</v>
      </c>
      <c r="I38" s="30">
        <f>100*(1-(SUMIFS(CVD_40q30_Age!$M$2:$M$2081,CVD_40q30_Age!$A$2:$A$2081,A38,CVD_40q30_Age!$B$2:$B$2081,B38,CVD_40q30_Age!$E$2:$E$2081,G38,CVD_40q30_Age!$F$2:$F$2081,H38,CVD_40q30_Age!$G$2:$G$2081,69))/(SUMIFS(CVD_40q30_Age!$L$2:$L$2081,CVD_40q30_Age!$A$2:$A$2081,A38,CVD_40q30_Age!$B$2:$B$2081,B38,CVD_40q30_Age!$E$2:$E$2081,G38,CVD_40q30_Age!$F$2:$F$2081,H38,CVD_40q30_Age!$G$2:$G$2081,30)))</f>
        <v>13.599951679669731</v>
      </c>
      <c r="J38" s="30">
        <f t="shared" si="4"/>
        <v>13.599951679669731</v>
      </c>
      <c r="K38" s="30">
        <f t="shared" si="5"/>
        <v>0</v>
      </c>
      <c r="L38" s="28">
        <f t="shared" si="6"/>
        <v>0</v>
      </c>
      <c r="M38" s="35">
        <v>13.599951679669701</v>
      </c>
      <c r="N38" s="16" t="str">
        <f t="shared" si="7"/>
        <v>match</v>
      </c>
    </row>
    <row r="39" spans="1:14" ht="27.6">
      <c r="A39" t="s">
        <v>164</v>
      </c>
      <c r="B39" t="s">
        <v>112</v>
      </c>
      <c r="C39" s="14" t="s">
        <v>294</v>
      </c>
      <c r="D39" t="s">
        <v>112</v>
      </c>
      <c r="G39" t="s">
        <v>392</v>
      </c>
      <c r="H39" s="20">
        <v>2036</v>
      </c>
      <c r="I39" s="30">
        <f>100*(1-(SUMIFS(CVD_40q30_Age!$M$2:$M$2081,CVD_40q30_Age!$A$2:$A$2081,A39,CVD_40q30_Age!$B$2:$B$2081,B39,CVD_40q30_Age!$E$2:$E$2081,G39,CVD_40q30_Age!$F$2:$F$2081,H39,CVD_40q30_Age!$G$2:$G$2081,69))/(SUMIFS(CVD_40q30_Age!$L$2:$L$2081,CVD_40q30_Age!$A$2:$A$2081,A39,CVD_40q30_Age!$B$2:$B$2081,B39,CVD_40q30_Age!$E$2:$E$2081,G39,CVD_40q30_Age!$F$2:$F$2081,H39,CVD_40q30_Age!$G$2:$G$2081,30)))</f>
        <v>13.480038535038208</v>
      </c>
      <c r="J39" s="30">
        <f t="shared" si="4"/>
        <v>13.480038535038208</v>
      </c>
      <c r="K39" s="30">
        <f t="shared" si="5"/>
        <v>0</v>
      </c>
      <c r="L39" s="28">
        <f t="shared" si="6"/>
        <v>0</v>
      </c>
      <c r="M39" s="35">
        <v>13.480038535038201</v>
      </c>
      <c r="N39" s="16" t="str">
        <f t="shared" si="7"/>
        <v>match</v>
      </c>
    </row>
    <row r="40" spans="1:14" ht="27.6">
      <c r="A40" t="s">
        <v>164</v>
      </c>
      <c r="B40" t="s">
        <v>112</v>
      </c>
      <c r="C40" s="14" t="s">
        <v>294</v>
      </c>
      <c r="D40" t="s">
        <v>112</v>
      </c>
      <c r="G40" t="s">
        <v>392</v>
      </c>
      <c r="H40" s="20">
        <v>2037</v>
      </c>
      <c r="I40" s="30">
        <f>100*(1-(SUMIFS(CVD_40q30_Age!$M$2:$M$2081,CVD_40q30_Age!$A$2:$A$2081,A40,CVD_40q30_Age!$B$2:$B$2081,B40,CVD_40q30_Age!$E$2:$E$2081,G40,CVD_40q30_Age!$F$2:$F$2081,H40,CVD_40q30_Age!$G$2:$G$2081,69))/(SUMIFS(CVD_40q30_Age!$L$2:$L$2081,CVD_40q30_Age!$A$2:$A$2081,A40,CVD_40q30_Age!$B$2:$B$2081,B40,CVD_40q30_Age!$E$2:$E$2081,G40,CVD_40q30_Age!$F$2:$F$2081,H40,CVD_40q30_Age!$G$2:$G$2081,30)))</f>
        <v>13.356721338798561</v>
      </c>
      <c r="J40" s="30">
        <f t="shared" si="4"/>
        <v>13.356721338798561</v>
      </c>
      <c r="K40" s="30">
        <f t="shared" si="5"/>
        <v>0</v>
      </c>
      <c r="L40" s="28">
        <f t="shared" si="6"/>
        <v>0</v>
      </c>
      <c r="M40" s="35">
        <v>13.3567213387986</v>
      </c>
      <c r="N40" s="16" t="str">
        <f t="shared" si="7"/>
        <v>match</v>
      </c>
    </row>
    <row r="41" spans="1:14" ht="27.6">
      <c r="A41" t="s">
        <v>164</v>
      </c>
      <c r="B41" t="s">
        <v>112</v>
      </c>
      <c r="C41" s="14" t="s">
        <v>294</v>
      </c>
      <c r="D41" t="s">
        <v>112</v>
      </c>
      <c r="G41" t="s">
        <v>392</v>
      </c>
      <c r="H41" s="20">
        <v>2038</v>
      </c>
      <c r="I41" s="30">
        <f>100*(1-(SUMIFS(CVD_40q30_Age!$M$2:$M$2081,CVD_40q30_Age!$A$2:$A$2081,A41,CVD_40q30_Age!$B$2:$B$2081,B41,CVD_40q30_Age!$E$2:$E$2081,G41,CVD_40q30_Age!$F$2:$F$2081,H41,CVD_40q30_Age!$G$2:$G$2081,69))/(SUMIFS(CVD_40q30_Age!$L$2:$L$2081,CVD_40q30_Age!$A$2:$A$2081,A41,CVD_40q30_Age!$B$2:$B$2081,B41,CVD_40q30_Age!$E$2:$E$2081,G41,CVD_40q30_Age!$F$2:$F$2081,H41,CVD_40q30_Age!$G$2:$G$2081,30)))</f>
        <v>13.229199067255525</v>
      </c>
      <c r="J41" s="30">
        <f t="shared" si="4"/>
        <v>13.229199067255525</v>
      </c>
      <c r="K41" s="30">
        <f t="shared" si="5"/>
        <v>0</v>
      </c>
      <c r="L41" s="28">
        <f t="shared" si="6"/>
        <v>0</v>
      </c>
      <c r="M41" s="35">
        <v>13.2291990672555</v>
      </c>
      <c r="N41" s="16" t="str">
        <f t="shared" si="7"/>
        <v>match</v>
      </c>
    </row>
    <row r="42" spans="1:14" ht="27.6">
      <c r="A42" t="s">
        <v>164</v>
      </c>
      <c r="B42" t="s">
        <v>112</v>
      </c>
      <c r="C42" s="14" t="s">
        <v>294</v>
      </c>
      <c r="D42" t="s">
        <v>112</v>
      </c>
      <c r="G42" t="s">
        <v>392</v>
      </c>
      <c r="H42" s="20">
        <v>2039</v>
      </c>
      <c r="I42" s="30">
        <f>100*(1-(SUMIFS(CVD_40q30_Age!$M$2:$M$2081,CVD_40q30_Age!$A$2:$A$2081,A42,CVD_40q30_Age!$B$2:$B$2081,B42,CVD_40q30_Age!$E$2:$E$2081,G42,CVD_40q30_Age!$F$2:$F$2081,H42,CVD_40q30_Age!$G$2:$G$2081,69))/(SUMIFS(CVD_40q30_Age!$L$2:$L$2081,CVD_40q30_Age!$A$2:$A$2081,A42,CVD_40q30_Age!$B$2:$B$2081,B42,CVD_40q30_Age!$E$2:$E$2081,G42,CVD_40q30_Age!$F$2:$F$2081,H42,CVD_40q30_Age!$G$2:$G$2081,30)))</f>
        <v>13.109041729496806</v>
      </c>
      <c r="J42" s="30">
        <f t="shared" si="4"/>
        <v>13.109041729496806</v>
      </c>
      <c r="K42" s="30">
        <f t="shared" si="5"/>
        <v>0</v>
      </c>
      <c r="L42" s="28">
        <f t="shared" si="6"/>
        <v>0</v>
      </c>
      <c r="M42" s="35">
        <v>13.1090417294968</v>
      </c>
      <c r="N42" s="16" t="str">
        <f t="shared" si="7"/>
        <v>match</v>
      </c>
    </row>
    <row r="43" spans="1:14" ht="27.6">
      <c r="A43" t="s">
        <v>164</v>
      </c>
      <c r="B43" t="s">
        <v>112</v>
      </c>
      <c r="C43" s="14" t="s">
        <v>294</v>
      </c>
      <c r="D43" t="s">
        <v>112</v>
      </c>
      <c r="G43" t="s">
        <v>392</v>
      </c>
      <c r="H43" s="20">
        <v>2040</v>
      </c>
      <c r="I43" s="30">
        <f>100*(1-(SUMIFS(CVD_40q30_Age!$M$2:$M$2081,CVD_40q30_Age!$A$2:$A$2081,A43,CVD_40q30_Age!$B$2:$B$2081,B43,CVD_40q30_Age!$E$2:$E$2081,G43,CVD_40q30_Age!$F$2:$F$2081,H43,CVD_40q30_Age!$G$2:$G$2081,69))/(SUMIFS(CVD_40q30_Age!$L$2:$L$2081,CVD_40q30_Age!$A$2:$A$2081,A43,CVD_40q30_Age!$B$2:$B$2081,B43,CVD_40q30_Age!$E$2:$E$2081,G43,CVD_40q30_Age!$F$2:$F$2081,H43,CVD_40q30_Age!$G$2:$G$2081,30)))</f>
        <v>12.981499482050596</v>
      </c>
      <c r="J43" s="30">
        <f t="shared" si="4"/>
        <v>12.981499482050596</v>
      </c>
      <c r="K43" s="30">
        <f t="shared" si="5"/>
        <v>0</v>
      </c>
      <c r="L43" s="28">
        <f t="shared" si="6"/>
        <v>0</v>
      </c>
      <c r="M43" s="35">
        <v>12.9814994820506</v>
      </c>
      <c r="N43" s="16" t="str">
        <f t="shared" si="7"/>
        <v>match</v>
      </c>
    </row>
    <row r="44" spans="1:14" ht="27.6">
      <c r="A44" t="s">
        <v>164</v>
      </c>
      <c r="B44" t="s">
        <v>112</v>
      </c>
      <c r="C44" s="14" t="s">
        <v>294</v>
      </c>
      <c r="D44" t="s">
        <v>112</v>
      </c>
      <c r="G44" t="s">
        <v>392</v>
      </c>
      <c r="H44" s="20">
        <v>2041</v>
      </c>
      <c r="I44" s="30">
        <f>100*(1-(SUMIFS(CVD_40q30_Age!$M$2:$M$2081,CVD_40q30_Age!$A$2:$A$2081,A44,CVD_40q30_Age!$B$2:$B$2081,B44,CVD_40q30_Age!$E$2:$E$2081,G44,CVD_40q30_Age!$F$2:$F$2081,H44,CVD_40q30_Age!$G$2:$G$2081,69))/(SUMIFS(CVD_40q30_Age!$L$2:$L$2081,CVD_40q30_Age!$A$2:$A$2081,A44,CVD_40q30_Age!$B$2:$B$2081,B44,CVD_40q30_Age!$E$2:$E$2081,G44,CVD_40q30_Age!$F$2:$F$2081,H44,CVD_40q30_Age!$G$2:$G$2081,30)))</f>
        <v>12.853722022957381</v>
      </c>
      <c r="J44" s="30">
        <f t="shared" si="4"/>
        <v>12.853722022957381</v>
      </c>
      <c r="K44" s="30">
        <f t="shared" si="5"/>
        <v>0</v>
      </c>
      <c r="L44" s="28">
        <f t="shared" si="6"/>
        <v>0</v>
      </c>
      <c r="M44" s="35">
        <v>12.853722022957401</v>
      </c>
      <c r="N44" s="16" t="str">
        <f t="shared" si="7"/>
        <v>match</v>
      </c>
    </row>
    <row r="45" spans="1:14" ht="27.6">
      <c r="A45" t="s">
        <v>164</v>
      </c>
      <c r="B45" t="s">
        <v>112</v>
      </c>
      <c r="C45" s="14" t="s">
        <v>294</v>
      </c>
      <c r="D45" t="s">
        <v>112</v>
      </c>
      <c r="G45" t="s">
        <v>392</v>
      </c>
      <c r="H45" s="20">
        <v>2042</v>
      </c>
      <c r="I45" s="30">
        <f>100*(1-(SUMIFS(CVD_40q30_Age!$M$2:$M$2081,CVD_40q30_Age!$A$2:$A$2081,A45,CVD_40q30_Age!$B$2:$B$2081,B45,CVD_40q30_Age!$E$2:$E$2081,G45,CVD_40q30_Age!$F$2:$F$2081,H45,CVD_40q30_Age!$G$2:$G$2081,69))/(SUMIFS(CVD_40q30_Age!$L$2:$L$2081,CVD_40q30_Age!$A$2:$A$2081,A45,CVD_40q30_Age!$B$2:$B$2081,B45,CVD_40q30_Age!$E$2:$E$2081,G45,CVD_40q30_Age!$F$2:$F$2081,H45,CVD_40q30_Age!$G$2:$G$2081,30)))</f>
        <v>12.722486807494281</v>
      </c>
      <c r="J45" s="30">
        <f t="shared" si="4"/>
        <v>12.722486807494281</v>
      </c>
      <c r="K45" s="30">
        <f t="shared" si="5"/>
        <v>0</v>
      </c>
      <c r="L45" s="28">
        <f t="shared" si="6"/>
        <v>0</v>
      </c>
      <c r="M45" s="35">
        <v>12.722486807494301</v>
      </c>
      <c r="N45" s="16" t="str">
        <f t="shared" si="7"/>
        <v>match</v>
      </c>
    </row>
    <row r="46" spans="1:14" ht="27.6">
      <c r="A46" t="s">
        <v>164</v>
      </c>
      <c r="B46" t="s">
        <v>112</v>
      </c>
      <c r="C46" s="14" t="s">
        <v>294</v>
      </c>
      <c r="D46" t="s">
        <v>112</v>
      </c>
      <c r="G46" t="s">
        <v>392</v>
      </c>
      <c r="H46" s="20">
        <v>2043</v>
      </c>
      <c r="I46" s="30">
        <f>100*(1-(SUMIFS(CVD_40q30_Age!$M$2:$M$2081,CVD_40q30_Age!$A$2:$A$2081,A46,CVD_40q30_Age!$B$2:$B$2081,B46,CVD_40q30_Age!$E$2:$E$2081,G46,CVD_40q30_Age!$F$2:$F$2081,H46,CVD_40q30_Age!$G$2:$G$2081,69))/(SUMIFS(CVD_40q30_Age!$L$2:$L$2081,CVD_40q30_Age!$A$2:$A$2081,A46,CVD_40q30_Age!$B$2:$B$2081,B46,CVD_40q30_Age!$E$2:$E$2081,G46,CVD_40q30_Age!$F$2:$F$2081,H46,CVD_40q30_Age!$G$2:$G$2081,30)))</f>
        <v>12.585540181250643</v>
      </c>
      <c r="J46" s="30">
        <f t="shared" si="4"/>
        <v>12.585540181250643</v>
      </c>
      <c r="K46" s="30">
        <f t="shared" si="5"/>
        <v>0</v>
      </c>
      <c r="L46" s="28">
        <f t="shared" si="6"/>
        <v>0</v>
      </c>
      <c r="M46" s="35">
        <v>12.5855401812507</v>
      </c>
      <c r="N46" s="16" t="str">
        <f t="shared" si="7"/>
        <v>match</v>
      </c>
    </row>
    <row r="47" spans="1:14" ht="27.6">
      <c r="A47" t="s">
        <v>164</v>
      </c>
      <c r="B47" t="s">
        <v>112</v>
      </c>
      <c r="C47" s="14" t="s">
        <v>294</v>
      </c>
      <c r="D47" t="s">
        <v>112</v>
      </c>
      <c r="G47" t="s">
        <v>392</v>
      </c>
      <c r="H47" s="20">
        <v>2044</v>
      </c>
      <c r="I47" s="30">
        <f>100*(1-(SUMIFS(CVD_40q30_Age!$M$2:$M$2081,CVD_40q30_Age!$A$2:$A$2081,A47,CVD_40q30_Age!$B$2:$B$2081,B47,CVD_40q30_Age!$E$2:$E$2081,G47,CVD_40q30_Age!$F$2:$F$2081,H47,CVD_40q30_Age!$G$2:$G$2081,69))/(SUMIFS(CVD_40q30_Age!$L$2:$L$2081,CVD_40q30_Age!$A$2:$A$2081,A47,CVD_40q30_Age!$B$2:$B$2081,B47,CVD_40q30_Age!$E$2:$E$2081,G47,CVD_40q30_Age!$F$2:$F$2081,H47,CVD_40q30_Age!$G$2:$G$2081,30)))</f>
        <v>12.450986408722986</v>
      </c>
      <c r="J47" s="30">
        <f t="shared" si="4"/>
        <v>12.450986408722986</v>
      </c>
      <c r="K47" s="30">
        <f t="shared" si="5"/>
        <v>0</v>
      </c>
      <c r="L47" s="28">
        <f t="shared" si="6"/>
        <v>0</v>
      </c>
      <c r="M47" s="35">
        <v>12.450986408723001</v>
      </c>
      <c r="N47" s="16" t="str">
        <f t="shared" si="7"/>
        <v>match</v>
      </c>
    </row>
    <row r="48" spans="1:14" ht="27.6">
      <c r="A48" t="s">
        <v>164</v>
      </c>
      <c r="B48" t="s">
        <v>112</v>
      </c>
      <c r="C48" s="14" t="s">
        <v>294</v>
      </c>
      <c r="D48" t="s">
        <v>112</v>
      </c>
      <c r="G48" t="s">
        <v>392</v>
      </c>
      <c r="H48" s="20">
        <v>2045</v>
      </c>
      <c r="I48" s="30">
        <f>100*(1-(SUMIFS(CVD_40q30_Age!$M$2:$M$2081,CVD_40q30_Age!$A$2:$A$2081,A48,CVD_40q30_Age!$B$2:$B$2081,B48,CVD_40q30_Age!$E$2:$E$2081,G48,CVD_40q30_Age!$F$2:$F$2081,H48,CVD_40q30_Age!$G$2:$G$2081,69))/(SUMIFS(CVD_40q30_Age!$L$2:$L$2081,CVD_40q30_Age!$A$2:$A$2081,A48,CVD_40q30_Age!$B$2:$B$2081,B48,CVD_40q30_Age!$E$2:$E$2081,G48,CVD_40q30_Age!$F$2:$F$2081,H48,CVD_40q30_Age!$G$2:$G$2081,30)))</f>
        <v>12.324707048815132</v>
      </c>
      <c r="J48" s="30">
        <f t="shared" si="4"/>
        <v>12.324707048815132</v>
      </c>
      <c r="K48" s="30">
        <f t="shared" si="5"/>
        <v>0</v>
      </c>
      <c r="L48" s="28">
        <f t="shared" si="6"/>
        <v>0</v>
      </c>
      <c r="M48" s="35">
        <v>12.3247070488151</v>
      </c>
      <c r="N48" s="16" t="str">
        <f t="shared" si="7"/>
        <v>match</v>
      </c>
    </row>
    <row r="49" spans="1:14" ht="27.6">
      <c r="A49" t="s">
        <v>164</v>
      </c>
      <c r="B49" t="s">
        <v>112</v>
      </c>
      <c r="C49" s="14" t="s">
        <v>294</v>
      </c>
      <c r="D49" t="s">
        <v>112</v>
      </c>
      <c r="G49" t="s">
        <v>392</v>
      </c>
      <c r="H49" s="20">
        <v>2046</v>
      </c>
      <c r="I49" s="30">
        <f>100*(1-(SUMIFS(CVD_40q30_Age!$M$2:$M$2081,CVD_40q30_Age!$A$2:$A$2081,A49,CVD_40q30_Age!$B$2:$B$2081,B49,CVD_40q30_Age!$E$2:$E$2081,G49,CVD_40q30_Age!$F$2:$F$2081,H49,CVD_40q30_Age!$G$2:$G$2081,69))/(SUMIFS(CVD_40q30_Age!$L$2:$L$2081,CVD_40q30_Age!$A$2:$A$2081,A49,CVD_40q30_Age!$B$2:$B$2081,B49,CVD_40q30_Age!$E$2:$E$2081,G49,CVD_40q30_Age!$F$2:$F$2081,H49,CVD_40q30_Age!$G$2:$G$2081,30)))</f>
        <v>12.195786703555134</v>
      </c>
      <c r="J49" s="30">
        <f t="shared" si="4"/>
        <v>12.195786703555134</v>
      </c>
      <c r="K49" s="30">
        <f t="shared" si="5"/>
        <v>0</v>
      </c>
      <c r="L49" s="28">
        <f t="shared" si="6"/>
        <v>0</v>
      </c>
      <c r="M49" s="35">
        <v>12.1957867035551</v>
      </c>
      <c r="N49" s="16" t="str">
        <f t="shared" si="7"/>
        <v>match</v>
      </c>
    </row>
    <row r="50" spans="1:14" ht="27.6">
      <c r="A50" t="s">
        <v>164</v>
      </c>
      <c r="B50" t="s">
        <v>112</v>
      </c>
      <c r="C50" s="14" t="s">
        <v>294</v>
      </c>
      <c r="D50" t="s">
        <v>112</v>
      </c>
      <c r="G50" t="s">
        <v>392</v>
      </c>
      <c r="H50" s="20">
        <v>2047</v>
      </c>
      <c r="I50" s="30">
        <f>100*(1-(SUMIFS(CVD_40q30_Age!$M$2:$M$2081,CVD_40q30_Age!$A$2:$A$2081,A50,CVD_40q30_Age!$B$2:$B$2081,B50,CVD_40q30_Age!$E$2:$E$2081,G50,CVD_40q30_Age!$F$2:$F$2081,H50,CVD_40q30_Age!$G$2:$G$2081,69))/(SUMIFS(CVD_40q30_Age!$L$2:$L$2081,CVD_40q30_Age!$A$2:$A$2081,A50,CVD_40q30_Age!$B$2:$B$2081,B50,CVD_40q30_Age!$E$2:$E$2081,G50,CVD_40q30_Age!$F$2:$F$2081,H50,CVD_40q30_Age!$G$2:$G$2081,30)))</f>
        <v>12.066077809605513</v>
      </c>
      <c r="J50" s="30">
        <f t="shared" si="4"/>
        <v>12.066077809605513</v>
      </c>
      <c r="K50" s="30">
        <f t="shared" si="5"/>
        <v>0</v>
      </c>
      <c r="L50" s="28">
        <f t="shared" si="6"/>
        <v>0</v>
      </c>
      <c r="M50" s="35">
        <v>12.066077809605501</v>
      </c>
      <c r="N50" s="16" t="str">
        <f t="shared" si="7"/>
        <v>match</v>
      </c>
    </row>
    <row r="51" spans="1:14" ht="27.6">
      <c r="A51" t="s">
        <v>164</v>
      </c>
      <c r="B51" t="s">
        <v>112</v>
      </c>
      <c r="C51" s="14" t="s">
        <v>294</v>
      </c>
      <c r="D51" t="s">
        <v>112</v>
      </c>
      <c r="G51" t="s">
        <v>392</v>
      </c>
      <c r="H51" s="20">
        <v>2048</v>
      </c>
      <c r="I51" s="30">
        <f>100*(1-(SUMIFS(CVD_40q30_Age!$M$2:$M$2081,CVD_40q30_Age!$A$2:$A$2081,A51,CVD_40q30_Age!$B$2:$B$2081,B51,CVD_40q30_Age!$E$2:$E$2081,G51,CVD_40q30_Age!$F$2:$F$2081,H51,CVD_40q30_Age!$G$2:$G$2081,69))/(SUMIFS(CVD_40q30_Age!$L$2:$L$2081,CVD_40q30_Age!$A$2:$A$2081,A51,CVD_40q30_Age!$B$2:$B$2081,B51,CVD_40q30_Age!$E$2:$E$2081,G51,CVD_40q30_Age!$F$2:$F$2081,H51,CVD_40q30_Age!$G$2:$G$2081,30)))</f>
        <v>11.931549181001721</v>
      </c>
      <c r="J51" s="30">
        <f t="shared" si="4"/>
        <v>11.931549181001721</v>
      </c>
      <c r="K51" s="30">
        <f t="shared" si="5"/>
        <v>0</v>
      </c>
      <c r="L51" s="28">
        <f t="shared" si="6"/>
        <v>0</v>
      </c>
      <c r="M51" s="35">
        <v>11.931549181001699</v>
      </c>
      <c r="N51" s="16" t="str">
        <f t="shared" si="7"/>
        <v>match</v>
      </c>
    </row>
    <row r="52" spans="1:14" ht="27.6">
      <c r="A52" t="s">
        <v>164</v>
      </c>
      <c r="B52" t="s">
        <v>112</v>
      </c>
      <c r="C52" s="14" t="s">
        <v>294</v>
      </c>
      <c r="D52" t="s">
        <v>112</v>
      </c>
      <c r="G52" t="s">
        <v>392</v>
      </c>
      <c r="H52" s="20">
        <v>2049</v>
      </c>
      <c r="I52" s="30">
        <f>100*(1-(SUMIFS(CVD_40q30_Age!$M$2:$M$2081,CVD_40q30_Age!$A$2:$A$2081,A52,CVD_40q30_Age!$B$2:$B$2081,B52,CVD_40q30_Age!$E$2:$E$2081,G52,CVD_40q30_Age!$F$2:$F$2081,H52,CVD_40q30_Age!$G$2:$G$2081,69))/(SUMIFS(CVD_40q30_Age!$L$2:$L$2081,CVD_40q30_Age!$A$2:$A$2081,A52,CVD_40q30_Age!$B$2:$B$2081,B52,CVD_40q30_Age!$E$2:$E$2081,G52,CVD_40q30_Age!$F$2:$F$2081,H52,CVD_40q30_Age!$G$2:$G$2081,30)))</f>
        <v>11.8054215438263</v>
      </c>
      <c r="J52" s="30">
        <f t="shared" si="4"/>
        <v>11.8054215438263</v>
      </c>
      <c r="K52" s="30">
        <f t="shared" si="5"/>
        <v>0</v>
      </c>
      <c r="L52" s="28">
        <f t="shared" si="6"/>
        <v>0</v>
      </c>
      <c r="M52" s="35">
        <v>11.8054215438263</v>
      </c>
      <c r="N52" s="16" t="str">
        <f t="shared" si="7"/>
        <v>match</v>
      </c>
    </row>
    <row r="53" spans="1:14" ht="27.6">
      <c r="A53" t="s">
        <v>164</v>
      </c>
      <c r="B53" t="s">
        <v>112</v>
      </c>
      <c r="C53" s="14" t="s">
        <v>294</v>
      </c>
      <c r="D53" t="s">
        <v>112</v>
      </c>
      <c r="G53" t="s">
        <v>392</v>
      </c>
      <c r="H53" s="20">
        <v>2050</v>
      </c>
      <c r="I53" s="30">
        <f>100*(1-(SUMIFS(CVD_40q30_Age!$M$2:$M$2081,CVD_40q30_Age!$A$2:$A$2081,A53,CVD_40q30_Age!$B$2:$B$2081,B53,CVD_40q30_Age!$E$2:$E$2081,G53,CVD_40q30_Age!$F$2:$F$2081,H53,CVD_40q30_Age!$G$2:$G$2081,69))/(SUMIFS(CVD_40q30_Age!$L$2:$L$2081,CVD_40q30_Age!$A$2:$A$2081,A53,CVD_40q30_Age!$B$2:$B$2081,B53,CVD_40q30_Age!$E$2:$E$2081,G53,CVD_40q30_Age!$F$2:$F$2081,H53,CVD_40q30_Age!$G$2:$G$2081,30)))</f>
        <v>11.686286604642959</v>
      </c>
      <c r="J53" s="30">
        <f t="shared" si="4"/>
        <v>11.686286604642959</v>
      </c>
      <c r="K53" s="30">
        <f t="shared" si="5"/>
        <v>0</v>
      </c>
      <c r="L53" s="28">
        <f t="shared" si="6"/>
        <v>0</v>
      </c>
      <c r="M53" s="35">
        <v>11.686286604643</v>
      </c>
      <c r="N53" s="16" t="str">
        <f t="shared" si="7"/>
        <v>match</v>
      </c>
    </row>
  </sheetData>
  <autoFilter ref="A1:N1" xr:uid="{00000000-0009-0000-0000-00000A000000}"/>
  <conditionalFormatting sqref="N2:N53">
    <cfRule type="containsText" dxfId="9" priority="1" operator="containsText" text="mismatch">
      <formula>NOT(ISERROR(SEARCH("mismatch", N2)))</formula>
    </cfRule>
    <cfRule type="containsText" dxfId="8" priority="2" operator="containsText" text="match">
      <formula>NOT(ISERROR(SEARCH("match", N2)))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2081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2" width="11.69921875" customWidth="1"/>
    <col min="3" max="3" width="16.69921875" customWidth="1"/>
    <col min="4" max="5" width="21.69921875" customWidth="1"/>
    <col min="6" max="7" width="11.69921875" customWidth="1"/>
    <col min="8" max="9" width="12.69921875" customWidth="1"/>
    <col min="10" max="13" width="11.69921875" customWidth="1"/>
  </cols>
  <sheetData>
    <row r="1" spans="1:13" ht="28.05" customHeight="1">
      <c r="A1" s="1" t="s">
        <v>384</v>
      </c>
      <c r="B1" s="1" t="s">
        <v>282</v>
      </c>
      <c r="C1" s="1" t="s">
        <v>283</v>
      </c>
      <c r="D1" s="1" t="s">
        <v>364</v>
      </c>
      <c r="E1" s="1" t="s">
        <v>385</v>
      </c>
      <c r="F1" s="1" t="s">
        <v>42</v>
      </c>
      <c r="G1" s="1" t="s">
        <v>386</v>
      </c>
      <c r="H1" s="1" t="s">
        <v>387</v>
      </c>
      <c r="I1" s="1" t="s">
        <v>343</v>
      </c>
      <c r="J1" s="1" t="s">
        <v>388</v>
      </c>
      <c r="K1" s="1" t="s">
        <v>389</v>
      </c>
      <c r="L1" s="1" t="s">
        <v>390</v>
      </c>
      <c r="M1" s="1" t="s">
        <v>391</v>
      </c>
    </row>
    <row r="2" spans="1:13" ht="69">
      <c r="A2" t="s">
        <v>164</v>
      </c>
      <c r="B2" t="s">
        <v>115</v>
      </c>
      <c r="C2" s="14" t="s">
        <v>291</v>
      </c>
      <c r="D2" t="s">
        <v>375</v>
      </c>
      <c r="E2" t="s">
        <v>392</v>
      </c>
      <c r="F2" s="20">
        <v>2025</v>
      </c>
      <c r="G2" s="20">
        <v>30</v>
      </c>
      <c r="H2" s="11">
        <v>1282.1480800753</v>
      </c>
      <c r="I2" s="10">
        <v>4467259.0074498402</v>
      </c>
      <c r="J2" s="34">
        <f t="shared" ref="J2:J65" si="0">IF(I2&gt;0,H2/I2,0)</f>
        <v>2.8701001619496906E-4</v>
      </c>
      <c r="K2" s="34">
        <f t="shared" ref="K2:K65" si="1">1-EXP(-J2)</f>
        <v>2.8696883276035923E-4</v>
      </c>
      <c r="L2" s="34">
        <f t="shared" ref="L2:L65" si="2">IF(G2=30,1,M1)</f>
        <v>1</v>
      </c>
      <c r="M2" s="34">
        <f t="shared" ref="M2:M65" si="3">L2*(1-K2)</f>
        <v>0.99971303116723964</v>
      </c>
    </row>
    <row r="3" spans="1:13" ht="69">
      <c r="A3" t="s">
        <v>164</v>
      </c>
      <c r="B3" t="s">
        <v>115</v>
      </c>
      <c r="C3" s="14" t="s">
        <v>291</v>
      </c>
      <c r="D3" t="s">
        <v>375</v>
      </c>
      <c r="E3" t="s">
        <v>392</v>
      </c>
      <c r="F3" s="20">
        <v>2025</v>
      </c>
      <c r="G3" s="20">
        <v>31</v>
      </c>
      <c r="H3" s="11">
        <v>1315.2390869824701</v>
      </c>
      <c r="I3" s="10">
        <v>4410712.3904493405</v>
      </c>
      <c r="J3" s="34">
        <f t="shared" si="0"/>
        <v>2.9819198590921506E-4</v>
      </c>
      <c r="K3" s="34">
        <f t="shared" si="1"/>
        <v>2.9814753109780323E-4</v>
      </c>
      <c r="L3" s="34">
        <f t="shared" si="2"/>
        <v>0.99971303116723964</v>
      </c>
      <c r="M3" s="34">
        <f t="shared" si="3"/>
        <v>0.99941496919519079</v>
      </c>
    </row>
    <row r="4" spans="1:13" ht="69">
      <c r="A4" t="s">
        <v>164</v>
      </c>
      <c r="B4" t="s">
        <v>115</v>
      </c>
      <c r="C4" s="14" t="s">
        <v>291</v>
      </c>
      <c r="D4" t="s">
        <v>375</v>
      </c>
      <c r="E4" t="s">
        <v>392</v>
      </c>
      <c r="F4" s="20">
        <v>2025</v>
      </c>
      <c r="G4" s="20">
        <v>32</v>
      </c>
      <c r="H4" s="11">
        <v>1358.3687410796599</v>
      </c>
      <c r="I4" s="10">
        <v>4358505.8007635903</v>
      </c>
      <c r="J4" s="34">
        <f t="shared" si="0"/>
        <v>3.116592711294958E-4</v>
      </c>
      <c r="K4" s="34">
        <f t="shared" si="1"/>
        <v>3.1161071042373756E-4</v>
      </c>
      <c r="L4" s="34">
        <f t="shared" si="2"/>
        <v>0.99941496919519079</v>
      </c>
      <c r="M4" s="34">
        <f t="shared" si="3"/>
        <v>0.99910354078663177</v>
      </c>
    </row>
    <row r="5" spans="1:13" ht="69">
      <c r="A5" t="s">
        <v>164</v>
      </c>
      <c r="B5" t="s">
        <v>115</v>
      </c>
      <c r="C5" s="14" t="s">
        <v>291</v>
      </c>
      <c r="D5" t="s">
        <v>375</v>
      </c>
      <c r="E5" t="s">
        <v>392</v>
      </c>
      <c r="F5" s="20">
        <v>2025</v>
      </c>
      <c r="G5" s="20">
        <v>33</v>
      </c>
      <c r="H5" s="11">
        <v>1441.84186563354</v>
      </c>
      <c r="I5" s="10">
        <v>4398745.9279128602</v>
      </c>
      <c r="J5" s="34">
        <f t="shared" si="0"/>
        <v>3.2778475712455453E-4</v>
      </c>
      <c r="K5" s="34">
        <f t="shared" si="1"/>
        <v>3.2773104157024502E-4</v>
      </c>
      <c r="L5" s="34">
        <f t="shared" si="2"/>
        <v>0.99910354078663177</v>
      </c>
      <c r="M5" s="34">
        <f t="shared" si="3"/>
        <v>0.99877610354257329</v>
      </c>
    </row>
    <row r="6" spans="1:13" ht="69">
      <c r="A6" t="s">
        <v>164</v>
      </c>
      <c r="B6" t="s">
        <v>115</v>
      </c>
      <c r="C6" s="14" t="s">
        <v>291</v>
      </c>
      <c r="D6" t="s">
        <v>375</v>
      </c>
      <c r="E6" t="s">
        <v>392</v>
      </c>
      <c r="F6" s="20">
        <v>2025</v>
      </c>
      <c r="G6" s="20">
        <v>34</v>
      </c>
      <c r="H6" s="11">
        <v>1533.7871470223299</v>
      </c>
      <c r="I6" s="10">
        <v>4419468.5889959903</v>
      </c>
      <c r="J6" s="34">
        <f t="shared" si="0"/>
        <v>3.4705239241688418E-4</v>
      </c>
      <c r="K6" s="34">
        <f t="shared" si="1"/>
        <v>3.4699217670153271E-4</v>
      </c>
      <c r="L6" s="34">
        <f t="shared" si="2"/>
        <v>0.99877610354257329</v>
      </c>
      <c r="M6" s="34">
        <f t="shared" si="3"/>
        <v>0.99842953604836759</v>
      </c>
    </row>
    <row r="7" spans="1:13" ht="69">
      <c r="A7" t="s">
        <v>164</v>
      </c>
      <c r="B7" t="s">
        <v>115</v>
      </c>
      <c r="C7" s="14" t="s">
        <v>291</v>
      </c>
      <c r="D7" t="s">
        <v>375</v>
      </c>
      <c r="E7" t="s">
        <v>392</v>
      </c>
      <c r="F7" s="20">
        <v>2025</v>
      </c>
      <c r="G7" s="20">
        <v>35</v>
      </c>
      <c r="H7" s="11">
        <v>3016.1069316169601</v>
      </c>
      <c r="I7" s="10">
        <v>6509663.36688188</v>
      </c>
      <c r="J7" s="34">
        <f t="shared" si="0"/>
        <v>4.6332763487609823E-4</v>
      </c>
      <c r="K7" s="34">
        <f t="shared" si="1"/>
        <v>4.6322031520285023E-4</v>
      </c>
      <c r="L7" s="34">
        <f t="shared" si="2"/>
        <v>0.99842953604836759</v>
      </c>
      <c r="M7" s="34">
        <f t="shared" si="3"/>
        <v>0.99796704320397145</v>
      </c>
    </row>
    <row r="8" spans="1:13" ht="69">
      <c r="A8" t="s">
        <v>164</v>
      </c>
      <c r="B8" t="s">
        <v>115</v>
      </c>
      <c r="C8" s="14" t="s">
        <v>291</v>
      </c>
      <c r="D8" t="s">
        <v>375</v>
      </c>
      <c r="E8" t="s">
        <v>392</v>
      </c>
      <c r="F8" s="20">
        <v>2025</v>
      </c>
      <c r="G8" s="20">
        <v>36</v>
      </c>
      <c r="H8" s="11">
        <v>2254.70933318993</v>
      </c>
      <c r="I8" s="10">
        <v>4383096.0054953797</v>
      </c>
      <c r="J8" s="34">
        <f t="shared" si="0"/>
        <v>5.1441020921354458E-4</v>
      </c>
      <c r="K8" s="34">
        <f t="shared" si="1"/>
        <v>5.1427792296598884E-4</v>
      </c>
      <c r="L8" s="34">
        <f t="shared" si="2"/>
        <v>0.99796704320397145</v>
      </c>
      <c r="M8" s="34">
        <f t="shared" si="3"/>
        <v>0.99745381078580397</v>
      </c>
    </row>
    <row r="9" spans="1:13" ht="69">
      <c r="A9" t="s">
        <v>164</v>
      </c>
      <c r="B9" t="s">
        <v>115</v>
      </c>
      <c r="C9" s="14" t="s">
        <v>291</v>
      </c>
      <c r="D9" t="s">
        <v>375</v>
      </c>
      <c r="E9" t="s">
        <v>392</v>
      </c>
      <c r="F9" s="20">
        <v>2025</v>
      </c>
      <c r="G9" s="20">
        <v>37</v>
      </c>
      <c r="H9" s="11">
        <v>2406.7284850559499</v>
      </c>
      <c r="I9" s="10">
        <v>4369642.2930548899</v>
      </c>
      <c r="J9" s="34">
        <f t="shared" si="0"/>
        <v>5.5078386825420573E-4</v>
      </c>
      <c r="K9" s="34">
        <f t="shared" si="1"/>
        <v>5.5063221466344903E-4</v>
      </c>
      <c r="L9" s="34">
        <f t="shared" si="2"/>
        <v>0.99745381078580397</v>
      </c>
      <c r="M9" s="34">
        <f t="shared" si="3"/>
        <v>0.99690458058494646</v>
      </c>
    </row>
    <row r="10" spans="1:13" ht="69">
      <c r="A10" t="s">
        <v>164</v>
      </c>
      <c r="B10" t="s">
        <v>115</v>
      </c>
      <c r="C10" s="14" t="s">
        <v>291</v>
      </c>
      <c r="D10" t="s">
        <v>375</v>
      </c>
      <c r="E10" t="s">
        <v>392</v>
      </c>
      <c r="F10" s="20">
        <v>2025</v>
      </c>
      <c r="G10" s="20">
        <v>38</v>
      </c>
      <c r="H10" s="11">
        <v>2504.2649255002698</v>
      </c>
      <c r="I10" s="10">
        <v>4239505.8530855002</v>
      </c>
      <c r="J10" s="34">
        <f t="shared" si="0"/>
        <v>5.9069736244795441E-4</v>
      </c>
      <c r="K10" s="34">
        <f t="shared" si="1"/>
        <v>5.9052293510719611E-4</v>
      </c>
      <c r="L10" s="34">
        <f t="shared" si="2"/>
        <v>0.99690458058494646</v>
      </c>
      <c r="M10" s="34">
        <f t="shared" si="3"/>
        <v>0.99631588556599759</v>
      </c>
    </row>
    <row r="11" spans="1:13" ht="69">
      <c r="A11" t="s">
        <v>164</v>
      </c>
      <c r="B11" t="s">
        <v>115</v>
      </c>
      <c r="C11" s="14" t="s">
        <v>291</v>
      </c>
      <c r="D11" t="s">
        <v>375</v>
      </c>
      <c r="E11" t="s">
        <v>392</v>
      </c>
      <c r="F11" s="20">
        <v>2025</v>
      </c>
      <c r="G11" s="20">
        <v>39</v>
      </c>
      <c r="H11" s="11">
        <v>2668.8504498361599</v>
      </c>
      <c r="I11" s="10">
        <v>4208510.7208543802</v>
      </c>
      <c r="J11" s="34">
        <f t="shared" si="0"/>
        <v>6.3415555450797335E-4</v>
      </c>
      <c r="K11" s="34">
        <f t="shared" si="1"/>
        <v>6.3395452037218192E-4</v>
      </c>
      <c r="L11" s="34">
        <f t="shared" si="2"/>
        <v>0.99631588556599759</v>
      </c>
      <c r="M11" s="34">
        <f t="shared" si="3"/>
        <v>0.99568426660662446</v>
      </c>
    </row>
    <row r="12" spans="1:13" ht="69">
      <c r="A12" t="s">
        <v>164</v>
      </c>
      <c r="B12" t="s">
        <v>115</v>
      </c>
      <c r="C12" s="14" t="s">
        <v>291</v>
      </c>
      <c r="D12" t="s">
        <v>375</v>
      </c>
      <c r="E12" t="s">
        <v>392</v>
      </c>
      <c r="F12" s="20">
        <v>2025</v>
      </c>
      <c r="G12" s="20">
        <v>40</v>
      </c>
      <c r="H12" s="11">
        <v>3657.3453561075798</v>
      </c>
      <c r="I12" s="10">
        <v>4272859.9416291798</v>
      </c>
      <c r="J12" s="34">
        <f t="shared" si="0"/>
        <v>8.5594786772090795E-4</v>
      </c>
      <c r="K12" s="34">
        <f t="shared" si="1"/>
        <v>8.5558164884036447E-4</v>
      </c>
      <c r="L12" s="34">
        <f t="shared" si="2"/>
        <v>0.99568426660662446</v>
      </c>
      <c r="M12" s="34">
        <f t="shared" si="3"/>
        <v>0.9948323774200768</v>
      </c>
    </row>
    <row r="13" spans="1:13" ht="69">
      <c r="A13" t="s">
        <v>164</v>
      </c>
      <c r="B13" t="s">
        <v>115</v>
      </c>
      <c r="C13" s="14" t="s">
        <v>291</v>
      </c>
      <c r="D13" t="s">
        <v>375</v>
      </c>
      <c r="E13" t="s">
        <v>392</v>
      </c>
      <c r="F13" s="20">
        <v>2025</v>
      </c>
      <c r="G13" s="20">
        <v>41</v>
      </c>
      <c r="H13" s="11">
        <v>4027.1376792173</v>
      </c>
      <c r="I13" s="10">
        <v>4362484.6630329899</v>
      </c>
      <c r="J13" s="34">
        <f t="shared" si="0"/>
        <v>9.2312936096776053E-4</v>
      </c>
      <c r="K13" s="34">
        <f t="shared" si="1"/>
        <v>9.227034081391583E-4</v>
      </c>
      <c r="L13" s="34">
        <f t="shared" si="2"/>
        <v>0.9948323774200768</v>
      </c>
      <c r="M13" s="34">
        <f t="shared" si="3"/>
        <v>0.9939144421949041</v>
      </c>
    </row>
    <row r="14" spans="1:13" ht="69">
      <c r="A14" t="s">
        <v>164</v>
      </c>
      <c r="B14" t="s">
        <v>115</v>
      </c>
      <c r="C14" s="14" t="s">
        <v>291</v>
      </c>
      <c r="D14" t="s">
        <v>375</v>
      </c>
      <c r="E14" t="s">
        <v>392</v>
      </c>
      <c r="F14" s="20">
        <v>2025</v>
      </c>
      <c r="G14" s="20">
        <v>42</v>
      </c>
      <c r="H14" s="11">
        <v>4338.5011085091</v>
      </c>
      <c r="I14" s="10">
        <v>4343004.7687664302</v>
      </c>
      <c r="J14" s="34">
        <f t="shared" si="0"/>
        <v>9.9896300821732467E-4</v>
      </c>
      <c r="K14" s="34">
        <f t="shared" si="1"/>
        <v>9.98464210778649E-4</v>
      </c>
      <c r="L14" s="34">
        <f t="shared" si="2"/>
        <v>0.9939144421949041</v>
      </c>
      <c r="M14" s="34">
        <f t="shared" si="3"/>
        <v>0.99292205419579649</v>
      </c>
    </row>
    <row r="15" spans="1:13" ht="69">
      <c r="A15" t="s">
        <v>164</v>
      </c>
      <c r="B15" t="s">
        <v>115</v>
      </c>
      <c r="C15" s="14" t="s">
        <v>291</v>
      </c>
      <c r="D15" t="s">
        <v>375</v>
      </c>
      <c r="E15" t="s">
        <v>392</v>
      </c>
      <c r="F15" s="20">
        <v>2025</v>
      </c>
      <c r="G15" s="20">
        <v>43</v>
      </c>
      <c r="H15" s="11">
        <v>4570.2356145269896</v>
      </c>
      <c r="I15" s="10">
        <v>4209764.8222979801</v>
      </c>
      <c r="J15" s="34">
        <f t="shared" si="0"/>
        <v>1.0856272992542705E-3</v>
      </c>
      <c r="K15" s="34">
        <f t="shared" si="1"/>
        <v>1.0850382191309738E-3</v>
      </c>
      <c r="L15" s="34">
        <f t="shared" si="2"/>
        <v>0.99292205419579649</v>
      </c>
      <c r="M15" s="34">
        <f t="shared" si="3"/>
        <v>0.99184469581837598</v>
      </c>
    </row>
    <row r="16" spans="1:13" ht="69">
      <c r="A16" t="s">
        <v>164</v>
      </c>
      <c r="B16" t="s">
        <v>115</v>
      </c>
      <c r="C16" s="14" t="s">
        <v>291</v>
      </c>
      <c r="D16" t="s">
        <v>375</v>
      </c>
      <c r="E16" t="s">
        <v>392</v>
      </c>
      <c r="F16" s="20">
        <v>2025</v>
      </c>
      <c r="G16" s="20">
        <v>44</v>
      </c>
      <c r="H16" s="11">
        <v>4899.1197585141499</v>
      </c>
      <c r="I16" s="10">
        <v>4140245.42433907</v>
      </c>
      <c r="J16" s="34">
        <f t="shared" si="0"/>
        <v>1.1832921134853312E-3</v>
      </c>
      <c r="K16" s="34">
        <f t="shared" si="1"/>
        <v>1.1825922994277427E-3</v>
      </c>
      <c r="L16" s="34">
        <f t="shared" si="2"/>
        <v>0.99184469581837598</v>
      </c>
      <c r="M16" s="34">
        <f t="shared" si="3"/>
        <v>0.99067174791887291</v>
      </c>
    </row>
    <row r="17" spans="1:13" ht="69">
      <c r="A17" t="s">
        <v>164</v>
      </c>
      <c r="B17" t="s">
        <v>115</v>
      </c>
      <c r="C17" s="14" t="s">
        <v>291</v>
      </c>
      <c r="D17" t="s">
        <v>375</v>
      </c>
      <c r="E17" t="s">
        <v>392</v>
      </c>
      <c r="F17" s="20">
        <v>2025</v>
      </c>
      <c r="G17" s="20">
        <v>45</v>
      </c>
      <c r="H17" s="11">
        <v>6269.5899512424703</v>
      </c>
      <c r="I17" s="10">
        <v>4087263.42645959</v>
      </c>
      <c r="J17" s="34">
        <f t="shared" si="0"/>
        <v>1.5339334163428815E-3</v>
      </c>
      <c r="K17" s="34">
        <f t="shared" si="1"/>
        <v>1.5327575417946049E-3</v>
      </c>
      <c r="L17" s="34">
        <f t="shared" si="2"/>
        <v>0.99067174791887291</v>
      </c>
      <c r="M17" s="34">
        <f t="shared" si="3"/>
        <v>0.9891532883258074</v>
      </c>
    </row>
    <row r="18" spans="1:13" ht="69">
      <c r="A18" t="s">
        <v>164</v>
      </c>
      <c r="B18" t="s">
        <v>115</v>
      </c>
      <c r="C18" s="14" t="s">
        <v>291</v>
      </c>
      <c r="D18" t="s">
        <v>375</v>
      </c>
      <c r="E18" t="s">
        <v>392</v>
      </c>
      <c r="F18" s="20">
        <v>2025</v>
      </c>
      <c r="G18" s="20">
        <v>46</v>
      </c>
      <c r="H18" s="11">
        <v>6759.6109967268103</v>
      </c>
      <c r="I18" s="10">
        <v>4028051.8565676999</v>
      </c>
      <c r="J18" s="34">
        <f t="shared" si="0"/>
        <v>1.6781340552270521E-3</v>
      </c>
      <c r="K18" s="34">
        <f t="shared" si="1"/>
        <v>1.6767267755847248E-3</v>
      </c>
      <c r="L18" s="34">
        <f t="shared" si="2"/>
        <v>0.9891532883258074</v>
      </c>
      <c r="M18" s="34">
        <f t="shared" si="3"/>
        <v>0.98749474852211383</v>
      </c>
    </row>
    <row r="19" spans="1:13" ht="69">
      <c r="A19" t="s">
        <v>164</v>
      </c>
      <c r="B19" t="s">
        <v>115</v>
      </c>
      <c r="C19" s="14" t="s">
        <v>291</v>
      </c>
      <c r="D19" t="s">
        <v>375</v>
      </c>
      <c r="E19" t="s">
        <v>392</v>
      </c>
      <c r="F19" s="20">
        <v>2025</v>
      </c>
      <c r="G19" s="20">
        <v>47</v>
      </c>
      <c r="H19" s="11">
        <v>7252.1851127187401</v>
      </c>
      <c r="I19" s="10">
        <v>3950277.1288906098</v>
      </c>
      <c r="J19" s="34">
        <f t="shared" si="0"/>
        <v>1.8358674280544549E-3</v>
      </c>
      <c r="K19" s="34">
        <f t="shared" si="1"/>
        <v>1.8341832542453362E-3</v>
      </c>
      <c r="L19" s="34">
        <f t="shared" si="2"/>
        <v>0.98749474852211383</v>
      </c>
      <c r="M19" s="34">
        <f t="shared" si="3"/>
        <v>0.98568350219071932</v>
      </c>
    </row>
    <row r="20" spans="1:13" ht="69">
      <c r="A20" t="s">
        <v>164</v>
      </c>
      <c r="B20" t="s">
        <v>115</v>
      </c>
      <c r="C20" s="14" t="s">
        <v>291</v>
      </c>
      <c r="D20" t="s">
        <v>375</v>
      </c>
      <c r="E20" t="s">
        <v>392</v>
      </c>
      <c r="F20" s="20">
        <v>2025</v>
      </c>
      <c r="G20" s="20">
        <v>48</v>
      </c>
      <c r="H20" s="11">
        <v>7813.40832117217</v>
      </c>
      <c r="I20" s="10">
        <v>3890339.9285664302</v>
      </c>
      <c r="J20" s="34">
        <f t="shared" si="0"/>
        <v>2.008412751749272E-3</v>
      </c>
      <c r="K20" s="34">
        <f t="shared" si="1"/>
        <v>2.0063972404106289E-3</v>
      </c>
      <c r="L20" s="34">
        <f t="shared" si="2"/>
        <v>0.98568350219071932</v>
      </c>
      <c r="M20" s="34">
        <f t="shared" si="3"/>
        <v>0.98370582953200558</v>
      </c>
    </row>
    <row r="21" spans="1:13" ht="69">
      <c r="A21" t="s">
        <v>164</v>
      </c>
      <c r="B21" t="s">
        <v>115</v>
      </c>
      <c r="C21" s="14" t="s">
        <v>291</v>
      </c>
      <c r="D21" t="s">
        <v>375</v>
      </c>
      <c r="E21" t="s">
        <v>392</v>
      </c>
      <c r="F21" s="20">
        <v>2025</v>
      </c>
      <c r="G21" s="20">
        <v>49</v>
      </c>
      <c r="H21" s="11">
        <v>8372.7871740061291</v>
      </c>
      <c r="I21" s="10">
        <v>3818493.2699654298</v>
      </c>
      <c r="J21" s="34">
        <f t="shared" si="0"/>
        <v>2.1926939716936916E-3</v>
      </c>
      <c r="K21" s="34">
        <f t="shared" si="1"/>
        <v>2.1902917743489292E-3</v>
      </c>
      <c r="L21" s="34">
        <f t="shared" si="2"/>
        <v>0.98370582953200558</v>
      </c>
      <c r="M21" s="34">
        <f t="shared" si="3"/>
        <v>0.98155122674520257</v>
      </c>
    </row>
    <row r="22" spans="1:13" ht="69">
      <c r="A22" t="s">
        <v>164</v>
      </c>
      <c r="B22" t="s">
        <v>115</v>
      </c>
      <c r="C22" s="14" t="s">
        <v>291</v>
      </c>
      <c r="D22" t="s">
        <v>375</v>
      </c>
      <c r="E22" t="s">
        <v>392</v>
      </c>
      <c r="F22" s="20">
        <v>2025</v>
      </c>
      <c r="G22" s="20">
        <v>50</v>
      </c>
      <c r="H22" s="11">
        <v>9615.5587091864199</v>
      </c>
      <c r="I22" s="10">
        <v>3746208.3894556002</v>
      </c>
      <c r="J22" s="34">
        <f t="shared" si="0"/>
        <v>2.5667442142971002E-3</v>
      </c>
      <c r="K22" s="34">
        <f t="shared" si="1"/>
        <v>2.5634529429190422E-3</v>
      </c>
      <c r="L22" s="34">
        <f t="shared" si="2"/>
        <v>0.98155122674520257</v>
      </c>
      <c r="M22" s="34">
        <f t="shared" si="3"/>
        <v>0.97903506636437676</v>
      </c>
    </row>
    <row r="23" spans="1:13" ht="69">
      <c r="A23" t="s">
        <v>164</v>
      </c>
      <c r="B23" t="s">
        <v>115</v>
      </c>
      <c r="C23" s="14" t="s">
        <v>291</v>
      </c>
      <c r="D23" t="s">
        <v>375</v>
      </c>
      <c r="E23" t="s">
        <v>392</v>
      </c>
      <c r="F23" s="20">
        <v>2025</v>
      </c>
      <c r="G23" s="20">
        <v>51</v>
      </c>
      <c r="H23" s="11">
        <v>10197.774186406499</v>
      </c>
      <c r="I23" s="10">
        <v>3645044.2152322298</v>
      </c>
      <c r="J23" s="34">
        <f t="shared" si="0"/>
        <v>2.7977093237418487E-3</v>
      </c>
      <c r="K23" s="34">
        <f t="shared" si="1"/>
        <v>2.7937993821550711E-3</v>
      </c>
      <c r="L23" s="34">
        <f t="shared" si="2"/>
        <v>0.97903506636437676</v>
      </c>
      <c r="M23" s="34">
        <f t="shared" si="3"/>
        <v>0.9762998388008598</v>
      </c>
    </row>
    <row r="24" spans="1:13" ht="69">
      <c r="A24" t="s">
        <v>164</v>
      </c>
      <c r="B24" t="s">
        <v>115</v>
      </c>
      <c r="C24" s="14" t="s">
        <v>291</v>
      </c>
      <c r="D24" t="s">
        <v>375</v>
      </c>
      <c r="E24" t="s">
        <v>392</v>
      </c>
      <c r="F24" s="20">
        <v>2025</v>
      </c>
      <c r="G24" s="20">
        <v>52</v>
      </c>
      <c r="H24" s="11">
        <v>10999.185638192401</v>
      </c>
      <c r="I24" s="10">
        <v>3606935.9642908699</v>
      </c>
      <c r="J24" s="34">
        <f t="shared" si="0"/>
        <v>3.0494540926386698E-3</v>
      </c>
      <c r="K24" s="34">
        <f t="shared" si="1"/>
        <v>3.04480923013839E-3</v>
      </c>
      <c r="L24" s="34">
        <f t="shared" si="2"/>
        <v>0.9762998388008598</v>
      </c>
      <c r="M24" s="34">
        <f t="shared" si="3"/>
        <v>0.97332719204029627</v>
      </c>
    </row>
    <row r="25" spans="1:13" ht="69">
      <c r="A25" t="s">
        <v>164</v>
      </c>
      <c r="B25" t="s">
        <v>115</v>
      </c>
      <c r="C25" s="14" t="s">
        <v>291</v>
      </c>
      <c r="D25" t="s">
        <v>375</v>
      </c>
      <c r="E25" t="s">
        <v>392</v>
      </c>
      <c r="F25" s="20">
        <v>2025</v>
      </c>
      <c r="G25" s="20">
        <v>53</v>
      </c>
      <c r="H25" s="11">
        <v>11320.211791169</v>
      </c>
      <c r="I25" s="10">
        <v>3400438.0937404898</v>
      </c>
      <c r="J25" s="34">
        <f t="shared" si="0"/>
        <v>3.329045105101955E-3</v>
      </c>
      <c r="K25" s="34">
        <f t="shared" si="1"/>
        <v>3.3235099783784916E-3</v>
      </c>
      <c r="L25" s="34">
        <f t="shared" si="2"/>
        <v>0.97332719204029627</v>
      </c>
      <c r="M25" s="34">
        <f t="shared" si="3"/>
        <v>0.97009232940532319</v>
      </c>
    </row>
    <row r="26" spans="1:13" ht="69">
      <c r="A26" t="s">
        <v>164</v>
      </c>
      <c r="B26" t="s">
        <v>115</v>
      </c>
      <c r="C26" s="14" t="s">
        <v>291</v>
      </c>
      <c r="D26" t="s">
        <v>375</v>
      </c>
      <c r="E26" t="s">
        <v>392</v>
      </c>
      <c r="F26" s="20">
        <v>2025</v>
      </c>
      <c r="G26" s="20">
        <v>54</v>
      </c>
      <c r="H26" s="11">
        <v>12058.0132264927</v>
      </c>
      <c r="I26" s="10">
        <v>3319306.0235897298</v>
      </c>
      <c r="J26" s="34">
        <f t="shared" si="0"/>
        <v>3.6326910326431186E-3</v>
      </c>
      <c r="K26" s="34">
        <f t="shared" si="1"/>
        <v>3.6261007930903366E-3</v>
      </c>
      <c r="L26" s="34">
        <f t="shared" si="2"/>
        <v>0.97009232940532319</v>
      </c>
      <c r="M26" s="34">
        <f t="shared" si="3"/>
        <v>0.96657467684029574</v>
      </c>
    </row>
    <row r="27" spans="1:13" ht="69">
      <c r="A27" t="s">
        <v>164</v>
      </c>
      <c r="B27" t="s">
        <v>115</v>
      </c>
      <c r="C27" s="14" t="s">
        <v>291</v>
      </c>
      <c r="D27" t="s">
        <v>375</v>
      </c>
      <c r="E27" t="s">
        <v>392</v>
      </c>
      <c r="F27" s="20">
        <v>2025</v>
      </c>
      <c r="G27" s="20">
        <v>55</v>
      </c>
      <c r="H27" s="11">
        <v>13121.8630224673</v>
      </c>
      <c r="I27" s="10">
        <v>3243129.6175784101</v>
      </c>
      <c r="J27" s="34">
        <f t="shared" si="0"/>
        <v>4.0460495169061953E-3</v>
      </c>
      <c r="K27" s="34">
        <f t="shared" si="1"/>
        <v>4.0378752867223922E-3</v>
      </c>
      <c r="L27" s="34">
        <f t="shared" si="2"/>
        <v>0.96657467684029574</v>
      </c>
      <c r="M27" s="34">
        <f t="shared" si="3"/>
        <v>0.96267176883991068</v>
      </c>
    </row>
    <row r="28" spans="1:13" ht="69">
      <c r="A28" t="s">
        <v>164</v>
      </c>
      <c r="B28" t="s">
        <v>115</v>
      </c>
      <c r="C28" s="14" t="s">
        <v>291</v>
      </c>
      <c r="D28" t="s">
        <v>375</v>
      </c>
      <c r="E28" t="s">
        <v>392</v>
      </c>
      <c r="F28" s="20">
        <v>2025</v>
      </c>
      <c r="G28" s="20">
        <v>56</v>
      </c>
      <c r="H28" s="11">
        <v>13949.400946190999</v>
      </c>
      <c r="I28" s="10">
        <v>3157182.6324039102</v>
      </c>
      <c r="J28" s="34">
        <f t="shared" si="0"/>
        <v>4.4183066266172211E-3</v>
      </c>
      <c r="K28" s="34">
        <f t="shared" si="1"/>
        <v>4.4085602693090253E-3</v>
      </c>
      <c r="L28" s="34">
        <f t="shared" si="2"/>
        <v>0.96267176883991068</v>
      </c>
      <c r="M28" s="34">
        <f t="shared" si="3"/>
        <v>0.9584277723274176</v>
      </c>
    </row>
    <row r="29" spans="1:13" ht="69">
      <c r="A29" t="s">
        <v>164</v>
      </c>
      <c r="B29" t="s">
        <v>115</v>
      </c>
      <c r="C29" s="14" t="s">
        <v>291</v>
      </c>
      <c r="D29" t="s">
        <v>375</v>
      </c>
      <c r="E29" t="s">
        <v>392</v>
      </c>
      <c r="F29" s="20">
        <v>2025</v>
      </c>
      <c r="G29" s="20">
        <v>57</v>
      </c>
      <c r="H29" s="11">
        <v>14724.934721600501</v>
      </c>
      <c r="I29" s="10">
        <v>3051443.9184786002</v>
      </c>
      <c r="J29" s="34">
        <f t="shared" si="0"/>
        <v>4.8255629515033364E-3</v>
      </c>
      <c r="K29" s="34">
        <f t="shared" si="1"/>
        <v>4.8139386280886542E-3</v>
      </c>
      <c r="L29" s="34">
        <f t="shared" si="2"/>
        <v>0.9584277723274176</v>
      </c>
      <c r="M29" s="34">
        <f t="shared" si="3"/>
        <v>0.9538139598519777</v>
      </c>
    </row>
    <row r="30" spans="1:13" ht="69">
      <c r="A30" t="s">
        <v>164</v>
      </c>
      <c r="B30" t="s">
        <v>115</v>
      </c>
      <c r="C30" s="14" t="s">
        <v>291</v>
      </c>
      <c r="D30" t="s">
        <v>375</v>
      </c>
      <c r="E30" t="s">
        <v>392</v>
      </c>
      <c r="F30" s="20">
        <v>2025</v>
      </c>
      <c r="G30" s="20">
        <v>58</v>
      </c>
      <c r="H30" s="11">
        <v>15371.2074623554</v>
      </c>
      <c r="I30" s="10">
        <v>2913456.2078040801</v>
      </c>
      <c r="J30" s="34">
        <f t="shared" si="0"/>
        <v>5.2759356468724591E-3</v>
      </c>
      <c r="K30" s="34">
        <f t="shared" si="1"/>
        <v>5.2620423425293605E-3</v>
      </c>
      <c r="L30" s="34">
        <f t="shared" si="2"/>
        <v>0.9538139598519777</v>
      </c>
      <c r="M30" s="34">
        <f t="shared" si="3"/>
        <v>0.94879495040834094</v>
      </c>
    </row>
    <row r="31" spans="1:13" ht="69">
      <c r="A31" t="s">
        <v>164</v>
      </c>
      <c r="B31" t="s">
        <v>115</v>
      </c>
      <c r="C31" s="14" t="s">
        <v>291</v>
      </c>
      <c r="D31" t="s">
        <v>375</v>
      </c>
      <c r="E31" t="s">
        <v>392</v>
      </c>
      <c r="F31" s="20">
        <v>2025</v>
      </c>
      <c r="G31" s="20">
        <v>59</v>
      </c>
      <c r="H31" s="11">
        <v>16213.810962571</v>
      </c>
      <c r="I31" s="10">
        <v>2813535.5861543701</v>
      </c>
      <c r="J31" s="34">
        <f t="shared" si="0"/>
        <v>5.7627886572184971E-3</v>
      </c>
      <c r="K31" s="34">
        <f t="shared" si="1"/>
        <v>5.7462156415427623E-3</v>
      </c>
      <c r="L31" s="34">
        <f t="shared" si="2"/>
        <v>0.94879495040834094</v>
      </c>
      <c r="M31" s="34">
        <f t="shared" si="3"/>
        <v>0.94334297002368772</v>
      </c>
    </row>
    <row r="32" spans="1:13" ht="69">
      <c r="A32" t="s">
        <v>164</v>
      </c>
      <c r="B32" t="s">
        <v>115</v>
      </c>
      <c r="C32" s="14" t="s">
        <v>291</v>
      </c>
      <c r="D32" t="s">
        <v>375</v>
      </c>
      <c r="E32" t="s">
        <v>392</v>
      </c>
      <c r="F32" s="20">
        <v>2025</v>
      </c>
      <c r="G32" s="20">
        <v>60</v>
      </c>
      <c r="H32" s="11">
        <v>17442.466213004998</v>
      </c>
      <c r="I32" s="10">
        <v>2691047.1715373602</v>
      </c>
      <c r="J32" s="34">
        <f t="shared" si="0"/>
        <v>6.4816649806403595E-3</v>
      </c>
      <c r="K32" s="34">
        <f t="shared" si="1"/>
        <v>6.4607043013306109E-3</v>
      </c>
      <c r="L32" s="34">
        <f t="shared" si="2"/>
        <v>0.94334297002368772</v>
      </c>
      <c r="M32" s="34">
        <f t="shared" si="3"/>
        <v>0.93724831003962572</v>
      </c>
    </row>
    <row r="33" spans="1:13" ht="69">
      <c r="A33" t="s">
        <v>164</v>
      </c>
      <c r="B33" t="s">
        <v>115</v>
      </c>
      <c r="C33" s="14" t="s">
        <v>291</v>
      </c>
      <c r="D33" t="s">
        <v>375</v>
      </c>
      <c r="E33" t="s">
        <v>392</v>
      </c>
      <c r="F33" s="20">
        <v>2025</v>
      </c>
      <c r="G33" s="20">
        <v>61</v>
      </c>
      <c r="H33" s="11">
        <v>18185.596214058602</v>
      </c>
      <c r="I33" s="10">
        <v>2568096.9497317299</v>
      </c>
      <c r="J33" s="34">
        <f t="shared" si="0"/>
        <v>7.0813511210931178E-3</v>
      </c>
      <c r="K33" s="34">
        <f t="shared" si="1"/>
        <v>7.0563374326391148E-3</v>
      </c>
      <c r="L33" s="34">
        <f t="shared" si="2"/>
        <v>0.93724831003962572</v>
      </c>
      <c r="M33" s="34">
        <f t="shared" si="3"/>
        <v>0.93063476970581538</v>
      </c>
    </row>
    <row r="34" spans="1:13" ht="69">
      <c r="A34" t="s">
        <v>164</v>
      </c>
      <c r="B34" t="s">
        <v>115</v>
      </c>
      <c r="C34" s="14" t="s">
        <v>291</v>
      </c>
      <c r="D34" t="s">
        <v>375</v>
      </c>
      <c r="E34" t="s">
        <v>392</v>
      </c>
      <c r="F34" s="20">
        <v>2025</v>
      </c>
      <c r="G34" s="20">
        <v>62</v>
      </c>
      <c r="H34" s="11">
        <v>18970.137623154402</v>
      </c>
      <c r="I34" s="10">
        <v>2450910.0658219899</v>
      </c>
      <c r="J34" s="34">
        <f t="shared" si="0"/>
        <v>7.7400382362835364E-3</v>
      </c>
      <c r="K34" s="34">
        <f t="shared" si="1"/>
        <v>7.7101612729731928E-3</v>
      </c>
      <c r="L34" s="34">
        <f t="shared" si="2"/>
        <v>0.93063476970581538</v>
      </c>
      <c r="M34" s="34">
        <f t="shared" si="3"/>
        <v>0.92345942554514726</v>
      </c>
    </row>
    <row r="35" spans="1:13" ht="69">
      <c r="A35" t="s">
        <v>164</v>
      </c>
      <c r="B35" t="s">
        <v>115</v>
      </c>
      <c r="C35" s="14" t="s">
        <v>291</v>
      </c>
      <c r="D35" t="s">
        <v>375</v>
      </c>
      <c r="E35" t="s">
        <v>392</v>
      </c>
      <c r="F35" s="20">
        <v>2025</v>
      </c>
      <c r="G35" s="20">
        <v>63</v>
      </c>
      <c r="H35" s="11">
        <v>19616.892194726101</v>
      </c>
      <c r="I35" s="10">
        <v>2307352.6622382002</v>
      </c>
      <c r="J35" s="34">
        <f t="shared" si="0"/>
        <v>8.5019045921212299E-3</v>
      </c>
      <c r="K35" s="34">
        <f t="shared" si="1"/>
        <v>8.465865606931966E-3</v>
      </c>
      <c r="L35" s="34">
        <f t="shared" si="2"/>
        <v>0.92345942554514726</v>
      </c>
      <c r="M35" s="34">
        <f t="shared" si="3"/>
        <v>0.91564154215502747</v>
      </c>
    </row>
    <row r="36" spans="1:13" ht="69">
      <c r="A36" t="s">
        <v>164</v>
      </c>
      <c r="B36" t="s">
        <v>115</v>
      </c>
      <c r="C36" s="14" t="s">
        <v>291</v>
      </c>
      <c r="D36" t="s">
        <v>375</v>
      </c>
      <c r="E36" t="s">
        <v>392</v>
      </c>
      <c r="F36" s="20">
        <v>2025</v>
      </c>
      <c r="G36" s="20">
        <v>64</v>
      </c>
      <c r="H36" s="11">
        <v>20366.526040230699</v>
      </c>
      <c r="I36" s="10">
        <v>2189442.45160812</v>
      </c>
      <c r="J36" s="34">
        <f t="shared" si="0"/>
        <v>9.3021517990900943E-3</v>
      </c>
      <c r="K36" s="34">
        <f t="shared" si="1"/>
        <v>9.2590206262220809E-3</v>
      </c>
      <c r="L36" s="34">
        <f t="shared" si="2"/>
        <v>0.91564154215502747</v>
      </c>
      <c r="M36" s="34">
        <f t="shared" si="3"/>
        <v>0.90716359822998827</v>
      </c>
    </row>
    <row r="37" spans="1:13" ht="69">
      <c r="A37" t="s">
        <v>164</v>
      </c>
      <c r="B37" t="s">
        <v>115</v>
      </c>
      <c r="C37" s="14" t="s">
        <v>291</v>
      </c>
      <c r="D37" t="s">
        <v>375</v>
      </c>
      <c r="E37" t="s">
        <v>392</v>
      </c>
      <c r="F37" s="20">
        <v>2025</v>
      </c>
      <c r="G37" s="20">
        <v>65</v>
      </c>
      <c r="H37" s="11">
        <v>20564.818281192602</v>
      </c>
      <c r="I37" s="10">
        <v>2067379.2956157301</v>
      </c>
      <c r="J37" s="34">
        <f t="shared" si="0"/>
        <v>9.9472884945709765E-3</v>
      </c>
      <c r="K37" s="34">
        <f t="shared" si="1"/>
        <v>9.8979778581930189E-3</v>
      </c>
      <c r="L37" s="34">
        <f t="shared" si="2"/>
        <v>0.90716359822998827</v>
      </c>
      <c r="M37" s="34">
        <f t="shared" si="3"/>
        <v>0.89818451302094915</v>
      </c>
    </row>
    <row r="38" spans="1:13" ht="69">
      <c r="A38" t="s">
        <v>164</v>
      </c>
      <c r="B38" t="s">
        <v>115</v>
      </c>
      <c r="C38" s="14" t="s">
        <v>291</v>
      </c>
      <c r="D38" t="s">
        <v>375</v>
      </c>
      <c r="E38" t="s">
        <v>392</v>
      </c>
      <c r="F38" s="20">
        <v>2025</v>
      </c>
      <c r="G38" s="20">
        <v>66</v>
      </c>
      <c r="H38" s="11">
        <v>21128.4842212808</v>
      </c>
      <c r="I38" s="10">
        <v>1938977.04767675</v>
      </c>
      <c r="J38" s="34">
        <f t="shared" si="0"/>
        <v>1.0896717032621194E-2</v>
      </c>
      <c r="K38" s="34">
        <f t="shared" si="1"/>
        <v>1.08375628686046E-2</v>
      </c>
      <c r="L38" s="34">
        <f t="shared" si="2"/>
        <v>0.89818451302094915</v>
      </c>
      <c r="M38" s="34">
        <f t="shared" si="3"/>
        <v>0.88845038189347758</v>
      </c>
    </row>
    <row r="39" spans="1:13" ht="69">
      <c r="A39" t="s">
        <v>164</v>
      </c>
      <c r="B39" t="s">
        <v>115</v>
      </c>
      <c r="C39" s="14" t="s">
        <v>291</v>
      </c>
      <c r="D39" t="s">
        <v>375</v>
      </c>
      <c r="E39" t="s">
        <v>392</v>
      </c>
      <c r="F39" s="20">
        <v>2025</v>
      </c>
      <c r="G39" s="20">
        <v>67</v>
      </c>
      <c r="H39" s="11">
        <v>21650.1531142985</v>
      </c>
      <c r="I39" s="10">
        <v>1812804.58670767</v>
      </c>
      <c r="J39" s="34">
        <f t="shared" si="0"/>
        <v>1.1942905083673959E-2</v>
      </c>
      <c r="K39" s="34">
        <f t="shared" si="1"/>
        <v>1.1871871655796173E-2</v>
      </c>
      <c r="L39" s="34">
        <f t="shared" si="2"/>
        <v>0.88845038189347758</v>
      </c>
      <c r="M39" s="34">
        <f t="shared" si="3"/>
        <v>0.87790281298709516</v>
      </c>
    </row>
    <row r="40" spans="1:13" ht="69">
      <c r="A40" t="s">
        <v>164</v>
      </c>
      <c r="B40" t="s">
        <v>115</v>
      </c>
      <c r="C40" s="14" t="s">
        <v>291</v>
      </c>
      <c r="D40" t="s">
        <v>375</v>
      </c>
      <c r="E40" t="s">
        <v>392</v>
      </c>
      <c r="F40" s="20">
        <v>2025</v>
      </c>
      <c r="G40" s="20">
        <v>68</v>
      </c>
      <c r="H40" s="11">
        <v>22443.5912394105</v>
      </c>
      <c r="I40" s="10">
        <v>1708817.0374286999</v>
      </c>
      <c r="J40" s="34">
        <f t="shared" si="0"/>
        <v>1.3133993135497957E-2</v>
      </c>
      <c r="K40" s="34">
        <f t="shared" si="1"/>
        <v>1.3048118617226434E-2</v>
      </c>
      <c r="L40" s="34">
        <f t="shared" si="2"/>
        <v>0.87790281298709516</v>
      </c>
      <c r="M40" s="34">
        <f t="shared" si="3"/>
        <v>0.86644783294884276</v>
      </c>
    </row>
    <row r="41" spans="1:13" ht="69">
      <c r="A41" t="s">
        <v>164</v>
      </c>
      <c r="B41" t="s">
        <v>115</v>
      </c>
      <c r="C41" s="14" t="s">
        <v>291</v>
      </c>
      <c r="D41" t="s">
        <v>375</v>
      </c>
      <c r="E41" t="s">
        <v>392</v>
      </c>
      <c r="F41" s="20">
        <v>2025</v>
      </c>
      <c r="G41" s="20">
        <v>69</v>
      </c>
      <c r="H41" s="11">
        <v>22887.513909269201</v>
      </c>
      <c r="I41" s="10">
        <v>1588246.5017458</v>
      </c>
      <c r="J41" s="34">
        <f t="shared" si="0"/>
        <v>1.4410555215523065E-2</v>
      </c>
      <c r="K41" s="34">
        <f t="shared" si="1"/>
        <v>1.430722013219754E-2</v>
      </c>
      <c r="L41" s="34">
        <f t="shared" si="2"/>
        <v>0.86644783294884276</v>
      </c>
      <c r="M41" s="34">
        <f t="shared" si="3"/>
        <v>0.85405137306977819</v>
      </c>
    </row>
    <row r="42" spans="1:13" ht="69">
      <c r="A42" t="s">
        <v>164</v>
      </c>
      <c r="B42" t="s">
        <v>115</v>
      </c>
      <c r="C42" s="14" t="s">
        <v>291</v>
      </c>
      <c r="D42" t="s">
        <v>375</v>
      </c>
      <c r="E42" t="s">
        <v>392</v>
      </c>
      <c r="F42" s="20">
        <v>2026</v>
      </c>
      <c r="G42" s="20">
        <v>30</v>
      </c>
      <c r="H42" s="11">
        <v>1298.24801012687</v>
      </c>
      <c r="I42" s="10">
        <v>4533066.0543112801</v>
      </c>
      <c r="J42" s="34">
        <f t="shared" si="0"/>
        <v>2.8639512298571964E-4</v>
      </c>
      <c r="K42" s="34">
        <f t="shared" si="1"/>
        <v>2.8635411581734438E-4</v>
      </c>
      <c r="L42" s="34">
        <f t="shared" si="2"/>
        <v>1</v>
      </c>
      <c r="M42" s="34">
        <f t="shared" si="3"/>
        <v>0.99971364588418266</v>
      </c>
    </row>
    <row r="43" spans="1:13" ht="69">
      <c r="A43" t="s">
        <v>164</v>
      </c>
      <c r="B43" t="s">
        <v>115</v>
      </c>
      <c r="C43" s="14" t="s">
        <v>291</v>
      </c>
      <c r="D43" t="s">
        <v>375</v>
      </c>
      <c r="E43" t="s">
        <v>392</v>
      </c>
      <c r="F43" s="20">
        <v>2026</v>
      </c>
      <c r="G43" s="20">
        <v>31</v>
      </c>
      <c r="H43" s="11">
        <v>1327.5463351488399</v>
      </c>
      <c r="I43" s="10">
        <v>4460323.1301352903</v>
      </c>
      <c r="J43" s="34">
        <f t="shared" si="0"/>
        <v>2.9763456512366468E-4</v>
      </c>
      <c r="K43" s="34">
        <f t="shared" si="1"/>
        <v>2.9759027635056778E-4</v>
      </c>
      <c r="L43" s="34">
        <f t="shared" si="2"/>
        <v>0.99971364588418266</v>
      </c>
      <c r="M43" s="34">
        <f t="shared" si="3"/>
        <v>0.99941614082403252</v>
      </c>
    </row>
    <row r="44" spans="1:13" ht="69">
      <c r="A44" t="s">
        <v>164</v>
      </c>
      <c r="B44" t="s">
        <v>115</v>
      </c>
      <c r="C44" s="14" t="s">
        <v>291</v>
      </c>
      <c r="D44" t="s">
        <v>375</v>
      </c>
      <c r="E44" t="s">
        <v>392</v>
      </c>
      <c r="F44" s="20">
        <v>2026</v>
      </c>
      <c r="G44" s="20">
        <v>32</v>
      </c>
      <c r="H44" s="11">
        <v>1370.29979834801</v>
      </c>
      <c r="I44" s="10">
        <v>4404105.5955011798</v>
      </c>
      <c r="J44" s="34">
        <f t="shared" si="0"/>
        <v>3.1114144941206211E-4</v>
      </c>
      <c r="K44" s="34">
        <f t="shared" si="1"/>
        <v>3.1109304993115483E-4</v>
      </c>
      <c r="L44" s="34">
        <f t="shared" si="2"/>
        <v>0.99941614082403252</v>
      </c>
      <c r="M44" s="34">
        <f t="shared" si="3"/>
        <v>0.99910522940863311</v>
      </c>
    </row>
    <row r="45" spans="1:13" ht="69">
      <c r="A45" t="s">
        <v>164</v>
      </c>
      <c r="B45" t="s">
        <v>115</v>
      </c>
      <c r="C45" s="14" t="s">
        <v>291</v>
      </c>
      <c r="D45" t="s">
        <v>375</v>
      </c>
      <c r="E45" t="s">
        <v>392</v>
      </c>
      <c r="F45" s="20">
        <v>2026</v>
      </c>
      <c r="G45" s="20">
        <v>33</v>
      </c>
      <c r="H45" s="11">
        <v>1424.8533357338999</v>
      </c>
      <c r="I45" s="10">
        <v>4351714.9235323099</v>
      </c>
      <c r="J45" s="34">
        <f t="shared" si="0"/>
        <v>3.2742340910910106E-4</v>
      </c>
      <c r="K45" s="34">
        <f t="shared" si="1"/>
        <v>3.2736981191450187E-4</v>
      </c>
      <c r="L45" s="34">
        <f t="shared" si="2"/>
        <v>0.99910522940863311</v>
      </c>
      <c r="M45" s="34">
        <f t="shared" si="3"/>
        <v>0.99877815251759883</v>
      </c>
    </row>
    <row r="46" spans="1:13" ht="69">
      <c r="A46" t="s">
        <v>164</v>
      </c>
      <c r="B46" t="s">
        <v>115</v>
      </c>
      <c r="C46" s="14" t="s">
        <v>291</v>
      </c>
      <c r="D46" t="s">
        <v>375</v>
      </c>
      <c r="E46" t="s">
        <v>392</v>
      </c>
      <c r="F46" s="20">
        <v>2026</v>
      </c>
      <c r="G46" s="20">
        <v>34</v>
      </c>
      <c r="H46" s="11">
        <v>1521.9928302927501</v>
      </c>
      <c r="I46" s="10">
        <v>4391577.8053373601</v>
      </c>
      <c r="J46" s="34">
        <f t="shared" si="0"/>
        <v>3.4657084486650259E-4</v>
      </c>
      <c r="K46" s="34">
        <f t="shared" si="1"/>
        <v>3.4651079612846303E-4</v>
      </c>
      <c r="L46" s="34">
        <f t="shared" si="2"/>
        <v>0.99877815251759883</v>
      </c>
      <c r="M46" s="34">
        <f t="shared" si="3"/>
        <v>0.99843206510481419</v>
      </c>
    </row>
    <row r="47" spans="1:13" ht="69">
      <c r="A47" t="s">
        <v>164</v>
      </c>
      <c r="B47" t="s">
        <v>115</v>
      </c>
      <c r="C47" s="14" t="s">
        <v>291</v>
      </c>
      <c r="D47" t="s">
        <v>375</v>
      </c>
      <c r="E47" t="s">
        <v>392</v>
      </c>
      <c r="F47" s="20">
        <v>2026</v>
      </c>
      <c r="G47" s="20">
        <v>35</v>
      </c>
      <c r="H47" s="11">
        <v>2112.2540671607399</v>
      </c>
      <c r="I47" s="10">
        <v>4411881.6374131404</v>
      </c>
      <c r="J47" s="34">
        <f t="shared" si="0"/>
        <v>4.7876489914159106E-4</v>
      </c>
      <c r="K47" s="34">
        <f t="shared" si="1"/>
        <v>4.7865030951510512E-4</v>
      </c>
      <c r="L47" s="34">
        <f t="shared" si="2"/>
        <v>0.99843206510481419</v>
      </c>
      <c r="M47" s="34">
        <f t="shared" si="3"/>
        <v>0.99795416528782199</v>
      </c>
    </row>
    <row r="48" spans="1:13" ht="69">
      <c r="A48" t="s">
        <v>164</v>
      </c>
      <c r="B48" t="s">
        <v>115</v>
      </c>
      <c r="C48" s="14" t="s">
        <v>291</v>
      </c>
      <c r="D48" t="s">
        <v>375</v>
      </c>
      <c r="E48" t="s">
        <v>392</v>
      </c>
      <c r="F48" s="20">
        <v>2026</v>
      </c>
      <c r="G48" s="20">
        <v>36</v>
      </c>
      <c r="H48" s="11">
        <v>3196.7517439089202</v>
      </c>
      <c r="I48" s="10">
        <v>6497474.0831258101</v>
      </c>
      <c r="J48" s="34">
        <f t="shared" si="0"/>
        <v>4.9199915274937491E-4</v>
      </c>
      <c r="K48" s="34">
        <f t="shared" si="1"/>
        <v>4.9187814101292471E-4</v>
      </c>
      <c r="L48" s="34">
        <f t="shared" si="2"/>
        <v>0.99795416528782199</v>
      </c>
      <c r="M48" s="34">
        <f t="shared" si="3"/>
        <v>0.99746329344818407</v>
      </c>
    </row>
    <row r="49" spans="1:13" ht="69">
      <c r="A49" t="s">
        <v>164</v>
      </c>
      <c r="B49" t="s">
        <v>115</v>
      </c>
      <c r="C49" s="14" t="s">
        <v>291</v>
      </c>
      <c r="D49" t="s">
        <v>375</v>
      </c>
      <c r="E49" t="s">
        <v>392</v>
      </c>
      <c r="F49" s="20">
        <v>2026</v>
      </c>
      <c r="G49" s="20">
        <v>37</v>
      </c>
      <c r="H49" s="11">
        <v>2396.7183895295698</v>
      </c>
      <c r="I49" s="10">
        <v>4374564.9523159303</v>
      </c>
      <c r="J49" s="34">
        <f t="shared" si="0"/>
        <v>5.4787582666036936E-4</v>
      </c>
      <c r="K49" s="34">
        <f t="shared" si="1"/>
        <v>5.4772577010497869E-4</v>
      </c>
      <c r="L49" s="34">
        <f t="shared" si="2"/>
        <v>0.99746329344818407</v>
      </c>
      <c r="M49" s="34">
        <f t="shared" si="3"/>
        <v>0.99691695709762873</v>
      </c>
    </row>
    <row r="50" spans="1:13" ht="69">
      <c r="A50" t="s">
        <v>164</v>
      </c>
      <c r="B50" t="s">
        <v>115</v>
      </c>
      <c r="C50" s="14" t="s">
        <v>291</v>
      </c>
      <c r="D50" t="s">
        <v>375</v>
      </c>
      <c r="E50" t="s">
        <v>392</v>
      </c>
      <c r="F50" s="20">
        <v>2026</v>
      </c>
      <c r="G50" s="20">
        <v>38</v>
      </c>
      <c r="H50" s="11">
        <v>2562.83155331032</v>
      </c>
      <c r="I50" s="10">
        <v>4360550.0371502098</v>
      </c>
      <c r="J50" s="34">
        <f t="shared" si="0"/>
        <v>5.877312567166941E-4</v>
      </c>
      <c r="K50" s="34">
        <f t="shared" si="1"/>
        <v>5.8755857653314258E-4</v>
      </c>
      <c r="L50" s="34">
        <f t="shared" si="2"/>
        <v>0.99691695709762873</v>
      </c>
      <c r="M50" s="34">
        <f t="shared" si="3"/>
        <v>0.99633120998939473</v>
      </c>
    </row>
    <row r="51" spans="1:13" ht="69">
      <c r="A51" t="s">
        <v>164</v>
      </c>
      <c r="B51" t="s">
        <v>115</v>
      </c>
      <c r="C51" s="14" t="s">
        <v>291</v>
      </c>
      <c r="D51" t="s">
        <v>375</v>
      </c>
      <c r="E51" t="s">
        <v>392</v>
      </c>
      <c r="F51" s="20">
        <v>2026</v>
      </c>
      <c r="G51" s="20">
        <v>39</v>
      </c>
      <c r="H51" s="11">
        <v>2670.9250290508298</v>
      </c>
      <c r="I51" s="10">
        <v>4230055.1465403503</v>
      </c>
      <c r="J51" s="34">
        <f t="shared" si="0"/>
        <v>6.3141612497305349E-4</v>
      </c>
      <c r="K51" s="34">
        <f t="shared" si="1"/>
        <v>6.3121682376110488E-4</v>
      </c>
      <c r="L51" s="34">
        <f t="shared" si="2"/>
        <v>0.99633120998939473</v>
      </c>
      <c r="M51" s="34">
        <f t="shared" si="3"/>
        <v>0.99570230896761114</v>
      </c>
    </row>
    <row r="52" spans="1:13" ht="69">
      <c r="A52" t="s">
        <v>164</v>
      </c>
      <c r="B52" t="s">
        <v>115</v>
      </c>
      <c r="C52" s="14" t="s">
        <v>291</v>
      </c>
      <c r="D52" t="s">
        <v>375</v>
      </c>
      <c r="E52" t="s">
        <v>392</v>
      </c>
      <c r="F52" s="20">
        <v>2026</v>
      </c>
      <c r="G52" s="20">
        <v>40</v>
      </c>
      <c r="H52" s="11">
        <v>3575.3554940344002</v>
      </c>
      <c r="I52" s="10">
        <v>4198447.8035707204</v>
      </c>
      <c r="J52" s="34">
        <f t="shared" si="0"/>
        <v>8.5158984017703182E-4</v>
      </c>
      <c r="K52" s="34">
        <f t="shared" si="1"/>
        <v>8.5122734045672832E-4</v>
      </c>
      <c r="L52" s="34">
        <f t="shared" si="2"/>
        <v>0.99570230896761114</v>
      </c>
      <c r="M52" s="34">
        <f t="shared" si="3"/>
        <v>0.99485473993926199</v>
      </c>
    </row>
    <row r="53" spans="1:13" ht="69">
      <c r="A53" t="s">
        <v>164</v>
      </c>
      <c r="B53" t="s">
        <v>115</v>
      </c>
      <c r="C53" s="14" t="s">
        <v>291</v>
      </c>
      <c r="D53" t="s">
        <v>375</v>
      </c>
      <c r="E53" t="s">
        <v>392</v>
      </c>
      <c r="F53" s="20">
        <v>2026</v>
      </c>
      <c r="G53" s="20">
        <v>41</v>
      </c>
      <c r="H53" s="11">
        <v>3915.4067601250199</v>
      </c>
      <c r="I53" s="10">
        <v>4261037.2256107796</v>
      </c>
      <c r="J53" s="34">
        <f t="shared" si="0"/>
        <v>9.1888583760583857E-4</v>
      </c>
      <c r="K53" s="34">
        <f t="shared" si="1"/>
        <v>9.1846379129523203E-4</v>
      </c>
      <c r="L53" s="34">
        <f t="shared" si="2"/>
        <v>0.99485473993926199</v>
      </c>
      <c r="M53" s="34">
        <f t="shared" si="3"/>
        <v>0.99394100188302936</v>
      </c>
    </row>
    <row r="54" spans="1:13" ht="69">
      <c r="A54" t="s">
        <v>164</v>
      </c>
      <c r="B54" t="s">
        <v>115</v>
      </c>
      <c r="C54" s="14" t="s">
        <v>291</v>
      </c>
      <c r="D54" t="s">
        <v>375</v>
      </c>
      <c r="E54" t="s">
        <v>392</v>
      </c>
      <c r="F54" s="20">
        <v>2026</v>
      </c>
      <c r="G54" s="20">
        <v>42</v>
      </c>
      <c r="H54" s="11">
        <v>4327.6129241652097</v>
      </c>
      <c r="I54" s="10">
        <v>4350355.9327113004</v>
      </c>
      <c r="J54" s="34">
        <f t="shared" si="0"/>
        <v>9.9477214993488666E-4</v>
      </c>
      <c r="K54" s="34">
        <f t="shared" si="1"/>
        <v>9.9427752814529313E-4</v>
      </c>
      <c r="L54" s="34">
        <f t="shared" si="2"/>
        <v>0.99394100188302936</v>
      </c>
      <c r="M54" s="34">
        <f t="shared" si="3"/>
        <v>0.99295274868055483</v>
      </c>
    </row>
    <row r="55" spans="1:13" ht="69">
      <c r="A55" t="s">
        <v>164</v>
      </c>
      <c r="B55" t="s">
        <v>115</v>
      </c>
      <c r="C55" s="14" t="s">
        <v>291</v>
      </c>
      <c r="D55" t="s">
        <v>375</v>
      </c>
      <c r="E55" t="s">
        <v>392</v>
      </c>
      <c r="F55" s="20">
        <v>2026</v>
      </c>
      <c r="G55" s="20">
        <v>43</v>
      </c>
      <c r="H55" s="11">
        <v>4680.3262594614098</v>
      </c>
      <c r="I55" s="10">
        <v>4329966.9582921397</v>
      </c>
      <c r="J55" s="34">
        <f t="shared" si="0"/>
        <v>1.0809150057134527E-3</v>
      </c>
      <c r="K55" s="34">
        <f t="shared" si="1"/>
        <v>1.0803310275179223E-3</v>
      </c>
      <c r="L55" s="34">
        <f t="shared" si="2"/>
        <v>0.99295274868055483</v>
      </c>
      <c r="M55" s="34">
        <f t="shared" si="3"/>
        <v>0.99188003101729605</v>
      </c>
    </row>
    <row r="56" spans="1:13" ht="69">
      <c r="A56" t="s">
        <v>164</v>
      </c>
      <c r="B56" t="s">
        <v>115</v>
      </c>
      <c r="C56" s="14" t="s">
        <v>291</v>
      </c>
      <c r="D56" t="s">
        <v>375</v>
      </c>
      <c r="E56" t="s">
        <v>392</v>
      </c>
      <c r="F56" s="20">
        <v>2026</v>
      </c>
      <c r="G56" s="20">
        <v>44</v>
      </c>
      <c r="H56" s="11">
        <v>4947.0892880671399</v>
      </c>
      <c r="I56" s="10">
        <v>4196064.8244996797</v>
      </c>
      <c r="J56" s="34">
        <f t="shared" si="0"/>
        <v>1.178983046015503E-3</v>
      </c>
      <c r="K56" s="34">
        <f t="shared" si="1"/>
        <v>1.178288318554932E-3</v>
      </c>
      <c r="L56" s="34">
        <f t="shared" si="2"/>
        <v>0.99188003101729605</v>
      </c>
      <c r="M56" s="34">
        <f t="shared" si="3"/>
        <v>0.99071131036334048</v>
      </c>
    </row>
    <row r="57" spans="1:13" ht="69">
      <c r="A57" t="s">
        <v>164</v>
      </c>
      <c r="B57" t="s">
        <v>115</v>
      </c>
      <c r="C57" s="14" t="s">
        <v>291</v>
      </c>
      <c r="D57" t="s">
        <v>375</v>
      </c>
      <c r="E57" t="s">
        <v>392</v>
      </c>
      <c r="F57" s="20">
        <v>2026</v>
      </c>
      <c r="G57" s="20">
        <v>45</v>
      </c>
      <c r="H57" s="11">
        <v>6302.2132919662699</v>
      </c>
      <c r="I57" s="10">
        <v>4125591.44550924</v>
      </c>
      <c r="J57" s="34">
        <f t="shared" si="0"/>
        <v>1.5275902558956271E-3</v>
      </c>
      <c r="K57" s="34">
        <f t="shared" si="1"/>
        <v>1.5264240837873366E-3</v>
      </c>
      <c r="L57" s="34">
        <f t="shared" si="2"/>
        <v>0.99071131036334048</v>
      </c>
      <c r="M57" s="34">
        <f t="shared" si="3"/>
        <v>0.98919906475912134</v>
      </c>
    </row>
    <row r="58" spans="1:13" ht="69">
      <c r="A58" t="s">
        <v>164</v>
      </c>
      <c r="B58" t="s">
        <v>115</v>
      </c>
      <c r="C58" s="14" t="s">
        <v>291</v>
      </c>
      <c r="D58" t="s">
        <v>375</v>
      </c>
      <c r="E58" t="s">
        <v>392</v>
      </c>
      <c r="F58" s="20">
        <v>2026</v>
      </c>
      <c r="G58" s="20">
        <v>46</v>
      </c>
      <c r="H58" s="11">
        <v>6803.9863569018798</v>
      </c>
      <c r="I58" s="10">
        <v>4070423.7966079102</v>
      </c>
      <c r="J58" s="34">
        <f t="shared" si="0"/>
        <v>1.6715670644840434E-3</v>
      </c>
      <c r="K58" s="34">
        <f t="shared" si="1"/>
        <v>1.6701707743643768E-3</v>
      </c>
      <c r="L58" s="34">
        <f t="shared" si="2"/>
        <v>0.98919906475912134</v>
      </c>
      <c r="M58" s="34">
        <f t="shared" si="3"/>
        <v>0.98754693339113209</v>
      </c>
    </row>
    <row r="59" spans="1:13" ht="69">
      <c r="A59" t="s">
        <v>164</v>
      </c>
      <c r="B59" t="s">
        <v>115</v>
      </c>
      <c r="C59" s="14" t="s">
        <v>291</v>
      </c>
      <c r="D59" t="s">
        <v>375</v>
      </c>
      <c r="E59" t="s">
        <v>392</v>
      </c>
      <c r="F59" s="20">
        <v>2026</v>
      </c>
      <c r="G59" s="20">
        <v>47</v>
      </c>
      <c r="H59" s="11">
        <v>7337.0961547692004</v>
      </c>
      <c r="I59" s="10">
        <v>4010952.63156028</v>
      </c>
      <c r="J59" s="34">
        <f t="shared" si="0"/>
        <v>1.8292652216924921E-3</v>
      </c>
      <c r="K59" s="34">
        <f t="shared" si="1"/>
        <v>1.8275931357850661E-3</v>
      </c>
      <c r="L59" s="34">
        <f t="shared" si="2"/>
        <v>0.98754693339113209</v>
      </c>
      <c r="M59" s="34">
        <f t="shared" si="3"/>
        <v>0.98574209939440083</v>
      </c>
    </row>
    <row r="60" spans="1:13" ht="69">
      <c r="A60" t="s">
        <v>164</v>
      </c>
      <c r="B60" t="s">
        <v>115</v>
      </c>
      <c r="C60" s="14" t="s">
        <v>291</v>
      </c>
      <c r="D60" t="s">
        <v>375</v>
      </c>
      <c r="E60" t="s">
        <v>392</v>
      </c>
      <c r="F60" s="20">
        <v>2026</v>
      </c>
      <c r="G60" s="20">
        <v>48</v>
      </c>
      <c r="H60" s="11">
        <v>7865.8880703498799</v>
      </c>
      <c r="I60" s="10">
        <v>3931934.3335516001</v>
      </c>
      <c r="J60" s="34">
        <f t="shared" si="0"/>
        <v>2.0005135902778051E-3</v>
      </c>
      <c r="K60" s="34">
        <f t="shared" si="1"/>
        <v>1.9985138966590599E-3</v>
      </c>
      <c r="L60" s="34">
        <f t="shared" si="2"/>
        <v>0.98574209939440083</v>
      </c>
      <c r="M60" s="34">
        <f t="shared" si="3"/>
        <v>0.9837720801102392</v>
      </c>
    </row>
    <row r="61" spans="1:13" ht="69">
      <c r="A61" t="s">
        <v>164</v>
      </c>
      <c r="B61" t="s">
        <v>115</v>
      </c>
      <c r="C61" s="14" t="s">
        <v>291</v>
      </c>
      <c r="D61" t="s">
        <v>375</v>
      </c>
      <c r="E61" t="s">
        <v>392</v>
      </c>
      <c r="F61" s="20">
        <v>2026</v>
      </c>
      <c r="G61" s="20">
        <v>49</v>
      </c>
      <c r="H61" s="11">
        <v>8466.2484313162495</v>
      </c>
      <c r="I61" s="10">
        <v>3870575.5451465598</v>
      </c>
      <c r="J61" s="34">
        <f t="shared" si="0"/>
        <v>2.1873357934926118E-3</v>
      </c>
      <c r="K61" s="34">
        <f t="shared" si="1"/>
        <v>2.1849453177978928E-3</v>
      </c>
      <c r="L61" s="34">
        <f t="shared" si="2"/>
        <v>0.9837720801102392</v>
      </c>
      <c r="M61" s="34">
        <f t="shared" si="3"/>
        <v>0.98162259191002199</v>
      </c>
    </row>
    <row r="62" spans="1:13" ht="69">
      <c r="A62" t="s">
        <v>164</v>
      </c>
      <c r="B62" t="s">
        <v>115</v>
      </c>
      <c r="C62" s="14" t="s">
        <v>291</v>
      </c>
      <c r="D62" t="s">
        <v>375</v>
      </c>
      <c r="E62" t="s">
        <v>392</v>
      </c>
      <c r="F62" s="20">
        <v>2026</v>
      </c>
      <c r="G62" s="20">
        <v>50</v>
      </c>
      <c r="H62" s="11">
        <v>9711.9464680624005</v>
      </c>
      <c r="I62" s="10">
        <v>3797304.3722928599</v>
      </c>
      <c r="J62" s="34">
        <f t="shared" si="0"/>
        <v>2.5575896783323181E-3</v>
      </c>
      <c r="K62" s="34">
        <f t="shared" si="1"/>
        <v>2.5543218323810235E-3</v>
      </c>
      <c r="L62" s="34">
        <f t="shared" si="2"/>
        <v>0.98162259191002199</v>
      </c>
      <c r="M62" s="34">
        <f t="shared" si="3"/>
        <v>0.97911521189234774</v>
      </c>
    </row>
    <row r="63" spans="1:13" ht="69">
      <c r="A63" t="s">
        <v>164</v>
      </c>
      <c r="B63" t="s">
        <v>115</v>
      </c>
      <c r="C63" s="14" t="s">
        <v>291</v>
      </c>
      <c r="D63" t="s">
        <v>375</v>
      </c>
      <c r="E63" t="s">
        <v>392</v>
      </c>
      <c r="F63" s="20">
        <v>2026</v>
      </c>
      <c r="G63" s="20">
        <v>51</v>
      </c>
      <c r="H63" s="11">
        <v>10382.167490223501</v>
      </c>
      <c r="I63" s="10">
        <v>3722619.1646646499</v>
      </c>
      <c r="J63" s="34">
        <f t="shared" si="0"/>
        <v>2.7889416109957549E-3</v>
      </c>
      <c r="K63" s="34">
        <f t="shared" si="1"/>
        <v>2.7850561263103035E-3</v>
      </c>
      <c r="L63" s="34">
        <f t="shared" si="2"/>
        <v>0.97911521189234774</v>
      </c>
      <c r="M63" s="34">
        <f t="shared" si="3"/>
        <v>0.97638832107310336</v>
      </c>
    </row>
    <row r="64" spans="1:13" ht="69">
      <c r="A64" t="s">
        <v>164</v>
      </c>
      <c r="B64" t="s">
        <v>115</v>
      </c>
      <c r="C64" s="14" t="s">
        <v>291</v>
      </c>
      <c r="D64" t="s">
        <v>375</v>
      </c>
      <c r="E64" t="s">
        <v>392</v>
      </c>
      <c r="F64" s="20">
        <v>2026</v>
      </c>
      <c r="G64" s="20">
        <v>52</v>
      </c>
      <c r="H64" s="11">
        <v>11011.693074369199</v>
      </c>
      <c r="I64" s="10">
        <v>3620908.9042928098</v>
      </c>
      <c r="J64" s="34">
        <f t="shared" si="0"/>
        <v>3.0411405990673117E-3</v>
      </c>
      <c r="K64" s="34">
        <f t="shared" si="1"/>
        <v>3.0365210151169775E-3</v>
      </c>
      <c r="L64" s="34">
        <f t="shared" si="2"/>
        <v>0.97638832107310336</v>
      </c>
      <c r="M64" s="34">
        <f t="shared" si="3"/>
        <v>0.97342349741725009</v>
      </c>
    </row>
    <row r="65" spans="1:13" ht="69">
      <c r="A65" t="s">
        <v>164</v>
      </c>
      <c r="B65" t="s">
        <v>115</v>
      </c>
      <c r="C65" s="14" t="s">
        <v>291</v>
      </c>
      <c r="D65" t="s">
        <v>375</v>
      </c>
      <c r="E65" t="s">
        <v>392</v>
      </c>
      <c r="F65" s="20">
        <v>2026</v>
      </c>
      <c r="G65" s="20">
        <v>53</v>
      </c>
      <c r="H65" s="11">
        <v>11878.349152343</v>
      </c>
      <c r="I65" s="10">
        <v>3580910.0655161198</v>
      </c>
      <c r="J65" s="34">
        <f t="shared" si="0"/>
        <v>3.317131381413502E-3</v>
      </c>
      <c r="K65" s="34">
        <f t="shared" si="1"/>
        <v>3.3116357793367968E-3</v>
      </c>
      <c r="L65" s="34">
        <f t="shared" si="2"/>
        <v>0.97342349741725009</v>
      </c>
      <c r="M65" s="34">
        <f t="shared" si="3"/>
        <v>0.97019987333475599</v>
      </c>
    </row>
    <row r="66" spans="1:13" ht="69">
      <c r="A66" t="s">
        <v>164</v>
      </c>
      <c r="B66" t="s">
        <v>115</v>
      </c>
      <c r="C66" s="14" t="s">
        <v>291</v>
      </c>
      <c r="D66" t="s">
        <v>375</v>
      </c>
      <c r="E66" t="s">
        <v>392</v>
      </c>
      <c r="F66" s="20">
        <v>2026</v>
      </c>
      <c r="G66" s="20">
        <v>54</v>
      </c>
      <c r="H66" s="11">
        <v>12226.804443004799</v>
      </c>
      <c r="I66" s="10">
        <v>3373668.6349852402</v>
      </c>
      <c r="J66" s="34">
        <f t="shared" ref="J66:J129" si="4">IF(I66&gt;0,H66/I66,0)</f>
        <v>3.6241865357527301E-3</v>
      </c>
      <c r="K66" s="34">
        <f t="shared" ref="K66:K129" si="5">1-EXP(-J66)</f>
        <v>3.6176270983306891E-3</v>
      </c>
      <c r="L66" s="34">
        <f t="shared" ref="L66:L129" si="6">IF(G66=30,1,M65)</f>
        <v>0.97019987333475599</v>
      </c>
      <c r="M66" s="34">
        <f t="shared" ref="M66:M129" si="7">L66*(1-K66)</f>
        <v>0.96669005198218316</v>
      </c>
    </row>
    <row r="67" spans="1:13" ht="69">
      <c r="A67" t="s">
        <v>164</v>
      </c>
      <c r="B67" t="s">
        <v>115</v>
      </c>
      <c r="C67" s="14" t="s">
        <v>291</v>
      </c>
      <c r="D67" t="s">
        <v>375</v>
      </c>
      <c r="E67" t="s">
        <v>392</v>
      </c>
      <c r="F67" s="20">
        <v>2026</v>
      </c>
      <c r="G67" s="20">
        <v>55</v>
      </c>
      <c r="H67" s="11">
        <v>13256.794223555</v>
      </c>
      <c r="I67" s="10">
        <v>3290805.9639367298</v>
      </c>
      <c r="J67" s="34">
        <f t="shared" si="4"/>
        <v>4.0284338757233026E-3</v>
      </c>
      <c r="K67" s="34">
        <f t="shared" si="5"/>
        <v>4.0203306207718947E-3</v>
      </c>
      <c r="L67" s="34">
        <f t="shared" si="6"/>
        <v>0.96669005198218316</v>
      </c>
      <c r="M67" s="34">
        <f t="shared" si="7"/>
        <v>0.96280363836540361</v>
      </c>
    </row>
    <row r="68" spans="1:13" ht="69">
      <c r="A68" t="s">
        <v>164</v>
      </c>
      <c r="B68" t="s">
        <v>115</v>
      </c>
      <c r="C68" s="14" t="s">
        <v>291</v>
      </c>
      <c r="D68" t="s">
        <v>375</v>
      </c>
      <c r="E68" t="s">
        <v>392</v>
      </c>
      <c r="F68" s="20">
        <v>2026</v>
      </c>
      <c r="G68" s="20">
        <v>56</v>
      </c>
      <c r="H68" s="11">
        <v>14131.5529121749</v>
      </c>
      <c r="I68" s="10">
        <v>3212214.28114487</v>
      </c>
      <c r="J68" s="34">
        <f t="shared" si="4"/>
        <v>4.3993182506922458E-3</v>
      </c>
      <c r="K68" s="34">
        <f t="shared" si="5"/>
        <v>4.3896554252981224E-3</v>
      </c>
      <c r="L68" s="34">
        <f t="shared" si="6"/>
        <v>0.96280363836540361</v>
      </c>
      <c r="M68" s="34">
        <f t="shared" si="7"/>
        <v>0.95857726215075612</v>
      </c>
    </row>
    <row r="69" spans="1:13" ht="69">
      <c r="A69" t="s">
        <v>164</v>
      </c>
      <c r="B69" t="s">
        <v>115</v>
      </c>
      <c r="C69" s="14" t="s">
        <v>291</v>
      </c>
      <c r="D69" t="s">
        <v>375</v>
      </c>
      <c r="E69" t="s">
        <v>392</v>
      </c>
      <c r="F69" s="20">
        <v>2026</v>
      </c>
      <c r="G69" s="20">
        <v>57</v>
      </c>
      <c r="H69" s="11">
        <v>15015.0034718036</v>
      </c>
      <c r="I69" s="10">
        <v>3124836.7028146498</v>
      </c>
      <c r="J69" s="34">
        <f t="shared" si="4"/>
        <v>4.8050521994570349E-3</v>
      </c>
      <c r="K69" s="34">
        <f t="shared" si="5"/>
        <v>4.7935264042096026E-3</v>
      </c>
      <c r="L69" s="34">
        <f t="shared" si="6"/>
        <v>0.95857726215075612</v>
      </c>
      <c r="M69" s="34">
        <f t="shared" si="7"/>
        <v>0.95398229673416146</v>
      </c>
    </row>
    <row r="70" spans="1:13" ht="69">
      <c r="A70" t="s">
        <v>164</v>
      </c>
      <c r="B70" t="s">
        <v>115</v>
      </c>
      <c r="C70" s="14" t="s">
        <v>291</v>
      </c>
      <c r="D70" t="s">
        <v>375</v>
      </c>
      <c r="E70" t="s">
        <v>392</v>
      </c>
      <c r="F70" s="20">
        <v>2026</v>
      </c>
      <c r="G70" s="20">
        <v>58</v>
      </c>
      <c r="H70" s="11">
        <v>15837.297402923101</v>
      </c>
      <c r="I70" s="10">
        <v>3017305.2867474402</v>
      </c>
      <c r="J70" s="34">
        <f t="shared" si="4"/>
        <v>5.2488216795573929E-3</v>
      </c>
      <c r="K70" s="34">
        <f t="shared" si="5"/>
        <v>5.2350706844056516E-3</v>
      </c>
      <c r="L70" s="34">
        <f t="shared" si="6"/>
        <v>0.95398229673416146</v>
      </c>
      <c r="M70" s="34">
        <f t="shared" si="7"/>
        <v>0.94898813197908649</v>
      </c>
    </row>
    <row r="71" spans="1:13" ht="69">
      <c r="A71" t="s">
        <v>164</v>
      </c>
      <c r="B71" t="s">
        <v>115</v>
      </c>
      <c r="C71" s="14" t="s">
        <v>291</v>
      </c>
      <c r="D71" t="s">
        <v>375</v>
      </c>
      <c r="E71" t="s">
        <v>392</v>
      </c>
      <c r="F71" s="20">
        <v>2026</v>
      </c>
      <c r="G71" s="20">
        <v>59</v>
      </c>
      <c r="H71" s="11">
        <v>16519.166985237</v>
      </c>
      <c r="I71" s="10">
        <v>2877825.9895627</v>
      </c>
      <c r="J71" s="34">
        <f t="shared" si="4"/>
        <v>5.7401549103902457E-3</v>
      </c>
      <c r="K71" s="34">
        <f t="shared" si="5"/>
        <v>5.723711698431333E-3</v>
      </c>
      <c r="L71" s="34">
        <f t="shared" si="6"/>
        <v>0.94898813197908649</v>
      </c>
      <c r="M71" s="34">
        <f t="shared" si="7"/>
        <v>0.9435563975064053</v>
      </c>
    </row>
    <row r="72" spans="1:13" ht="69">
      <c r="A72" t="s">
        <v>164</v>
      </c>
      <c r="B72" t="s">
        <v>115</v>
      </c>
      <c r="C72" s="14" t="s">
        <v>291</v>
      </c>
      <c r="D72" t="s">
        <v>375</v>
      </c>
      <c r="E72" t="s">
        <v>392</v>
      </c>
      <c r="F72" s="20">
        <v>2026</v>
      </c>
      <c r="G72" s="20">
        <v>60</v>
      </c>
      <c r="H72" s="11">
        <v>17887.3286881145</v>
      </c>
      <c r="I72" s="10">
        <v>2775955.7323366199</v>
      </c>
      <c r="J72" s="34">
        <f t="shared" si="4"/>
        <v>6.4436649618537338E-3</v>
      </c>
      <c r="K72" s="34">
        <f t="shared" si="5"/>
        <v>6.422949072083628E-3</v>
      </c>
      <c r="L72" s="34">
        <f t="shared" si="6"/>
        <v>0.9435563975064053</v>
      </c>
      <c r="M72" s="34">
        <f t="shared" si="7"/>
        <v>0.93749598281858293</v>
      </c>
    </row>
    <row r="73" spans="1:13" ht="69">
      <c r="A73" t="s">
        <v>164</v>
      </c>
      <c r="B73" t="s">
        <v>115</v>
      </c>
      <c r="C73" s="14" t="s">
        <v>291</v>
      </c>
      <c r="D73" t="s">
        <v>375</v>
      </c>
      <c r="E73" t="s">
        <v>392</v>
      </c>
      <c r="F73" s="20">
        <v>2026</v>
      </c>
      <c r="G73" s="20">
        <v>61</v>
      </c>
      <c r="H73" s="11">
        <v>18665.402286106801</v>
      </c>
      <c r="I73" s="10">
        <v>2651125.82517609</v>
      </c>
      <c r="J73" s="34">
        <f t="shared" si="4"/>
        <v>7.0405569244783124E-3</v>
      </c>
      <c r="K73" s="34">
        <f t="shared" si="5"/>
        <v>7.0158302674179218E-3</v>
      </c>
      <c r="L73" s="34">
        <f t="shared" si="6"/>
        <v>0.93749598281858293</v>
      </c>
      <c r="M73" s="34">
        <f t="shared" si="7"/>
        <v>0.93091867012674157</v>
      </c>
    </row>
    <row r="74" spans="1:13" ht="69">
      <c r="A74" t="s">
        <v>164</v>
      </c>
      <c r="B74" t="s">
        <v>115</v>
      </c>
      <c r="C74" s="14" t="s">
        <v>291</v>
      </c>
      <c r="D74" t="s">
        <v>375</v>
      </c>
      <c r="E74" t="s">
        <v>392</v>
      </c>
      <c r="F74" s="20">
        <v>2026</v>
      </c>
      <c r="G74" s="20">
        <v>62</v>
      </c>
      <c r="H74" s="11">
        <v>19451.383893921498</v>
      </c>
      <c r="I74" s="10">
        <v>2527118.34779537</v>
      </c>
      <c r="J74" s="34">
        <f t="shared" si="4"/>
        <v>7.6970609274752289E-3</v>
      </c>
      <c r="K74" s="34">
        <f t="shared" si="5"/>
        <v>7.667514409729681E-3</v>
      </c>
      <c r="L74" s="34">
        <f t="shared" si="6"/>
        <v>0.93091867012674157</v>
      </c>
      <c r="M74" s="34">
        <f t="shared" si="7"/>
        <v>0.92378083780925835</v>
      </c>
    </row>
    <row r="75" spans="1:13" ht="69">
      <c r="A75" t="s">
        <v>164</v>
      </c>
      <c r="B75" t="s">
        <v>115</v>
      </c>
      <c r="C75" s="14" t="s">
        <v>291</v>
      </c>
      <c r="D75" t="s">
        <v>375</v>
      </c>
      <c r="E75" t="s">
        <v>392</v>
      </c>
      <c r="F75" s="20">
        <v>2026</v>
      </c>
      <c r="G75" s="20">
        <v>63</v>
      </c>
      <c r="H75" s="11">
        <v>20275.655128526701</v>
      </c>
      <c r="I75" s="10">
        <v>2408174.8299532202</v>
      </c>
      <c r="J75" s="34">
        <f t="shared" si="4"/>
        <v>8.4195112731580892E-3</v>
      </c>
      <c r="K75" s="34">
        <f t="shared" si="5"/>
        <v>8.3841664530480697E-3</v>
      </c>
      <c r="L75" s="34">
        <f t="shared" si="6"/>
        <v>0.92378083780925835</v>
      </c>
      <c r="M75" s="34">
        <f t="shared" si="7"/>
        <v>0.91603570549892932</v>
      </c>
    </row>
    <row r="76" spans="1:13" ht="69">
      <c r="A76" t="s">
        <v>164</v>
      </c>
      <c r="B76" t="s">
        <v>115</v>
      </c>
      <c r="C76" s="14" t="s">
        <v>291</v>
      </c>
      <c r="D76" t="s">
        <v>375</v>
      </c>
      <c r="E76" t="s">
        <v>392</v>
      </c>
      <c r="F76" s="20">
        <v>2026</v>
      </c>
      <c r="G76" s="20">
        <v>64</v>
      </c>
      <c r="H76" s="11">
        <v>20946.579956615202</v>
      </c>
      <c r="I76" s="10">
        <v>2263177.1457069502</v>
      </c>
      <c r="J76" s="34">
        <f t="shared" si="4"/>
        <v>9.2553868336595034E-3</v>
      </c>
      <c r="K76" s="34">
        <f t="shared" si="5"/>
        <v>9.2126875751977755E-3</v>
      </c>
      <c r="L76" s="34">
        <f t="shared" si="6"/>
        <v>0.91603570549892932</v>
      </c>
      <c r="M76" s="34">
        <f t="shared" si="7"/>
        <v>0.90759655473644185</v>
      </c>
    </row>
    <row r="77" spans="1:13" ht="69">
      <c r="A77" t="s">
        <v>164</v>
      </c>
      <c r="B77" t="s">
        <v>115</v>
      </c>
      <c r="C77" s="14" t="s">
        <v>291</v>
      </c>
      <c r="D77" t="s">
        <v>375</v>
      </c>
      <c r="E77" t="s">
        <v>392</v>
      </c>
      <c r="F77" s="20">
        <v>2026</v>
      </c>
      <c r="G77" s="20">
        <v>65</v>
      </c>
      <c r="H77" s="11">
        <v>21190.597183767</v>
      </c>
      <c r="I77" s="10">
        <v>2143592.8856204702</v>
      </c>
      <c r="J77" s="34">
        <f t="shared" si="4"/>
        <v>9.885551181810958E-3</v>
      </c>
      <c r="K77" s="34">
        <f t="shared" si="5"/>
        <v>9.8368497330639793E-3</v>
      </c>
      <c r="L77" s="34">
        <f t="shared" si="6"/>
        <v>0.90759655473644185</v>
      </c>
      <c r="M77" s="34">
        <f t="shared" si="7"/>
        <v>0.89866866380925292</v>
      </c>
    </row>
    <row r="78" spans="1:13" ht="69">
      <c r="A78" t="s">
        <v>164</v>
      </c>
      <c r="B78" t="s">
        <v>115</v>
      </c>
      <c r="C78" s="14" t="s">
        <v>291</v>
      </c>
      <c r="D78" t="s">
        <v>375</v>
      </c>
      <c r="E78" t="s">
        <v>392</v>
      </c>
      <c r="F78" s="20">
        <v>2026</v>
      </c>
      <c r="G78" s="20">
        <v>66</v>
      </c>
      <c r="H78" s="11">
        <v>21878.923985847101</v>
      </c>
      <c r="I78" s="10">
        <v>2020123.6562481499</v>
      </c>
      <c r="J78" s="34">
        <f t="shared" si="4"/>
        <v>1.0830487489306206E-2</v>
      </c>
      <c r="K78" s="34">
        <f t="shared" si="5"/>
        <v>1.0772048922673694E-2</v>
      </c>
      <c r="L78" s="34">
        <f t="shared" si="6"/>
        <v>0.89866866380925292</v>
      </c>
      <c r="M78" s="34">
        <f t="shared" si="7"/>
        <v>0.88898816099742584</v>
      </c>
    </row>
    <row r="79" spans="1:13" ht="69">
      <c r="A79" t="s">
        <v>164</v>
      </c>
      <c r="B79" t="s">
        <v>115</v>
      </c>
      <c r="C79" s="14" t="s">
        <v>291</v>
      </c>
      <c r="D79" t="s">
        <v>375</v>
      </c>
      <c r="E79" t="s">
        <v>392</v>
      </c>
      <c r="F79" s="20">
        <v>2026</v>
      </c>
      <c r="G79" s="20">
        <v>67</v>
      </c>
      <c r="H79" s="11">
        <v>22439.172456540098</v>
      </c>
      <c r="I79" s="10">
        <v>1890337.26910044</v>
      </c>
      <c r="J79" s="34">
        <f t="shared" si="4"/>
        <v>1.1870459744582134E-2</v>
      </c>
      <c r="K79" s="34">
        <f t="shared" si="5"/>
        <v>1.1800283785399657E-2</v>
      </c>
      <c r="L79" s="34">
        <f t="shared" si="6"/>
        <v>0.88898816099742584</v>
      </c>
      <c r="M79" s="34">
        <f t="shared" si="7"/>
        <v>0.8784978484157957</v>
      </c>
    </row>
    <row r="80" spans="1:13" ht="69">
      <c r="A80" t="s">
        <v>164</v>
      </c>
      <c r="B80" t="s">
        <v>115</v>
      </c>
      <c r="C80" s="14" t="s">
        <v>291</v>
      </c>
      <c r="D80" t="s">
        <v>375</v>
      </c>
      <c r="E80" t="s">
        <v>392</v>
      </c>
      <c r="F80" s="20">
        <v>2026</v>
      </c>
      <c r="G80" s="20">
        <v>68</v>
      </c>
      <c r="H80" s="11">
        <v>22951.490941350501</v>
      </c>
      <c r="I80" s="10">
        <v>1762993.4769824699</v>
      </c>
      <c r="J80" s="34">
        <f t="shared" si="4"/>
        <v>1.3018477516226633E-2</v>
      </c>
      <c r="K80" s="34">
        <f t="shared" si="5"/>
        <v>1.2934103674330899E-2</v>
      </c>
      <c r="L80" s="34">
        <f t="shared" si="6"/>
        <v>0.8784978484157957</v>
      </c>
      <c r="M80" s="34">
        <f t="shared" si="7"/>
        <v>0.86713526616670922</v>
      </c>
    </row>
    <row r="81" spans="1:13" ht="69">
      <c r="A81" t="s">
        <v>164</v>
      </c>
      <c r="B81" t="s">
        <v>115</v>
      </c>
      <c r="C81" s="14" t="s">
        <v>291</v>
      </c>
      <c r="D81" t="s">
        <v>375</v>
      </c>
      <c r="E81" t="s">
        <v>392</v>
      </c>
      <c r="F81" s="20">
        <v>2026</v>
      </c>
      <c r="G81" s="20">
        <v>69</v>
      </c>
      <c r="H81" s="11">
        <v>23742.219375888199</v>
      </c>
      <c r="I81" s="10">
        <v>1657190.3922347201</v>
      </c>
      <c r="J81" s="34">
        <f t="shared" si="4"/>
        <v>1.4326790383977446E-2</v>
      </c>
      <c r="K81" s="34">
        <f t="shared" si="5"/>
        <v>1.4224650284359708E-2</v>
      </c>
      <c r="L81" s="34">
        <f t="shared" si="6"/>
        <v>0.86713526616670922</v>
      </c>
      <c r="M81" s="34">
        <f t="shared" si="7"/>
        <v>0.85480057025625256</v>
      </c>
    </row>
    <row r="82" spans="1:13" ht="69">
      <c r="A82" t="s">
        <v>164</v>
      </c>
      <c r="B82" t="s">
        <v>115</v>
      </c>
      <c r="C82" s="14" t="s">
        <v>291</v>
      </c>
      <c r="D82" t="s">
        <v>375</v>
      </c>
      <c r="E82" t="s">
        <v>392</v>
      </c>
      <c r="F82" s="20">
        <v>2027</v>
      </c>
      <c r="G82" s="20">
        <v>30</v>
      </c>
      <c r="H82" s="11">
        <v>1304.6185908442401</v>
      </c>
      <c r="I82" s="10">
        <v>4568808.4788408503</v>
      </c>
      <c r="J82" s="34">
        <f t="shared" si="4"/>
        <v>2.8554897778845702E-4</v>
      </c>
      <c r="K82" s="34">
        <f t="shared" si="5"/>
        <v>2.8550821255934888E-4</v>
      </c>
      <c r="L82" s="34">
        <f t="shared" si="6"/>
        <v>1</v>
      </c>
      <c r="M82" s="34">
        <f t="shared" si="7"/>
        <v>0.99971449178744065</v>
      </c>
    </row>
    <row r="83" spans="1:13" ht="69">
      <c r="A83" t="s">
        <v>164</v>
      </c>
      <c r="B83" t="s">
        <v>115</v>
      </c>
      <c r="C83" s="14" t="s">
        <v>291</v>
      </c>
      <c r="D83" t="s">
        <v>375</v>
      </c>
      <c r="E83" t="s">
        <v>392</v>
      </c>
      <c r="F83" s="20">
        <v>2027</v>
      </c>
      <c r="G83" s="20">
        <v>31</v>
      </c>
      <c r="H83" s="11">
        <v>1343.4851039688599</v>
      </c>
      <c r="I83" s="10">
        <v>4526141.2992222998</v>
      </c>
      <c r="J83" s="34">
        <f t="shared" si="4"/>
        <v>2.9682791922552284E-4</v>
      </c>
      <c r="K83" s="34">
        <f t="shared" si="5"/>
        <v>2.9678387017717522E-4</v>
      </c>
      <c r="L83" s="34">
        <f t="shared" si="6"/>
        <v>0.99971449178744065</v>
      </c>
      <c r="M83" s="34">
        <f t="shared" si="7"/>
        <v>0.99941779265149577</v>
      </c>
    </row>
    <row r="84" spans="1:13" ht="69">
      <c r="A84" t="s">
        <v>164</v>
      </c>
      <c r="B84" t="s">
        <v>115</v>
      </c>
      <c r="C84" s="14" t="s">
        <v>291</v>
      </c>
      <c r="D84" t="s">
        <v>375</v>
      </c>
      <c r="E84" t="s">
        <v>392</v>
      </c>
      <c r="F84" s="20">
        <v>2027</v>
      </c>
      <c r="G84" s="20">
        <v>32</v>
      </c>
      <c r="H84" s="11">
        <v>1382.1734838201201</v>
      </c>
      <c r="I84" s="10">
        <v>4453752.68714373</v>
      </c>
      <c r="J84" s="34">
        <f t="shared" si="4"/>
        <v>3.1033907379049647E-4</v>
      </c>
      <c r="K84" s="34">
        <f t="shared" si="5"/>
        <v>3.1029092360124189E-4</v>
      </c>
      <c r="L84" s="34">
        <f t="shared" si="6"/>
        <v>0.99941779265149577</v>
      </c>
      <c r="M84" s="34">
        <f t="shared" si="7"/>
        <v>0.99910768238155045</v>
      </c>
    </row>
    <row r="85" spans="1:13" ht="69">
      <c r="A85" t="s">
        <v>164</v>
      </c>
      <c r="B85" t="s">
        <v>115</v>
      </c>
      <c r="C85" s="14" t="s">
        <v>291</v>
      </c>
      <c r="D85" t="s">
        <v>375</v>
      </c>
      <c r="E85" t="s">
        <v>392</v>
      </c>
      <c r="F85" s="20">
        <v>2027</v>
      </c>
      <c r="G85" s="20">
        <v>33</v>
      </c>
      <c r="H85" s="11">
        <v>1436.2709875861899</v>
      </c>
      <c r="I85" s="10">
        <v>4397355.5116936099</v>
      </c>
      <c r="J85" s="34">
        <f t="shared" si="4"/>
        <v>3.2662153054643982E-4</v>
      </c>
      <c r="K85" s="34">
        <f t="shared" si="5"/>
        <v>3.2656819554122141E-4</v>
      </c>
      <c r="L85" s="34">
        <f t="shared" si="6"/>
        <v>0.99910768238155045</v>
      </c>
      <c r="M85" s="34">
        <f t="shared" si="7"/>
        <v>0.99878140558856376</v>
      </c>
    </row>
    <row r="86" spans="1:13" ht="69">
      <c r="A86" t="s">
        <v>164</v>
      </c>
      <c r="B86" t="s">
        <v>115</v>
      </c>
      <c r="C86" s="14" t="s">
        <v>291</v>
      </c>
      <c r="D86" t="s">
        <v>375</v>
      </c>
      <c r="E86" t="s">
        <v>392</v>
      </c>
      <c r="F86" s="20">
        <v>2027</v>
      </c>
      <c r="G86" s="20">
        <v>34</v>
      </c>
      <c r="H86" s="11">
        <v>1502.8332222040799</v>
      </c>
      <c r="I86" s="10">
        <v>4344733.2793967202</v>
      </c>
      <c r="J86" s="34">
        <f t="shared" si="4"/>
        <v>3.4589769395758005E-4</v>
      </c>
      <c r="K86" s="34">
        <f t="shared" si="5"/>
        <v>3.4583787824715717E-4</v>
      </c>
      <c r="L86" s="34">
        <f t="shared" si="6"/>
        <v>0.99878140558856376</v>
      </c>
      <c r="M86" s="34">
        <f t="shared" si="7"/>
        <v>0.99843598914642229</v>
      </c>
    </row>
    <row r="87" spans="1:13" ht="69">
      <c r="A87" t="s">
        <v>164</v>
      </c>
      <c r="B87" t="s">
        <v>115</v>
      </c>
      <c r="C87" s="14" t="s">
        <v>291</v>
      </c>
      <c r="D87" t="s">
        <v>375</v>
      </c>
      <c r="E87" t="s">
        <v>392</v>
      </c>
      <c r="F87" s="20">
        <v>2027</v>
      </c>
      <c r="G87" s="20">
        <v>35</v>
      </c>
      <c r="H87" s="11">
        <v>2085.12789768723</v>
      </c>
      <c r="I87" s="10">
        <v>4384158.7943414599</v>
      </c>
      <c r="J87" s="34">
        <f t="shared" si="4"/>
        <v>4.7560501238651758E-4</v>
      </c>
      <c r="K87" s="34">
        <f t="shared" si="5"/>
        <v>4.7549193025075986E-4</v>
      </c>
      <c r="L87" s="34">
        <f t="shared" si="6"/>
        <v>0.99843598914642229</v>
      </c>
      <c r="M87" s="34">
        <f t="shared" si="7"/>
        <v>0.99796124089071125</v>
      </c>
    </row>
    <row r="88" spans="1:13" ht="69">
      <c r="A88" t="s">
        <v>164</v>
      </c>
      <c r="B88" t="s">
        <v>115</v>
      </c>
      <c r="C88" s="14" t="s">
        <v>291</v>
      </c>
      <c r="D88" t="s">
        <v>375</v>
      </c>
      <c r="E88" t="s">
        <v>392</v>
      </c>
      <c r="F88" s="20">
        <v>2027</v>
      </c>
      <c r="G88" s="20">
        <v>36</v>
      </c>
      <c r="H88" s="11">
        <v>2236.62829846252</v>
      </c>
      <c r="I88" s="10">
        <v>4403443.88242885</v>
      </c>
      <c r="J88" s="34">
        <f t="shared" si="4"/>
        <v>5.0792705849786858E-4</v>
      </c>
      <c r="K88" s="34">
        <f t="shared" si="5"/>
        <v>5.0779808538670146E-4</v>
      </c>
      <c r="L88" s="34">
        <f t="shared" si="6"/>
        <v>0.99796124089071125</v>
      </c>
      <c r="M88" s="34">
        <f t="shared" si="7"/>
        <v>0.99745447808329679</v>
      </c>
    </row>
    <row r="89" spans="1:13" ht="69">
      <c r="A89" t="s">
        <v>164</v>
      </c>
      <c r="B89" t="s">
        <v>115</v>
      </c>
      <c r="C89" s="14" t="s">
        <v>291</v>
      </c>
      <c r="D89" t="s">
        <v>375</v>
      </c>
      <c r="E89" t="s">
        <v>392</v>
      </c>
      <c r="F89" s="20">
        <v>2027</v>
      </c>
      <c r="G89" s="20">
        <v>37</v>
      </c>
      <c r="H89" s="11">
        <v>3393.3844711430302</v>
      </c>
      <c r="I89" s="10">
        <v>6485436.9494032403</v>
      </c>
      <c r="J89" s="34">
        <f t="shared" si="4"/>
        <v>5.2323143338172046E-4</v>
      </c>
      <c r="K89" s="34">
        <f t="shared" si="5"/>
        <v>5.2309457168642215E-4</v>
      </c>
      <c r="L89" s="34">
        <f t="shared" si="6"/>
        <v>0.99745447808329679</v>
      </c>
      <c r="M89" s="34">
        <f t="shared" si="7"/>
        <v>0.99693271506030712</v>
      </c>
    </row>
    <row r="90" spans="1:13" ht="69">
      <c r="A90" t="s">
        <v>164</v>
      </c>
      <c r="B90" t="s">
        <v>115</v>
      </c>
      <c r="C90" s="14" t="s">
        <v>291</v>
      </c>
      <c r="D90" t="s">
        <v>375</v>
      </c>
      <c r="E90" t="s">
        <v>392</v>
      </c>
      <c r="F90" s="20">
        <v>2027</v>
      </c>
      <c r="G90" s="20">
        <v>38</v>
      </c>
      <c r="H90" s="11">
        <v>2551.0829846513998</v>
      </c>
      <c r="I90" s="10">
        <v>4365602.83738897</v>
      </c>
      <c r="J90" s="34">
        <f t="shared" si="4"/>
        <v>5.8435984208246962E-4</v>
      </c>
      <c r="K90" s="34">
        <f t="shared" si="5"/>
        <v>5.841891371226593E-4</v>
      </c>
      <c r="L90" s="34">
        <f t="shared" si="6"/>
        <v>0.99693271506030712</v>
      </c>
      <c r="M90" s="34">
        <f t="shared" si="7"/>
        <v>0.99635031779772665</v>
      </c>
    </row>
    <row r="91" spans="1:13" ht="69">
      <c r="A91" t="s">
        <v>164</v>
      </c>
      <c r="B91" t="s">
        <v>115</v>
      </c>
      <c r="C91" s="14" t="s">
        <v>291</v>
      </c>
      <c r="D91" t="s">
        <v>375</v>
      </c>
      <c r="E91" t="s">
        <v>392</v>
      </c>
      <c r="F91" s="20">
        <v>2027</v>
      </c>
      <c r="G91" s="20">
        <v>39</v>
      </c>
      <c r="H91" s="11">
        <v>2732.3566794990402</v>
      </c>
      <c r="I91" s="10">
        <v>4350977.2414010596</v>
      </c>
      <c r="J91" s="34">
        <f t="shared" si="4"/>
        <v>6.2798689303628563E-4</v>
      </c>
      <c r="K91" s="34">
        <f t="shared" si="5"/>
        <v>6.2778975053712216E-4</v>
      </c>
      <c r="L91" s="34">
        <f t="shared" si="6"/>
        <v>0.99635031779772665</v>
      </c>
      <c r="M91" s="34">
        <f t="shared" si="7"/>
        <v>0.99572481928026879</v>
      </c>
    </row>
    <row r="92" spans="1:13" ht="69">
      <c r="A92" t="s">
        <v>164</v>
      </c>
      <c r="B92" t="s">
        <v>115</v>
      </c>
      <c r="C92" s="14" t="s">
        <v>291</v>
      </c>
      <c r="D92" t="s">
        <v>375</v>
      </c>
      <c r="E92" t="s">
        <v>392</v>
      </c>
      <c r="F92" s="20">
        <v>2027</v>
      </c>
      <c r="G92" s="20">
        <v>40</v>
      </c>
      <c r="H92" s="11">
        <v>3572.7816549133499</v>
      </c>
      <c r="I92" s="10">
        <v>4220088.22922651</v>
      </c>
      <c r="J92" s="34">
        <f t="shared" si="4"/>
        <v>8.4661302343628879E-4</v>
      </c>
      <c r="K92" s="34">
        <f t="shared" si="5"/>
        <v>8.4625474774469023E-4</v>
      </c>
      <c r="L92" s="34">
        <f t="shared" si="6"/>
        <v>0.99572481928026879</v>
      </c>
      <c r="M92" s="34">
        <f t="shared" si="7"/>
        <v>0.99488218242450566</v>
      </c>
    </row>
    <row r="93" spans="1:13" ht="69">
      <c r="A93" t="s">
        <v>164</v>
      </c>
      <c r="B93" t="s">
        <v>115</v>
      </c>
      <c r="C93" s="14" t="s">
        <v>291</v>
      </c>
      <c r="D93" t="s">
        <v>375</v>
      </c>
      <c r="E93" t="s">
        <v>392</v>
      </c>
      <c r="F93" s="20">
        <v>2027</v>
      </c>
      <c r="G93" s="20">
        <v>41</v>
      </c>
      <c r="H93" s="11">
        <v>3823.5951699583902</v>
      </c>
      <c r="I93" s="10">
        <v>4186992.2063667802</v>
      </c>
      <c r="J93" s="34">
        <f t="shared" si="4"/>
        <v>9.1320809342424738E-4</v>
      </c>
      <c r="K93" s="34">
        <f t="shared" si="5"/>
        <v>9.1279124581244986E-4</v>
      </c>
      <c r="L93" s="34">
        <f t="shared" si="6"/>
        <v>0.99488218242450566</v>
      </c>
      <c r="M93" s="34">
        <f t="shared" si="7"/>
        <v>0.99397406267777377</v>
      </c>
    </row>
    <row r="94" spans="1:13" ht="69">
      <c r="A94" t="s">
        <v>164</v>
      </c>
      <c r="B94" t="s">
        <v>115</v>
      </c>
      <c r="C94" s="14" t="s">
        <v>291</v>
      </c>
      <c r="D94" t="s">
        <v>375</v>
      </c>
      <c r="E94" t="s">
        <v>392</v>
      </c>
      <c r="F94" s="20">
        <v>2027</v>
      </c>
      <c r="G94" s="20">
        <v>42</v>
      </c>
      <c r="H94" s="11">
        <v>4205.6818549236596</v>
      </c>
      <c r="I94" s="10">
        <v>4249351.5939725405</v>
      </c>
      <c r="J94" s="34">
        <f t="shared" si="4"/>
        <v>9.8972319939097907E-4</v>
      </c>
      <c r="K94" s="34">
        <f t="shared" si="5"/>
        <v>9.8923358492619684E-4</v>
      </c>
      <c r="L94" s="34">
        <f t="shared" si="6"/>
        <v>0.99397406267777377</v>
      </c>
      <c r="M94" s="34">
        <f t="shared" si="7"/>
        <v>0.99299079015242742</v>
      </c>
    </row>
    <row r="95" spans="1:13" ht="69">
      <c r="A95" t="s">
        <v>164</v>
      </c>
      <c r="B95" t="s">
        <v>115</v>
      </c>
      <c r="C95" s="14" t="s">
        <v>291</v>
      </c>
      <c r="D95" t="s">
        <v>375</v>
      </c>
      <c r="E95" t="s">
        <v>392</v>
      </c>
      <c r="F95" s="20">
        <v>2027</v>
      </c>
      <c r="G95" s="20">
        <v>43</v>
      </c>
      <c r="H95" s="11">
        <v>4666.04483871308</v>
      </c>
      <c r="I95" s="10">
        <v>4337467.7747156704</v>
      </c>
      <c r="J95" s="34">
        <f t="shared" si="4"/>
        <v>1.0757532000382293E-3</v>
      </c>
      <c r="K95" s="34">
        <f t="shared" si="5"/>
        <v>1.0751747849937487E-3</v>
      </c>
      <c r="L95" s="34">
        <f t="shared" si="6"/>
        <v>0.99299079015242742</v>
      </c>
      <c r="M95" s="34">
        <f t="shared" si="7"/>
        <v>0.99192315149312449</v>
      </c>
    </row>
    <row r="96" spans="1:13" ht="69">
      <c r="A96" t="s">
        <v>164</v>
      </c>
      <c r="B96" t="s">
        <v>115</v>
      </c>
      <c r="C96" s="14" t="s">
        <v>291</v>
      </c>
      <c r="D96" t="s">
        <v>375</v>
      </c>
      <c r="E96" t="s">
        <v>392</v>
      </c>
      <c r="F96" s="20">
        <v>2027</v>
      </c>
      <c r="G96" s="20">
        <v>44</v>
      </c>
      <c r="H96" s="11">
        <v>5062.9723910396096</v>
      </c>
      <c r="I96" s="10">
        <v>4316061.6717050197</v>
      </c>
      <c r="J96" s="34">
        <f t="shared" si="4"/>
        <v>1.1730537643220307E-3</v>
      </c>
      <c r="K96" s="34">
        <f t="shared" si="5"/>
        <v>1.1723660057072482E-3</v>
      </c>
      <c r="L96" s="34">
        <f t="shared" si="6"/>
        <v>0.99192315149312449</v>
      </c>
      <c r="M96" s="34">
        <f t="shared" si="7"/>
        <v>0.99076025451003991</v>
      </c>
    </row>
    <row r="97" spans="1:13" ht="69">
      <c r="A97" t="s">
        <v>164</v>
      </c>
      <c r="B97" t="s">
        <v>115</v>
      </c>
      <c r="C97" s="14" t="s">
        <v>291</v>
      </c>
      <c r="D97" t="s">
        <v>375</v>
      </c>
      <c r="E97" t="s">
        <v>392</v>
      </c>
      <c r="F97" s="20">
        <v>2027</v>
      </c>
      <c r="G97" s="20">
        <v>45</v>
      </c>
      <c r="H97" s="11">
        <v>6355.4869242650402</v>
      </c>
      <c r="I97" s="10">
        <v>4181399.0635977299</v>
      </c>
      <c r="J97" s="34">
        <f t="shared" si="4"/>
        <v>1.5199426860723255E-3</v>
      </c>
      <c r="K97" s="34">
        <f t="shared" si="5"/>
        <v>1.5187881582006124E-3</v>
      </c>
      <c r="L97" s="34">
        <f t="shared" si="6"/>
        <v>0.99076025451003991</v>
      </c>
      <c r="M97" s="34">
        <f t="shared" si="7"/>
        <v>0.98925549956787429</v>
      </c>
    </row>
    <row r="98" spans="1:13" ht="69">
      <c r="A98" t="s">
        <v>164</v>
      </c>
      <c r="B98" t="s">
        <v>115</v>
      </c>
      <c r="C98" s="14" t="s">
        <v>291</v>
      </c>
      <c r="D98" t="s">
        <v>375</v>
      </c>
      <c r="E98" t="s">
        <v>392</v>
      </c>
      <c r="F98" s="20">
        <v>2027</v>
      </c>
      <c r="G98" s="20">
        <v>46</v>
      </c>
      <c r="H98" s="11">
        <v>6830.2871623746596</v>
      </c>
      <c r="I98" s="10">
        <v>4108799.9203915601</v>
      </c>
      <c r="J98" s="34">
        <f t="shared" si="4"/>
        <v>1.6623557473501283E-3</v>
      </c>
      <c r="K98" s="34">
        <f t="shared" si="5"/>
        <v>1.6609747993496793E-3</v>
      </c>
      <c r="L98" s="34">
        <f t="shared" si="6"/>
        <v>0.98925549956787429</v>
      </c>
      <c r="M98" s="34">
        <f t="shared" si="7"/>
        <v>0.98761237111297395</v>
      </c>
    </row>
    <row r="99" spans="1:13" ht="69">
      <c r="A99" t="s">
        <v>164</v>
      </c>
      <c r="B99" t="s">
        <v>115</v>
      </c>
      <c r="C99" s="14" t="s">
        <v>291</v>
      </c>
      <c r="D99" t="s">
        <v>375</v>
      </c>
      <c r="E99" t="s">
        <v>392</v>
      </c>
      <c r="F99" s="20">
        <v>2027</v>
      </c>
      <c r="G99" s="20">
        <v>47</v>
      </c>
      <c r="H99" s="11">
        <v>7381.4345817051899</v>
      </c>
      <c r="I99" s="10">
        <v>4053352.6999644102</v>
      </c>
      <c r="J99" s="34">
        <f t="shared" si="4"/>
        <v>1.8210689096386805E-3</v>
      </c>
      <c r="K99" s="34">
        <f t="shared" si="5"/>
        <v>1.8194117697264423E-3</v>
      </c>
      <c r="L99" s="34">
        <f t="shared" si="6"/>
        <v>0.98761237111297395</v>
      </c>
      <c r="M99" s="34">
        <f t="shared" si="7"/>
        <v>0.98581549754104358</v>
      </c>
    </row>
    <row r="100" spans="1:13" ht="69">
      <c r="A100" t="s">
        <v>164</v>
      </c>
      <c r="B100" t="s">
        <v>115</v>
      </c>
      <c r="C100" s="14" t="s">
        <v>291</v>
      </c>
      <c r="D100" t="s">
        <v>375</v>
      </c>
      <c r="E100" t="s">
        <v>392</v>
      </c>
      <c r="F100" s="20">
        <v>2027</v>
      </c>
      <c r="G100" s="20">
        <v>48</v>
      </c>
      <c r="H100" s="11">
        <v>7954.61072353485</v>
      </c>
      <c r="I100" s="10">
        <v>3992547.6674430701</v>
      </c>
      <c r="J100" s="34">
        <f t="shared" si="4"/>
        <v>1.9923646218178246E-3</v>
      </c>
      <c r="K100" s="34">
        <f t="shared" si="5"/>
        <v>1.9903811808892335E-3</v>
      </c>
      <c r="L100" s="34">
        <f t="shared" si="6"/>
        <v>0.98581549754104358</v>
      </c>
      <c r="M100" s="34">
        <f t="shared" si="7"/>
        <v>0.9838533489269089</v>
      </c>
    </row>
    <row r="101" spans="1:13" ht="69">
      <c r="A101" t="s">
        <v>164</v>
      </c>
      <c r="B101" t="s">
        <v>115</v>
      </c>
      <c r="C101" s="14" t="s">
        <v>291</v>
      </c>
      <c r="D101" t="s">
        <v>375</v>
      </c>
      <c r="E101" t="s">
        <v>392</v>
      </c>
      <c r="F101" s="20">
        <v>2027</v>
      </c>
      <c r="G101" s="20">
        <v>49</v>
      </c>
      <c r="H101" s="11">
        <v>8519.6434894668</v>
      </c>
      <c r="I101" s="10">
        <v>3912199.3633687599</v>
      </c>
      <c r="J101" s="34">
        <f t="shared" si="4"/>
        <v>2.1777119973074716E-3</v>
      </c>
      <c r="K101" s="34">
        <f t="shared" si="5"/>
        <v>2.1753425028734341E-3</v>
      </c>
      <c r="L101" s="34">
        <f t="shared" si="6"/>
        <v>0.9838533489269089</v>
      </c>
      <c r="M101" s="34">
        <f t="shared" si="7"/>
        <v>0.98171313092039381</v>
      </c>
    </row>
    <row r="102" spans="1:13" ht="69">
      <c r="A102" t="s">
        <v>164</v>
      </c>
      <c r="B102" t="s">
        <v>115</v>
      </c>
      <c r="C102" s="14" t="s">
        <v>291</v>
      </c>
      <c r="D102" t="s">
        <v>375</v>
      </c>
      <c r="E102" t="s">
        <v>392</v>
      </c>
      <c r="F102" s="20">
        <v>2027</v>
      </c>
      <c r="G102" s="20">
        <v>50</v>
      </c>
      <c r="H102" s="11">
        <v>9800.5182091364095</v>
      </c>
      <c r="I102" s="10">
        <v>3849330.4253935302</v>
      </c>
      <c r="J102" s="34">
        <f t="shared" si="4"/>
        <v>2.5460319396027088E-3</v>
      </c>
      <c r="K102" s="34">
        <f t="shared" si="5"/>
        <v>2.5427935492154941E-3</v>
      </c>
      <c r="L102" s="34">
        <f t="shared" si="6"/>
        <v>0.98171313092039381</v>
      </c>
      <c r="M102" s="34">
        <f t="shared" si="7"/>
        <v>0.97921683710390928</v>
      </c>
    </row>
    <row r="103" spans="1:13" ht="69">
      <c r="A103" t="s">
        <v>164</v>
      </c>
      <c r="B103" t="s">
        <v>115</v>
      </c>
      <c r="C103" s="14" t="s">
        <v>291</v>
      </c>
      <c r="D103" t="s">
        <v>375</v>
      </c>
      <c r="E103" t="s">
        <v>392</v>
      </c>
      <c r="F103" s="20">
        <v>2027</v>
      </c>
      <c r="G103" s="20">
        <v>51</v>
      </c>
      <c r="H103" s="11">
        <v>10475.487905467</v>
      </c>
      <c r="I103" s="10">
        <v>3773649.1842457601</v>
      </c>
      <c r="J103" s="34">
        <f t="shared" si="4"/>
        <v>2.775957009782492E-3</v>
      </c>
      <c r="K103" s="34">
        <f t="shared" si="5"/>
        <v>2.7721076038746961E-3</v>
      </c>
      <c r="L103" s="34">
        <f t="shared" si="6"/>
        <v>0.97921683710390928</v>
      </c>
      <c r="M103" s="34">
        <f t="shared" si="7"/>
        <v>0.97650234266393143</v>
      </c>
    </row>
    <row r="104" spans="1:13" ht="69">
      <c r="A104" t="s">
        <v>164</v>
      </c>
      <c r="B104" t="s">
        <v>115</v>
      </c>
      <c r="C104" s="14" t="s">
        <v>291</v>
      </c>
      <c r="D104" t="s">
        <v>375</v>
      </c>
      <c r="E104" t="s">
        <v>392</v>
      </c>
      <c r="F104" s="20">
        <v>2027</v>
      </c>
      <c r="G104" s="20">
        <v>52</v>
      </c>
      <c r="H104" s="11">
        <v>11205.4500679463</v>
      </c>
      <c r="I104" s="10">
        <v>3698212.3594447998</v>
      </c>
      <c r="J104" s="34">
        <f t="shared" si="4"/>
        <v>3.0299639336094091E-3</v>
      </c>
      <c r="K104" s="34">
        <f t="shared" si="5"/>
        <v>3.0253782255691419E-3</v>
      </c>
      <c r="L104" s="34">
        <f t="shared" si="6"/>
        <v>0.97650234266393143</v>
      </c>
      <c r="M104" s="34">
        <f t="shared" si="7"/>
        <v>0.97354805373921871</v>
      </c>
    </row>
    <row r="105" spans="1:13" ht="69">
      <c r="A105" t="s">
        <v>164</v>
      </c>
      <c r="B105" t="s">
        <v>115</v>
      </c>
      <c r="C105" s="14" t="s">
        <v>291</v>
      </c>
      <c r="D105" t="s">
        <v>375</v>
      </c>
      <c r="E105" t="s">
        <v>392</v>
      </c>
      <c r="F105" s="20">
        <v>2027</v>
      </c>
      <c r="G105" s="20">
        <v>53</v>
      </c>
      <c r="H105" s="11">
        <v>11884.650641587599</v>
      </c>
      <c r="I105" s="10">
        <v>3595027.5980207599</v>
      </c>
      <c r="J105" s="34">
        <f t="shared" si="4"/>
        <v>3.305857971196295E-3</v>
      </c>
      <c r="K105" s="34">
        <f t="shared" si="5"/>
        <v>3.3003996392134693E-3</v>
      </c>
      <c r="L105" s="34">
        <f t="shared" si="6"/>
        <v>0.97354805373921871</v>
      </c>
      <c r="M105" s="34">
        <f t="shared" si="7"/>
        <v>0.97033495609390086</v>
      </c>
    </row>
    <row r="106" spans="1:13" ht="69">
      <c r="A106" t="s">
        <v>164</v>
      </c>
      <c r="B106" t="s">
        <v>115</v>
      </c>
      <c r="C106" s="14" t="s">
        <v>291</v>
      </c>
      <c r="D106" t="s">
        <v>375</v>
      </c>
      <c r="E106" t="s">
        <v>392</v>
      </c>
      <c r="F106" s="20">
        <v>2027</v>
      </c>
      <c r="G106" s="20">
        <v>54</v>
      </c>
      <c r="H106" s="11">
        <v>12819.7017907387</v>
      </c>
      <c r="I106" s="10">
        <v>3553002.6399709499</v>
      </c>
      <c r="J106" s="34">
        <f t="shared" si="4"/>
        <v>3.6081317943640811E-3</v>
      </c>
      <c r="K106" s="34">
        <f t="shared" si="5"/>
        <v>3.6016303085977253E-3</v>
      </c>
      <c r="L106" s="34">
        <f t="shared" si="6"/>
        <v>0.97033495609390086</v>
      </c>
      <c r="M106" s="34">
        <f t="shared" si="7"/>
        <v>0.96684016830654118</v>
      </c>
    </row>
    <row r="107" spans="1:13" ht="69">
      <c r="A107" t="s">
        <v>164</v>
      </c>
      <c r="B107" t="s">
        <v>115</v>
      </c>
      <c r="C107" s="14" t="s">
        <v>291</v>
      </c>
      <c r="D107" t="s">
        <v>375</v>
      </c>
      <c r="E107" t="s">
        <v>392</v>
      </c>
      <c r="F107" s="20">
        <v>2027</v>
      </c>
      <c r="G107" s="20">
        <v>55</v>
      </c>
      <c r="H107" s="11">
        <v>13404.149905972001</v>
      </c>
      <c r="I107" s="10">
        <v>3344959.9335197001</v>
      </c>
      <c r="J107" s="34">
        <f t="shared" si="4"/>
        <v>4.0072677019684418E-3</v>
      </c>
      <c r="K107" s="34">
        <f t="shared" si="5"/>
        <v>3.9992493189290323E-3</v>
      </c>
      <c r="L107" s="34">
        <f t="shared" si="6"/>
        <v>0.96684016830654118</v>
      </c>
      <c r="M107" s="34">
        <f t="shared" si="7"/>
        <v>0.96297353342192804</v>
      </c>
    </row>
    <row r="108" spans="1:13" ht="69">
      <c r="A108" t="s">
        <v>164</v>
      </c>
      <c r="B108" t="s">
        <v>115</v>
      </c>
      <c r="C108" s="14" t="s">
        <v>291</v>
      </c>
      <c r="D108" t="s">
        <v>375</v>
      </c>
      <c r="E108" t="s">
        <v>392</v>
      </c>
      <c r="F108" s="20">
        <v>2027</v>
      </c>
      <c r="G108" s="20">
        <v>56</v>
      </c>
      <c r="H108" s="11">
        <v>14257.257815749201</v>
      </c>
      <c r="I108" s="10">
        <v>3259737.1566256601</v>
      </c>
      <c r="J108" s="34">
        <f t="shared" si="4"/>
        <v>4.3737446090615787E-3</v>
      </c>
      <c r="K108" s="34">
        <f t="shared" si="5"/>
        <v>4.3641937175693535E-3</v>
      </c>
      <c r="L108" s="34">
        <f t="shared" si="6"/>
        <v>0.96297353342192804</v>
      </c>
      <c r="M108" s="34">
        <f t="shared" si="7"/>
        <v>0.95877093037718253</v>
      </c>
    </row>
    <row r="109" spans="1:13" ht="69">
      <c r="A109" t="s">
        <v>164</v>
      </c>
      <c r="B109" t="s">
        <v>115</v>
      </c>
      <c r="C109" s="14" t="s">
        <v>291</v>
      </c>
      <c r="D109" t="s">
        <v>375</v>
      </c>
      <c r="E109" t="s">
        <v>392</v>
      </c>
      <c r="F109" s="20">
        <v>2027</v>
      </c>
      <c r="G109" s="20">
        <v>57</v>
      </c>
      <c r="H109" s="11">
        <v>15198.7593312109</v>
      </c>
      <c r="I109" s="10">
        <v>3179594.07420108</v>
      </c>
      <c r="J109" s="34">
        <f t="shared" si="4"/>
        <v>4.7800942436432908E-3</v>
      </c>
      <c r="K109" s="34">
        <f t="shared" si="5"/>
        <v>4.7686877750565682E-3</v>
      </c>
      <c r="L109" s="34">
        <f t="shared" si="6"/>
        <v>0.95877093037718253</v>
      </c>
      <c r="M109" s="34">
        <f t="shared" si="7"/>
        <v>0.95419885116241321</v>
      </c>
    </row>
    <row r="110" spans="1:13" ht="69">
      <c r="A110" t="s">
        <v>164</v>
      </c>
      <c r="B110" t="s">
        <v>115</v>
      </c>
      <c r="C110" s="14" t="s">
        <v>291</v>
      </c>
      <c r="D110" t="s">
        <v>375</v>
      </c>
      <c r="E110" t="s">
        <v>392</v>
      </c>
      <c r="F110" s="20">
        <v>2027</v>
      </c>
      <c r="G110" s="20">
        <v>58</v>
      </c>
      <c r="H110" s="11">
        <v>16137.0826413053</v>
      </c>
      <c r="I110" s="10">
        <v>3090183.6823470099</v>
      </c>
      <c r="J110" s="34">
        <f t="shared" si="4"/>
        <v>5.222046421864834E-3</v>
      </c>
      <c r="K110" s="34">
        <f t="shared" si="5"/>
        <v>5.2084352404958567E-3</v>
      </c>
      <c r="L110" s="34">
        <f t="shared" si="6"/>
        <v>0.95419885116241321</v>
      </c>
      <c r="M110" s="34">
        <f t="shared" si="7"/>
        <v>0.94922896823957825</v>
      </c>
    </row>
    <row r="111" spans="1:13" ht="69">
      <c r="A111" t="s">
        <v>164</v>
      </c>
      <c r="B111" t="s">
        <v>115</v>
      </c>
      <c r="C111" s="14" t="s">
        <v>291</v>
      </c>
      <c r="D111" t="s">
        <v>375</v>
      </c>
      <c r="E111" t="s">
        <v>392</v>
      </c>
      <c r="F111" s="20">
        <v>2027</v>
      </c>
      <c r="G111" s="20">
        <v>59</v>
      </c>
      <c r="H111" s="11">
        <v>17007.7639080181</v>
      </c>
      <c r="I111" s="10">
        <v>2980759.49993983</v>
      </c>
      <c r="J111" s="34">
        <f t="shared" si="4"/>
        <v>5.7058490993189557E-3</v>
      </c>
      <c r="K111" s="34">
        <f t="shared" si="5"/>
        <v>5.6896016588492415E-3</v>
      </c>
      <c r="L111" s="34">
        <f t="shared" si="6"/>
        <v>0.94922896823957825</v>
      </c>
      <c r="M111" s="34">
        <f t="shared" si="7"/>
        <v>0.94382823352725465</v>
      </c>
    </row>
    <row r="112" spans="1:13" ht="69">
      <c r="A112" t="s">
        <v>164</v>
      </c>
      <c r="B112" t="s">
        <v>115</v>
      </c>
      <c r="C112" s="14" t="s">
        <v>291</v>
      </c>
      <c r="D112" t="s">
        <v>375</v>
      </c>
      <c r="E112" t="s">
        <v>392</v>
      </c>
      <c r="F112" s="20">
        <v>2027</v>
      </c>
      <c r="G112" s="20">
        <v>60</v>
      </c>
      <c r="H112" s="11">
        <v>18169.856500637099</v>
      </c>
      <c r="I112" s="10">
        <v>2839714.9690395002</v>
      </c>
      <c r="J112" s="34">
        <f t="shared" si="4"/>
        <v>6.3984789666347523E-3</v>
      </c>
      <c r="K112" s="34">
        <f t="shared" si="5"/>
        <v>6.3780522898654324E-3</v>
      </c>
      <c r="L112" s="34">
        <f t="shared" si="6"/>
        <v>0.94382823352725465</v>
      </c>
      <c r="M112" s="34">
        <f t="shared" si="7"/>
        <v>0.93780844770116645</v>
      </c>
    </row>
    <row r="113" spans="1:13" ht="69">
      <c r="A113" t="s">
        <v>164</v>
      </c>
      <c r="B113" t="s">
        <v>115</v>
      </c>
      <c r="C113" s="14" t="s">
        <v>291</v>
      </c>
      <c r="D113" t="s">
        <v>375</v>
      </c>
      <c r="E113" t="s">
        <v>392</v>
      </c>
      <c r="F113" s="20">
        <v>2027</v>
      </c>
      <c r="G113" s="20">
        <v>61</v>
      </c>
      <c r="H113" s="11">
        <v>19119.707382853601</v>
      </c>
      <c r="I113" s="10">
        <v>2735142.7362366202</v>
      </c>
      <c r="J113" s="34">
        <f t="shared" si="4"/>
        <v>6.9903874227642991E-3</v>
      </c>
      <c r="K113" s="34">
        <f t="shared" si="5"/>
        <v>6.9660114967315945E-3</v>
      </c>
      <c r="L113" s="34">
        <f t="shared" si="6"/>
        <v>0.93780844770116645</v>
      </c>
      <c r="M113" s="34">
        <f t="shared" si="7"/>
        <v>0.93127566327274813</v>
      </c>
    </row>
    <row r="114" spans="1:13" ht="69">
      <c r="A114" t="s">
        <v>164</v>
      </c>
      <c r="B114" t="s">
        <v>115</v>
      </c>
      <c r="C114" s="14" t="s">
        <v>291</v>
      </c>
      <c r="D114" t="s">
        <v>375</v>
      </c>
      <c r="E114" t="s">
        <v>392</v>
      </c>
      <c r="F114" s="20">
        <v>2027</v>
      </c>
      <c r="G114" s="20">
        <v>62</v>
      </c>
      <c r="H114" s="11">
        <v>19951.960190190999</v>
      </c>
      <c r="I114" s="10">
        <v>2609164.0495887799</v>
      </c>
      <c r="J114" s="34">
        <f t="shared" si="4"/>
        <v>7.646878391312938E-3</v>
      </c>
      <c r="K114" s="34">
        <f t="shared" si="5"/>
        <v>7.6177153993767233E-3</v>
      </c>
      <c r="L114" s="34">
        <f t="shared" si="6"/>
        <v>0.93127566327274813</v>
      </c>
      <c r="M114" s="34">
        <f t="shared" si="7"/>
        <v>0.9241814703115705</v>
      </c>
    </row>
    <row r="115" spans="1:13" ht="69">
      <c r="A115" t="s">
        <v>164</v>
      </c>
      <c r="B115" t="s">
        <v>115</v>
      </c>
      <c r="C115" s="14" t="s">
        <v>291</v>
      </c>
      <c r="D115" t="s">
        <v>375</v>
      </c>
      <c r="E115" t="s">
        <v>392</v>
      </c>
      <c r="F115" s="20">
        <v>2027</v>
      </c>
      <c r="G115" s="20">
        <v>63</v>
      </c>
      <c r="H115" s="11">
        <v>20775.926038145099</v>
      </c>
      <c r="I115" s="10">
        <v>2483401.0584869701</v>
      </c>
      <c r="J115" s="34">
        <f t="shared" si="4"/>
        <v>8.3659165591251621E-3</v>
      </c>
      <c r="K115" s="34">
        <f t="shared" si="5"/>
        <v>8.3310196618378018E-3</v>
      </c>
      <c r="L115" s="34">
        <f t="shared" si="6"/>
        <v>0.9241814703115705</v>
      </c>
      <c r="M115" s="34">
        <f t="shared" si="7"/>
        <v>0.91648209631129862</v>
      </c>
    </row>
    <row r="116" spans="1:13" ht="69">
      <c r="A116" t="s">
        <v>164</v>
      </c>
      <c r="B116" t="s">
        <v>115</v>
      </c>
      <c r="C116" s="14" t="s">
        <v>291</v>
      </c>
      <c r="D116" t="s">
        <v>375</v>
      </c>
      <c r="E116" t="s">
        <v>392</v>
      </c>
      <c r="F116" s="20">
        <v>2027</v>
      </c>
      <c r="G116" s="20">
        <v>64</v>
      </c>
      <c r="H116" s="11">
        <v>21635.814410151499</v>
      </c>
      <c r="I116" s="10">
        <v>2362618.7846284099</v>
      </c>
      <c r="J116" s="34">
        <f t="shared" si="4"/>
        <v>9.1575562468722005E-3</v>
      </c>
      <c r="K116" s="34">
        <f t="shared" si="5"/>
        <v>9.115753529561843E-3</v>
      </c>
      <c r="L116" s="34">
        <f t="shared" si="6"/>
        <v>0.91648209631129862</v>
      </c>
      <c r="M116" s="34">
        <f t="shared" si="7"/>
        <v>0.90812767140706863</v>
      </c>
    </row>
    <row r="117" spans="1:13" ht="69">
      <c r="A117" t="s">
        <v>164</v>
      </c>
      <c r="B117" t="s">
        <v>115</v>
      </c>
      <c r="C117" s="14" t="s">
        <v>291</v>
      </c>
      <c r="D117" t="s">
        <v>375</v>
      </c>
      <c r="E117" t="s">
        <v>392</v>
      </c>
      <c r="F117" s="20">
        <v>2027</v>
      </c>
      <c r="G117" s="20">
        <v>65</v>
      </c>
      <c r="H117" s="11">
        <v>21746.506869061599</v>
      </c>
      <c r="I117" s="10">
        <v>2216129.79881666</v>
      </c>
      <c r="J117" s="34">
        <f t="shared" si="4"/>
        <v>9.8128308552475202E-3</v>
      </c>
      <c r="K117" s="34">
        <f t="shared" si="5"/>
        <v>9.7648421272489294E-3</v>
      </c>
      <c r="L117" s="34">
        <f t="shared" si="6"/>
        <v>0.90812767140706863</v>
      </c>
      <c r="M117" s="34">
        <f t="shared" si="7"/>
        <v>0.89925994806439236</v>
      </c>
    </row>
    <row r="118" spans="1:13" ht="69">
      <c r="A118" t="s">
        <v>164</v>
      </c>
      <c r="B118" t="s">
        <v>115</v>
      </c>
      <c r="C118" s="14" t="s">
        <v>291</v>
      </c>
      <c r="D118" t="s">
        <v>375</v>
      </c>
      <c r="E118" t="s">
        <v>392</v>
      </c>
      <c r="F118" s="20">
        <v>2027</v>
      </c>
      <c r="G118" s="20">
        <v>66</v>
      </c>
      <c r="H118" s="11">
        <v>22516.835964588099</v>
      </c>
      <c r="I118" s="10">
        <v>2094966.1179756401</v>
      </c>
      <c r="J118" s="34">
        <f t="shared" si="4"/>
        <v>1.0748066888234953E-2</v>
      </c>
      <c r="K118" s="34">
        <f t="shared" si="5"/>
        <v>1.0690512800267449E-2</v>
      </c>
      <c r="L118" s="34">
        <f t="shared" si="6"/>
        <v>0.89925994806439236</v>
      </c>
      <c r="M118" s="34">
        <f t="shared" si="7"/>
        <v>0.88964639807884216</v>
      </c>
    </row>
    <row r="119" spans="1:13" ht="69">
      <c r="A119" t="s">
        <v>164</v>
      </c>
      <c r="B119" t="s">
        <v>115</v>
      </c>
      <c r="C119" s="14" t="s">
        <v>291</v>
      </c>
      <c r="D119" t="s">
        <v>375</v>
      </c>
      <c r="E119" t="s">
        <v>392</v>
      </c>
      <c r="F119" s="20">
        <v>2027</v>
      </c>
      <c r="G119" s="20">
        <v>67</v>
      </c>
      <c r="H119" s="11">
        <v>23217.0318523838</v>
      </c>
      <c r="I119" s="10">
        <v>1969801.12432263</v>
      </c>
      <c r="J119" s="34">
        <f t="shared" si="4"/>
        <v>1.178648522721684E-2</v>
      </c>
      <c r="K119" s="34">
        <f t="shared" si="5"/>
        <v>1.1717296706818869E-2</v>
      </c>
      <c r="L119" s="34">
        <f t="shared" si="6"/>
        <v>0.88964639807884216</v>
      </c>
      <c r="M119" s="34">
        <f t="shared" si="7"/>
        <v>0.87922214726839965</v>
      </c>
    </row>
    <row r="120" spans="1:13" ht="69">
      <c r="A120" t="s">
        <v>164</v>
      </c>
      <c r="B120" t="s">
        <v>115</v>
      </c>
      <c r="C120" s="14" t="s">
        <v>291</v>
      </c>
      <c r="D120" t="s">
        <v>375</v>
      </c>
      <c r="E120" t="s">
        <v>392</v>
      </c>
      <c r="F120" s="20">
        <v>2027</v>
      </c>
      <c r="G120" s="20">
        <v>68</v>
      </c>
      <c r="H120" s="11">
        <v>23768.158772231101</v>
      </c>
      <c r="I120" s="10">
        <v>1838758.21692611</v>
      </c>
      <c r="J120" s="34">
        <f t="shared" si="4"/>
        <v>1.2926201255521687E-2</v>
      </c>
      <c r="K120" s="34">
        <f t="shared" si="5"/>
        <v>1.2843016721831524E-2</v>
      </c>
      <c r="L120" s="34">
        <f t="shared" si="6"/>
        <v>0.87922214726839965</v>
      </c>
      <c r="M120" s="34">
        <f t="shared" si="7"/>
        <v>0.86793028252882698</v>
      </c>
    </row>
    <row r="121" spans="1:13" ht="69">
      <c r="A121" t="s">
        <v>164</v>
      </c>
      <c r="B121" t="s">
        <v>115</v>
      </c>
      <c r="C121" s="14" t="s">
        <v>291</v>
      </c>
      <c r="D121" t="s">
        <v>375</v>
      </c>
      <c r="E121" t="s">
        <v>392</v>
      </c>
      <c r="F121" s="20">
        <v>2027</v>
      </c>
      <c r="G121" s="20">
        <v>69</v>
      </c>
      <c r="H121" s="11">
        <v>24263.884700111001</v>
      </c>
      <c r="I121" s="10">
        <v>1710272.8974138701</v>
      </c>
      <c r="J121" s="34">
        <f t="shared" si="4"/>
        <v>1.418714214368993E-2</v>
      </c>
      <c r="K121" s="34">
        <f t="shared" si="5"/>
        <v>1.4086978878892098E-2</v>
      </c>
      <c r="L121" s="34">
        <f t="shared" si="6"/>
        <v>0.86793028252882698</v>
      </c>
      <c r="M121" s="34">
        <f t="shared" si="7"/>
        <v>0.85570376697049255</v>
      </c>
    </row>
    <row r="122" spans="1:13" ht="69">
      <c r="A122" t="s">
        <v>164</v>
      </c>
      <c r="B122" t="s">
        <v>115</v>
      </c>
      <c r="C122" s="14" t="s">
        <v>291</v>
      </c>
      <c r="D122" t="s">
        <v>375</v>
      </c>
      <c r="E122" t="s">
        <v>392</v>
      </c>
      <c r="F122" s="20">
        <v>2028</v>
      </c>
      <c r="G122" s="20">
        <v>30</v>
      </c>
      <c r="H122" s="11">
        <v>985.978323083036</v>
      </c>
      <c r="I122" s="10">
        <v>4420053.3447610904</v>
      </c>
      <c r="J122" s="34">
        <f t="shared" si="4"/>
        <v>2.230693265844124E-4</v>
      </c>
      <c r="K122" s="34">
        <f t="shared" si="5"/>
        <v>2.2304444847209837E-4</v>
      </c>
      <c r="L122" s="34">
        <f t="shared" si="6"/>
        <v>1</v>
      </c>
      <c r="M122" s="34">
        <f t="shared" si="7"/>
        <v>0.9997769555515279</v>
      </c>
    </row>
    <row r="123" spans="1:13" ht="69">
      <c r="A123" t="s">
        <v>164</v>
      </c>
      <c r="B123" t="s">
        <v>115</v>
      </c>
      <c r="C123" s="14" t="s">
        <v>291</v>
      </c>
      <c r="D123" t="s">
        <v>375</v>
      </c>
      <c r="E123" t="s">
        <v>392</v>
      </c>
      <c r="F123" s="20">
        <v>2028</v>
      </c>
      <c r="G123" s="20">
        <v>31</v>
      </c>
      <c r="H123" s="11">
        <v>1348.7149076941701</v>
      </c>
      <c r="I123" s="10">
        <v>4561944.7903377898</v>
      </c>
      <c r="J123" s="34">
        <f t="shared" si="4"/>
        <v>2.9564472383592882E-4</v>
      </c>
      <c r="K123" s="34">
        <f t="shared" si="5"/>
        <v>2.9560102524106568E-4</v>
      </c>
      <c r="L123" s="34">
        <f t="shared" si="6"/>
        <v>0.9997769555515279</v>
      </c>
      <c r="M123" s="34">
        <f t="shared" si="7"/>
        <v>0.99948142045845445</v>
      </c>
    </row>
    <row r="124" spans="1:13" ht="69">
      <c r="A124" t="s">
        <v>164</v>
      </c>
      <c r="B124" t="s">
        <v>115</v>
      </c>
      <c r="C124" s="14" t="s">
        <v>291</v>
      </c>
      <c r="D124" t="s">
        <v>375</v>
      </c>
      <c r="E124" t="s">
        <v>392</v>
      </c>
      <c r="F124" s="20">
        <v>2028</v>
      </c>
      <c r="G124" s="20">
        <v>32</v>
      </c>
      <c r="H124" s="11">
        <v>1397.2262964594499</v>
      </c>
      <c r="I124" s="10">
        <v>4519587.7413454596</v>
      </c>
      <c r="J124" s="34">
        <f t="shared" si="4"/>
        <v>3.0914905881293997E-4</v>
      </c>
      <c r="K124" s="34">
        <f t="shared" si="5"/>
        <v>3.0910127716665681E-4</v>
      </c>
      <c r="L124" s="34">
        <f t="shared" si="6"/>
        <v>0.99948142045845445</v>
      </c>
      <c r="M124" s="34">
        <f t="shared" si="7"/>
        <v>0.99917247947488641</v>
      </c>
    </row>
    <row r="125" spans="1:13" ht="69">
      <c r="A125" t="s">
        <v>164</v>
      </c>
      <c r="B125" t="s">
        <v>115</v>
      </c>
      <c r="C125" s="14" t="s">
        <v>291</v>
      </c>
      <c r="D125" t="s">
        <v>375</v>
      </c>
      <c r="E125" t="s">
        <v>392</v>
      </c>
      <c r="F125" s="20">
        <v>2028</v>
      </c>
      <c r="G125" s="20">
        <v>33</v>
      </c>
      <c r="H125" s="11">
        <v>1447.0897302462599</v>
      </c>
      <c r="I125" s="10">
        <v>4447041.4412464704</v>
      </c>
      <c r="J125" s="34">
        <f t="shared" si="4"/>
        <v>3.2540504723532602E-4</v>
      </c>
      <c r="K125" s="34">
        <f t="shared" si="5"/>
        <v>3.2535210875528353E-4</v>
      </c>
      <c r="L125" s="34">
        <f t="shared" si="6"/>
        <v>0.99917247947488641</v>
      </c>
      <c r="M125" s="34">
        <f t="shared" si="7"/>
        <v>0.99884739660167898</v>
      </c>
    </row>
    <row r="126" spans="1:13" ht="69">
      <c r="A126" t="s">
        <v>164</v>
      </c>
      <c r="B126" t="s">
        <v>115</v>
      </c>
      <c r="C126" s="14" t="s">
        <v>291</v>
      </c>
      <c r="D126" t="s">
        <v>375</v>
      </c>
      <c r="E126" t="s">
        <v>392</v>
      </c>
      <c r="F126" s="20">
        <v>2028</v>
      </c>
      <c r="G126" s="20">
        <v>34</v>
      </c>
      <c r="H126" s="11">
        <v>1513.1901584232601</v>
      </c>
      <c r="I126" s="10">
        <v>4390418.0850248504</v>
      </c>
      <c r="J126" s="34">
        <f t="shared" si="4"/>
        <v>3.4465741738458951E-4</v>
      </c>
      <c r="K126" s="34">
        <f t="shared" si="5"/>
        <v>3.4459802983988208E-4</v>
      </c>
      <c r="L126" s="34">
        <f t="shared" si="6"/>
        <v>0.99884739660167898</v>
      </c>
      <c r="M126" s="34">
        <f t="shared" si="7"/>
        <v>0.99850319575669932</v>
      </c>
    </row>
    <row r="127" spans="1:13" ht="69">
      <c r="A127" t="s">
        <v>164</v>
      </c>
      <c r="B127" t="s">
        <v>115</v>
      </c>
      <c r="C127" s="14" t="s">
        <v>291</v>
      </c>
      <c r="D127" t="s">
        <v>375</v>
      </c>
      <c r="E127" t="s">
        <v>392</v>
      </c>
      <c r="F127" s="20">
        <v>2028</v>
      </c>
      <c r="G127" s="20">
        <v>35</v>
      </c>
      <c r="H127" s="11">
        <v>2048.5105931859098</v>
      </c>
      <c r="I127" s="10">
        <v>4337510.1730695497</v>
      </c>
      <c r="J127" s="34">
        <f t="shared" si="4"/>
        <v>4.7227799162398942E-4</v>
      </c>
      <c r="K127" s="34">
        <f t="shared" si="5"/>
        <v>4.721664859278496E-4</v>
      </c>
      <c r="L127" s="34">
        <f t="shared" si="6"/>
        <v>0.99850319575669932</v>
      </c>
      <c r="M127" s="34">
        <f t="shared" si="7"/>
        <v>0.99803173601157114</v>
      </c>
    </row>
    <row r="128" spans="1:13" ht="69">
      <c r="A128" t="s">
        <v>164</v>
      </c>
      <c r="B128" t="s">
        <v>115</v>
      </c>
      <c r="C128" s="14" t="s">
        <v>291</v>
      </c>
      <c r="D128" t="s">
        <v>375</v>
      </c>
      <c r="E128" t="s">
        <v>392</v>
      </c>
      <c r="F128" s="20">
        <v>2028</v>
      </c>
      <c r="G128" s="20">
        <v>36</v>
      </c>
      <c r="H128" s="11">
        <v>2204.6421137232801</v>
      </c>
      <c r="I128" s="10">
        <v>4375913.27717504</v>
      </c>
      <c r="J128" s="34">
        <f t="shared" si="4"/>
        <v>5.0381302692235517E-4</v>
      </c>
      <c r="K128" s="34">
        <f t="shared" si="5"/>
        <v>5.036861344501764E-4</v>
      </c>
      <c r="L128" s="34">
        <f t="shared" si="6"/>
        <v>0.99803173601157114</v>
      </c>
      <c r="M128" s="34">
        <f t="shared" si="7"/>
        <v>0.9975290412644009</v>
      </c>
    </row>
    <row r="129" spans="1:13" ht="69">
      <c r="A129" t="s">
        <v>164</v>
      </c>
      <c r="B129" t="s">
        <v>115</v>
      </c>
      <c r="C129" s="14" t="s">
        <v>291</v>
      </c>
      <c r="D129" t="s">
        <v>375</v>
      </c>
      <c r="E129" t="s">
        <v>392</v>
      </c>
      <c r="F129" s="20">
        <v>2028</v>
      </c>
      <c r="G129" s="20">
        <v>37</v>
      </c>
      <c r="H129" s="11">
        <v>2374.82132200462</v>
      </c>
      <c r="I129" s="10">
        <v>4395145.8308094302</v>
      </c>
      <c r="J129" s="34">
        <f t="shared" si="4"/>
        <v>5.4032821968213551E-4</v>
      </c>
      <c r="K129" s="34">
        <f t="shared" si="5"/>
        <v>5.4018226867802444E-4</v>
      </c>
      <c r="L129" s="34">
        <f t="shared" si="6"/>
        <v>0.9975290412644009</v>
      </c>
      <c r="M129" s="34">
        <f t="shared" si="7"/>
        <v>0.99699019376381848</v>
      </c>
    </row>
    <row r="130" spans="1:13" ht="69">
      <c r="A130" t="s">
        <v>164</v>
      </c>
      <c r="B130" t="s">
        <v>115</v>
      </c>
      <c r="C130" s="14" t="s">
        <v>291</v>
      </c>
      <c r="D130" t="s">
        <v>375</v>
      </c>
      <c r="E130" t="s">
        <v>392</v>
      </c>
      <c r="F130" s="20">
        <v>2028</v>
      </c>
      <c r="G130" s="20">
        <v>38</v>
      </c>
      <c r="H130" s="11">
        <v>3605.1383745687999</v>
      </c>
      <c r="I130" s="10">
        <v>6472803.5944279898</v>
      </c>
      <c r="J130" s="34">
        <f t="shared" ref="J130:J193" si="8">IF(I130&gt;0,H130/I130,0)</f>
        <v>5.5696705793332373E-4</v>
      </c>
      <c r="K130" s="34">
        <f t="shared" ref="K130:K193" si="9">1-EXP(-J130)</f>
        <v>5.5681198057389025E-4</v>
      </c>
      <c r="L130" s="34">
        <f t="shared" ref="L130:L193" si="10">IF(G130=30,1,M129)</f>
        <v>0.99699019376381848</v>
      </c>
      <c r="M130" s="34">
        <f t="shared" ref="M130:M193" si="11">L130*(1-K130)</f>
        <v>0.99643505767941609</v>
      </c>
    </row>
    <row r="131" spans="1:13" ht="69">
      <c r="A131" t="s">
        <v>164</v>
      </c>
      <c r="B131" t="s">
        <v>115</v>
      </c>
      <c r="C131" s="14" t="s">
        <v>291</v>
      </c>
      <c r="D131" t="s">
        <v>375</v>
      </c>
      <c r="E131" t="s">
        <v>392</v>
      </c>
      <c r="F131" s="20">
        <v>2028</v>
      </c>
      <c r="G131" s="20">
        <v>39</v>
      </c>
      <c r="H131" s="11">
        <v>2718.7718305794801</v>
      </c>
      <c r="I131" s="10">
        <v>4356169.4269281803</v>
      </c>
      <c r="J131" s="34">
        <f t="shared" si="8"/>
        <v>6.2411985488283999E-4</v>
      </c>
      <c r="K131" s="34">
        <f t="shared" si="9"/>
        <v>6.2392513259834637E-4</v>
      </c>
      <c r="L131" s="34">
        <f t="shared" si="10"/>
        <v>0.99643505767941609</v>
      </c>
      <c r="M131" s="34">
        <f t="shared" si="11"/>
        <v>0.9958133568039278</v>
      </c>
    </row>
    <row r="132" spans="1:13" ht="69">
      <c r="A132" t="s">
        <v>164</v>
      </c>
      <c r="B132" t="s">
        <v>115</v>
      </c>
      <c r="C132" s="14" t="s">
        <v>291</v>
      </c>
      <c r="D132" t="s">
        <v>375</v>
      </c>
      <c r="E132" t="s">
        <v>392</v>
      </c>
      <c r="F132" s="20">
        <v>2028</v>
      </c>
      <c r="G132" s="20">
        <v>40</v>
      </c>
      <c r="H132" s="11">
        <v>3649.7723808079099</v>
      </c>
      <c r="I132" s="10">
        <v>4340883.3825268699</v>
      </c>
      <c r="J132" s="34">
        <f t="shared" si="8"/>
        <v>8.4079023995418706E-4</v>
      </c>
      <c r="K132" s="34">
        <f t="shared" si="9"/>
        <v>8.4043687488266627E-4</v>
      </c>
      <c r="L132" s="34">
        <f t="shared" si="10"/>
        <v>0.9958133568039278</v>
      </c>
      <c r="M132" s="34">
        <f t="shared" si="11"/>
        <v>0.99497643853836903</v>
      </c>
    </row>
    <row r="133" spans="1:13" ht="69">
      <c r="A133" t="s">
        <v>164</v>
      </c>
      <c r="B133" t="s">
        <v>115</v>
      </c>
      <c r="C133" s="14" t="s">
        <v>291</v>
      </c>
      <c r="D133" t="s">
        <v>375</v>
      </c>
      <c r="E133" t="s">
        <v>392</v>
      </c>
      <c r="F133" s="20">
        <v>2028</v>
      </c>
      <c r="G133" s="20">
        <v>41</v>
      </c>
      <c r="H133" s="11">
        <v>3817.3093771614299</v>
      </c>
      <c r="I133" s="10">
        <v>4208739.8531989399</v>
      </c>
      <c r="J133" s="34">
        <f t="shared" si="8"/>
        <v>9.0699580166733393E-4</v>
      </c>
      <c r="K133" s="34">
        <f t="shared" si="9"/>
        <v>9.0658460530235185E-4</v>
      </c>
      <c r="L133" s="34">
        <f t="shared" si="10"/>
        <v>0.99497643853836903</v>
      </c>
      <c r="M133" s="34">
        <f t="shared" si="11"/>
        <v>0.99407440821655157</v>
      </c>
    </row>
    <row r="134" spans="1:13" ht="69">
      <c r="A134" t="s">
        <v>164</v>
      </c>
      <c r="B134" t="s">
        <v>115</v>
      </c>
      <c r="C134" s="14" t="s">
        <v>291</v>
      </c>
      <c r="D134" t="s">
        <v>375</v>
      </c>
      <c r="E134" t="s">
        <v>392</v>
      </c>
      <c r="F134" s="20">
        <v>2028</v>
      </c>
      <c r="G134" s="20">
        <v>42</v>
      </c>
      <c r="H134" s="11">
        <v>4105.9559120920003</v>
      </c>
      <c r="I134" s="10">
        <v>4175676.3626035401</v>
      </c>
      <c r="J134" s="34">
        <f t="shared" si="8"/>
        <v>9.8330319582812004E-4</v>
      </c>
      <c r="K134" s="34">
        <f t="shared" si="9"/>
        <v>9.828199116586056E-4</v>
      </c>
      <c r="L134" s="34">
        <f t="shared" si="10"/>
        <v>0.99407440821655157</v>
      </c>
      <c r="M134" s="34">
        <f t="shared" si="11"/>
        <v>0.9930974120944861</v>
      </c>
    </row>
    <row r="135" spans="1:13" ht="69">
      <c r="A135" t="s">
        <v>164</v>
      </c>
      <c r="B135" t="s">
        <v>115</v>
      </c>
      <c r="C135" s="14" t="s">
        <v>291</v>
      </c>
      <c r="D135" t="s">
        <v>375</v>
      </c>
      <c r="E135" t="s">
        <v>392</v>
      </c>
      <c r="F135" s="20">
        <v>2028</v>
      </c>
      <c r="G135" s="20">
        <v>43</v>
      </c>
      <c r="H135" s="11">
        <v>4533.0428753338201</v>
      </c>
      <c r="I135" s="10">
        <v>4236936.7894879496</v>
      </c>
      <c r="J135" s="34">
        <f t="shared" si="8"/>
        <v>1.0698868311135828E-3</v>
      </c>
      <c r="K135" s="34">
        <f t="shared" si="9"/>
        <v>1.0693147062523778E-3</v>
      </c>
      <c r="L135" s="34">
        <f t="shared" si="10"/>
        <v>0.9930974120944861</v>
      </c>
      <c r="M135" s="34">
        <f t="shared" si="11"/>
        <v>0.99203547842699225</v>
      </c>
    </row>
    <row r="136" spans="1:13" ht="69">
      <c r="A136" t="s">
        <v>164</v>
      </c>
      <c r="B136" t="s">
        <v>115</v>
      </c>
      <c r="C136" s="14" t="s">
        <v>291</v>
      </c>
      <c r="D136" t="s">
        <v>375</v>
      </c>
      <c r="E136" t="s">
        <v>392</v>
      </c>
      <c r="F136" s="20">
        <v>2028</v>
      </c>
      <c r="G136" s="20">
        <v>44</v>
      </c>
      <c r="H136" s="11">
        <v>5045.7520223501097</v>
      </c>
      <c r="I136" s="10">
        <v>4323726.0307930801</v>
      </c>
      <c r="J136" s="34">
        <f t="shared" si="8"/>
        <v>1.1669916147357263E-3</v>
      </c>
      <c r="K136" s="34">
        <f t="shared" si="9"/>
        <v>1.1663109448257769E-3</v>
      </c>
      <c r="L136" s="34">
        <f t="shared" si="10"/>
        <v>0.99203547842699225</v>
      </c>
      <c r="M136" s="34">
        <f t="shared" si="11"/>
        <v>0.99087845659084739</v>
      </c>
    </row>
    <row r="137" spans="1:13" ht="69">
      <c r="A137" t="s">
        <v>164</v>
      </c>
      <c r="B137" t="s">
        <v>115</v>
      </c>
      <c r="C137" s="14" t="s">
        <v>291</v>
      </c>
      <c r="D137" t="s">
        <v>375</v>
      </c>
      <c r="E137" t="s">
        <v>392</v>
      </c>
      <c r="F137" s="20">
        <v>2028</v>
      </c>
      <c r="G137" s="20">
        <v>45</v>
      </c>
      <c r="H137" s="11">
        <v>6497.1129522107803</v>
      </c>
      <c r="I137" s="10">
        <v>4301182.07855481</v>
      </c>
      <c r="J137" s="34">
        <f t="shared" si="8"/>
        <v>1.5105412497193793E-3</v>
      </c>
      <c r="K137" s="34">
        <f t="shared" si="9"/>
        <v>1.5094009565114197E-3</v>
      </c>
      <c r="L137" s="34">
        <f t="shared" si="10"/>
        <v>0.99087845659084739</v>
      </c>
      <c r="M137" s="34">
        <f t="shared" si="11"/>
        <v>0.98938282370068265</v>
      </c>
    </row>
    <row r="138" spans="1:13" ht="69">
      <c r="A138" t="s">
        <v>164</v>
      </c>
      <c r="B138" t="s">
        <v>115</v>
      </c>
      <c r="C138" s="14" t="s">
        <v>291</v>
      </c>
      <c r="D138" t="s">
        <v>375</v>
      </c>
      <c r="E138" t="s">
        <v>392</v>
      </c>
      <c r="F138" s="20">
        <v>2028</v>
      </c>
      <c r="G138" s="20">
        <v>46</v>
      </c>
      <c r="H138" s="11">
        <v>6881.6453311180403</v>
      </c>
      <c r="I138" s="10">
        <v>4164598.2524949601</v>
      </c>
      <c r="J138" s="34">
        <f t="shared" si="8"/>
        <v>1.6524151704177782E-3</v>
      </c>
      <c r="K138" s="34">
        <f t="shared" si="9"/>
        <v>1.6510506841395101E-3</v>
      </c>
      <c r="L138" s="34">
        <f t="shared" si="10"/>
        <v>0.98938282370068265</v>
      </c>
      <c r="M138" s="34">
        <f t="shared" si="11"/>
        <v>0.98774930251273574</v>
      </c>
    </row>
    <row r="139" spans="1:13" ht="69">
      <c r="A139" t="s">
        <v>164</v>
      </c>
      <c r="B139" t="s">
        <v>115</v>
      </c>
      <c r="C139" s="14" t="s">
        <v>291</v>
      </c>
      <c r="D139" t="s">
        <v>375</v>
      </c>
      <c r="E139" t="s">
        <v>392</v>
      </c>
      <c r="F139" s="20">
        <v>2028</v>
      </c>
      <c r="G139" s="20">
        <v>47</v>
      </c>
      <c r="H139" s="11">
        <v>7409.4842777168396</v>
      </c>
      <c r="I139" s="10">
        <v>4091792.2189348098</v>
      </c>
      <c r="J139" s="34">
        <f t="shared" si="8"/>
        <v>1.8108163565660486E-3</v>
      </c>
      <c r="K139" s="34">
        <f t="shared" si="9"/>
        <v>1.8091778178076501E-3</v>
      </c>
      <c r="L139" s="34">
        <f t="shared" si="10"/>
        <v>0.98774930251273574</v>
      </c>
      <c r="M139" s="34">
        <f t="shared" si="11"/>
        <v>0.98596228838507471</v>
      </c>
    </row>
    <row r="140" spans="1:13" ht="69">
      <c r="A140" t="s">
        <v>164</v>
      </c>
      <c r="B140" t="s">
        <v>115</v>
      </c>
      <c r="C140" s="14" t="s">
        <v>291</v>
      </c>
      <c r="D140" t="s">
        <v>375</v>
      </c>
      <c r="E140" t="s">
        <v>392</v>
      </c>
      <c r="F140" s="20">
        <v>2028</v>
      </c>
      <c r="G140" s="20">
        <v>48</v>
      </c>
      <c r="H140" s="11">
        <v>8003.0372651460302</v>
      </c>
      <c r="I140" s="10">
        <v>4034985.3819724298</v>
      </c>
      <c r="J140" s="34">
        <f t="shared" si="8"/>
        <v>1.9834117121965604E-3</v>
      </c>
      <c r="K140" s="34">
        <f t="shared" si="9"/>
        <v>1.9814460509731679E-3</v>
      </c>
      <c r="L140" s="34">
        <f t="shared" si="10"/>
        <v>0.98596228838507471</v>
      </c>
      <c r="M140" s="34">
        <f t="shared" si="11"/>
        <v>0.98400865730234566</v>
      </c>
    </row>
    <row r="141" spans="1:13" ht="69">
      <c r="A141" t="s">
        <v>164</v>
      </c>
      <c r="B141" t="s">
        <v>115</v>
      </c>
      <c r="C141" s="14" t="s">
        <v>291</v>
      </c>
      <c r="D141" t="s">
        <v>375</v>
      </c>
      <c r="E141" t="s">
        <v>392</v>
      </c>
      <c r="F141" s="20">
        <v>2028</v>
      </c>
      <c r="G141" s="20">
        <v>49</v>
      </c>
      <c r="H141" s="11">
        <v>8617.1986526566507</v>
      </c>
      <c r="I141" s="10">
        <v>3972751.8576702802</v>
      </c>
      <c r="J141" s="34">
        <f t="shared" si="8"/>
        <v>2.1690754825321483E-3</v>
      </c>
      <c r="K141" s="34">
        <f t="shared" si="9"/>
        <v>2.1667247382620713E-3</v>
      </c>
      <c r="L141" s="34">
        <f t="shared" si="10"/>
        <v>0.98400865730234566</v>
      </c>
      <c r="M141" s="34">
        <f t="shared" si="11"/>
        <v>0.98187658140190459</v>
      </c>
    </row>
    <row r="142" spans="1:13" ht="69">
      <c r="A142" t="s">
        <v>164</v>
      </c>
      <c r="B142" t="s">
        <v>115</v>
      </c>
      <c r="C142" s="14" t="s">
        <v>291</v>
      </c>
      <c r="D142" t="s">
        <v>375</v>
      </c>
      <c r="E142" t="s">
        <v>392</v>
      </c>
      <c r="F142" s="20">
        <v>2028</v>
      </c>
      <c r="G142" s="20">
        <v>50</v>
      </c>
      <c r="H142" s="11">
        <v>9847.8372527807405</v>
      </c>
      <c r="I142" s="10">
        <v>3890991.2922345898</v>
      </c>
      <c r="J142" s="34">
        <f t="shared" si="8"/>
        <v>2.5309327400537935E-3</v>
      </c>
      <c r="K142" s="34">
        <f t="shared" si="9"/>
        <v>2.52773263011008E-3</v>
      </c>
      <c r="L142" s="34">
        <f t="shared" si="10"/>
        <v>0.98187658140190459</v>
      </c>
      <c r="M142" s="34">
        <f t="shared" si="11"/>
        <v>0.97939465992835406</v>
      </c>
    </row>
    <row r="143" spans="1:13" ht="69">
      <c r="A143" t="s">
        <v>164</v>
      </c>
      <c r="B143" t="s">
        <v>115</v>
      </c>
      <c r="C143" s="14" t="s">
        <v>291</v>
      </c>
      <c r="D143" t="s">
        <v>375</v>
      </c>
      <c r="E143" t="s">
        <v>392</v>
      </c>
      <c r="F143" s="20">
        <v>2028</v>
      </c>
      <c r="G143" s="20">
        <v>51</v>
      </c>
      <c r="H143" s="11">
        <v>10566.9843695238</v>
      </c>
      <c r="I143" s="10">
        <v>3825625.7121967301</v>
      </c>
      <c r="J143" s="34">
        <f t="shared" si="8"/>
        <v>2.7621584453059529E-3</v>
      </c>
      <c r="K143" s="34">
        <f t="shared" si="9"/>
        <v>2.7583471955668903E-3</v>
      </c>
      <c r="L143" s="34">
        <f t="shared" si="10"/>
        <v>0.97939465992835406</v>
      </c>
      <c r="M143" s="34">
        <f t="shared" si="11"/>
        <v>0.97669314941478746</v>
      </c>
    </row>
    <row r="144" spans="1:13" ht="69">
      <c r="A144" t="s">
        <v>164</v>
      </c>
      <c r="B144" t="s">
        <v>115</v>
      </c>
      <c r="C144" s="14" t="s">
        <v>291</v>
      </c>
      <c r="D144" t="s">
        <v>375</v>
      </c>
      <c r="E144" t="s">
        <v>392</v>
      </c>
      <c r="F144" s="20">
        <v>2028</v>
      </c>
      <c r="G144" s="20">
        <v>52</v>
      </c>
      <c r="H144" s="11">
        <v>11308.4561756819</v>
      </c>
      <c r="I144" s="10">
        <v>3749174.9662783002</v>
      </c>
      <c r="J144" s="34">
        <f t="shared" si="8"/>
        <v>3.0162519160602109E-3</v>
      </c>
      <c r="K144" s="34">
        <f t="shared" si="9"/>
        <v>3.0117075983334685E-3</v>
      </c>
      <c r="L144" s="34">
        <f t="shared" si="10"/>
        <v>0.97669314941478746</v>
      </c>
      <c r="M144" s="34">
        <f t="shared" si="11"/>
        <v>0.97375163523545472</v>
      </c>
    </row>
    <row r="145" spans="1:13" ht="69">
      <c r="A145" t="s">
        <v>164</v>
      </c>
      <c r="B145" t="s">
        <v>115</v>
      </c>
      <c r="C145" s="14" t="s">
        <v>291</v>
      </c>
      <c r="D145" t="s">
        <v>375</v>
      </c>
      <c r="E145" t="s">
        <v>392</v>
      </c>
      <c r="F145" s="20">
        <v>2028</v>
      </c>
      <c r="G145" s="20">
        <v>53</v>
      </c>
      <c r="H145" s="11">
        <v>12094.5963763824</v>
      </c>
      <c r="I145" s="10">
        <v>3672046.67426915</v>
      </c>
      <c r="J145" s="34">
        <f t="shared" si="8"/>
        <v>3.2936935309488126E-3</v>
      </c>
      <c r="K145" s="34">
        <f t="shared" si="9"/>
        <v>3.2882752727373399E-3</v>
      </c>
      <c r="L145" s="34">
        <f t="shared" si="10"/>
        <v>0.97375163523545472</v>
      </c>
      <c r="M145" s="34">
        <f t="shared" si="11"/>
        <v>0.97054967181152241</v>
      </c>
    </row>
    <row r="146" spans="1:13" ht="69">
      <c r="A146" t="s">
        <v>164</v>
      </c>
      <c r="B146" t="s">
        <v>115</v>
      </c>
      <c r="C146" s="14" t="s">
        <v>291</v>
      </c>
      <c r="D146" t="s">
        <v>375</v>
      </c>
      <c r="E146" t="s">
        <v>392</v>
      </c>
      <c r="F146" s="20">
        <v>2028</v>
      </c>
      <c r="G146" s="20">
        <v>54</v>
      </c>
      <c r="H146" s="11">
        <v>12826.3561726485</v>
      </c>
      <c r="I146" s="10">
        <v>3567285.06378975</v>
      </c>
      <c r="J146" s="34">
        <f t="shared" si="8"/>
        <v>3.5955512226494902E-3</v>
      </c>
      <c r="K146" s="34">
        <f t="shared" si="9"/>
        <v>3.5890949686008256E-3</v>
      </c>
      <c r="L146" s="34">
        <f t="shared" si="10"/>
        <v>0.97054967181152241</v>
      </c>
      <c r="M146" s="34">
        <f t="shared" si="11"/>
        <v>0.96706627686764646</v>
      </c>
    </row>
    <row r="147" spans="1:13" ht="69">
      <c r="A147" t="s">
        <v>164</v>
      </c>
      <c r="B147" t="s">
        <v>115</v>
      </c>
      <c r="C147" s="14" t="s">
        <v>291</v>
      </c>
      <c r="D147" t="s">
        <v>375</v>
      </c>
      <c r="E147" t="s">
        <v>392</v>
      </c>
      <c r="F147" s="20">
        <v>2028</v>
      </c>
      <c r="G147" s="20">
        <v>55</v>
      </c>
      <c r="H147" s="11">
        <v>14025.664735127601</v>
      </c>
      <c r="I147" s="10">
        <v>3523088.7338225399</v>
      </c>
      <c r="J147" s="34">
        <f t="shared" si="8"/>
        <v>3.9810705306618259E-3</v>
      </c>
      <c r="K147" s="34">
        <f t="shared" si="9"/>
        <v>3.9731565748652997E-3</v>
      </c>
      <c r="L147" s="34">
        <f t="shared" si="10"/>
        <v>0.96706627686764646</v>
      </c>
      <c r="M147" s="34">
        <f t="shared" si="11"/>
        <v>0.96322397113137925</v>
      </c>
    </row>
    <row r="148" spans="1:13" ht="69">
      <c r="A148" t="s">
        <v>164</v>
      </c>
      <c r="B148" t="s">
        <v>115</v>
      </c>
      <c r="C148" s="14" t="s">
        <v>291</v>
      </c>
      <c r="D148" t="s">
        <v>375</v>
      </c>
      <c r="E148" t="s">
        <v>392</v>
      </c>
      <c r="F148" s="20">
        <v>2028</v>
      </c>
      <c r="G148" s="20">
        <v>56</v>
      </c>
      <c r="H148" s="11">
        <v>14407.935060210801</v>
      </c>
      <c r="I148" s="10">
        <v>3313705.10748696</v>
      </c>
      <c r="J148" s="34">
        <f t="shared" si="8"/>
        <v>4.3479834785713498E-3</v>
      </c>
      <c r="K148" s="34">
        <f t="shared" si="9"/>
        <v>4.3385446832703289E-3</v>
      </c>
      <c r="L148" s="34">
        <f t="shared" si="10"/>
        <v>0.96322397113137925</v>
      </c>
      <c r="M148" s="34">
        <f t="shared" si="11"/>
        <v>0.95904498089262868</v>
      </c>
    </row>
    <row r="149" spans="1:13" ht="69">
      <c r="A149" t="s">
        <v>164</v>
      </c>
      <c r="B149" t="s">
        <v>115</v>
      </c>
      <c r="C149" s="14" t="s">
        <v>291</v>
      </c>
      <c r="D149" t="s">
        <v>375</v>
      </c>
      <c r="E149" t="s">
        <v>392</v>
      </c>
      <c r="F149" s="20">
        <v>2028</v>
      </c>
      <c r="G149" s="20">
        <v>57</v>
      </c>
      <c r="H149" s="11">
        <v>15334.726059720901</v>
      </c>
      <c r="I149" s="10">
        <v>3226959.29352951</v>
      </c>
      <c r="J149" s="34">
        <f t="shared" si="8"/>
        <v>4.7520667801633264E-3</v>
      </c>
      <c r="K149" s="34">
        <f t="shared" si="9"/>
        <v>4.7407935748990937E-3</v>
      </c>
      <c r="L149" s="34">
        <f t="shared" si="10"/>
        <v>0.95904498089262868</v>
      </c>
      <c r="M149" s="34">
        <f t="shared" si="11"/>
        <v>0.95449834660917365</v>
      </c>
    </row>
    <row r="150" spans="1:13" ht="69">
      <c r="A150" t="s">
        <v>164</v>
      </c>
      <c r="B150" t="s">
        <v>115</v>
      </c>
      <c r="C150" s="14" t="s">
        <v>291</v>
      </c>
      <c r="D150" t="s">
        <v>375</v>
      </c>
      <c r="E150" t="s">
        <v>392</v>
      </c>
      <c r="F150" s="20">
        <v>2028</v>
      </c>
      <c r="G150" s="20">
        <v>58</v>
      </c>
      <c r="H150" s="11">
        <v>16336.2564397154</v>
      </c>
      <c r="I150" s="10">
        <v>3144669.3563381201</v>
      </c>
      <c r="J150" s="34">
        <f t="shared" si="8"/>
        <v>5.1949043249298922E-3</v>
      </c>
      <c r="K150" s="34">
        <f t="shared" si="9"/>
        <v>5.181434144983621E-3</v>
      </c>
      <c r="L150" s="34">
        <f t="shared" si="10"/>
        <v>0.95449834660917365</v>
      </c>
      <c r="M150" s="34">
        <f t="shared" si="11"/>
        <v>0.94955267628472251</v>
      </c>
    </row>
    <row r="151" spans="1:13" ht="69">
      <c r="A151" t="s">
        <v>164</v>
      </c>
      <c r="B151" t="s">
        <v>115</v>
      </c>
      <c r="C151" s="14" t="s">
        <v>291</v>
      </c>
      <c r="D151" t="s">
        <v>375</v>
      </c>
      <c r="E151" t="s">
        <v>392</v>
      </c>
      <c r="F151" s="20">
        <v>2028</v>
      </c>
      <c r="G151" s="20">
        <v>59</v>
      </c>
      <c r="H151" s="11">
        <v>17333.078724958199</v>
      </c>
      <c r="I151" s="10">
        <v>3053108.5826986898</v>
      </c>
      <c r="J151" s="34">
        <f t="shared" si="8"/>
        <v>5.6771903964310446E-3</v>
      </c>
      <c r="K151" s="34">
        <f t="shared" si="9"/>
        <v>5.6611056042367158E-3</v>
      </c>
      <c r="L151" s="34">
        <f t="shared" si="10"/>
        <v>0.94955267628472251</v>
      </c>
      <c r="M151" s="34">
        <f t="shared" si="11"/>
        <v>0.94417715830748905</v>
      </c>
    </row>
    <row r="152" spans="1:13" ht="69">
      <c r="A152" t="s">
        <v>164</v>
      </c>
      <c r="B152" t="s">
        <v>115</v>
      </c>
      <c r="C152" s="14" t="s">
        <v>291</v>
      </c>
      <c r="D152" t="s">
        <v>375</v>
      </c>
      <c r="E152" t="s">
        <v>392</v>
      </c>
      <c r="F152" s="20">
        <v>2028</v>
      </c>
      <c r="G152" s="20">
        <v>60</v>
      </c>
      <c r="H152" s="11">
        <v>18671.035999768199</v>
      </c>
      <c r="I152" s="10">
        <v>2941689.6816484099</v>
      </c>
      <c r="J152" s="34">
        <f t="shared" si="8"/>
        <v>6.3470447329120275E-3</v>
      </c>
      <c r="K152" s="34">
        <f t="shared" si="9"/>
        <v>6.3269447920486499E-3</v>
      </c>
      <c r="L152" s="34">
        <f t="shared" si="10"/>
        <v>0.94417715830748905</v>
      </c>
      <c r="M152" s="34">
        <f t="shared" si="11"/>
        <v>0.93820340155296422</v>
      </c>
    </row>
    <row r="153" spans="1:13" ht="69">
      <c r="A153" t="s">
        <v>164</v>
      </c>
      <c r="B153" t="s">
        <v>115</v>
      </c>
      <c r="C153" s="14" t="s">
        <v>291</v>
      </c>
      <c r="D153" t="s">
        <v>375</v>
      </c>
      <c r="E153" t="s">
        <v>392</v>
      </c>
      <c r="F153" s="20">
        <v>2028</v>
      </c>
      <c r="G153" s="20">
        <v>61</v>
      </c>
      <c r="H153" s="11">
        <v>19419.466169619802</v>
      </c>
      <c r="I153" s="10">
        <v>2798376.1477635899</v>
      </c>
      <c r="J153" s="34">
        <f t="shared" si="8"/>
        <v>6.9395482037464757E-3</v>
      </c>
      <c r="K153" s="34">
        <f t="shared" si="9"/>
        <v>6.915525140965384E-3</v>
      </c>
      <c r="L153" s="34">
        <f t="shared" si="10"/>
        <v>0.93820340155296422</v>
      </c>
      <c r="M153" s="34">
        <f t="shared" si="11"/>
        <v>0.93171523234218545</v>
      </c>
    </row>
    <row r="154" spans="1:13" ht="69">
      <c r="A154" t="s">
        <v>164</v>
      </c>
      <c r="B154" t="s">
        <v>115</v>
      </c>
      <c r="C154" s="14" t="s">
        <v>291</v>
      </c>
      <c r="D154" t="s">
        <v>375</v>
      </c>
      <c r="E154" t="s">
        <v>392</v>
      </c>
      <c r="F154" s="20">
        <v>2028</v>
      </c>
      <c r="G154" s="20">
        <v>62</v>
      </c>
      <c r="H154" s="11">
        <v>20445.648645777201</v>
      </c>
      <c r="I154" s="10">
        <v>2692239.0550212199</v>
      </c>
      <c r="J154" s="34">
        <f t="shared" si="8"/>
        <v>7.5942916761587691E-3</v>
      </c>
      <c r="K154" s="34">
        <f t="shared" si="9"/>
        <v>7.5655279026798361E-3</v>
      </c>
      <c r="L154" s="34">
        <f t="shared" si="10"/>
        <v>0.93171523234218545</v>
      </c>
      <c r="M154" s="34">
        <f t="shared" si="11"/>
        <v>0.92466631475454886</v>
      </c>
    </row>
    <row r="155" spans="1:13" ht="69">
      <c r="A155" t="s">
        <v>164</v>
      </c>
      <c r="B155" t="s">
        <v>115</v>
      </c>
      <c r="C155" s="14" t="s">
        <v>291</v>
      </c>
      <c r="D155" t="s">
        <v>375</v>
      </c>
      <c r="E155" t="s">
        <v>392</v>
      </c>
      <c r="F155" s="20">
        <v>2028</v>
      </c>
      <c r="G155" s="20">
        <v>63</v>
      </c>
      <c r="H155" s="11">
        <v>21317.703881791</v>
      </c>
      <c r="I155" s="10">
        <v>2564417.11071843</v>
      </c>
      <c r="J155" s="34">
        <f t="shared" si="8"/>
        <v>8.3128847458901773E-3</v>
      </c>
      <c r="K155" s="34">
        <f t="shared" si="9"/>
        <v>8.2784282631852557E-3</v>
      </c>
      <c r="L155" s="34">
        <f t="shared" si="10"/>
        <v>0.92466631475454886</v>
      </c>
      <c r="M155" s="34">
        <f t="shared" si="11"/>
        <v>0.91701153100046939</v>
      </c>
    </row>
    <row r="156" spans="1:13" ht="69">
      <c r="A156" t="s">
        <v>164</v>
      </c>
      <c r="B156" t="s">
        <v>115</v>
      </c>
      <c r="C156" s="14" t="s">
        <v>291</v>
      </c>
      <c r="D156" t="s">
        <v>375</v>
      </c>
      <c r="E156" t="s">
        <v>392</v>
      </c>
      <c r="F156" s="20">
        <v>2028</v>
      </c>
      <c r="G156" s="20">
        <v>64</v>
      </c>
      <c r="H156" s="11">
        <v>22176.5794983413</v>
      </c>
      <c r="I156" s="10">
        <v>2436818.9804982799</v>
      </c>
      <c r="J156" s="34">
        <f t="shared" si="8"/>
        <v>9.1006265446137661E-3</v>
      </c>
      <c r="K156" s="34">
        <f t="shared" si="9"/>
        <v>9.0593411786837885E-3</v>
      </c>
      <c r="L156" s="34">
        <f t="shared" si="10"/>
        <v>0.91701153100046939</v>
      </c>
      <c r="M156" s="34">
        <f t="shared" si="11"/>
        <v>0.90870401067634898</v>
      </c>
    </row>
    <row r="157" spans="1:13" ht="69">
      <c r="A157" t="s">
        <v>164</v>
      </c>
      <c r="B157" t="s">
        <v>115</v>
      </c>
      <c r="C157" s="14" t="s">
        <v>291</v>
      </c>
      <c r="D157" t="s">
        <v>375</v>
      </c>
      <c r="E157" t="s">
        <v>392</v>
      </c>
      <c r="F157" s="20">
        <v>2028</v>
      </c>
      <c r="G157" s="20">
        <v>65</v>
      </c>
      <c r="H157" s="11">
        <v>22455.503644967699</v>
      </c>
      <c r="I157" s="10">
        <v>2314122.0200459999</v>
      </c>
      <c r="J157" s="34">
        <f t="shared" si="8"/>
        <v>9.7036817637305619E-3</v>
      </c>
      <c r="K157" s="34">
        <f t="shared" si="9"/>
        <v>9.6567529605691149E-3</v>
      </c>
      <c r="L157" s="34">
        <f t="shared" si="10"/>
        <v>0.90870401067634898</v>
      </c>
      <c r="M157" s="34">
        <f t="shared" si="11"/>
        <v>0.89992888053096909</v>
      </c>
    </row>
    <row r="158" spans="1:13" ht="69">
      <c r="A158" t="s">
        <v>164</v>
      </c>
      <c r="B158" t="s">
        <v>115</v>
      </c>
      <c r="C158" s="14" t="s">
        <v>291</v>
      </c>
      <c r="D158" t="s">
        <v>375</v>
      </c>
      <c r="E158" t="s">
        <v>392</v>
      </c>
      <c r="F158" s="20">
        <v>2028</v>
      </c>
      <c r="G158" s="20">
        <v>66</v>
      </c>
      <c r="H158" s="11">
        <v>23106.282152421099</v>
      </c>
      <c r="I158" s="10">
        <v>2166283.47906056</v>
      </c>
      <c r="J158" s="34">
        <f t="shared" si="8"/>
        <v>1.0666324318016528E-2</v>
      </c>
      <c r="K158" s="34">
        <f t="shared" si="9"/>
        <v>1.0609640794744468E-2</v>
      </c>
      <c r="L158" s="34">
        <f t="shared" si="10"/>
        <v>0.89992888053096909</v>
      </c>
      <c r="M158" s="34">
        <f t="shared" si="11"/>
        <v>0.89038095836771902</v>
      </c>
    </row>
    <row r="159" spans="1:13" ht="69">
      <c r="A159" t="s">
        <v>164</v>
      </c>
      <c r="B159" t="s">
        <v>115</v>
      </c>
      <c r="C159" s="14" t="s">
        <v>291</v>
      </c>
      <c r="D159" t="s">
        <v>375</v>
      </c>
      <c r="E159" t="s">
        <v>392</v>
      </c>
      <c r="F159" s="20">
        <v>2028</v>
      </c>
      <c r="G159" s="20">
        <v>67</v>
      </c>
      <c r="H159" s="11">
        <v>23902.864605936898</v>
      </c>
      <c r="I159" s="10">
        <v>2043197.5265834201</v>
      </c>
      <c r="J159" s="34">
        <f t="shared" si="8"/>
        <v>1.1698753691184536E-2</v>
      </c>
      <c r="K159" s="34">
        <f t="shared" si="9"/>
        <v>1.163058934379535E-2</v>
      </c>
      <c r="L159" s="34">
        <f t="shared" si="10"/>
        <v>0.89038095836771902</v>
      </c>
      <c r="M159" s="34">
        <f t="shared" si="11"/>
        <v>0.88002530308140914</v>
      </c>
    </row>
    <row r="160" spans="1:13" ht="69">
      <c r="A160" t="s">
        <v>164</v>
      </c>
      <c r="B160" t="s">
        <v>115</v>
      </c>
      <c r="C160" s="14" t="s">
        <v>291</v>
      </c>
      <c r="D160" t="s">
        <v>375</v>
      </c>
      <c r="E160" t="s">
        <v>392</v>
      </c>
      <c r="F160" s="20">
        <v>2028</v>
      </c>
      <c r="G160" s="20">
        <v>68</v>
      </c>
      <c r="H160" s="11">
        <v>24601.164451761699</v>
      </c>
      <c r="I160" s="10">
        <v>1916468.93966703</v>
      </c>
      <c r="J160" s="34">
        <f t="shared" si="8"/>
        <v>1.2836714408758401E-2</v>
      </c>
      <c r="K160" s="34">
        <f t="shared" si="9"/>
        <v>1.2754675203494603E-2</v>
      </c>
      <c r="L160" s="34">
        <f t="shared" si="10"/>
        <v>0.88002530308140914</v>
      </c>
      <c r="M160" s="34">
        <f t="shared" si="11"/>
        <v>0.86880086616974883</v>
      </c>
    </row>
    <row r="161" spans="1:13" ht="69">
      <c r="A161" t="s">
        <v>164</v>
      </c>
      <c r="B161" t="s">
        <v>115</v>
      </c>
      <c r="C161" s="14" t="s">
        <v>291</v>
      </c>
      <c r="D161" t="s">
        <v>375</v>
      </c>
      <c r="E161" t="s">
        <v>392</v>
      </c>
      <c r="F161" s="20">
        <v>2028</v>
      </c>
      <c r="G161" s="20">
        <v>69</v>
      </c>
      <c r="H161" s="11">
        <v>25137.716873966099</v>
      </c>
      <c r="I161" s="10">
        <v>1784198.2816085899</v>
      </c>
      <c r="J161" s="34">
        <f t="shared" si="8"/>
        <v>1.4089082549335573E-2</v>
      </c>
      <c r="K161" s="34">
        <f t="shared" si="9"/>
        <v>1.3990295907703287E-2</v>
      </c>
      <c r="L161" s="34">
        <f t="shared" si="10"/>
        <v>0.86880086616974883</v>
      </c>
      <c r="M161" s="34">
        <f t="shared" si="11"/>
        <v>0.8566460849671651</v>
      </c>
    </row>
    <row r="162" spans="1:13" ht="69">
      <c r="A162" t="s">
        <v>164</v>
      </c>
      <c r="B162" t="s">
        <v>115</v>
      </c>
      <c r="C162" s="14" t="s">
        <v>291</v>
      </c>
      <c r="D162" t="s">
        <v>375</v>
      </c>
      <c r="E162" t="s">
        <v>392</v>
      </c>
      <c r="F162" s="20">
        <v>2029</v>
      </c>
      <c r="G162" s="20">
        <v>30</v>
      </c>
      <c r="H162" s="11">
        <v>966.05512016021805</v>
      </c>
      <c r="I162" s="10">
        <v>4353617.8403541101</v>
      </c>
      <c r="J162" s="34">
        <f t="shared" si="8"/>
        <v>2.218970877980512E-4</v>
      </c>
      <c r="K162" s="34">
        <f t="shared" si="9"/>
        <v>2.2187247046012715E-4</v>
      </c>
      <c r="L162" s="34">
        <f t="shared" si="10"/>
        <v>1</v>
      </c>
      <c r="M162" s="34">
        <f t="shared" si="11"/>
        <v>0.99977812752953987</v>
      </c>
    </row>
    <row r="163" spans="1:13" ht="69">
      <c r="A163" t="s">
        <v>164</v>
      </c>
      <c r="B163" t="s">
        <v>115</v>
      </c>
      <c r="C163" s="14" t="s">
        <v>291</v>
      </c>
      <c r="D163" t="s">
        <v>375</v>
      </c>
      <c r="E163" t="s">
        <v>392</v>
      </c>
      <c r="F163" s="20">
        <v>2029</v>
      </c>
      <c r="G163" s="20">
        <v>31</v>
      </c>
      <c r="H163" s="11">
        <v>1118.2880465216999</v>
      </c>
      <c r="I163" s="10">
        <v>4413832.0004998296</v>
      </c>
      <c r="J163" s="34">
        <f t="shared" si="8"/>
        <v>2.5335990277723826E-4</v>
      </c>
      <c r="K163" s="34">
        <f t="shared" si="9"/>
        <v>2.5332780986753178E-4</v>
      </c>
      <c r="L163" s="34">
        <f t="shared" si="10"/>
        <v>0.99977812752953987</v>
      </c>
      <c r="M163" s="34">
        <f t="shared" si="11"/>
        <v>0.99952485592613938</v>
      </c>
    </row>
    <row r="164" spans="1:13" ht="69">
      <c r="A164" t="s">
        <v>164</v>
      </c>
      <c r="B164" t="s">
        <v>115</v>
      </c>
      <c r="C164" s="14" t="s">
        <v>291</v>
      </c>
      <c r="D164" t="s">
        <v>375</v>
      </c>
      <c r="E164" t="s">
        <v>392</v>
      </c>
      <c r="F164" s="20">
        <v>2029</v>
      </c>
      <c r="G164" s="20">
        <v>32</v>
      </c>
      <c r="H164" s="11">
        <v>1406.74996251991</v>
      </c>
      <c r="I164" s="10">
        <v>4555458.6945917103</v>
      </c>
      <c r="J164" s="34">
        <f t="shared" si="8"/>
        <v>3.0880533812983944E-4</v>
      </c>
      <c r="K164" s="34">
        <f t="shared" si="9"/>
        <v>3.087576626690236E-4</v>
      </c>
      <c r="L164" s="34">
        <f t="shared" si="10"/>
        <v>0.99952485592613938</v>
      </c>
      <c r="M164" s="34">
        <f t="shared" si="11"/>
        <v>0.999216244967844</v>
      </c>
    </row>
    <row r="165" spans="1:13" ht="69">
      <c r="A165" t="s">
        <v>164</v>
      </c>
      <c r="B165" t="s">
        <v>115</v>
      </c>
      <c r="C165" s="14" t="s">
        <v>291</v>
      </c>
      <c r="D165" t="s">
        <v>375</v>
      </c>
      <c r="E165" t="s">
        <v>392</v>
      </c>
      <c r="F165" s="20">
        <v>2029</v>
      </c>
      <c r="G165" s="20">
        <v>33</v>
      </c>
      <c r="H165" s="11">
        <v>1466.8605082300801</v>
      </c>
      <c r="I165" s="10">
        <v>4512898.5329336599</v>
      </c>
      <c r="J165" s="34">
        <f t="shared" si="8"/>
        <v>3.2503733410476905E-4</v>
      </c>
      <c r="K165" s="34">
        <f t="shared" si="9"/>
        <v>3.2498451519336058E-4</v>
      </c>
      <c r="L165" s="34">
        <f t="shared" si="10"/>
        <v>0.999216244967844</v>
      </c>
      <c r="M165" s="34">
        <f t="shared" si="11"/>
        <v>0.9988915151608998</v>
      </c>
    </row>
    <row r="166" spans="1:13" ht="69">
      <c r="A166" t="s">
        <v>164</v>
      </c>
      <c r="B166" t="s">
        <v>115</v>
      </c>
      <c r="C166" s="14" t="s">
        <v>291</v>
      </c>
      <c r="D166" t="s">
        <v>375</v>
      </c>
      <c r="E166" t="s">
        <v>392</v>
      </c>
      <c r="F166" s="20">
        <v>2029</v>
      </c>
      <c r="G166" s="20">
        <v>34</v>
      </c>
      <c r="H166" s="11">
        <v>1528.5580287534899</v>
      </c>
      <c r="I166" s="10">
        <v>4440149.0201858897</v>
      </c>
      <c r="J166" s="34">
        <f t="shared" si="8"/>
        <v>3.4425827191932756E-4</v>
      </c>
      <c r="K166" s="34">
        <f t="shared" si="9"/>
        <v>3.441990218396862E-4</v>
      </c>
      <c r="L166" s="34">
        <f t="shared" si="10"/>
        <v>0.9988915151608998</v>
      </c>
      <c r="M166" s="34">
        <f t="shared" si="11"/>
        <v>0.99854769767845741</v>
      </c>
    </row>
    <row r="167" spans="1:13" ht="69">
      <c r="A167" t="s">
        <v>164</v>
      </c>
      <c r="B167" t="s">
        <v>115</v>
      </c>
      <c r="C167" s="14" t="s">
        <v>291</v>
      </c>
      <c r="D167" t="s">
        <v>375</v>
      </c>
      <c r="E167" t="s">
        <v>392</v>
      </c>
      <c r="F167" s="20">
        <v>2029</v>
      </c>
      <c r="G167" s="20">
        <v>35</v>
      </c>
      <c r="H167" s="11">
        <v>2059.2046302102099</v>
      </c>
      <c r="I167" s="10">
        <v>4383246.15028424</v>
      </c>
      <c r="J167" s="34">
        <f t="shared" si="8"/>
        <v>4.6978986796730016E-4</v>
      </c>
      <c r="K167" s="34">
        <f t="shared" si="9"/>
        <v>4.6967953398591167E-4</v>
      </c>
      <c r="L167" s="34">
        <f t="shared" si="10"/>
        <v>0.99854769767845741</v>
      </c>
      <c r="M167" s="34">
        <f t="shared" si="11"/>
        <v>0.99807870026114909</v>
      </c>
    </row>
    <row r="168" spans="1:13" ht="69">
      <c r="A168" t="s">
        <v>164</v>
      </c>
      <c r="B168" t="s">
        <v>115</v>
      </c>
      <c r="C168" s="14" t="s">
        <v>291</v>
      </c>
      <c r="D168" t="s">
        <v>375</v>
      </c>
      <c r="E168" t="s">
        <v>392</v>
      </c>
      <c r="F168" s="20">
        <v>2029</v>
      </c>
      <c r="G168" s="20">
        <v>36</v>
      </c>
      <c r="H168" s="11">
        <v>2170.0806291833001</v>
      </c>
      <c r="I168" s="10">
        <v>4329489.5795435496</v>
      </c>
      <c r="J168" s="34">
        <f t="shared" si="8"/>
        <v>5.0123244075623522E-4</v>
      </c>
      <c r="K168" s="34">
        <f t="shared" si="9"/>
        <v>5.0110684476156742E-4</v>
      </c>
      <c r="L168" s="34">
        <f t="shared" si="10"/>
        <v>0.99807870026114909</v>
      </c>
      <c r="M168" s="34">
        <f t="shared" si="11"/>
        <v>0.99757855619283753</v>
      </c>
    </row>
    <row r="169" spans="1:13" ht="69">
      <c r="A169" t="s">
        <v>164</v>
      </c>
      <c r="B169" t="s">
        <v>115</v>
      </c>
      <c r="C169" s="14" t="s">
        <v>291</v>
      </c>
      <c r="D169" t="s">
        <v>375</v>
      </c>
      <c r="E169" t="s">
        <v>392</v>
      </c>
      <c r="F169" s="20">
        <v>2029</v>
      </c>
      <c r="G169" s="20">
        <v>37</v>
      </c>
      <c r="H169" s="11">
        <v>2346.9553134878602</v>
      </c>
      <c r="I169" s="10">
        <v>4367809.4230222097</v>
      </c>
      <c r="J169" s="34">
        <f t="shared" si="8"/>
        <v>5.3733006323887088E-4</v>
      </c>
      <c r="K169" s="34">
        <f t="shared" si="9"/>
        <v>5.3718572729366532E-4</v>
      </c>
      <c r="L169" s="34">
        <f t="shared" si="10"/>
        <v>0.99757855619283753</v>
      </c>
      <c r="M169" s="34">
        <f t="shared" si="11"/>
        <v>0.99704267123059653</v>
      </c>
    </row>
    <row r="170" spans="1:13" ht="69">
      <c r="A170" t="s">
        <v>164</v>
      </c>
      <c r="B170" t="s">
        <v>115</v>
      </c>
      <c r="C170" s="14" t="s">
        <v>291</v>
      </c>
      <c r="D170" t="s">
        <v>375</v>
      </c>
      <c r="E170" t="s">
        <v>392</v>
      </c>
      <c r="F170" s="20">
        <v>2029</v>
      </c>
      <c r="G170" s="20">
        <v>38</v>
      </c>
      <c r="H170" s="11">
        <v>2533.0215452614598</v>
      </c>
      <c r="I170" s="10">
        <v>4386435.8388540102</v>
      </c>
      <c r="J170" s="34">
        <f t="shared" si="8"/>
        <v>5.7746690897073072E-4</v>
      </c>
      <c r="K170" s="34">
        <f t="shared" si="9"/>
        <v>5.7730020704505058E-4</v>
      </c>
      <c r="L170" s="34">
        <f t="shared" si="10"/>
        <v>0.99704267123059653</v>
      </c>
      <c r="M170" s="34">
        <f t="shared" si="11"/>
        <v>0.99646707829006231</v>
      </c>
    </row>
    <row r="171" spans="1:13" ht="69">
      <c r="A171" t="s">
        <v>164</v>
      </c>
      <c r="B171" t="s">
        <v>115</v>
      </c>
      <c r="C171" s="14" t="s">
        <v>291</v>
      </c>
      <c r="D171" t="s">
        <v>375</v>
      </c>
      <c r="E171" t="s">
        <v>392</v>
      </c>
      <c r="F171" s="20">
        <v>2029</v>
      </c>
      <c r="G171" s="20">
        <v>39</v>
      </c>
      <c r="H171" s="11">
        <v>3844.8357494724801</v>
      </c>
      <c r="I171" s="10">
        <v>6459525.4980581803</v>
      </c>
      <c r="J171" s="34">
        <f t="shared" si="8"/>
        <v>5.9521953286325582E-4</v>
      </c>
      <c r="K171" s="34">
        <f t="shared" si="9"/>
        <v>5.9504242485819425E-4</v>
      </c>
      <c r="L171" s="34">
        <f t="shared" si="10"/>
        <v>0.99646707829006231</v>
      </c>
      <c r="M171" s="34">
        <f t="shared" si="11"/>
        <v>0.99587413810350522</v>
      </c>
    </row>
    <row r="172" spans="1:13" ht="69">
      <c r="A172" t="s">
        <v>164</v>
      </c>
      <c r="B172" t="s">
        <v>115</v>
      </c>
      <c r="C172" s="14" t="s">
        <v>291</v>
      </c>
      <c r="D172" t="s">
        <v>375</v>
      </c>
      <c r="E172" t="s">
        <v>392</v>
      </c>
      <c r="F172" s="20">
        <v>2029</v>
      </c>
      <c r="G172" s="20">
        <v>40</v>
      </c>
      <c r="H172" s="11">
        <v>3636.5254146618499</v>
      </c>
      <c r="I172" s="10">
        <v>4346224.8841744</v>
      </c>
      <c r="J172" s="34">
        <f t="shared" si="8"/>
        <v>8.3670898574606011E-4</v>
      </c>
      <c r="K172" s="34">
        <f t="shared" si="9"/>
        <v>8.3635904238965608E-4</v>
      </c>
      <c r="L172" s="34">
        <f t="shared" si="10"/>
        <v>0.99587413810350522</v>
      </c>
      <c r="M172" s="34">
        <f t="shared" si="11"/>
        <v>0.99504122976302034</v>
      </c>
    </row>
    <row r="173" spans="1:13" ht="69">
      <c r="A173" t="s">
        <v>164</v>
      </c>
      <c r="B173" t="s">
        <v>115</v>
      </c>
      <c r="C173" s="14" t="s">
        <v>291</v>
      </c>
      <c r="D173" t="s">
        <v>375</v>
      </c>
      <c r="E173" t="s">
        <v>392</v>
      </c>
      <c r="F173" s="20">
        <v>2029</v>
      </c>
      <c r="G173" s="20">
        <v>41</v>
      </c>
      <c r="H173" s="11">
        <v>3905.94894922106</v>
      </c>
      <c r="I173" s="10">
        <v>4329388.6543565104</v>
      </c>
      <c r="J173" s="34">
        <f t="shared" si="8"/>
        <v>9.0219411123800171E-4</v>
      </c>
      <c r="K173" s="34">
        <f t="shared" si="9"/>
        <v>9.0178725649403546E-4</v>
      </c>
      <c r="L173" s="34">
        <f t="shared" si="10"/>
        <v>0.99504122976302034</v>
      </c>
      <c r="M173" s="34">
        <f t="shared" si="11"/>
        <v>0.99414391426233395</v>
      </c>
    </row>
    <row r="174" spans="1:13" ht="69">
      <c r="A174" t="s">
        <v>164</v>
      </c>
      <c r="B174" t="s">
        <v>115</v>
      </c>
      <c r="C174" s="14" t="s">
        <v>291</v>
      </c>
      <c r="D174" t="s">
        <v>375</v>
      </c>
      <c r="E174" t="s">
        <v>392</v>
      </c>
      <c r="F174" s="20">
        <v>2029</v>
      </c>
      <c r="G174" s="20">
        <v>42</v>
      </c>
      <c r="H174" s="11">
        <v>4107.9345426290402</v>
      </c>
      <c r="I174" s="10">
        <v>4197536.0894762604</v>
      </c>
      <c r="J174" s="34">
        <f t="shared" si="8"/>
        <v>9.7865377570621444E-4</v>
      </c>
      <c r="K174" s="34">
        <f t="shared" si="9"/>
        <v>9.7817505028141571E-4</v>
      </c>
      <c r="L174" s="34">
        <f t="shared" si="10"/>
        <v>0.99414391426233395</v>
      </c>
      <c r="M174" s="34">
        <f t="shared" si="11"/>
        <v>0.99317146748901342</v>
      </c>
    </row>
    <row r="175" spans="1:13" ht="69">
      <c r="A175" t="s">
        <v>164</v>
      </c>
      <c r="B175" t="s">
        <v>115</v>
      </c>
      <c r="C175" s="14" t="s">
        <v>291</v>
      </c>
      <c r="D175" t="s">
        <v>375</v>
      </c>
      <c r="E175" t="s">
        <v>392</v>
      </c>
      <c r="F175" s="20">
        <v>2029</v>
      </c>
      <c r="G175" s="20">
        <v>43</v>
      </c>
      <c r="H175" s="11">
        <v>4434.0493380788603</v>
      </c>
      <c r="I175" s="10">
        <v>4163655.4135338101</v>
      </c>
      <c r="J175" s="34">
        <f t="shared" si="8"/>
        <v>1.0649414751437269E-3</v>
      </c>
      <c r="K175" s="34">
        <f t="shared" si="9"/>
        <v>1.0643746262091192E-3</v>
      </c>
      <c r="L175" s="34">
        <f t="shared" si="10"/>
        <v>0.99317146748901342</v>
      </c>
      <c r="M175" s="34">
        <f t="shared" si="11"/>
        <v>0.9921143609795432</v>
      </c>
    </row>
    <row r="176" spans="1:13" ht="69">
      <c r="A176" t="s">
        <v>164</v>
      </c>
      <c r="B176" t="s">
        <v>115</v>
      </c>
      <c r="C176" s="14" t="s">
        <v>291</v>
      </c>
      <c r="D176" t="s">
        <v>375</v>
      </c>
      <c r="E176" t="s">
        <v>392</v>
      </c>
      <c r="F176" s="20">
        <v>2029</v>
      </c>
      <c r="G176" s="20">
        <v>44</v>
      </c>
      <c r="H176" s="11">
        <v>4910.3781811055696</v>
      </c>
      <c r="I176" s="10">
        <v>4223701.3032164704</v>
      </c>
      <c r="J176" s="34">
        <f t="shared" si="8"/>
        <v>1.1625770452484826E-3</v>
      </c>
      <c r="K176" s="34">
        <f t="shared" si="9"/>
        <v>1.161901514366348E-3</v>
      </c>
      <c r="L176" s="34">
        <f t="shared" si="10"/>
        <v>0.9921143609795432</v>
      </c>
      <c r="M176" s="34">
        <f t="shared" si="11"/>
        <v>0.99096162180109648</v>
      </c>
    </row>
    <row r="177" spans="1:13" ht="69">
      <c r="A177" t="s">
        <v>164</v>
      </c>
      <c r="B177" t="s">
        <v>115</v>
      </c>
      <c r="C177" s="14" t="s">
        <v>291</v>
      </c>
      <c r="D177" t="s">
        <v>375</v>
      </c>
      <c r="E177" t="s">
        <v>392</v>
      </c>
      <c r="F177" s="20">
        <v>2029</v>
      </c>
      <c r="G177" s="20">
        <v>45</v>
      </c>
      <c r="H177" s="11">
        <v>6481.0885292523299</v>
      </c>
      <c r="I177" s="10">
        <v>4309023.5712449402</v>
      </c>
      <c r="J177" s="34">
        <f t="shared" si="8"/>
        <v>1.5040735846752048E-3</v>
      </c>
      <c r="K177" s="34">
        <f t="shared" si="9"/>
        <v>1.5029430328832305E-3</v>
      </c>
      <c r="L177" s="34">
        <f t="shared" si="10"/>
        <v>0.99096162180109648</v>
      </c>
      <c r="M177" s="34">
        <f t="shared" si="11"/>
        <v>0.98947226293575585</v>
      </c>
    </row>
    <row r="178" spans="1:13" ht="69">
      <c r="A178" t="s">
        <v>164</v>
      </c>
      <c r="B178" t="s">
        <v>115</v>
      </c>
      <c r="C178" s="14" t="s">
        <v>291</v>
      </c>
      <c r="D178" t="s">
        <v>375</v>
      </c>
      <c r="E178" t="s">
        <v>392</v>
      </c>
      <c r="F178" s="20">
        <v>2029</v>
      </c>
      <c r="G178" s="20">
        <v>46</v>
      </c>
      <c r="H178" s="11">
        <v>7041.0057319019297</v>
      </c>
      <c r="I178" s="10">
        <v>4284136.6851046402</v>
      </c>
      <c r="J178" s="34">
        <f t="shared" si="8"/>
        <v>1.6435063233118934E-3</v>
      </c>
      <c r="K178" s="34">
        <f t="shared" si="9"/>
        <v>1.6421565063733379E-3</v>
      </c>
      <c r="L178" s="34">
        <f t="shared" si="10"/>
        <v>0.98947226293575585</v>
      </c>
      <c r="M178" s="34">
        <f t="shared" si="11"/>
        <v>0.9878473946213</v>
      </c>
    </row>
    <row r="179" spans="1:13" ht="69">
      <c r="A179" t="s">
        <v>164</v>
      </c>
      <c r="B179" t="s">
        <v>115</v>
      </c>
      <c r="C179" s="14" t="s">
        <v>291</v>
      </c>
      <c r="D179" t="s">
        <v>375</v>
      </c>
      <c r="E179" t="s">
        <v>392</v>
      </c>
      <c r="F179" s="20">
        <v>2029</v>
      </c>
      <c r="G179" s="20">
        <v>47</v>
      </c>
      <c r="H179" s="11">
        <v>7476.9822036750602</v>
      </c>
      <c r="I179" s="10">
        <v>4147589.8566183401</v>
      </c>
      <c r="J179" s="34">
        <f t="shared" si="8"/>
        <v>1.8027294072348991E-3</v>
      </c>
      <c r="K179" s="34">
        <f t="shared" si="9"/>
        <v>1.8011054665655335E-3</v>
      </c>
      <c r="L179" s="34">
        <f t="shared" si="10"/>
        <v>0.9878473946213</v>
      </c>
      <c r="M179" s="34">
        <f t="shared" si="11"/>
        <v>0.9860681772787151</v>
      </c>
    </row>
    <row r="180" spans="1:13" ht="69">
      <c r="A180" t="s">
        <v>164</v>
      </c>
      <c r="B180" t="s">
        <v>115</v>
      </c>
      <c r="C180" s="14" t="s">
        <v>291</v>
      </c>
      <c r="D180" t="s">
        <v>375</v>
      </c>
      <c r="E180" t="s">
        <v>392</v>
      </c>
      <c r="F180" s="20">
        <v>2029</v>
      </c>
      <c r="G180" s="20">
        <v>48</v>
      </c>
      <c r="H180" s="11">
        <v>8046.24507140489</v>
      </c>
      <c r="I180" s="10">
        <v>4073493.0084309001</v>
      </c>
      <c r="J180" s="34">
        <f t="shared" si="8"/>
        <v>1.9752691497816723E-3</v>
      </c>
      <c r="K180" s="34">
        <f t="shared" si="9"/>
        <v>1.973319589521294E-3</v>
      </c>
      <c r="L180" s="34">
        <f t="shared" si="10"/>
        <v>0.9860681772787151</v>
      </c>
      <c r="M180" s="34">
        <f t="shared" si="11"/>
        <v>0.98412234962788747</v>
      </c>
    </row>
    <row r="181" spans="1:13" ht="69">
      <c r="A181" t="s">
        <v>164</v>
      </c>
      <c r="B181" t="s">
        <v>115</v>
      </c>
      <c r="C181" s="14" t="s">
        <v>291</v>
      </c>
      <c r="D181" t="s">
        <v>375</v>
      </c>
      <c r="E181" t="s">
        <v>392</v>
      </c>
      <c r="F181" s="20">
        <v>2029</v>
      </c>
      <c r="G181" s="20">
        <v>49</v>
      </c>
      <c r="H181" s="11">
        <v>8683.0490117488898</v>
      </c>
      <c r="I181" s="10">
        <v>4015227.3278272599</v>
      </c>
      <c r="J181" s="34">
        <f t="shared" si="8"/>
        <v>2.1625298651390444E-3</v>
      </c>
      <c r="K181" s="34">
        <f t="shared" si="9"/>
        <v>2.1601932820439762E-3</v>
      </c>
      <c r="L181" s="34">
        <f t="shared" si="10"/>
        <v>0.98412234962788747</v>
      </c>
      <c r="M181" s="34">
        <f t="shared" si="11"/>
        <v>0.98199645513951195</v>
      </c>
    </row>
    <row r="182" spans="1:13" ht="69">
      <c r="A182" t="s">
        <v>164</v>
      </c>
      <c r="B182" t="s">
        <v>115</v>
      </c>
      <c r="C182" s="14" t="s">
        <v>291</v>
      </c>
      <c r="D182" t="s">
        <v>375</v>
      </c>
      <c r="E182" t="s">
        <v>392</v>
      </c>
      <c r="F182" s="20">
        <v>2029</v>
      </c>
      <c r="G182" s="20">
        <v>50</v>
      </c>
      <c r="H182" s="11">
        <v>9958.93667733242</v>
      </c>
      <c r="I182" s="10">
        <v>3951472.4132367098</v>
      </c>
      <c r="J182" s="34">
        <f t="shared" si="8"/>
        <v>2.5203103136875772E-3</v>
      </c>
      <c r="K182" s="34">
        <f t="shared" si="9"/>
        <v>2.5171369981220604E-3</v>
      </c>
      <c r="L182" s="34">
        <f t="shared" si="10"/>
        <v>0.98199645513951195</v>
      </c>
      <c r="M182" s="34">
        <f t="shared" si="11"/>
        <v>0.97952463553025559</v>
      </c>
    </row>
    <row r="183" spans="1:13" ht="69">
      <c r="A183" t="s">
        <v>164</v>
      </c>
      <c r="B183" t="s">
        <v>115</v>
      </c>
      <c r="C183" s="14" t="s">
        <v>291</v>
      </c>
      <c r="D183" t="s">
        <v>375</v>
      </c>
      <c r="E183" t="s">
        <v>392</v>
      </c>
      <c r="F183" s="20">
        <v>2029</v>
      </c>
      <c r="G183" s="20">
        <v>51</v>
      </c>
      <c r="H183" s="11">
        <v>10625.7017551361</v>
      </c>
      <c r="I183" s="10">
        <v>3867329.44552569</v>
      </c>
      <c r="J183" s="34">
        <f t="shared" si="8"/>
        <v>2.7475553621193341E-3</v>
      </c>
      <c r="K183" s="34">
        <f t="shared" si="9"/>
        <v>2.7437842864224127E-3</v>
      </c>
      <c r="L183" s="34">
        <f t="shared" si="10"/>
        <v>0.97952463553025559</v>
      </c>
      <c r="M183" s="34">
        <f t="shared" si="11"/>
        <v>0.97683703122712406</v>
      </c>
    </row>
    <row r="184" spans="1:13" ht="69">
      <c r="A184" t="s">
        <v>164</v>
      </c>
      <c r="B184" t="s">
        <v>115</v>
      </c>
      <c r="C184" s="14" t="s">
        <v>291</v>
      </c>
      <c r="D184" t="s">
        <v>375</v>
      </c>
      <c r="E184" t="s">
        <v>392</v>
      </c>
      <c r="F184" s="20">
        <v>2029</v>
      </c>
      <c r="G184" s="20">
        <v>52</v>
      </c>
      <c r="H184" s="11">
        <v>11421.161531850799</v>
      </c>
      <c r="I184" s="10">
        <v>3801086.53380311</v>
      </c>
      <c r="J184" s="34">
        <f t="shared" si="8"/>
        <v>3.0047096876859463E-3</v>
      </c>
      <c r="K184" s="34">
        <f t="shared" si="9"/>
        <v>3.0002000653649441E-3</v>
      </c>
      <c r="L184" s="34">
        <f t="shared" si="10"/>
        <v>0.97683703122712406</v>
      </c>
      <c r="M184" s="34">
        <f t="shared" si="11"/>
        <v>0.97390632470218552</v>
      </c>
    </row>
    <row r="185" spans="1:13" ht="69">
      <c r="A185" t="s">
        <v>164</v>
      </c>
      <c r="B185" t="s">
        <v>115</v>
      </c>
      <c r="C185" s="14" t="s">
        <v>291</v>
      </c>
      <c r="D185" t="s">
        <v>375</v>
      </c>
      <c r="E185" t="s">
        <v>392</v>
      </c>
      <c r="F185" s="20">
        <v>2029</v>
      </c>
      <c r="G185" s="20">
        <v>53</v>
      </c>
      <c r="H185" s="11">
        <v>12218.396445022499</v>
      </c>
      <c r="I185" s="10">
        <v>3722927.1012221999</v>
      </c>
      <c r="J185" s="34">
        <f t="shared" si="8"/>
        <v>3.2819327676363369E-3</v>
      </c>
      <c r="K185" s="34">
        <f t="shared" si="9"/>
        <v>3.276553113121361E-3</v>
      </c>
      <c r="L185" s="34">
        <f t="shared" si="10"/>
        <v>0.97390632470218552</v>
      </c>
      <c r="M185" s="34">
        <f t="shared" si="11"/>
        <v>0.97071526890209403</v>
      </c>
    </row>
    <row r="186" spans="1:13" ht="69">
      <c r="A186" t="s">
        <v>164</v>
      </c>
      <c r="B186" t="s">
        <v>115</v>
      </c>
      <c r="C186" s="14" t="s">
        <v>291</v>
      </c>
      <c r="D186" t="s">
        <v>375</v>
      </c>
      <c r="E186" t="s">
        <v>392</v>
      </c>
      <c r="F186" s="20">
        <v>2029</v>
      </c>
      <c r="G186" s="20">
        <v>54</v>
      </c>
      <c r="H186" s="11">
        <v>13063.5434573559</v>
      </c>
      <c r="I186" s="10">
        <v>3643990.9706393401</v>
      </c>
      <c r="J186" s="34">
        <f t="shared" si="8"/>
        <v>3.5849549470930477E-3</v>
      </c>
      <c r="K186" s="34">
        <f t="shared" si="9"/>
        <v>3.5785366681444497E-3</v>
      </c>
      <c r="L186" s="34">
        <f t="shared" si="10"/>
        <v>0.97071526890209403</v>
      </c>
      <c r="M186" s="34">
        <f t="shared" si="11"/>
        <v>0.96724152871800018</v>
      </c>
    </row>
    <row r="187" spans="1:13" ht="69">
      <c r="A187" t="s">
        <v>164</v>
      </c>
      <c r="B187" t="s">
        <v>115</v>
      </c>
      <c r="C187" s="14" t="s">
        <v>291</v>
      </c>
      <c r="D187" t="s">
        <v>375</v>
      </c>
      <c r="E187" t="s">
        <v>392</v>
      </c>
      <c r="F187" s="20">
        <v>2029</v>
      </c>
      <c r="G187" s="20">
        <v>55</v>
      </c>
      <c r="H187" s="11">
        <v>14014.7646341822</v>
      </c>
      <c r="I187" s="10">
        <v>3537541.23126237</v>
      </c>
      <c r="J187" s="34">
        <f t="shared" si="8"/>
        <v>3.9617247455179588E-3</v>
      </c>
      <c r="K187" s="34">
        <f t="shared" si="9"/>
        <v>3.9538874671675162E-3</v>
      </c>
      <c r="L187" s="34">
        <f t="shared" si="10"/>
        <v>0.96724152871800018</v>
      </c>
      <c r="M187" s="34">
        <f t="shared" si="11"/>
        <v>0.96341716455987814</v>
      </c>
    </row>
    <row r="188" spans="1:13" ht="69">
      <c r="A188" t="s">
        <v>164</v>
      </c>
      <c r="B188" t="s">
        <v>115</v>
      </c>
      <c r="C188" s="14" t="s">
        <v>291</v>
      </c>
      <c r="D188" t="s">
        <v>375</v>
      </c>
      <c r="E188" t="s">
        <v>392</v>
      </c>
      <c r="F188" s="20">
        <v>2029</v>
      </c>
      <c r="G188" s="20">
        <v>56</v>
      </c>
      <c r="H188" s="11">
        <v>15077.6134147959</v>
      </c>
      <c r="I188" s="10">
        <v>3490540.8638368999</v>
      </c>
      <c r="J188" s="34">
        <f t="shared" si="8"/>
        <v>4.3195636444210445E-3</v>
      </c>
      <c r="K188" s="34">
        <f t="shared" si="9"/>
        <v>4.3102477477451329E-3</v>
      </c>
      <c r="L188" s="34">
        <f t="shared" si="10"/>
        <v>0.96341716455987814</v>
      </c>
      <c r="M188" s="34">
        <f t="shared" si="11"/>
        <v>0.95926459789619489</v>
      </c>
    </row>
    <row r="189" spans="1:13" ht="69">
      <c r="A189" t="s">
        <v>164</v>
      </c>
      <c r="B189" t="s">
        <v>115</v>
      </c>
      <c r="C189" s="14" t="s">
        <v>291</v>
      </c>
      <c r="D189" t="s">
        <v>375</v>
      </c>
      <c r="E189" t="s">
        <v>392</v>
      </c>
      <c r="F189" s="20">
        <v>2029</v>
      </c>
      <c r="G189" s="20">
        <v>57</v>
      </c>
      <c r="H189" s="11">
        <v>15506.432884215301</v>
      </c>
      <c r="I189" s="10">
        <v>3280709.6680697799</v>
      </c>
      <c r="J189" s="34">
        <f t="shared" si="8"/>
        <v>4.7265483548072024E-3</v>
      </c>
      <c r="K189" s="34">
        <f t="shared" si="9"/>
        <v>4.7153958030756726E-3</v>
      </c>
      <c r="L189" s="34">
        <f t="shared" si="10"/>
        <v>0.95926459789619489</v>
      </c>
      <c r="M189" s="34">
        <f t="shared" si="11"/>
        <v>0.95474128563723615</v>
      </c>
    </row>
    <row r="190" spans="1:13" ht="69">
      <c r="A190" t="s">
        <v>164</v>
      </c>
      <c r="B190" t="s">
        <v>115</v>
      </c>
      <c r="C190" s="14" t="s">
        <v>291</v>
      </c>
      <c r="D190" t="s">
        <v>375</v>
      </c>
      <c r="E190" t="s">
        <v>392</v>
      </c>
      <c r="F190" s="20">
        <v>2029</v>
      </c>
      <c r="G190" s="20">
        <v>58</v>
      </c>
      <c r="H190" s="11">
        <v>16493.0433271603</v>
      </c>
      <c r="I190" s="10">
        <v>3191859.7351499898</v>
      </c>
      <c r="J190" s="34">
        <f t="shared" si="8"/>
        <v>5.1672205847683554E-3</v>
      </c>
      <c r="K190" s="34">
        <f t="shared" si="9"/>
        <v>5.1538934650858792E-3</v>
      </c>
      <c r="L190" s="34">
        <f t="shared" si="10"/>
        <v>0.95474128563723615</v>
      </c>
      <c r="M190" s="34">
        <f t="shared" si="11"/>
        <v>0.94982065076434274</v>
      </c>
    </row>
    <row r="191" spans="1:13" ht="69">
      <c r="A191" t="s">
        <v>164</v>
      </c>
      <c r="B191" t="s">
        <v>115</v>
      </c>
      <c r="C191" s="14" t="s">
        <v>291</v>
      </c>
      <c r="D191" t="s">
        <v>375</v>
      </c>
      <c r="E191" t="s">
        <v>392</v>
      </c>
      <c r="F191" s="20">
        <v>2029</v>
      </c>
      <c r="G191" s="20">
        <v>59</v>
      </c>
      <c r="H191" s="11">
        <v>17558.132064293601</v>
      </c>
      <c r="I191" s="10">
        <v>3107294.39982625</v>
      </c>
      <c r="J191" s="34">
        <f t="shared" si="8"/>
        <v>5.6506174842253102E-3</v>
      </c>
      <c r="K191" s="34">
        <f t="shared" si="9"/>
        <v>5.6346827730290316E-3</v>
      </c>
      <c r="L191" s="34">
        <f t="shared" si="10"/>
        <v>0.94982065076434274</v>
      </c>
      <c r="M191" s="34">
        <f t="shared" si="11"/>
        <v>0.94446871270601362</v>
      </c>
    </row>
    <row r="192" spans="1:13" ht="69">
      <c r="A192" t="s">
        <v>164</v>
      </c>
      <c r="B192" t="s">
        <v>115</v>
      </c>
      <c r="C192" s="14" t="s">
        <v>291</v>
      </c>
      <c r="D192" t="s">
        <v>375</v>
      </c>
      <c r="E192" t="s">
        <v>392</v>
      </c>
      <c r="F192" s="20">
        <v>2029</v>
      </c>
      <c r="G192" s="20">
        <v>60</v>
      </c>
      <c r="H192" s="11">
        <v>18997.7573413762</v>
      </c>
      <c r="I192" s="10">
        <v>3013459.1178210098</v>
      </c>
      <c r="J192" s="34">
        <f t="shared" si="8"/>
        <v>6.3043023311738881E-3</v>
      </c>
      <c r="K192" s="34">
        <f t="shared" si="9"/>
        <v>6.2844719114366621E-3</v>
      </c>
      <c r="L192" s="34">
        <f t="shared" si="10"/>
        <v>0.94446871270601362</v>
      </c>
      <c r="M192" s="34">
        <f t="shared" si="11"/>
        <v>0.93853322560978192</v>
      </c>
    </row>
    <row r="193" spans="1:13" ht="69">
      <c r="A193" t="s">
        <v>164</v>
      </c>
      <c r="B193" t="s">
        <v>115</v>
      </c>
      <c r="C193" s="14" t="s">
        <v>291</v>
      </c>
      <c r="D193" t="s">
        <v>375</v>
      </c>
      <c r="E193" t="s">
        <v>392</v>
      </c>
      <c r="F193" s="20">
        <v>2029</v>
      </c>
      <c r="G193" s="20">
        <v>61</v>
      </c>
      <c r="H193" s="11">
        <v>19959.540639054201</v>
      </c>
      <c r="I193" s="10">
        <v>2899324.0587332798</v>
      </c>
      <c r="J193" s="34">
        <f t="shared" si="8"/>
        <v>6.8842048128192205E-3</v>
      </c>
      <c r="K193" s="34">
        <f t="shared" si="9"/>
        <v>6.8605629577666027E-3</v>
      </c>
      <c r="L193" s="34">
        <f t="shared" si="10"/>
        <v>0.93853322560978192</v>
      </c>
      <c r="M193" s="34">
        <f t="shared" si="11"/>
        <v>0.93209435932753026</v>
      </c>
    </row>
    <row r="194" spans="1:13" ht="69">
      <c r="A194" t="s">
        <v>164</v>
      </c>
      <c r="B194" t="s">
        <v>115</v>
      </c>
      <c r="C194" s="14" t="s">
        <v>291</v>
      </c>
      <c r="D194" t="s">
        <v>375</v>
      </c>
      <c r="E194" t="s">
        <v>392</v>
      </c>
      <c r="F194" s="20">
        <v>2029</v>
      </c>
      <c r="G194" s="20">
        <v>62</v>
      </c>
      <c r="H194" s="11">
        <v>20779.446251339399</v>
      </c>
      <c r="I194" s="10">
        <v>2754874.72606155</v>
      </c>
      <c r="J194" s="34">
        <f t="shared" ref="J194:J257" si="12">IF(I194&gt;0,H194/I194,0)</f>
        <v>7.542791712001477E-3</v>
      </c>
      <c r="K194" s="34">
        <f t="shared" ref="K194:K257" si="13">1-EXP(-J194)</f>
        <v>7.5144162468254727E-3</v>
      </c>
      <c r="L194" s="34">
        <f t="shared" ref="L194:L257" si="14">IF(G194=30,1,M193)</f>
        <v>0.93209435932753026</v>
      </c>
      <c r="M194" s="34">
        <f t="shared" ref="M194:M257" si="15">L194*(1-K194)</f>
        <v>0.92509021433022509</v>
      </c>
    </row>
    <row r="195" spans="1:13" ht="69">
      <c r="A195" t="s">
        <v>164</v>
      </c>
      <c r="B195" t="s">
        <v>115</v>
      </c>
      <c r="C195" s="14" t="s">
        <v>291</v>
      </c>
      <c r="D195" t="s">
        <v>375</v>
      </c>
      <c r="E195" t="s">
        <v>392</v>
      </c>
      <c r="F195" s="20">
        <v>2029</v>
      </c>
      <c r="G195" s="20">
        <v>63</v>
      </c>
      <c r="H195" s="11">
        <v>21857.792199584201</v>
      </c>
      <c r="I195" s="10">
        <v>2646463.7873243601</v>
      </c>
      <c r="J195" s="34">
        <f t="shared" si="12"/>
        <v>8.2592447719388468E-3</v>
      </c>
      <c r="K195" s="34">
        <f t="shared" si="13"/>
        <v>8.2252309171709781E-3</v>
      </c>
      <c r="L195" s="34">
        <f t="shared" si="14"/>
        <v>0.92509021433022509</v>
      </c>
      <c r="M195" s="34">
        <f t="shared" si="15"/>
        <v>0.91748113369814377</v>
      </c>
    </row>
    <row r="196" spans="1:13" ht="69">
      <c r="A196" t="s">
        <v>164</v>
      </c>
      <c r="B196" t="s">
        <v>115</v>
      </c>
      <c r="C196" s="14" t="s">
        <v>291</v>
      </c>
      <c r="D196" t="s">
        <v>375</v>
      </c>
      <c r="E196" t="s">
        <v>392</v>
      </c>
      <c r="F196" s="20">
        <v>2029</v>
      </c>
      <c r="G196" s="20">
        <v>64</v>
      </c>
      <c r="H196" s="11">
        <v>22765.422093558998</v>
      </c>
      <c r="I196" s="10">
        <v>2516713.7858086401</v>
      </c>
      <c r="J196" s="34">
        <f t="shared" si="12"/>
        <v>9.0456937224763865E-3</v>
      </c>
      <c r="K196" s="34">
        <f t="shared" si="13"/>
        <v>9.0049045165579988E-3</v>
      </c>
      <c r="L196" s="34">
        <f t="shared" si="14"/>
        <v>0.91748113369814377</v>
      </c>
      <c r="M196" s="34">
        <f t="shared" si="15"/>
        <v>0.90921930369344861</v>
      </c>
    </row>
    <row r="197" spans="1:13" ht="69">
      <c r="A197" t="s">
        <v>164</v>
      </c>
      <c r="B197" t="s">
        <v>115</v>
      </c>
      <c r="C197" s="14" t="s">
        <v>291</v>
      </c>
      <c r="D197" t="s">
        <v>375</v>
      </c>
      <c r="E197" t="s">
        <v>392</v>
      </c>
      <c r="F197" s="20">
        <v>2029</v>
      </c>
      <c r="G197" s="20">
        <v>65</v>
      </c>
      <c r="H197" s="11">
        <v>22995.3766150597</v>
      </c>
      <c r="I197" s="10">
        <v>2387205.2705088402</v>
      </c>
      <c r="J197" s="34">
        <f t="shared" si="12"/>
        <v>9.6327604915844387E-3</v>
      </c>
      <c r="K197" s="34">
        <f t="shared" si="13"/>
        <v>9.5865140669413318E-3</v>
      </c>
      <c r="L197" s="34">
        <f t="shared" si="14"/>
        <v>0.90921930369344861</v>
      </c>
      <c r="M197" s="34">
        <f t="shared" si="15"/>
        <v>0.90050306004865677</v>
      </c>
    </row>
    <row r="198" spans="1:13" ht="69">
      <c r="A198" t="s">
        <v>164</v>
      </c>
      <c r="B198" t="s">
        <v>115</v>
      </c>
      <c r="C198" s="14" t="s">
        <v>291</v>
      </c>
      <c r="D198" t="s">
        <v>375</v>
      </c>
      <c r="E198" t="s">
        <v>392</v>
      </c>
      <c r="F198" s="20">
        <v>2029</v>
      </c>
      <c r="G198" s="20">
        <v>66</v>
      </c>
      <c r="H198" s="11">
        <v>23864.377999057298</v>
      </c>
      <c r="I198" s="10">
        <v>2262721.8639338599</v>
      </c>
      <c r="J198" s="34">
        <f t="shared" si="12"/>
        <v>1.0546757150950862E-2</v>
      </c>
      <c r="K198" s="34">
        <f t="shared" si="13"/>
        <v>1.0491335119775957E-2</v>
      </c>
      <c r="L198" s="34">
        <f t="shared" si="14"/>
        <v>0.90050306004865677</v>
      </c>
      <c r="M198" s="34">
        <f t="shared" si="15"/>
        <v>0.89105558066930257</v>
      </c>
    </row>
    <row r="199" spans="1:13" ht="69">
      <c r="A199" t="s">
        <v>164</v>
      </c>
      <c r="B199" t="s">
        <v>115</v>
      </c>
      <c r="C199" s="14" t="s">
        <v>291</v>
      </c>
      <c r="D199" t="s">
        <v>375</v>
      </c>
      <c r="E199" t="s">
        <v>392</v>
      </c>
      <c r="F199" s="20">
        <v>2029</v>
      </c>
      <c r="G199" s="20">
        <v>67</v>
      </c>
      <c r="H199" s="11">
        <v>24537.7652003984</v>
      </c>
      <c r="I199" s="10">
        <v>2113175.2963352199</v>
      </c>
      <c r="J199" s="34">
        <f t="shared" si="12"/>
        <v>1.1611798246436577E-2</v>
      </c>
      <c r="K199" s="34">
        <f t="shared" si="13"/>
        <v>1.1544641505354281E-2</v>
      </c>
      <c r="L199" s="34">
        <f t="shared" si="14"/>
        <v>0.89105558066930257</v>
      </c>
      <c r="M199" s="34">
        <f t="shared" si="15"/>
        <v>0.88076866342913018</v>
      </c>
    </row>
    <row r="200" spans="1:13" ht="69">
      <c r="A200" t="s">
        <v>164</v>
      </c>
      <c r="B200" t="s">
        <v>115</v>
      </c>
      <c r="C200" s="14" t="s">
        <v>291</v>
      </c>
      <c r="D200" t="s">
        <v>375</v>
      </c>
      <c r="E200" t="s">
        <v>392</v>
      </c>
      <c r="F200" s="20">
        <v>2029</v>
      </c>
      <c r="G200" s="20">
        <v>68</v>
      </c>
      <c r="H200" s="11">
        <v>25337.114989440601</v>
      </c>
      <c r="I200" s="10">
        <v>1988306.1838793999</v>
      </c>
      <c r="J200" s="34">
        <f t="shared" si="12"/>
        <v>1.2743065024323947E-2</v>
      </c>
      <c r="K200" s="34">
        <f t="shared" si="13"/>
        <v>1.2662215957233491E-2</v>
      </c>
      <c r="L200" s="34">
        <f t="shared" si="14"/>
        <v>0.88076866342913018</v>
      </c>
      <c r="M200" s="34">
        <f t="shared" si="15"/>
        <v>0.86961618040442668</v>
      </c>
    </row>
    <row r="201" spans="1:13" ht="69">
      <c r="A201" t="s">
        <v>164</v>
      </c>
      <c r="B201" t="s">
        <v>115</v>
      </c>
      <c r="C201" s="14" t="s">
        <v>291</v>
      </c>
      <c r="D201" t="s">
        <v>375</v>
      </c>
      <c r="E201" t="s">
        <v>392</v>
      </c>
      <c r="F201" s="20">
        <v>2029</v>
      </c>
      <c r="G201" s="20">
        <v>69</v>
      </c>
      <c r="H201" s="11">
        <v>26027.265921639999</v>
      </c>
      <c r="I201" s="10">
        <v>1860026.6130047799</v>
      </c>
      <c r="J201" s="34">
        <f t="shared" si="12"/>
        <v>1.3992953509194286E-2</v>
      </c>
      <c r="K201" s="34">
        <f t="shared" si="13"/>
        <v>1.3895507185377465E-2</v>
      </c>
      <c r="L201" s="34">
        <f t="shared" si="14"/>
        <v>0.86961618040442668</v>
      </c>
      <c r="M201" s="34">
        <f t="shared" si="15"/>
        <v>0.8575324225210964</v>
      </c>
    </row>
    <row r="202" spans="1:13" ht="69">
      <c r="A202" t="s">
        <v>164</v>
      </c>
      <c r="B202" t="s">
        <v>115</v>
      </c>
      <c r="C202" s="14" t="s">
        <v>291</v>
      </c>
      <c r="D202" t="s">
        <v>375</v>
      </c>
      <c r="E202" t="s">
        <v>392</v>
      </c>
      <c r="F202" s="20">
        <v>2030</v>
      </c>
      <c r="G202" s="20">
        <v>30</v>
      </c>
      <c r="H202" s="11">
        <v>954.51928525202902</v>
      </c>
      <c r="I202" s="10">
        <v>4327148.9950051801</v>
      </c>
      <c r="J202" s="34">
        <f t="shared" si="12"/>
        <v>2.205884951855896E-4</v>
      </c>
      <c r="K202" s="34">
        <f t="shared" si="13"/>
        <v>2.2056416733229334E-4</v>
      </c>
      <c r="L202" s="34">
        <f t="shared" si="14"/>
        <v>1</v>
      </c>
      <c r="M202" s="34">
        <f t="shared" si="15"/>
        <v>0.99977943583266771</v>
      </c>
    </row>
    <row r="203" spans="1:13" ht="69">
      <c r="A203" t="s">
        <v>164</v>
      </c>
      <c r="B203" t="s">
        <v>115</v>
      </c>
      <c r="C203" s="14" t="s">
        <v>291</v>
      </c>
      <c r="D203" t="s">
        <v>375</v>
      </c>
      <c r="E203" t="s">
        <v>392</v>
      </c>
      <c r="F203" s="20">
        <v>2030</v>
      </c>
      <c r="G203" s="20">
        <v>31</v>
      </c>
      <c r="H203" s="11">
        <v>1095.76416466877</v>
      </c>
      <c r="I203" s="10">
        <v>4347586.1843521902</v>
      </c>
      <c r="J203" s="34">
        <f t="shared" si="12"/>
        <v>2.5203966481737353E-4</v>
      </c>
      <c r="K203" s="34">
        <f t="shared" si="13"/>
        <v>2.5200790548929319E-4</v>
      </c>
      <c r="L203" s="34">
        <f t="shared" si="14"/>
        <v>0.99977943583266771</v>
      </c>
      <c r="M203" s="34">
        <f t="shared" si="15"/>
        <v>0.99952748351109222</v>
      </c>
    </row>
    <row r="204" spans="1:13" ht="69">
      <c r="A204" t="s">
        <v>164</v>
      </c>
      <c r="B204" t="s">
        <v>115</v>
      </c>
      <c r="C204" s="14" t="s">
        <v>291</v>
      </c>
      <c r="D204" t="s">
        <v>375</v>
      </c>
      <c r="E204" t="s">
        <v>392</v>
      </c>
      <c r="F204" s="20">
        <v>2030</v>
      </c>
      <c r="G204" s="20">
        <v>32</v>
      </c>
      <c r="H204" s="11">
        <v>1168.63222764649</v>
      </c>
      <c r="I204" s="10">
        <v>4407855.9476061799</v>
      </c>
      <c r="J204" s="34">
        <f t="shared" si="12"/>
        <v>2.6512486831180391E-4</v>
      </c>
      <c r="K204" s="34">
        <f t="shared" si="13"/>
        <v>2.6508972581973378E-4</v>
      </c>
      <c r="L204" s="34">
        <f t="shared" si="14"/>
        <v>0.99952748351109222</v>
      </c>
      <c r="M204" s="34">
        <f t="shared" si="15"/>
        <v>0.999262519044539</v>
      </c>
    </row>
    <row r="205" spans="1:13" ht="69">
      <c r="A205" t="s">
        <v>164</v>
      </c>
      <c r="B205" t="s">
        <v>115</v>
      </c>
      <c r="C205" s="14" t="s">
        <v>291</v>
      </c>
      <c r="D205" t="s">
        <v>375</v>
      </c>
      <c r="E205" t="s">
        <v>392</v>
      </c>
      <c r="F205" s="20">
        <v>2030</v>
      </c>
      <c r="G205" s="20">
        <v>33</v>
      </c>
      <c r="H205" s="11">
        <v>1473.7668972987001</v>
      </c>
      <c r="I205" s="10">
        <v>4548815.8859110596</v>
      </c>
      <c r="J205" s="34">
        <f t="shared" si="12"/>
        <v>3.2398912909695107E-4</v>
      </c>
      <c r="K205" s="34">
        <f t="shared" si="13"/>
        <v>3.2393665028673801E-4</v>
      </c>
      <c r="L205" s="34">
        <f t="shared" si="14"/>
        <v>0.999262519044539</v>
      </c>
      <c r="M205" s="34">
        <f t="shared" si="15"/>
        <v>0.99893882129136258</v>
      </c>
    </row>
    <row r="206" spans="1:13" ht="69">
      <c r="A206" t="s">
        <v>164</v>
      </c>
      <c r="B206" t="s">
        <v>115</v>
      </c>
      <c r="C206" s="14" t="s">
        <v>291</v>
      </c>
      <c r="D206" t="s">
        <v>375</v>
      </c>
      <c r="E206" t="s">
        <v>392</v>
      </c>
      <c r="F206" s="20">
        <v>2030</v>
      </c>
      <c r="G206" s="20">
        <v>34</v>
      </c>
      <c r="H206" s="11">
        <v>1546.24516893501</v>
      </c>
      <c r="I206" s="10">
        <v>4506006.6020537699</v>
      </c>
      <c r="J206" s="34">
        <f t="shared" si="12"/>
        <v>3.4315199809744062E-4</v>
      </c>
      <c r="K206" s="34">
        <f t="shared" si="13"/>
        <v>3.4309312818447957E-4</v>
      </c>
      <c r="L206" s="34">
        <f t="shared" si="14"/>
        <v>0.99893882129136258</v>
      </c>
      <c r="M206" s="34">
        <f t="shared" si="15"/>
        <v>0.99859609224630086</v>
      </c>
    </row>
    <row r="207" spans="1:13" ht="69">
      <c r="A207" t="s">
        <v>164</v>
      </c>
      <c r="B207" t="s">
        <v>115</v>
      </c>
      <c r="C207" s="14" t="s">
        <v>291</v>
      </c>
      <c r="D207" t="s">
        <v>375</v>
      </c>
      <c r="E207" t="s">
        <v>392</v>
      </c>
      <c r="F207" s="20">
        <v>2030</v>
      </c>
      <c r="G207" s="20">
        <v>35</v>
      </c>
      <c r="H207" s="11">
        <v>2067.6647210988799</v>
      </c>
      <c r="I207" s="10">
        <v>4433001.8383197701</v>
      </c>
      <c r="J207" s="34">
        <f t="shared" si="12"/>
        <v>4.664254147664829E-4</v>
      </c>
      <c r="K207" s="34">
        <f t="shared" si="13"/>
        <v>4.663166553428022E-4</v>
      </c>
      <c r="L207" s="34">
        <f t="shared" si="14"/>
        <v>0.99859609224630086</v>
      </c>
      <c r="M207" s="34">
        <f t="shared" si="15"/>
        <v>0.99813043025652615</v>
      </c>
    </row>
    <row r="208" spans="1:13" ht="69">
      <c r="A208" t="s">
        <v>164</v>
      </c>
      <c r="B208" t="s">
        <v>115</v>
      </c>
      <c r="C208" s="14" t="s">
        <v>291</v>
      </c>
      <c r="D208" t="s">
        <v>375</v>
      </c>
      <c r="E208" t="s">
        <v>392</v>
      </c>
      <c r="F208" s="20">
        <v>2030</v>
      </c>
      <c r="G208" s="20">
        <v>36</v>
      </c>
      <c r="H208" s="11">
        <v>2176.26583863317</v>
      </c>
      <c r="I208" s="10">
        <v>4375261.0099023096</v>
      </c>
      <c r="J208" s="34">
        <f t="shared" si="12"/>
        <v>4.9740251694875722E-4</v>
      </c>
      <c r="K208" s="34">
        <f t="shared" si="13"/>
        <v>4.9727883282457697E-4</v>
      </c>
      <c r="L208" s="34">
        <f t="shared" si="14"/>
        <v>0.99813043025652615</v>
      </c>
      <c r="M208" s="34">
        <f t="shared" si="15"/>
        <v>0.99763408112116148</v>
      </c>
    </row>
    <row r="209" spans="1:13" ht="69">
      <c r="A209" t="s">
        <v>164</v>
      </c>
      <c r="B209" t="s">
        <v>115</v>
      </c>
      <c r="C209" s="14" t="s">
        <v>291</v>
      </c>
      <c r="D209" t="s">
        <v>375</v>
      </c>
      <c r="E209" t="s">
        <v>392</v>
      </c>
      <c r="F209" s="20">
        <v>2030</v>
      </c>
      <c r="G209" s="20">
        <v>37</v>
      </c>
      <c r="H209" s="11">
        <v>2306.6647478833002</v>
      </c>
      <c r="I209" s="10">
        <v>4321584.7482045405</v>
      </c>
      <c r="J209" s="34">
        <f t="shared" si="12"/>
        <v>5.3375437074134312E-4</v>
      </c>
      <c r="K209" s="34">
        <f t="shared" si="13"/>
        <v>5.3361194921774935E-4</v>
      </c>
      <c r="L209" s="34">
        <f t="shared" si="14"/>
        <v>0.99763408112116148</v>
      </c>
      <c r="M209" s="34">
        <f t="shared" si="15"/>
        <v>0.99710173165452831</v>
      </c>
    </row>
    <row r="210" spans="1:13" ht="69">
      <c r="A210" t="s">
        <v>164</v>
      </c>
      <c r="B210" t="s">
        <v>115</v>
      </c>
      <c r="C210" s="14" t="s">
        <v>291</v>
      </c>
      <c r="D210" t="s">
        <v>375</v>
      </c>
      <c r="E210" t="s">
        <v>392</v>
      </c>
      <c r="F210" s="20">
        <v>2030</v>
      </c>
      <c r="G210" s="20">
        <v>38</v>
      </c>
      <c r="H210" s="11">
        <v>2499.87000046407</v>
      </c>
      <c r="I210" s="10">
        <v>4359279.19006267</v>
      </c>
      <c r="J210" s="34">
        <f t="shared" si="12"/>
        <v>5.7345948526598756E-4</v>
      </c>
      <c r="K210" s="34">
        <f t="shared" si="13"/>
        <v>5.7329508880177293E-4</v>
      </c>
      <c r="L210" s="34">
        <f t="shared" si="14"/>
        <v>0.99710173165452831</v>
      </c>
      <c r="M210" s="34">
        <f t="shared" si="15"/>
        <v>0.99653009812873505</v>
      </c>
    </row>
    <row r="211" spans="1:13" ht="69">
      <c r="A211" t="s">
        <v>164</v>
      </c>
      <c r="B211" t="s">
        <v>115</v>
      </c>
      <c r="C211" s="14" t="s">
        <v>291</v>
      </c>
      <c r="D211" t="s">
        <v>375</v>
      </c>
      <c r="E211" t="s">
        <v>392</v>
      </c>
      <c r="F211" s="20">
        <v>2030</v>
      </c>
      <c r="G211" s="20">
        <v>39</v>
      </c>
      <c r="H211" s="11">
        <v>2702.9388710118801</v>
      </c>
      <c r="I211" s="10">
        <v>4377245.4860545797</v>
      </c>
      <c r="J211" s="34">
        <f t="shared" si="12"/>
        <v>6.1749766596896254E-4</v>
      </c>
      <c r="K211" s="34">
        <f t="shared" si="13"/>
        <v>6.1730705352147641E-4</v>
      </c>
      <c r="L211" s="34">
        <f t="shared" si="14"/>
        <v>0.99653009812873505</v>
      </c>
      <c r="M211" s="34">
        <f t="shared" si="15"/>
        <v>0.99591493307011369</v>
      </c>
    </row>
    <row r="212" spans="1:13" ht="69">
      <c r="A212" t="s">
        <v>164</v>
      </c>
      <c r="B212" t="s">
        <v>115</v>
      </c>
      <c r="C212" s="14" t="s">
        <v>291</v>
      </c>
      <c r="D212" t="s">
        <v>375</v>
      </c>
      <c r="E212" t="s">
        <v>392</v>
      </c>
      <c r="F212" s="20">
        <v>2030</v>
      </c>
      <c r="G212" s="20">
        <v>40</v>
      </c>
      <c r="H212" s="11">
        <v>5114.4031952191999</v>
      </c>
      <c r="I212" s="10">
        <v>6445510.7858332898</v>
      </c>
      <c r="J212" s="34">
        <f t="shared" si="12"/>
        <v>7.9348299384747651E-4</v>
      </c>
      <c r="K212" s="34">
        <f t="shared" si="13"/>
        <v>7.9316826946507213E-4</v>
      </c>
      <c r="L212" s="34">
        <f t="shared" si="14"/>
        <v>0.99591493307011369</v>
      </c>
      <c r="M212" s="34">
        <f t="shared" si="15"/>
        <v>0.995125004946116</v>
      </c>
    </row>
    <row r="213" spans="1:13" ht="69">
      <c r="A213" t="s">
        <v>164</v>
      </c>
      <c r="B213" t="s">
        <v>115</v>
      </c>
      <c r="C213" s="14" t="s">
        <v>291</v>
      </c>
      <c r="D213" t="s">
        <v>375</v>
      </c>
      <c r="E213" t="s">
        <v>392</v>
      </c>
      <c r="F213" s="20">
        <v>2030</v>
      </c>
      <c r="G213" s="20">
        <v>41</v>
      </c>
      <c r="H213" s="11">
        <v>3885.0126135559999</v>
      </c>
      <c r="I213" s="10">
        <v>4334866.1728485003</v>
      </c>
      <c r="J213" s="34">
        <f t="shared" si="12"/>
        <v>8.9622434895218566E-4</v>
      </c>
      <c r="K213" s="34">
        <f t="shared" si="13"/>
        <v>8.9582285986078425E-4</v>
      </c>
      <c r="L213" s="34">
        <f t="shared" si="14"/>
        <v>0.995125004946116</v>
      </c>
      <c r="M213" s="34">
        <f t="shared" si="15"/>
        <v>0.99423354921826623</v>
      </c>
    </row>
    <row r="214" spans="1:13" ht="69">
      <c r="A214" t="s">
        <v>164</v>
      </c>
      <c r="B214" t="s">
        <v>115</v>
      </c>
      <c r="C214" s="14" t="s">
        <v>291</v>
      </c>
      <c r="D214" t="s">
        <v>375</v>
      </c>
      <c r="E214" t="s">
        <v>392</v>
      </c>
      <c r="F214" s="20">
        <v>2030</v>
      </c>
      <c r="G214" s="20">
        <v>42</v>
      </c>
      <c r="H214" s="11">
        <v>4198.6231120692</v>
      </c>
      <c r="I214" s="10">
        <v>4318016.5760173099</v>
      </c>
      <c r="J214" s="34">
        <f t="shared" si="12"/>
        <v>9.7234992922184851E-4</v>
      </c>
      <c r="K214" s="34">
        <f t="shared" si="13"/>
        <v>9.7187735021253552E-4</v>
      </c>
      <c r="L214" s="34">
        <f t="shared" si="14"/>
        <v>0.99423354921826623</v>
      </c>
      <c r="M214" s="34">
        <f t="shared" si="15"/>
        <v>0.99326727615095955</v>
      </c>
    </row>
    <row r="215" spans="1:13" ht="69">
      <c r="A215" t="s">
        <v>164</v>
      </c>
      <c r="B215" t="s">
        <v>115</v>
      </c>
      <c r="C215" s="14" t="s">
        <v>291</v>
      </c>
      <c r="D215" t="s">
        <v>375</v>
      </c>
      <c r="E215" t="s">
        <v>392</v>
      </c>
      <c r="F215" s="20">
        <v>2030</v>
      </c>
      <c r="G215" s="20">
        <v>43</v>
      </c>
      <c r="H215" s="11">
        <v>4431.2085415765196</v>
      </c>
      <c r="I215" s="10">
        <v>4185605.4576844601</v>
      </c>
      <c r="J215" s="34">
        <f t="shared" si="12"/>
        <v>1.0586780303053051E-3</v>
      </c>
      <c r="K215" s="34">
        <f t="shared" si="13"/>
        <v>1.0581178284279069E-3</v>
      </c>
      <c r="L215" s="34">
        <f t="shared" si="14"/>
        <v>0.99326727615095955</v>
      </c>
      <c r="M215" s="34">
        <f t="shared" si="15"/>
        <v>0.99221628233767023</v>
      </c>
    </row>
    <row r="216" spans="1:13" ht="69">
      <c r="A216" t="s">
        <v>164</v>
      </c>
      <c r="B216" t="s">
        <v>115</v>
      </c>
      <c r="C216" s="14" t="s">
        <v>291</v>
      </c>
      <c r="D216" t="s">
        <v>375</v>
      </c>
      <c r="E216" t="s">
        <v>392</v>
      </c>
      <c r="F216" s="20">
        <v>2030</v>
      </c>
      <c r="G216" s="20">
        <v>44</v>
      </c>
      <c r="H216" s="11">
        <v>4797.7479329215303</v>
      </c>
      <c r="I216" s="10">
        <v>4150811.41104877</v>
      </c>
      <c r="J216" s="34">
        <f t="shared" si="12"/>
        <v>1.1558578450831861E-3</v>
      </c>
      <c r="K216" s="34">
        <f t="shared" si="13"/>
        <v>1.1551900987022412E-3</v>
      </c>
      <c r="L216" s="34">
        <f t="shared" si="14"/>
        <v>0.99221628233767023</v>
      </c>
      <c r="M216" s="34">
        <f t="shared" si="15"/>
        <v>0.99107008391254259</v>
      </c>
    </row>
    <row r="217" spans="1:13" ht="69">
      <c r="A217" t="s">
        <v>164</v>
      </c>
      <c r="B217" t="s">
        <v>115</v>
      </c>
      <c r="C217" s="14" t="s">
        <v>291</v>
      </c>
      <c r="D217" t="s">
        <v>375</v>
      </c>
      <c r="E217" t="s">
        <v>392</v>
      </c>
      <c r="F217" s="20">
        <v>2030</v>
      </c>
      <c r="G217" s="20">
        <v>45</v>
      </c>
      <c r="H217" s="11">
        <v>6296.1099732142802</v>
      </c>
      <c r="I217" s="10">
        <v>4209511.8476605499</v>
      </c>
      <c r="J217" s="34">
        <f t="shared" si="12"/>
        <v>1.4956864836271606E-3</v>
      </c>
      <c r="K217" s="34">
        <f t="shared" si="13"/>
        <v>1.4945685020513189E-3</v>
      </c>
      <c r="L217" s="34">
        <f t="shared" si="14"/>
        <v>0.99107008391254259</v>
      </c>
      <c r="M217" s="34">
        <f t="shared" si="15"/>
        <v>0.9895888617818015</v>
      </c>
    </row>
    <row r="218" spans="1:13" ht="69">
      <c r="A218" t="s">
        <v>164</v>
      </c>
      <c r="B218" t="s">
        <v>115</v>
      </c>
      <c r="C218" s="14" t="s">
        <v>291</v>
      </c>
      <c r="D218" t="s">
        <v>375</v>
      </c>
      <c r="E218" t="s">
        <v>392</v>
      </c>
      <c r="F218" s="20">
        <v>2030</v>
      </c>
      <c r="G218" s="20">
        <v>46</v>
      </c>
      <c r="H218" s="11">
        <v>7012.1506221756299</v>
      </c>
      <c r="I218" s="10">
        <v>4292146.9061658802</v>
      </c>
      <c r="J218" s="34">
        <f t="shared" si="12"/>
        <v>1.6337163604773944E-3</v>
      </c>
      <c r="K218" s="34">
        <f t="shared" si="13"/>
        <v>1.6323825723468799E-3</v>
      </c>
      <c r="L218" s="34">
        <f t="shared" si="14"/>
        <v>0.9895888617818015</v>
      </c>
      <c r="M218" s="34">
        <f t="shared" si="15"/>
        <v>0.98797347417004033</v>
      </c>
    </row>
    <row r="219" spans="1:13" ht="69">
      <c r="A219" t="s">
        <v>164</v>
      </c>
      <c r="B219" t="s">
        <v>115</v>
      </c>
      <c r="C219" s="14" t="s">
        <v>291</v>
      </c>
      <c r="D219" t="s">
        <v>375</v>
      </c>
      <c r="E219" t="s">
        <v>392</v>
      </c>
      <c r="F219" s="20">
        <v>2030</v>
      </c>
      <c r="G219" s="20">
        <v>47</v>
      </c>
      <c r="H219" s="11">
        <v>7643.5162078103904</v>
      </c>
      <c r="I219" s="10">
        <v>4266857.5451653404</v>
      </c>
      <c r="J219" s="34">
        <f t="shared" si="12"/>
        <v>1.7913689704665791E-3</v>
      </c>
      <c r="K219" s="34">
        <f t="shared" si="13"/>
        <v>1.7897654267281515E-3</v>
      </c>
      <c r="L219" s="34">
        <f t="shared" si="14"/>
        <v>0.98797347417004033</v>
      </c>
      <c r="M219" s="34">
        <f t="shared" si="15"/>
        <v>0.98620523340344635</v>
      </c>
    </row>
    <row r="220" spans="1:13" ht="69">
      <c r="A220" t="s">
        <v>164</v>
      </c>
      <c r="B220" t="s">
        <v>115</v>
      </c>
      <c r="C220" s="14" t="s">
        <v>291</v>
      </c>
      <c r="D220" t="s">
        <v>375</v>
      </c>
      <c r="E220" t="s">
        <v>392</v>
      </c>
      <c r="F220" s="20">
        <v>2030</v>
      </c>
      <c r="G220" s="20">
        <v>48</v>
      </c>
      <c r="H220" s="11">
        <v>8114.1343581704105</v>
      </c>
      <c r="I220" s="10">
        <v>4129258.5324291401</v>
      </c>
      <c r="J220" s="34">
        <f t="shared" si="12"/>
        <v>1.9650342293770274E-3</v>
      </c>
      <c r="K220" s="34">
        <f t="shared" si="13"/>
        <v>1.9631048136119489E-3</v>
      </c>
      <c r="L220" s="34">
        <f t="shared" si="14"/>
        <v>0.98620523340344635</v>
      </c>
      <c r="M220" s="34">
        <f t="shared" si="15"/>
        <v>0.98426920916254279</v>
      </c>
    </row>
    <row r="221" spans="1:13" ht="69">
      <c r="A221" t="s">
        <v>164</v>
      </c>
      <c r="B221" t="s">
        <v>115</v>
      </c>
      <c r="C221" s="14" t="s">
        <v>291</v>
      </c>
      <c r="D221" t="s">
        <v>375</v>
      </c>
      <c r="E221" t="s">
        <v>392</v>
      </c>
      <c r="F221" s="20">
        <v>2030</v>
      </c>
      <c r="G221" s="20">
        <v>49</v>
      </c>
      <c r="H221" s="11">
        <v>8725.2886908902892</v>
      </c>
      <c r="I221" s="10">
        <v>4053774.3116898001</v>
      </c>
      <c r="J221" s="34">
        <f t="shared" si="12"/>
        <v>2.1523863984557112E-3</v>
      </c>
      <c r="K221" s="34">
        <f t="shared" si="13"/>
        <v>2.1500716758752203E-3</v>
      </c>
      <c r="L221" s="34">
        <f t="shared" si="14"/>
        <v>0.98426920916254279</v>
      </c>
      <c r="M221" s="34">
        <f t="shared" si="15"/>
        <v>0.98215295981448636</v>
      </c>
    </row>
    <row r="222" spans="1:13" ht="69">
      <c r="A222" t="s">
        <v>164</v>
      </c>
      <c r="B222" t="s">
        <v>115</v>
      </c>
      <c r="C222" s="14" t="s">
        <v>291</v>
      </c>
      <c r="D222" t="s">
        <v>375</v>
      </c>
      <c r="E222" t="s">
        <v>392</v>
      </c>
      <c r="F222" s="20">
        <v>2030</v>
      </c>
      <c r="G222" s="20">
        <v>50</v>
      </c>
      <c r="H222" s="11">
        <v>10013.882120214599</v>
      </c>
      <c r="I222" s="10">
        <v>3993952.0657110098</v>
      </c>
      <c r="J222" s="34">
        <f t="shared" si="12"/>
        <v>2.5072614682049047E-3</v>
      </c>
      <c r="K222" s="34">
        <f t="shared" si="13"/>
        <v>2.5041209134488707E-3</v>
      </c>
      <c r="L222" s="34">
        <f t="shared" si="14"/>
        <v>0.98215295981448636</v>
      </c>
      <c r="M222" s="34">
        <f t="shared" si="15"/>
        <v>0.97969353004760917</v>
      </c>
    </row>
    <row r="223" spans="1:13" ht="69">
      <c r="A223" t="s">
        <v>164</v>
      </c>
      <c r="B223" t="s">
        <v>115</v>
      </c>
      <c r="C223" s="14" t="s">
        <v>291</v>
      </c>
      <c r="D223" t="s">
        <v>375</v>
      </c>
      <c r="E223" t="s">
        <v>392</v>
      </c>
      <c r="F223" s="20">
        <v>2030</v>
      </c>
      <c r="G223" s="20">
        <v>51</v>
      </c>
      <c r="H223" s="11">
        <v>10734.4101662379</v>
      </c>
      <c r="I223" s="10">
        <v>3927700.93746363</v>
      </c>
      <c r="J223" s="34">
        <f t="shared" si="12"/>
        <v>2.7330008921630884E-3</v>
      </c>
      <c r="K223" s="34">
        <f t="shared" si="13"/>
        <v>2.7292696451659548E-3</v>
      </c>
      <c r="L223" s="34">
        <f t="shared" si="14"/>
        <v>0.97969353004760917</v>
      </c>
      <c r="M223" s="34">
        <f t="shared" si="15"/>
        <v>0.97701968223448477</v>
      </c>
    </row>
    <row r="224" spans="1:13" ht="69">
      <c r="A224" t="s">
        <v>164</v>
      </c>
      <c r="B224" t="s">
        <v>115</v>
      </c>
      <c r="C224" s="14" t="s">
        <v>291</v>
      </c>
      <c r="D224" t="s">
        <v>375</v>
      </c>
      <c r="E224" t="s">
        <v>392</v>
      </c>
      <c r="F224" s="20">
        <v>2030</v>
      </c>
      <c r="G224" s="20">
        <v>52</v>
      </c>
      <c r="H224" s="11">
        <v>11478.080409309099</v>
      </c>
      <c r="I224" s="10">
        <v>3842793.72216667</v>
      </c>
      <c r="J224" s="34">
        <f t="shared" si="12"/>
        <v>2.9869103676055373E-3</v>
      </c>
      <c r="K224" s="34">
        <f t="shared" si="13"/>
        <v>2.9824539888723134E-3</v>
      </c>
      <c r="L224" s="34">
        <f t="shared" si="14"/>
        <v>0.97701968223448477</v>
      </c>
      <c r="M224" s="34">
        <f t="shared" si="15"/>
        <v>0.97410576598599774</v>
      </c>
    </row>
    <row r="225" spans="1:13" ht="69">
      <c r="A225" t="s">
        <v>164</v>
      </c>
      <c r="B225" t="s">
        <v>115</v>
      </c>
      <c r="C225" s="14" t="s">
        <v>291</v>
      </c>
      <c r="D225" t="s">
        <v>375</v>
      </c>
      <c r="E225" t="s">
        <v>392</v>
      </c>
      <c r="F225" s="20">
        <v>2030</v>
      </c>
      <c r="G225" s="20">
        <v>53</v>
      </c>
      <c r="H225" s="11">
        <v>12332.8146896323</v>
      </c>
      <c r="I225" s="10">
        <v>3774731.3958632099</v>
      </c>
      <c r="J225" s="34">
        <f t="shared" si="12"/>
        <v>3.267203251375193E-3</v>
      </c>
      <c r="K225" s="34">
        <f t="shared" si="13"/>
        <v>3.2618717507781891E-3</v>
      </c>
      <c r="L225" s="34">
        <f t="shared" si="14"/>
        <v>0.97410576598599774</v>
      </c>
      <c r="M225" s="34">
        <f t="shared" si="15"/>
        <v>0.9709283579056579</v>
      </c>
    </row>
    <row r="226" spans="1:13" ht="69">
      <c r="A226" t="s">
        <v>164</v>
      </c>
      <c r="B226" t="s">
        <v>115</v>
      </c>
      <c r="C226" s="14" t="s">
        <v>291</v>
      </c>
      <c r="D226" t="s">
        <v>375</v>
      </c>
      <c r="E226" t="s">
        <v>392</v>
      </c>
      <c r="F226" s="20">
        <v>2030</v>
      </c>
      <c r="G226" s="20">
        <v>54</v>
      </c>
      <c r="H226" s="11">
        <v>13188.456271694</v>
      </c>
      <c r="I226" s="10">
        <v>3694747.7166451002</v>
      </c>
      <c r="J226" s="34">
        <f t="shared" si="12"/>
        <v>3.5695146957609772E-3</v>
      </c>
      <c r="K226" s="34">
        <f t="shared" si="13"/>
        <v>3.5631515515431866E-3</v>
      </c>
      <c r="L226" s="34">
        <f t="shared" si="14"/>
        <v>0.9709283579056579</v>
      </c>
      <c r="M226" s="34">
        <f t="shared" si="15"/>
        <v>0.96746879302074906</v>
      </c>
    </row>
    <row r="227" spans="1:13" ht="69">
      <c r="A227" t="s">
        <v>164</v>
      </c>
      <c r="B227" t="s">
        <v>115</v>
      </c>
      <c r="C227" s="14" t="s">
        <v>291</v>
      </c>
      <c r="D227" t="s">
        <v>375</v>
      </c>
      <c r="E227" t="s">
        <v>392</v>
      </c>
      <c r="F227" s="20">
        <v>2030</v>
      </c>
      <c r="G227" s="20">
        <v>55</v>
      </c>
      <c r="H227" s="11">
        <v>14235.929866962</v>
      </c>
      <c r="I227" s="10">
        <v>3613879.23158528</v>
      </c>
      <c r="J227" s="34">
        <f t="shared" si="12"/>
        <v>3.9392378534789073E-3</v>
      </c>
      <c r="K227" s="34">
        <f t="shared" si="13"/>
        <v>3.9314892339367136E-3</v>
      </c>
      <c r="L227" s="34">
        <f t="shared" si="14"/>
        <v>0.96746879302074906</v>
      </c>
      <c r="M227" s="34">
        <f t="shared" si="15"/>
        <v>0.9636651998768182</v>
      </c>
    </row>
    <row r="228" spans="1:13" ht="69">
      <c r="A228" t="s">
        <v>164</v>
      </c>
      <c r="B228" t="s">
        <v>115</v>
      </c>
      <c r="C228" s="14" t="s">
        <v>291</v>
      </c>
      <c r="D228" t="s">
        <v>375</v>
      </c>
      <c r="E228" t="s">
        <v>392</v>
      </c>
      <c r="F228" s="20">
        <v>2030</v>
      </c>
      <c r="G228" s="20">
        <v>56</v>
      </c>
      <c r="H228" s="11">
        <v>15048.7038814028</v>
      </c>
      <c r="I228" s="10">
        <v>3505173.3897297001</v>
      </c>
      <c r="J228" s="34">
        <f t="shared" si="12"/>
        <v>4.2932837289864495E-3</v>
      </c>
      <c r="K228" s="34">
        <f t="shared" si="13"/>
        <v>4.2840807614252796E-3</v>
      </c>
      <c r="L228" s="34">
        <f t="shared" si="14"/>
        <v>0.9636651998768182</v>
      </c>
      <c r="M228" s="34">
        <f t="shared" si="15"/>
        <v>0.95953678033357093</v>
      </c>
    </row>
    <row r="229" spans="1:13" ht="69">
      <c r="A229" t="s">
        <v>164</v>
      </c>
      <c r="B229" t="s">
        <v>115</v>
      </c>
      <c r="C229" s="14" t="s">
        <v>291</v>
      </c>
      <c r="D229" t="s">
        <v>375</v>
      </c>
      <c r="E229" t="s">
        <v>392</v>
      </c>
      <c r="F229" s="20">
        <v>2030</v>
      </c>
      <c r="G229" s="20">
        <v>57</v>
      </c>
      <c r="H229" s="11">
        <v>16216.9698885282</v>
      </c>
      <c r="I229" s="10">
        <v>3456137.6914527598</v>
      </c>
      <c r="J229" s="34">
        <f t="shared" si="12"/>
        <v>4.6922233245028861E-3</v>
      </c>
      <c r="K229" s="34">
        <f t="shared" si="13"/>
        <v>4.6812320425425602E-3</v>
      </c>
      <c r="L229" s="34">
        <f t="shared" si="14"/>
        <v>0.95953678033357093</v>
      </c>
      <c r="M229" s="34">
        <f t="shared" si="15"/>
        <v>0.95504496601147526</v>
      </c>
    </row>
    <row r="230" spans="1:13" ht="69">
      <c r="A230" t="s">
        <v>164</v>
      </c>
      <c r="B230" t="s">
        <v>115</v>
      </c>
      <c r="C230" s="14" t="s">
        <v>291</v>
      </c>
      <c r="D230" t="s">
        <v>375</v>
      </c>
      <c r="E230" t="s">
        <v>392</v>
      </c>
      <c r="F230" s="20">
        <v>2030</v>
      </c>
      <c r="G230" s="20">
        <v>58</v>
      </c>
      <c r="H230" s="11">
        <v>16669.360994443199</v>
      </c>
      <c r="I230" s="10">
        <v>3245350.6194636002</v>
      </c>
      <c r="J230" s="34">
        <f t="shared" si="12"/>
        <v>5.1363821506590721E-3</v>
      </c>
      <c r="K230" s="34">
        <f t="shared" si="13"/>
        <v>5.12321349592193E-3</v>
      </c>
      <c r="L230" s="34">
        <f t="shared" si="14"/>
        <v>0.95504496601147526</v>
      </c>
      <c r="M230" s="34">
        <f t="shared" si="15"/>
        <v>0.95015206675239294</v>
      </c>
    </row>
    <row r="231" spans="1:13" ht="69">
      <c r="A231" t="s">
        <v>164</v>
      </c>
      <c r="B231" t="s">
        <v>115</v>
      </c>
      <c r="C231" s="14" t="s">
        <v>291</v>
      </c>
      <c r="D231" t="s">
        <v>375</v>
      </c>
      <c r="E231" t="s">
        <v>392</v>
      </c>
      <c r="F231" s="20">
        <v>2030</v>
      </c>
      <c r="G231" s="20">
        <v>59</v>
      </c>
      <c r="H231" s="11">
        <v>17719.591840045599</v>
      </c>
      <c r="I231" s="10">
        <v>3154268.82438424</v>
      </c>
      <c r="J231" s="34">
        <f t="shared" si="12"/>
        <v>5.6176543048783185E-3</v>
      </c>
      <c r="K231" s="34">
        <f t="shared" si="13"/>
        <v>5.6019047905104813E-3</v>
      </c>
      <c r="L231" s="34">
        <f t="shared" si="14"/>
        <v>0.95015206675239294</v>
      </c>
      <c r="M231" s="34">
        <f t="shared" si="15"/>
        <v>0.94482940533793924</v>
      </c>
    </row>
    <row r="232" spans="1:13" ht="69">
      <c r="A232" t="s">
        <v>164</v>
      </c>
      <c r="B232" t="s">
        <v>115</v>
      </c>
      <c r="C232" s="14" t="s">
        <v>291</v>
      </c>
      <c r="D232" t="s">
        <v>375</v>
      </c>
      <c r="E232" t="s">
        <v>392</v>
      </c>
      <c r="F232" s="20">
        <v>2030</v>
      </c>
      <c r="G232" s="20">
        <v>60</v>
      </c>
      <c r="H232" s="11">
        <v>19195.753094052201</v>
      </c>
      <c r="I232" s="10">
        <v>3067292.9455840602</v>
      </c>
      <c r="J232" s="34">
        <f t="shared" si="12"/>
        <v>6.2582066449466669E-3</v>
      </c>
      <c r="K232" s="34">
        <f t="shared" si="13"/>
        <v>6.2386648565090352E-3</v>
      </c>
      <c r="L232" s="34">
        <f t="shared" si="14"/>
        <v>0.94482940533793924</v>
      </c>
      <c r="M232" s="34">
        <f t="shared" si="15"/>
        <v>0.93893493133146111</v>
      </c>
    </row>
    <row r="233" spans="1:13" ht="69">
      <c r="A233" t="s">
        <v>164</v>
      </c>
      <c r="B233" t="s">
        <v>115</v>
      </c>
      <c r="C233" s="14" t="s">
        <v>291</v>
      </c>
      <c r="D233" t="s">
        <v>375</v>
      </c>
      <c r="E233" t="s">
        <v>392</v>
      </c>
      <c r="F233" s="20">
        <v>2030</v>
      </c>
      <c r="G233" s="20">
        <v>61</v>
      </c>
      <c r="H233" s="11">
        <v>20295.856474041699</v>
      </c>
      <c r="I233" s="10">
        <v>2970463.6873457502</v>
      </c>
      <c r="J233" s="34">
        <f t="shared" si="12"/>
        <v>6.8325549847663702E-3</v>
      </c>
      <c r="K233" s="34">
        <f t="shared" si="13"/>
        <v>6.8092661518867059E-3</v>
      </c>
      <c r="L233" s="34">
        <f t="shared" si="14"/>
        <v>0.93893493133146111</v>
      </c>
      <c r="M233" s="34">
        <f t="shared" si="15"/>
        <v>0.93254147348472172</v>
      </c>
    </row>
    <row r="234" spans="1:13" ht="69">
      <c r="A234" t="s">
        <v>164</v>
      </c>
      <c r="B234" t="s">
        <v>115</v>
      </c>
      <c r="C234" s="14" t="s">
        <v>291</v>
      </c>
      <c r="D234" t="s">
        <v>375</v>
      </c>
      <c r="E234" t="s">
        <v>392</v>
      </c>
      <c r="F234" s="20">
        <v>2030</v>
      </c>
      <c r="G234" s="20">
        <v>62</v>
      </c>
      <c r="H234" s="11">
        <v>21353.155317118399</v>
      </c>
      <c r="I234" s="10">
        <v>2854684.3603685098</v>
      </c>
      <c r="J234" s="34">
        <f t="shared" si="12"/>
        <v>7.4800407406029048E-3</v>
      </c>
      <c r="K234" s="34">
        <f t="shared" si="13"/>
        <v>7.4521348582574642E-3</v>
      </c>
      <c r="L234" s="34">
        <f t="shared" si="14"/>
        <v>0.93254147348472172</v>
      </c>
      <c r="M234" s="34">
        <f t="shared" si="15"/>
        <v>0.92559204866339539</v>
      </c>
    </row>
    <row r="235" spans="1:13" ht="69">
      <c r="A235" t="s">
        <v>164</v>
      </c>
      <c r="B235" t="s">
        <v>115</v>
      </c>
      <c r="C235" s="14" t="s">
        <v>291</v>
      </c>
      <c r="D235" t="s">
        <v>375</v>
      </c>
      <c r="E235" t="s">
        <v>392</v>
      </c>
      <c r="F235" s="20">
        <v>2030</v>
      </c>
      <c r="G235" s="20">
        <v>63</v>
      </c>
      <c r="H235" s="11">
        <v>22210.244975736801</v>
      </c>
      <c r="I235" s="10">
        <v>2708426.3549352498</v>
      </c>
      <c r="J235" s="34">
        <f t="shared" si="12"/>
        <v>8.2004241818374197E-3</v>
      </c>
      <c r="K235" s="34">
        <f t="shared" si="13"/>
        <v>8.1668924242703778E-3</v>
      </c>
      <c r="L235" s="34">
        <f t="shared" si="14"/>
        <v>0.92559204866339539</v>
      </c>
      <c r="M235" s="34">
        <f t="shared" si="15"/>
        <v>0.91803283797320145</v>
      </c>
    </row>
    <row r="236" spans="1:13" ht="69">
      <c r="A236" t="s">
        <v>164</v>
      </c>
      <c r="B236" t="s">
        <v>115</v>
      </c>
      <c r="C236" s="14" t="s">
        <v>291</v>
      </c>
      <c r="D236" t="s">
        <v>375</v>
      </c>
      <c r="E236" t="s">
        <v>392</v>
      </c>
      <c r="F236" s="20">
        <v>2030</v>
      </c>
      <c r="G236" s="20">
        <v>64</v>
      </c>
      <c r="H236" s="11">
        <v>23337.337663231599</v>
      </c>
      <c r="I236" s="10">
        <v>2597629.15234851</v>
      </c>
      <c r="J236" s="34">
        <f t="shared" si="12"/>
        <v>8.9840913750649787E-3</v>
      </c>
      <c r="K236" s="34">
        <f t="shared" si="13"/>
        <v>8.9438550120258808E-3</v>
      </c>
      <c r="L236" s="34">
        <f t="shared" si="14"/>
        <v>0.91803283797320145</v>
      </c>
      <c r="M236" s="34">
        <f t="shared" si="15"/>
        <v>0.90982208537409048</v>
      </c>
    </row>
    <row r="237" spans="1:13" ht="69">
      <c r="A237" t="s">
        <v>164</v>
      </c>
      <c r="B237" t="s">
        <v>115</v>
      </c>
      <c r="C237" s="14" t="s">
        <v>291</v>
      </c>
      <c r="D237" t="s">
        <v>375</v>
      </c>
      <c r="E237" t="s">
        <v>392</v>
      </c>
      <c r="F237" s="20">
        <v>2030</v>
      </c>
      <c r="G237" s="20">
        <v>65</v>
      </c>
      <c r="H237" s="11">
        <v>23569.973175548399</v>
      </c>
      <c r="I237" s="10">
        <v>2465873.5613431698</v>
      </c>
      <c r="J237" s="34">
        <f t="shared" si="12"/>
        <v>9.5584678570095685E-3</v>
      </c>
      <c r="K237" s="34">
        <f t="shared" si="13"/>
        <v>9.5129309064433398E-3</v>
      </c>
      <c r="L237" s="34">
        <f t="shared" si="14"/>
        <v>0.90982208537409048</v>
      </c>
      <c r="M237" s="34">
        <f t="shared" si="15"/>
        <v>0.90116701073877059</v>
      </c>
    </row>
    <row r="238" spans="1:13" ht="69">
      <c r="A238" t="s">
        <v>164</v>
      </c>
      <c r="B238" t="s">
        <v>115</v>
      </c>
      <c r="C238" s="14" t="s">
        <v>291</v>
      </c>
      <c r="D238" t="s">
        <v>375</v>
      </c>
      <c r="E238" t="s">
        <v>392</v>
      </c>
      <c r="F238" s="20">
        <v>2030</v>
      </c>
      <c r="G238" s="20">
        <v>66</v>
      </c>
      <c r="H238" s="11">
        <v>24426.329718398501</v>
      </c>
      <c r="I238" s="10">
        <v>2334615.7341954601</v>
      </c>
      <c r="J238" s="34">
        <f t="shared" si="12"/>
        <v>1.0462676731173553E-2</v>
      </c>
      <c r="K238" s="34">
        <f t="shared" si="13"/>
        <v>1.040813331808732E-2</v>
      </c>
      <c r="L238" s="34">
        <f t="shared" si="14"/>
        <v>0.90116701073877059</v>
      </c>
      <c r="M238" s="34">
        <f t="shared" si="15"/>
        <v>0.89178754434913921</v>
      </c>
    </row>
    <row r="239" spans="1:13" ht="69">
      <c r="A239" t="s">
        <v>164</v>
      </c>
      <c r="B239" t="s">
        <v>115</v>
      </c>
      <c r="C239" s="14" t="s">
        <v>291</v>
      </c>
      <c r="D239" t="s">
        <v>375</v>
      </c>
      <c r="E239" t="s">
        <v>392</v>
      </c>
      <c r="F239" s="20">
        <v>2030</v>
      </c>
      <c r="G239" s="20">
        <v>67</v>
      </c>
      <c r="H239" s="11">
        <v>25345.155989696101</v>
      </c>
      <c r="I239" s="10">
        <v>2207917.95798918</v>
      </c>
      <c r="J239" s="34">
        <f t="shared" si="12"/>
        <v>1.1479210945310091E-2</v>
      </c>
      <c r="K239" s="34">
        <f t="shared" si="13"/>
        <v>1.1413576188481156E-2</v>
      </c>
      <c r="L239" s="34">
        <f t="shared" si="14"/>
        <v>0.89178754434913921</v>
      </c>
      <c r="M239" s="34">
        <f t="shared" si="15"/>
        <v>0.88160905926777178</v>
      </c>
    </row>
    <row r="240" spans="1:13" ht="69">
      <c r="A240" t="s">
        <v>164</v>
      </c>
      <c r="B240" t="s">
        <v>115</v>
      </c>
      <c r="C240" s="14" t="s">
        <v>291</v>
      </c>
      <c r="D240" t="s">
        <v>375</v>
      </c>
      <c r="E240" t="s">
        <v>392</v>
      </c>
      <c r="F240" s="20">
        <v>2030</v>
      </c>
      <c r="G240" s="20">
        <v>68</v>
      </c>
      <c r="H240" s="11">
        <v>26008.149627869599</v>
      </c>
      <c r="I240" s="10">
        <v>2056836.0827656901</v>
      </c>
      <c r="J240" s="34">
        <f t="shared" si="12"/>
        <v>1.264473617795453E-2</v>
      </c>
      <c r="K240" s="34">
        <f t="shared" si="13"/>
        <v>1.2565127398726839E-2</v>
      </c>
      <c r="L240" s="34">
        <f t="shared" si="14"/>
        <v>0.88160905926777178</v>
      </c>
      <c r="M240" s="34">
        <f t="shared" si="15"/>
        <v>0.87053152912220055</v>
      </c>
    </row>
    <row r="241" spans="1:13" ht="69">
      <c r="A241" t="s">
        <v>164</v>
      </c>
      <c r="B241" t="s">
        <v>115</v>
      </c>
      <c r="C241" s="14" t="s">
        <v>291</v>
      </c>
      <c r="D241" t="s">
        <v>375</v>
      </c>
      <c r="E241" t="s">
        <v>392</v>
      </c>
      <c r="F241" s="20">
        <v>2030</v>
      </c>
      <c r="G241" s="20">
        <v>69</v>
      </c>
      <c r="H241" s="11">
        <v>26805.394818843099</v>
      </c>
      <c r="I241" s="10">
        <v>1930186.31291451</v>
      </c>
      <c r="J241" s="34">
        <f t="shared" si="12"/>
        <v>1.3887464976563813E-2</v>
      </c>
      <c r="K241" s="34">
        <f t="shared" si="13"/>
        <v>1.3791478982615346E-2</v>
      </c>
      <c r="L241" s="34">
        <f t="shared" si="14"/>
        <v>0.87053152912220055</v>
      </c>
      <c r="M241" s="34">
        <f t="shared" si="15"/>
        <v>0.85852561183460774</v>
      </c>
    </row>
    <row r="242" spans="1:13" ht="69">
      <c r="A242" t="s">
        <v>164</v>
      </c>
      <c r="B242" t="s">
        <v>115</v>
      </c>
      <c r="C242" s="14" t="s">
        <v>291</v>
      </c>
      <c r="D242" t="s">
        <v>375</v>
      </c>
      <c r="E242" t="s">
        <v>392</v>
      </c>
      <c r="F242" s="20">
        <v>2031</v>
      </c>
      <c r="G242" s="20">
        <v>30</v>
      </c>
      <c r="H242" s="11">
        <v>957.56764000478199</v>
      </c>
      <c r="I242" s="10">
        <v>4340985.4682701901</v>
      </c>
      <c r="J242" s="34">
        <f t="shared" si="12"/>
        <v>2.2058761702935546E-4</v>
      </c>
      <c r="K242" s="34">
        <f t="shared" si="13"/>
        <v>2.2056328936981284E-4</v>
      </c>
      <c r="L242" s="34">
        <f t="shared" si="14"/>
        <v>1</v>
      </c>
      <c r="M242" s="34">
        <f t="shared" si="15"/>
        <v>0.99977943671063019</v>
      </c>
    </row>
    <row r="243" spans="1:13" ht="69">
      <c r="A243" t="s">
        <v>164</v>
      </c>
      <c r="B243" t="s">
        <v>115</v>
      </c>
      <c r="C243" s="14" t="s">
        <v>291</v>
      </c>
      <c r="D243" t="s">
        <v>375</v>
      </c>
      <c r="E243" t="s">
        <v>392</v>
      </c>
      <c r="F243" s="20">
        <v>2031</v>
      </c>
      <c r="G243" s="20">
        <v>31</v>
      </c>
      <c r="H243" s="11">
        <v>1090.2149501886499</v>
      </c>
      <c r="I243" s="10">
        <v>4321258.1271716999</v>
      </c>
      <c r="J243" s="34">
        <f t="shared" si="12"/>
        <v>2.5229109627436324E-4</v>
      </c>
      <c r="K243" s="34">
        <f t="shared" si="13"/>
        <v>2.5225927355199129E-4</v>
      </c>
      <c r="L243" s="34">
        <f t="shared" si="14"/>
        <v>0.99977943671063019</v>
      </c>
      <c r="M243" s="34">
        <f t="shared" si="15"/>
        <v>0.99952723307621338</v>
      </c>
    </row>
    <row r="244" spans="1:13" ht="69">
      <c r="A244" t="s">
        <v>164</v>
      </c>
      <c r="B244" t="s">
        <v>115</v>
      </c>
      <c r="C244" s="14" t="s">
        <v>291</v>
      </c>
      <c r="D244" t="s">
        <v>375</v>
      </c>
      <c r="E244" t="s">
        <v>392</v>
      </c>
      <c r="F244" s="20">
        <v>2031</v>
      </c>
      <c r="G244" s="20">
        <v>32</v>
      </c>
      <c r="H244" s="11">
        <v>1151.38443334212</v>
      </c>
      <c r="I244" s="10">
        <v>4341803.7981904699</v>
      </c>
      <c r="J244" s="34">
        <f t="shared" si="12"/>
        <v>2.6518573543603735E-4</v>
      </c>
      <c r="K244" s="34">
        <f t="shared" si="13"/>
        <v>2.6515057680687182E-4</v>
      </c>
      <c r="L244" s="34">
        <f t="shared" si="14"/>
        <v>0.99952723307621338</v>
      </c>
      <c r="M244" s="34">
        <f t="shared" si="15"/>
        <v>0.99926220785382902</v>
      </c>
    </row>
    <row r="245" spans="1:13" ht="69">
      <c r="A245" t="s">
        <v>164</v>
      </c>
      <c r="B245" t="s">
        <v>115</v>
      </c>
      <c r="C245" s="14" t="s">
        <v>291</v>
      </c>
      <c r="D245" t="s">
        <v>375</v>
      </c>
      <c r="E245" t="s">
        <v>392</v>
      </c>
      <c r="F245" s="20">
        <v>2031</v>
      </c>
      <c r="G245" s="20">
        <v>33</v>
      </c>
      <c r="H245" s="11">
        <v>1235.5434059470799</v>
      </c>
      <c r="I245" s="10">
        <v>4401744.5774262901</v>
      </c>
      <c r="J245" s="34">
        <f t="shared" si="12"/>
        <v>2.8069402579227007E-4</v>
      </c>
      <c r="K245" s="34">
        <f t="shared" si="13"/>
        <v>2.8065463490989373E-4</v>
      </c>
      <c r="L245" s="34">
        <f t="shared" si="14"/>
        <v>0.99926220785382902</v>
      </c>
      <c r="M245" s="34">
        <f t="shared" si="15"/>
        <v>0.99898176028370456</v>
      </c>
    </row>
    <row r="246" spans="1:13" ht="69">
      <c r="A246" t="s">
        <v>164</v>
      </c>
      <c r="B246" t="s">
        <v>115</v>
      </c>
      <c r="C246" s="14" t="s">
        <v>291</v>
      </c>
      <c r="D246" t="s">
        <v>375</v>
      </c>
      <c r="E246" t="s">
        <v>392</v>
      </c>
      <c r="F246" s="20">
        <v>2031</v>
      </c>
      <c r="G246" s="20">
        <v>34</v>
      </c>
      <c r="H246" s="11">
        <v>1561.24626246299</v>
      </c>
      <c r="I246" s="10">
        <v>4541983.4675756898</v>
      </c>
      <c r="J246" s="34">
        <f t="shared" si="12"/>
        <v>3.4373666782550272E-4</v>
      </c>
      <c r="K246" s="34">
        <f t="shared" si="13"/>
        <v>3.4367759714559742E-4</v>
      </c>
      <c r="L246" s="34">
        <f t="shared" si="14"/>
        <v>0.99898176028370456</v>
      </c>
      <c r="M246" s="34">
        <f t="shared" si="15"/>
        <v>0.99863843263273799</v>
      </c>
    </row>
    <row r="247" spans="1:13" ht="69">
      <c r="A247" t="s">
        <v>164</v>
      </c>
      <c r="B247" t="s">
        <v>115</v>
      </c>
      <c r="C247" s="14" t="s">
        <v>291</v>
      </c>
      <c r="D247" t="s">
        <v>375</v>
      </c>
      <c r="E247" t="s">
        <v>392</v>
      </c>
      <c r="F247" s="20">
        <v>2031</v>
      </c>
      <c r="G247" s="20">
        <v>35</v>
      </c>
      <c r="H247" s="11">
        <v>2093.2229695709402</v>
      </c>
      <c r="I247" s="10">
        <v>4498872.1738949502</v>
      </c>
      <c r="J247" s="34">
        <f t="shared" si="12"/>
        <v>4.6527727142749831E-4</v>
      </c>
      <c r="K247" s="34">
        <f t="shared" si="13"/>
        <v>4.6516904674331894E-4</v>
      </c>
      <c r="L247" s="34">
        <f t="shared" si="14"/>
        <v>0.99863843263273799</v>
      </c>
      <c r="M247" s="34">
        <f t="shared" si="15"/>
        <v>0.99817389694498893</v>
      </c>
    </row>
    <row r="248" spans="1:13" ht="69">
      <c r="A248" t="s">
        <v>164</v>
      </c>
      <c r="B248" t="s">
        <v>115</v>
      </c>
      <c r="C248" s="14" t="s">
        <v>291</v>
      </c>
      <c r="D248" t="s">
        <v>375</v>
      </c>
      <c r="E248" t="s">
        <v>392</v>
      </c>
      <c r="F248" s="20">
        <v>2031</v>
      </c>
      <c r="G248" s="20">
        <v>36</v>
      </c>
      <c r="H248" s="11">
        <v>2193.7337364218001</v>
      </c>
      <c r="I248" s="10">
        <v>4425059.4575430099</v>
      </c>
      <c r="J248" s="34">
        <f t="shared" si="12"/>
        <v>4.9575237518726105E-4</v>
      </c>
      <c r="K248" s="34">
        <f t="shared" si="13"/>
        <v>4.9562951028292446E-4</v>
      </c>
      <c r="L248" s="34">
        <f t="shared" si="14"/>
        <v>0.99817389694498893</v>
      </c>
      <c r="M248" s="34">
        <f t="shared" si="15"/>
        <v>0.99767917250526883</v>
      </c>
    </row>
    <row r="249" spans="1:13" ht="69">
      <c r="A249" t="s">
        <v>164</v>
      </c>
      <c r="B249" t="s">
        <v>115</v>
      </c>
      <c r="C249" s="14" t="s">
        <v>291</v>
      </c>
      <c r="D249" t="s">
        <v>375</v>
      </c>
      <c r="E249" t="s">
        <v>392</v>
      </c>
      <c r="F249" s="20">
        <v>2031</v>
      </c>
      <c r="G249" s="20">
        <v>37</v>
      </c>
      <c r="H249" s="11">
        <v>2323.2506406984999</v>
      </c>
      <c r="I249" s="10">
        <v>4367403.4498229297</v>
      </c>
      <c r="J249" s="34">
        <f t="shared" si="12"/>
        <v>5.3195237568278537E-4</v>
      </c>
      <c r="K249" s="34">
        <f t="shared" si="13"/>
        <v>5.3181091410248182E-4</v>
      </c>
      <c r="L249" s="34">
        <f t="shared" si="14"/>
        <v>0.99767917250526883</v>
      </c>
      <c r="M249" s="34">
        <f t="shared" si="15"/>
        <v>0.99714859583255777</v>
      </c>
    </row>
    <row r="250" spans="1:13" ht="69">
      <c r="A250" t="s">
        <v>164</v>
      </c>
      <c r="B250" t="s">
        <v>115</v>
      </c>
      <c r="C250" s="14" t="s">
        <v>291</v>
      </c>
      <c r="D250" t="s">
        <v>375</v>
      </c>
      <c r="E250" t="s">
        <v>392</v>
      </c>
      <c r="F250" s="20">
        <v>2031</v>
      </c>
      <c r="G250" s="20">
        <v>38</v>
      </c>
      <c r="H250" s="11">
        <v>2467.0085887796999</v>
      </c>
      <c r="I250" s="10">
        <v>4313275.8767131502</v>
      </c>
      <c r="J250" s="34">
        <f t="shared" si="12"/>
        <v>5.719570598529943E-4</v>
      </c>
      <c r="K250" s="34">
        <f t="shared" si="13"/>
        <v>5.717935235939331E-4</v>
      </c>
      <c r="L250" s="34">
        <f t="shared" si="14"/>
        <v>0.99714859583255777</v>
      </c>
      <c r="M250" s="34">
        <f t="shared" si="15"/>
        <v>0.99657843272339997</v>
      </c>
    </row>
    <row r="251" spans="1:13" ht="69">
      <c r="A251" t="s">
        <v>164</v>
      </c>
      <c r="B251" t="s">
        <v>115</v>
      </c>
      <c r="C251" s="14" t="s">
        <v>291</v>
      </c>
      <c r="D251" t="s">
        <v>375</v>
      </c>
      <c r="E251" t="s">
        <v>392</v>
      </c>
      <c r="F251" s="20">
        <v>2031</v>
      </c>
      <c r="G251" s="20">
        <v>39</v>
      </c>
      <c r="H251" s="11">
        <v>2677.6778512726501</v>
      </c>
      <c r="I251" s="10">
        <v>4350290.0381573401</v>
      </c>
      <c r="J251" s="34">
        <f t="shared" si="12"/>
        <v>6.1551708685769345E-4</v>
      </c>
      <c r="K251" s="34">
        <f t="shared" si="13"/>
        <v>6.1532769507555152E-4</v>
      </c>
      <c r="L251" s="34">
        <f t="shared" si="14"/>
        <v>0.99657843272339997</v>
      </c>
      <c r="M251" s="34">
        <f t="shared" si="15"/>
        <v>0.99596521041343022</v>
      </c>
    </row>
    <row r="252" spans="1:13" ht="69">
      <c r="A252" t="s">
        <v>164</v>
      </c>
      <c r="B252" t="s">
        <v>115</v>
      </c>
      <c r="C252" s="14" t="s">
        <v>291</v>
      </c>
      <c r="D252" t="s">
        <v>375</v>
      </c>
      <c r="E252" t="s">
        <v>392</v>
      </c>
      <c r="F252" s="20">
        <v>2031</v>
      </c>
      <c r="G252" s="20">
        <v>40</v>
      </c>
      <c r="H252" s="11">
        <v>3616.3814488439102</v>
      </c>
      <c r="I252" s="10">
        <v>4367541.2475340199</v>
      </c>
      <c r="J252" s="34">
        <f t="shared" si="12"/>
        <v>8.2801311856774661E-4</v>
      </c>
      <c r="K252" s="34">
        <f t="shared" si="13"/>
        <v>8.2767041030096244E-4</v>
      </c>
      <c r="L252" s="34">
        <f t="shared" si="14"/>
        <v>0.99596521041343022</v>
      </c>
      <c r="M252" s="34">
        <f t="shared" si="15"/>
        <v>0.99514087947908181</v>
      </c>
    </row>
    <row r="253" spans="1:13" ht="69">
      <c r="A253" t="s">
        <v>164</v>
      </c>
      <c r="B253" t="s">
        <v>115</v>
      </c>
      <c r="C253" s="14" t="s">
        <v>291</v>
      </c>
      <c r="D253" t="s">
        <v>375</v>
      </c>
      <c r="E253" t="s">
        <v>392</v>
      </c>
      <c r="F253" s="20">
        <v>2031</v>
      </c>
      <c r="G253" s="20">
        <v>41</v>
      </c>
      <c r="H253" s="11">
        <v>5467.0703505277997</v>
      </c>
      <c r="I253" s="10">
        <v>6429581.7520828499</v>
      </c>
      <c r="J253" s="34">
        <f t="shared" si="12"/>
        <v>8.5029953134303858E-4</v>
      </c>
      <c r="K253" s="34">
        <f t="shared" si="13"/>
        <v>8.4993812913713995E-4</v>
      </c>
      <c r="L253" s="34">
        <f t="shared" si="14"/>
        <v>0.99514087947908181</v>
      </c>
      <c r="M253" s="34">
        <f t="shared" si="15"/>
        <v>0.99429507130174943</v>
      </c>
    </row>
    <row r="254" spans="1:13" ht="69">
      <c r="A254" t="s">
        <v>164</v>
      </c>
      <c r="B254" t="s">
        <v>115</v>
      </c>
      <c r="C254" s="14" t="s">
        <v>291</v>
      </c>
      <c r="D254" t="s">
        <v>375</v>
      </c>
      <c r="E254" t="s">
        <v>392</v>
      </c>
      <c r="F254" s="20">
        <v>2031</v>
      </c>
      <c r="G254" s="20">
        <v>42</v>
      </c>
      <c r="H254" s="11">
        <v>4187.0681340880801</v>
      </c>
      <c r="I254" s="10">
        <v>4323644.6727151899</v>
      </c>
      <c r="J254" s="34">
        <f t="shared" si="12"/>
        <v>9.6841171072891579E-4</v>
      </c>
      <c r="K254" s="34">
        <f t="shared" si="13"/>
        <v>9.6794295143776132E-4</v>
      </c>
      <c r="L254" s="34">
        <f t="shared" si="14"/>
        <v>0.99429507130174943</v>
      </c>
      <c r="M254" s="34">
        <f t="shared" si="15"/>
        <v>0.99333265039583363</v>
      </c>
    </row>
    <row r="255" spans="1:13" ht="69">
      <c r="A255" t="s">
        <v>164</v>
      </c>
      <c r="B255" t="s">
        <v>115</v>
      </c>
      <c r="C255" s="14" t="s">
        <v>291</v>
      </c>
      <c r="D255" t="s">
        <v>375</v>
      </c>
      <c r="E255" t="s">
        <v>392</v>
      </c>
      <c r="F255" s="20">
        <v>2031</v>
      </c>
      <c r="G255" s="20">
        <v>43</v>
      </c>
      <c r="H255" s="11">
        <v>4538.7408604490902</v>
      </c>
      <c r="I255" s="10">
        <v>4305918.1404833198</v>
      </c>
      <c r="J255" s="34">
        <f t="shared" si="12"/>
        <v>1.0540704008691715E-3</v>
      </c>
      <c r="K255" s="34">
        <f t="shared" si="13"/>
        <v>1.0535150638028012E-3</v>
      </c>
      <c r="L255" s="34">
        <f t="shared" si="14"/>
        <v>0.99333265039583363</v>
      </c>
      <c r="M255" s="34">
        <f t="shared" si="15"/>
        <v>0.99228615948527443</v>
      </c>
    </row>
    <row r="256" spans="1:13" ht="69">
      <c r="A256" t="s">
        <v>164</v>
      </c>
      <c r="B256" t="s">
        <v>115</v>
      </c>
      <c r="C256" s="14" t="s">
        <v>291</v>
      </c>
      <c r="D256" t="s">
        <v>375</v>
      </c>
      <c r="E256" t="s">
        <v>392</v>
      </c>
      <c r="F256" s="20">
        <v>2031</v>
      </c>
      <c r="G256" s="20">
        <v>44</v>
      </c>
      <c r="H256" s="11">
        <v>4802.9361583345299</v>
      </c>
      <c r="I256" s="10">
        <v>4172869.9692704501</v>
      </c>
      <c r="J256" s="34">
        <f t="shared" si="12"/>
        <v>1.1509910909527419E-3</v>
      </c>
      <c r="K256" s="34">
        <f t="shared" si="13"/>
        <v>1.1503289547689644E-3</v>
      </c>
      <c r="L256" s="34">
        <f t="shared" si="14"/>
        <v>0.99228615948527443</v>
      </c>
      <c r="M256" s="34">
        <f t="shared" si="15"/>
        <v>0.99114470398460208</v>
      </c>
    </row>
    <row r="257" spans="1:13" ht="69">
      <c r="A257" t="s">
        <v>164</v>
      </c>
      <c r="B257" t="s">
        <v>115</v>
      </c>
      <c r="C257" s="14" t="s">
        <v>291</v>
      </c>
      <c r="D257" t="s">
        <v>375</v>
      </c>
      <c r="E257" t="s">
        <v>392</v>
      </c>
      <c r="F257" s="20">
        <v>2031</v>
      </c>
      <c r="G257" s="20">
        <v>45</v>
      </c>
      <c r="H257" s="11">
        <v>6155.8140722985199</v>
      </c>
      <c r="I257" s="10">
        <v>4137054.8229939402</v>
      </c>
      <c r="J257" s="34">
        <f t="shared" si="12"/>
        <v>1.4879701468020737E-3</v>
      </c>
      <c r="K257" s="34">
        <f t="shared" si="13"/>
        <v>1.4868636680936964E-3</v>
      </c>
      <c r="L257" s="34">
        <f t="shared" si="14"/>
        <v>0.99114470398460208</v>
      </c>
      <c r="M257" s="34">
        <f t="shared" si="15"/>
        <v>0.98967100693442389</v>
      </c>
    </row>
    <row r="258" spans="1:13" ht="69">
      <c r="A258" t="s">
        <v>164</v>
      </c>
      <c r="B258" t="s">
        <v>115</v>
      </c>
      <c r="C258" s="14" t="s">
        <v>291</v>
      </c>
      <c r="D258" t="s">
        <v>375</v>
      </c>
      <c r="E258" t="s">
        <v>392</v>
      </c>
      <c r="F258" s="20">
        <v>2031</v>
      </c>
      <c r="G258" s="20">
        <v>46</v>
      </c>
      <c r="H258" s="11">
        <v>6814.6978116479004</v>
      </c>
      <c r="I258" s="10">
        <v>4193236.8692917102</v>
      </c>
      <c r="J258" s="34">
        <f t="shared" ref="J258:J321" si="16">IF(I258&gt;0,H258/I258,0)</f>
        <v>1.6251640496519309E-3</v>
      </c>
      <c r="K258" s="34">
        <f t="shared" ref="K258:K321" si="17">1-EXP(-J258)</f>
        <v>1.6238441856530894E-3</v>
      </c>
      <c r="L258" s="34">
        <f t="shared" ref="L258:L321" si="18">IF(G258=30,1,M257)</f>
        <v>0.98967100693442389</v>
      </c>
      <c r="M258" s="34">
        <f t="shared" ref="M258:M321" si="19">L258*(1-K258)</f>
        <v>0.98806393542410398</v>
      </c>
    </row>
    <row r="259" spans="1:13" ht="69">
      <c r="A259" t="s">
        <v>164</v>
      </c>
      <c r="B259" t="s">
        <v>115</v>
      </c>
      <c r="C259" s="14" t="s">
        <v>291</v>
      </c>
      <c r="D259" t="s">
        <v>375</v>
      </c>
      <c r="E259" t="s">
        <v>392</v>
      </c>
      <c r="F259" s="20">
        <v>2031</v>
      </c>
      <c r="G259" s="20">
        <v>47</v>
      </c>
      <c r="H259" s="11">
        <v>7618.1907667487103</v>
      </c>
      <c r="I259" s="10">
        <v>4275060.80039097</v>
      </c>
      <c r="J259" s="34">
        <f t="shared" si="16"/>
        <v>1.7820075836236058E-3</v>
      </c>
      <c r="K259" s="34">
        <f t="shared" si="17"/>
        <v>1.780420750832179E-3</v>
      </c>
      <c r="L259" s="34">
        <f t="shared" si="18"/>
        <v>0.98806393542410398</v>
      </c>
      <c r="M259" s="34">
        <f t="shared" si="19"/>
        <v>0.98630476589032601</v>
      </c>
    </row>
    <row r="260" spans="1:13" ht="69">
      <c r="A260" t="s">
        <v>164</v>
      </c>
      <c r="B260" t="s">
        <v>115</v>
      </c>
      <c r="C260" s="14" t="s">
        <v>291</v>
      </c>
      <c r="D260" t="s">
        <v>375</v>
      </c>
      <c r="E260" t="s">
        <v>392</v>
      </c>
      <c r="F260" s="20">
        <v>2031</v>
      </c>
      <c r="G260" s="20">
        <v>48</v>
      </c>
      <c r="H260" s="11">
        <v>8299.0969394586391</v>
      </c>
      <c r="I260" s="10">
        <v>4248249.1250760397</v>
      </c>
      <c r="J260" s="34">
        <f t="shared" si="16"/>
        <v>1.953533489943364E-3</v>
      </c>
      <c r="K260" s="34">
        <f t="shared" si="17"/>
        <v>1.951626585331323E-3</v>
      </c>
      <c r="L260" s="34">
        <f t="shared" si="18"/>
        <v>0.98630476589032601</v>
      </c>
      <c r="M260" s="34">
        <f t="shared" si="19"/>
        <v>0.98437986728797544</v>
      </c>
    </row>
    <row r="261" spans="1:13" ht="69">
      <c r="A261" t="s">
        <v>164</v>
      </c>
      <c r="B261" t="s">
        <v>115</v>
      </c>
      <c r="C261" s="14" t="s">
        <v>291</v>
      </c>
      <c r="D261" t="s">
        <v>375</v>
      </c>
      <c r="E261" t="s">
        <v>392</v>
      </c>
      <c r="F261" s="20">
        <v>2031</v>
      </c>
      <c r="G261" s="20">
        <v>49</v>
      </c>
      <c r="H261" s="11">
        <v>8801.5234170414606</v>
      </c>
      <c r="I261" s="10">
        <v>4109517.1370683499</v>
      </c>
      <c r="J261" s="34">
        <f t="shared" si="16"/>
        <v>2.1417415047745238E-3</v>
      </c>
      <c r="K261" s="34">
        <f t="shared" si="17"/>
        <v>2.1394496129432117E-3</v>
      </c>
      <c r="L261" s="34">
        <f t="shared" si="18"/>
        <v>0.98437986728797544</v>
      </c>
      <c r="M261" s="34">
        <f t="shared" si="19"/>
        <v>0.9822738361619171</v>
      </c>
    </row>
    <row r="262" spans="1:13" ht="69">
      <c r="A262" t="s">
        <v>164</v>
      </c>
      <c r="B262" t="s">
        <v>115</v>
      </c>
      <c r="C262" s="14" t="s">
        <v>291</v>
      </c>
      <c r="D262" t="s">
        <v>375</v>
      </c>
      <c r="E262" t="s">
        <v>392</v>
      </c>
      <c r="F262" s="20">
        <v>2031</v>
      </c>
      <c r="G262" s="20">
        <v>50</v>
      </c>
      <c r="H262" s="11">
        <v>10046.6206065223</v>
      </c>
      <c r="I262" s="10">
        <v>4032550.9769234699</v>
      </c>
      <c r="J262" s="34">
        <f t="shared" si="16"/>
        <v>2.491380930833789E-3</v>
      </c>
      <c r="K262" s="34">
        <f t="shared" si="17"/>
        <v>2.4882800170829E-3</v>
      </c>
      <c r="L262" s="34">
        <f t="shared" si="18"/>
        <v>0.9822738361619171</v>
      </c>
      <c r="M262" s="34">
        <f t="shared" si="19"/>
        <v>0.97982966380409209</v>
      </c>
    </row>
    <row r="263" spans="1:13" ht="69">
      <c r="A263" t="s">
        <v>164</v>
      </c>
      <c r="B263" t="s">
        <v>115</v>
      </c>
      <c r="C263" s="14" t="s">
        <v>291</v>
      </c>
      <c r="D263" t="s">
        <v>375</v>
      </c>
      <c r="E263" t="s">
        <v>392</v>
      </c>
      <c r="F263" s="20">
        <v>2031</v>
      </c>
      <c r="G263" s="20">
        <v>51</v>
      </c>
      <c r="H263" s="11">
        <v>10784.141618723599</v>
      </c>
      <c r="I263" s="10">
        <v>3970203.5110985502</v>
      </c>
      <c r="J263" s="34">
        <f t="shared" si="16"/>
        <v>2.7162692261434329E-3</v>
      </c>
      <c r="K263" s="34">
        <f t="shared" si="17"/>
        <v>2.7125835047814295E-3</v>
      </c>
      <c r="L263" s="34">
        <f t="shared" si="18"/>
        <v>0.97982966380409209</v>
      </c>
      <c r="M263" s="34">
        <f t="shared" si="19"/>
        <v>0.97717179402056153</v>
      </c>
    </row>
    <row r="264" spans="1:13" ht="69">
      <c r="A264" t="s">
        <v>164</v>
      </c>
      <c r="B264" t="s">
        <v>115</v>
      </c>
      <c r="C264" s="14" t="s">
        <v>291</v>
      </c>
      <c r="D264" t="s">
        <v>375</v>
      </c>
      <c r="E264" t="s">
        <v>392</v>
      </c>
      <c r="F264" s="20">
        <v>2031</v>
      </c>
      <c r="G264" s="20">
        <v>52</v>
      </c>
      <c r="H264" s="11">
        <v>11587.495566978099</v>
      </c>
      <c r="I264" s="10">
        <v>3903055.5031178701</v>
      </c>
      <c r="J264" s="34">
        <f t="shared" si="16"/>
        <v>2.9688267455386386E-3</v>
      </c>
      <c r="K264" s="34">
        <f t="shared" si="17"/>
        <v>2.9644241373540936E-3</v>
      </c>
      <c r="L264" s="34">
        <f t="shared" si="18"/>
        <v>0.97717179402056153</v>
      </c>
      <c r="M264" s="34">
        <f t="shared" si="19"/>
        <v>0.97427504236802542</v>
      </c>
    </row>
    <row r="265" spans="1:13" ht="69">
      <c r="A265" t="s">
        <v>164</v>
      </c>
      <c r="B265" t="s">
        <v>115</v>
      </c>
      <c r="C265" s="14" t="s">
        <v>291</v>
      </c>
      <c r="D265" t="s">
        <v>375</v>
      </c>
      <c r="E265" t="s">
        <v>392</v>
      </c>
      <c r="F265" s="20">
        <v>2031</v>
      </c>
      <c r="G265" s="20">
        <v>53</v>
      </c>
      <c r="H265" s="11">
        <v>12380.4524519521</v>
      </c>
      <c r="I265" s="10">
        <v>3816452.6999717001</v>
      </c>
      <c r="J265" s="34">
        <f t="shared" si="16"/>
        <v>3.2439685292166478E-3</v>
      </c>
      <c r="K265" s="34">
        <f t="shared" si="17"/>
        <v>3.2387125482556955E-3</v>
      </c>
      <c r="L265" s="34">
        <f t="shared" si="18"/>
        <v>0.97427504236802542</v>
      </c>
      <c r="M265" s="34">
        <f t="shared" si="19"/>
        <v>0.97111964556285579</v>
      </c>
    </row>
    <row r="266" spans="1:13" ht="69">
      <c r="A266" t="s">
        <v>164</v>
      </c>
      <c r="B266" t="s">
        <v>115</v>
      </c>
      <c r="C266" s="14" t="s">
        <v>291</v>
      </c>
      <c r="D266" t="s">
        <v>375</v>
      </c>
      <c r="E266" t="s">
        <v>392</v>
      </c>
      <c r="F266" s="20">
        <v>2031</v>
      </c>
      <c r="G266" s="20">
        <v>54</v>
      </c>
      <c r="H266" s="11">
        <v>13292.8451563504</v>
      </c>
      <c r="I266" s="10">
        <v>3746448.1787690702</v>
      </c>
      <c r="J266" s="34">
        <f t="shared" si="16"/>
        <v>3.5481193178328939E-3</v>
      </c>
      <c r="K266" s="34">
        <f t="shared" si="17"/>
        <v>3.5418321805219533E-3</v>
      </c>
      <c r="L266" s="34">
        <f t="shared" si="18"/>
        <v>0.97111964556285579</v>
      </c>
      <c r="M266" s="34">
        <f t="shared" si="19"/>
        <v>0.9676801027510642</v>
      </c>
    </row>
    <row r="267" spans="1:13" ht="69">
      <c r="A267" t="s">
        <v>164</v>
      </c>
      <c r="B267" t="s">
        <v>115</v>
      </c>
      <c r="C267" s="14" t="s">
        <v>291</v>
      </c>
      <c r="D267" t="s">
        <v>375</v>
      </c>
      <c r="E267" t="s">
        <v>392</v>
      </c>
      <c r="F267" s="20">
        <v>2031</v>
      </c>
      <c r="G267" s="20">
        <v>55</v>
      </c>
      <c r="H267" s="11">
        <v>14319.438574682699</v>
      </c>
      <c r="I267" s="10">
        <v>3664517.3651016098</v>
      </c>
      <c r="J267" s="34">
        <f t="shared" si="16"/>
        <v>3.9075919549601181E-3</v>
      </c>
      <c r="K267" s="34">
        <f t="shared" si="17"/>
        <v>3.8999672521591311E-3</v>
      </c>
      <c r="L267" s="34">
        <f t="shared" si="18"/>
        <v>0.9676801027510642</v>
      </c>
      <c r="M267" s="34">
        <f t="shared" si="19"/>
        <v>0.96390618203976908</v>
      </c>
    </row>
    <row r="268" spans="1:13" ht="69">
      <c r="A268" t="s">
        <v>164</v>
      </c>
      <c r="B268" t="s">
        <v>115</v>
      </c>
      <c r="C268" s="14" t="s">
        <v>291</v>
      </c>
      <c r="D268" t="s">
        <v>375</v>
      </c>
      <c r="E268" t="s">
        <v>392</v>
      </c>
      <c r="F268" s="20">
        <v>2031</v>
      </c>
      <c r="G268" s="20">
        <v>56</v>
      </c>
      <c r="H268" s="11">
        <v>15249.237425502601</v>
      </c>
      <c r="I268" s="10">
        <v>3581152.9147454998</v>
      </c>
      <c r="J268" s="34">
        <f t="shared" si="16"/>
        <v>4.2581922047264242E-3</v>
      </c>
      <c r="K268" s="34">
        <f t="shared" si="17"/>
        <v>4.2491389590122441E-3</v>
      </c>
      <c r="L268" s="34">
        <f t="shared" si="18"/>
        <v>0.96390618203976908</v>
      </c>
      <c r="M268" s="34">
        <f t="shared" si="19"/>
        <v>0.95981041072883111</v>
      </c>
    </row>
    <row r="269" spans="1:13" ht="69">
      <c r="A269" t="s">
        <v>164</v>
      </c>
      <c r="B269" t="s">
        <v>115</v>
      </c>
      <c r="C269" s="14" t="s">
        <v>291</v>
      </c>
      <c r="D269" t="s">
        <v>375</v>
      </c>
      <c r="E269" t="s">
        <v>392</v>
      </c>
      <c r="F269" s="20">
        <v>2031</v>
      </c>
      <c r="G269" s="20">
        <v>57</v>
      </c>
      <c r="H269" s="11">
        <v>16152.004322811799</v>
      </c>
      <c r="I269" s="10">
        <v>3470961.3082056898</v>
      </c>
      <c r="J269" s="34">
        <f t="shared" si="16"/>
        <v>4.6534671200819475E-3</v>
      </c>
      <c r="K269" s="34">
        <f t="shared" si="17"/>
        <v>4.6426565173919299E-3</v>
      </c>
      <c r="L269" s="34">
        <f t="shared" si="18"/>
        <v>0.95981041072883111</v>
      </c>
      <c r="M269" s="34">
        <f t="shared" si="19"/>
        <v>0.95535434067000025</v>
      </c>
    </row>
    <row r="270" spans="1:13" ht="69">
      <c r="A270" t="s">
        <v>164</v>
      </c>
      <c r="B270" t="s">
        <v>115</v>
      </c>
      <c r="C270" s="14" t="s">
        <v>291</v>
      </c>
      <c r="D270" t="s">
        <v>375</v>
      </c>
      <c r="E270" t="s">
        <v>392</v>
      </c>
      <c r="F270" s="20">
        <v>2031</v>
      </c>
      <c r="G270" s="20">
        <v>58</v>
      </c>
      <c r="H270" s="11">
        <v>17394.755267380398</v>
      </c>
      <c r="I270" s="10">
        <v>3419289.5832530102</v>
      </c>
      <c r="J270" s="34">
        <f t="shared" si="16"/>
        <v>5.0872424940480027E-3</v>
      </c>
      <c r="K270" s="34">
        <f t="shared" si="17"/>
        <v>5.0743243910756908E-3</v>
      </c>
      <c r="L270" s="34">
        <f t="shared" si="18"/>
        <v>0.95535434067000025</v>
      </c>
      <c r="M270" s="34">
        <f t="shared" si="19"/>
        <v>0.9505065628370184</v>
      </c>
    </row>
    <row r="271" spans="1:13" ht="69">
      <c r="A271" t="s">
        <v>164</v>
      </c>
      <c r="B271" t="s">
        <v>115</v>
      </c>
      <c r="C271" s="14" t="s">
        <v>291</v>
      </c>
      <c r="D271" t="s">
        <v>375</v>
      </c>
      <c r="E271" t="s">
        <v>392</v>
      </c>
      <c r="F271" s="20">
        <v>2031</v>
      </c>
      <c r="G271" s="20">
        <v>59</v>
      </c>
      <c r="H271" s="11">
        <v>17868.392146272399</v>
      </c>
      <c r="I271" s="10">
        <v>3207497.2621498299</v>
      </c>
      <c r="J271" s="34">
        <f t="shared" si="16"/>
        <v>5.5708207009648649E-3</v>
      </c>
      <c r="K271" s="34">
        <f t="shared" si="17"/>
        <v>5.5553324534205473E-3</v>
      </c>
      <c r="L271" s="34">
        <f t="shared" si="18"/>
        <v>0.9505065628370184</v>
      </c>
      <c r="M271" s="34">
        <f t="shared" si="19"/>
        <v>0.94522618288130067</v>
      </c>
    </row>
    <row r="272" spans="1:13" ht="69">
      <c r="A272" t="s">
        <v>164</v>
      </c>
      <c r="B272" t="s">
        <v>115</v>
      </c>
      <c r="C272" s="14" t="s">
        <v>291</v>
      </c>
      <c r="D272" t="s">
        <v>375</v>
      </c>
      <c r="E272" t="s">
        <v>392</v>
      </c>
      <c r="F272" s="20">
        <v>2031</v>
      </c>
      <c r="G272" s="20">
        <v>60</v>
      </c>
      <c r="H272" s="11">
        <v>19284.4238683927</v>
      </c>
      <c r="I272" s="10">
        <v>3114048.2738577998</v>
      </c>
      <c r="J272" s="34">
        <f t="shared" si="16"/>
        <v>6.1927183436056472E-3</v>
      </c>
      <c r="K272" s="34">
        <f t="shared" si="17"/>
        <v>6.1735829837047396E-3</v>
      </c>
      <c r="L272" s="34">
        <f t="shared" si="18"/>
        <v>0.94522618288130067</v>
      </c>
      <c r="M272" s="34">
        <f t="shared" si="19"/>
        <v>0.93939075060291244</v>
      </c>
    </row>
    <row r="273" spans="1:13" ht="69">
      <c r="A273" t="s">
        <v>164</v>
      </c>
      <c r="B273" t="s">
        <v>115</v>
      </c>
      <c r="C273" s="14" t="s">
        <v>291</v>
      </c>
      <c r="D273" t="s">
        <v>375</v>
      </c>
      <c r="E273" t="s">
        <v>392</v>
      </c>
      <c r="F273" s="20">
        <v>2031</v>
      </c>
      <c r="G273" s="20">
        <v>61</v>
      </c>
      <c r="H273" s="11">
        <v>20449.9801813919</v>
      </c>
      <c r="I273" s="10">
        <v>3023957.9786987598</v>
      </c>
      <c r="J273" s="34">
        <f t="shared" si="16"/>
        <v>6.7626535571740113E-3</v>
      </c>
      <c r="K273" s="34">
        <f t="shared" si="17"/>
        <v>6.7398382751936436E-3</v>
      </c>
      <c r="L273" s="34">
        <f t="shared" si="18"/>
        <v>0.93939075060291244</v>
      </c>
      <c r="M273" s="34">
        <f t="shared" si="19"/>
        <v>0.93305940886663608</v>
      </c>
    </row>
    <row r="274" spans="1:13" ht="69">
      <c r="A274" t="s">
        <v>164</v>
      </c>
      <c r="B274" t="s">
        <v>115</v>
      </c>
      <c r="C274" s="14" t="s">
        <v>291</v>
      </c>
      <c r="D274" t="s">
        <v>375</v>
      </c>
      <c r="E274" t="s">
        <v>392</v>
      </c>
      <c r="F274" s="20">
        <v>2031</v>
      </c>
      <c r="G274" s="20">
        <v>62</v>
      </c>
      <c r="H274" s="11">
        <v>21659.151956975398</v>
      </c>
      <c r="I274" s="10">
        <v>2925141.6200556299</v>
      </c>
      <c r="J274" s="34">
        <f t="shared" si="16"/>
        <v>7.4044797723549155E-3</v>
      </c>
      <c r="K274" s="34">
        <f t="shared" si="17"/>
        <v>7.3771341470074692E-3</v>
      </c>
      <c r="L274" s="34">
        <f t="shared" si="18"/>
        <v>0.93305940886663608</v>
      </c>
      <c r="M274" s="34">
        <f t="shared" si="19"/>
        <v>0.92617610444029941</v>
      </c>
    </row>
    <row r="275" spans="1:13" ht="69">
      <c r="A275" t="s">
        <v>164</v>
      </c>
      <c r="B275" t="s">
        <v>115</v>
      </c>
      <c r="C275" s="14" t="s">
        <v>291</v>
      </c>
      <c r="D275" t="s">
        <v>375</v>
      </c>
      <c r="E275" t="s">
        <v>392</v>
      </c>
      <c r="F275" s="20">
        <v>2031</v>
      </c>
      <c r="G275" s="20">
        <v>63</v>
      </c>
      <c r="H275" s="11">
        <v>22765.1929490781</v>
      </c>
      <c r="I275" s="10">
        <v>2807026.4500470101</v>
      </c>
      <c r="J275" s="34">
        <f t="shared" si="16"/>
        <v>8.1100742562282748E-3</v>
      </c>
      <c r="K275" s="34">
        <f t="shared" si="17"/>
        <v>8.0772763284413518E-3</v>
      </c>
      <c r="L275" s="34">
        <f t="shared" si="18"/>
        <v>0.92617610444029941</v>
      </c>
      <c r="M275" s="34">
        <f t="shared" si="19"/>
        <v>0.91869512411593579</v>
      </c>
    </row>
    <row r="276" spans="1:13" ht="69">
      <c r="A276" t="s">
        <v>164</v>
      </c>
      <c r="B276" t="s">
        <v>115</v>
      </c>
      <c r="C276" s="14" t="s">
        <v>291</v>
      </c>
      <c r="D276" t="s">
        <v>375</v>
      </c>
      <c r="E276" t="s">
        <v>392</v>
      </c>
      <c r="F276" s="20">
        <v>2031</v>
      </c>
      <c r="G276" s="20">
        <v>64</v>
      </c>
      <c r="H276" s="11">
        <v>23650.367488865901</v>
      </c>
      <c r="I276" s="10">
        <v>2658878.8264346402</v>
      </c>
      <c r="J276" s="34">
        <f t="shared" si="16"/>
        <v>8.8948647278444398E-3</v>
      </c>
      <c r="K276" s="34">
        <f t="shared" si="17"/>
        <v>8.8554224497894296E-3</v>
      </c>
      <c r="L276" s="34">
        <f t="shared" si="18"/>
        <v>0.91869512411593579</v>
      </c>
      <c r="M276" s="34">
        <f t="shared" si="19"/>
        <v>0.91055969068932741</v>
      </c>
    </row>
    <row r="277" spans="1:13" ht="69">
      <c r="A277" t="s">
        <v>164</v>
      </c>
      <c r="B277" t="s">
        <v>115</v>
      </c>
      <c r="C277" s="14" t="s">
        <v>291</v>
      </c>
      <c r="D277" t="s">
        <v>375</v>
      </c>
      <c r="E277" t="s">
        <v>392</v>
      </c>
      <c r="F277" s="20">
        <v>2031</v>
      </c>
      <c r="G277" s="20">
        <v>65</v>
      </c>
      <c r="H277" s="11">
        <v>24063.441060736601</v>
      </c>
      <c r="I277" s="10">
        <v>2545588.7783343201</v>
      </c>
      <c r="J277" s="34">
        <f t="shared" si="16"/>
        <v>9.4529962048631698E-3</v>
      </c>
      <c r="K277" s="34">
        <f t="shared" si="17"/>
        <v>9.4084570894201747E-3</v>
      </c>
      <c r="L277" s="34">
        <f t="shared" si="18"/>
        <v>0.91055969068932741</v>
      </c>
      <c r="M277" s="34">
        <f t="shared" si="19"/>
        <v>0.90199272891212112</v>
      </c>
    </row>
    <row r="278" spans="1:13" ht="69">
      <c r="A278" t="s">
        <v>164</v>
      </c>
      <c r="B278" t="s">
        <v>115</v>
      </c>
      <c r="C278" s="14" t="s">
        <v>291</v>
      </c>
      <c r="D278" t="s">
        <v>375</v>
      </c>
      <c r="E278" t="s">
        <v>392</v>
      </c>
      <c r="F278" s="20">
        <v>2031</v>
      </c>
      <c r="G278" s="20">
        <v>66</v>
      </c>
      <c r="H278" s="11">
        <v>24958.319518521199</v>
      </c>
      <c r="I278" s="10">
        <v>2412014.8348924802</v>
      </c>
      <c r="J278" s="34">
        <f t="shared" si="16"/>
        <v>1.0347498347635063E-2</v>
      </c>
      <c r="K278" s="34">
        <f t="shared" si="17"/>
        <v>1.0294147162275502E-2</v>
      </c>
      <c r="L278" s="34">
        <f t="shared" si="18"/>
        <v>0.90199272891212112</v>
      </c>
      <c r="M278" s="34">
        <f t="shared" si="19"/>
        <v>0.89270748302139724</v>
      </c>
    </row>
    <row r="279" spans="1:13" ht="69">
      <c r="A279" t="s">
        <v>164</v>
      </c>
      <c r="B279" t="s">
        <v>115</v>
      </c>
      <c r="C279" s="14" t="s">
        <v>291</v>
      </c>
      <c r="D279" t="s">
        <v>375</v>
      </c>
      <c r="E279" t="s">
        <v>392</v>
      </c>
      <c r="F279" s="20">
        <v>2031</v>
      </c>
      <c r="G279" s="20">
        <v>67</v>
      </c>
      <c r="H279" s="11">
        <v>25869.406331241898</v>
      </c>
      <c r="I279" s="10">
        <v>2278532.43823217</v>
      </c>
      <c r="J279" s="34">
        <f t="shared" si="16"/>
        <v>1.1353538750281311E-2</v>
      </c>
      <c r="K279" s="34">
        <f t="shared" si="17"/>
        <v>1.1289330555677934E-2</v>
      </c>
      <c r="L279" s="34">
        <f t="shared" si="18"/>
        <v>0.89270748302139724</v>
      </c>
      <c r="M279" s="34">
        <f t="shared" si="19"/>
        <v>0.88262941315604149</v>
      </c>
    </row>
    <row r="280" spans="1:13" ht="69">
      <c r="A280" t="s">
        <v>164</v>
      </c>
      <c r="B280" t="s">
        <v>115</v>
      </c>
      <c r="C280" s="14" t="s">
        <v>291</v>
      </c>
      <c r="D280" t="s">
        <v>375</v>
      </c>
      <c r="E280" t="s">
        <v>392</v>
      </c>
      <c r="F280" s="20">
        <v>2031</v>
      </c>
      <c r="G280" s="20">
        <v>68</v>
      </c>
      <c r="H280" s="11">
        <v>26796.070123562899</v>
      </c>
      <c r="I280" s="10">
        <v>2149776.0784954098</v>
      </c>
      <c r="J280" s="34">
        <f t="shared" si="16"/>
        <v>1.2464586610488751E-2</v>
      </c>
      <c r="K280" s="34">
        <f t="shared" si="17"/>
        <v>1.2387225409524971E-2</v>
      </c>
      <c r="L280" s="34">
        <f t="shared" si="18"/>
        <v>0.88262941315604149</v>
      </c>
      <c r="M280" s="34">
        <f t="shared" si="19"/>
        <v>0.87169608366220086</v>
      </c>
    </row>
    <row r="281" spans="1:13" ht="69">
      <c r="A281" t="s">
        <v>164</v>
      </c>
      <c r="B281" t="s">
        <v>115</v>
      </c>
      <c r="C281" s="14" t="s">
        <v>291</v>
      </c>
      <c r="D281" t="s">
        <v>375</v>
      </c>
      <c r="E281" t="s">
        <v>392</v>
      </c>
      <c r="F281" s="20">
        <v>2031</v>
      </c>
      <c r="G281" s="20">
        <v>69</v>
      </c>
      <c r="H281" s="11">
        <v>27440.3943254593</v>
      </c>
      <c r="I281" s="10">
        <v>1997187.4979876799</v>
      </c>
      <c r="J281" s="34">
        <f t="shared" si="16"/>
        <v>1.3739518374267618E-2</v>
      </c>
      <c r="K281" s="34">
        <f t="shared" si="17"/>
        <v>1.3645561989079735E-2</v>
      </c>
      <c r="L281" s="34">
        <f t="shared" si="18"/>
        <v>0.87169608366220086</v>
      </c>
      <c r="M281" s="34">
        <f t="shared" si="19"/>
        <v>0.85980130071695027</v>
      </c>
    </row>
    <row r="282" spans="1:13" ht="69">
      <c r="A282" t="s">
        <v>164</v>
      </c>
      <c r="B282" t="s">
        <v>115</v>
      </c>
      <c r="C282" s="14" t="s">
        <v>291</v>
      </c>
      <c r="D282" t="s">
        <v>375</v>
      </c>
      <c r="E282" t="s">
        <v>392</v>
      </c>
      <c r="F282" s="20">
        <v>2032</v>
      </c>
      <c r="G282" s="20">
        <v>30</v>
      </c>
      <c r="H282" s="11">
        <v>960.81314216270505</v>
      </c>
      <c r="I282" s="10">
        <v>4354850.5106400903</v>
      </c>
      <c r="J282" s="34">
        <f t="shared" si="16"/>
        <v>2.2063056810220602E-4</v>
      </c>
      <c r="K282" s="34">
        <f t="shared" si="17"/>
        <v>2.2060623096831211E-4</v>
      </c>
      <c r="L282" s="34">
        <f t="shared" si="18"/>
        <v>1</v>
      </c>
      <c r="M282" s="34">
        <f t="shared" si="19"/>
        <v>0.99977939376903169</v>
      </c>
    </row>
    <row r="283" spans="1:13" ht="69">
      <c r="A283" t="s">
        <v>164</v>
      </c>
      <c r="B283" t="s">
        <v>115</v>
      </c>
      <c r="C283" s="14" t="s">
        <v>291</v>
      </c>
      <c r="D283" t="s">
        <v>375</v>
      </c>
      <c r="E283" t="s">
        <v>392</v>
      </c>
      <c r="F283" s="20">
        <v>2032</v>
      </c>
      <c r="G283" s="20">
        <v>31</v>
      </c>
      <c r="H283" s="11">
        <v>1093.2381820491901</v>
      </c>
      <c r="I283" s="10">
        <v>4335141.2212919397</v>
      </c>
      <c r="J283" s="34">
        <f t="shared" si="16"/>
        <v>2.5218052336560055E-4</v>
      </c>
      <c r="K283" s="34">
        <f t="shared" si="17"/>
        <v>2.5214872853018822E-4</v>
      </c>
      <c r="L283" s="34">
        <f t="shared" si="18"/>
        <v>0.99977939376903169</v>
      </c>
      <c r="M283" s="34">
        <f t="shared" si="19"/>
        <v>0.9995273006660822</v>
      </c>
    </row>
    <row r="284" spans="1:13" ht="69">
      <c r="A284" t="s">
        <v>164</v>
      </c>
      <c r="B284" t="s">
        <v>115</v>
      </c>
      <c r="C284" s="14" t="s">
        <v>291</v>
      </c>
      <c r="D284" t="s">
        <v>375</v>
      </c>
      <c r="E284" t="s">
        <v>392</v>
      </c>
      <c r="F284" s="20">
        <v>2032</v>
      </c>
      <c r="G284" s="20">
        <v>32</v>
      </c>
      <c r="H284" s="11">
        <v>1143.7752043374901</v>
      </c>
      <c r="I284" s="10">
        <v>4315576.7896989202</v>
      </c>
      <c r="J284" s="34">
        <f t="shared" si="16"/>
        <v>2.6503414492997274E-4</v>
      </c>
      <c r="K284" s="34">
        <f t="shared" si="17"/>
        <v>2.6499902648358109E-4</v>
      </c>
      <c r="L284" s="34">
        <f t="shared" si="18"/>
        <v>0.9995273006660822</v>
      </c>
      <c r="M284" s="34">
        <f t="shared" si="19"/>
        <v>0.99926242690446188</v>
      </c>
    </row>
    <row r="285" spans="1:13" ht="69">
      <c r="A285" t="s">
        <v>164</v>
      </c>
      <c r="B285" t="s">
        <v>115</v>
      </c>
      <c r="C285" s="14" t="s">
        <v>291</v>
      </c>
      <c r="D285" t="s">
        <v>375</v>
      </c>
      <c r="E285" t="s">
        <v>392</v>
      </c>
      <c r="F285" s="20">
        <v>2032</v>
      </c>
      <c r="G285" s="20">
        <v>33</v>
      </c>
      <c r="H285" s="11">
        <v>1215.43796168787</v>
      </c>
      <c r="I285" s="10">
        <v>4335853.9053263804</v>
      </c>
      <c r="J285" s="34">
        <f t="shared" si="16"/>
        <v>2.803226280744296E-4</v>
      </c>
      <c r="K285" s="34">
        <f t="shared" si="17"/>
        <v>2.8028334135754562E-4</v>
      </c>
      <c r="L285" s="34">
        <f t="shared" si="18"/>
        <v>0.99926242690446188</v>
      </c>
      <c r="M285" s="34">
        <f t="shared" si="19"/>
        <v>0.998982350292556</v>
      </c>
    </row>
    <row r="286" spans="1:13" ht="69">
      <c r="A286" t="s">
        <v>164</v>
      </c>
      <c r="B286" t="s">
        <v>115</v>
      </c>
      <c r="C286" s="14" t="s">
        <v>291</v>
      </c>
      <c r="D286" t="s">
        <v>375</v>
      </c>
      <c r="E286" t="s">
        <v>392</v>
      </c>
      <c r="F286" s="20">
        <v>2032</v>
      </c>
      <c r="G286" s="20">
        <v>34</v>
      </c>
      <c r="H286" s="11">
        <v>1311.91083817451</v>
      </c>
      <c r="I286" s="10">
        <v>4395420.3633050099</v>
      </c>
      <c r="J286" s="34">
        <f t="shared" si="16"/>
        <v>2.9847221192469891E-4</v>
      </c>
      <c r="K286" s="34">
        <f t="shared" si="17"/>
        <v>2.984276735252811E-4</v>
      </c>
      <c r="L286" s="34">
        <f t="shared" si="18"/>
        <v>0.998982350292556</v>
      </c>
      <c r="M286" s="34">
        <f t="shared" si="19"/>
        <v>0.99868422631386533</v>
      </c>
    </row>
    <row r="287" spans="1:13" ht="69">
      <c r="A287" t="s">
        <v>164</v>
      </c>
      <c r="B287" t="s">
        <v>115</v>
      </c>
      <c r="C287" s="14" t="s">
        <v>291</v>
      </c>
      <c r="D287" t="s">
        <v>375</v>
      </c>
      <c r="E287" t="s">
        <v>392</v>
      </c>
      <c r="F287" s="20">
        <v>2032</v>
      </c>
      <c r="G287" s="20">
        <v>35</v>
      </c>
      <c r="H287" s="11">
        <v>2102.1360394078301</v>
      </c>
      <c r="I287" s="10">
        <v>4534871.3128713099</v>
      </c>
      <c r="J287" s="34">
        <f t="shared" si="16"/>
        <v>4.6354921548519902E-4</v>
      </c>
      <c r="K287" s="34">
        <f t="shared" si="17"/>
        <v>4.6344179314672385E-4</v>
      </c>
      <c r="L287" s="34">
        <f t="shared" si="18"/>
        <v>0.99868422631386533</v>
      </c>
      <c r="M287" s="34">
        <f t="shared" si="19"/>
        <v>0.99822139430523504</v>
      </c>
    </row>
    <row r="288" spans="1:13" ht="69">
      <c r="A288" t="s">
        <v>164</v>
      </c>
      <c r="B288" t="s">
        <v>115</v>
      </c>
      <c r="C288" s="14" t="s">
        <v>291</v>
      </c>
      <c r="D288" t="s">
        <v>375</v>
      </c>
      <c r="E288" t="s">
        <v>392</v>
      </c>
      <c r="F288" s="20">
        <v>2032</v>
      </c>
      <c r="G288" s="20">
        <v>36</v>
      </c>
      <c r="H288" s="11">
        <v>2209.4867161175598</v>
      </c>
      <c r="I288" s="10">
        <v>4490904.4805544699</v>
      </c>
      <c r="J288" s="34">
        <f t="shared" si="16"/>
        <v>4.9199147425303626E-4</v>
      </c>
      <c r="K288" s="34">
        <f t="shared" si="17"/>
        <v>4.9187046629339815E-4</v>
      </c>
      <c r="L288" s="34">
        <f t="shared" si="18"/>
        <v>0.99822139430523504</v>
      </c>
      <c r="M288" s="34">
        <f t="shared" si="19"/>
        <v>0.99773039868255409</v>
      </c>
    </row>
    <row r="289" spans="1:13" ht="69">
      <c r="A289" t="s">
        <v>164</v>
      </c>
      <c r="B289" t="s">
        <v>115</v>
      </c>
      <c r="C289" s="14" t="s">
        <v>291</v>
      </c>
      <c r="D289" t="s">
        <v>375</v>
      </c>
      <c r="E289" t="s">
        <v>392</v>
      </c>
      <c r="F289" s="20">
        <v>2032</v>
      </c>
      <c r="G289" s="20">
        <v>37</v>
      </c>
      <c r="H289" s="11">
        <v>2338.7627534804601</v>
      </c>
      <c r="I289" s="10">
        <v>4417205.0238457099</v>
      </c>
      <c r="J289" s="34">
        <f t="shared" si="16"/>
        <v>5.2946665161679202E-4</v>
      </c>
      <c r="K289" s="34">
        <f t="shared" si="17"/>
        <v>5.2932650888393162E-4</v>
      </c>
      <c r="L289" s="34">
        <f t="shared" si="18"/>
        <v>0.99773039868255409</v>
      </c>
      <c r="M289" s="34">
        <f t="shared" si="19"/>
        <v>0.99720227353381208</v>
      </c>
    </row>
    <row r="290" spans="1:13" ht="69">
      <c r="A290" t="s">
        <v>164</v>
      </c>
      <c r="B290" t="s">
        <v>115</v>
      </c>
      <c r="C290" s="14" t="s">
        <v>291</v>
      </c>
      <c r="D290" t="s">
        <v>375</v>
      </c>
      <c r="E290" t="s">
        <v>392</v>
      </c>
      <c r="F290" s="20">
        <v>2032</v>
      </c>
      <c r="G290" s="20">
        <v>38</v>
      </c>
      <c r="H290" s="11">
        <v>2481.6111412274199</v>
      </c>
      <c r="I290" s="10">
        <v>4359105.1988785602</v>
      </c>
      <c r="J290" s="34">
        <f t="shared" si="16"/>
        <v>5.6929370318152647E-4</v>
      </c>
      <c r="K290" s="34">
        <f t="shared" si="17"/>
        <v>5.6913168626782085E-4</v>
      </c>
      <c r="L290" s="34">
        <f t="shared" si="18"/>
        <v>0.99720227353381208</v>
      </c>
      <c r="M290" s="34">
        <f t="shared" si="19"/>
        <v>0.99663473412232573</v>
      </c>
    </row>
    <row r="291" spans="1:13" ht="69">
      <c r="A291" t="s">
        <v>164</v>
      </c>
      <c r="B291" t="s">
        <v>115</v>
      </c>
      <c r="C291" s="14" t="s">
        <v>291</v>
      </c>
      <c r="D291" t="s">
        <v>375</v>
      </c>
      <c r="E291" t="s">
        <v>392</v>
      </c>
      <c r="F291" s="20">
        <v>2032</v>
      </c>
      <c r="G291" s="20">
        <v>39</v>
      </c>
      <c r="H291" s="11">
        <v>2639.3743488107898</v>
      </c>
      <c r="I291" s="10">
        <v>4304480.63088411</v>
      </c>
      <c r="J291" s="34">
        <f t="shared" si="16"/>
        <v>6.1316906152942337E-4</v>
      </c>
      <c r="K291" s="34">
        <f t="shared" si="17"/>
        <v>6.129811117974171E-4</v>
      </c>
      <c r="L291" s="34">
        <f t="shared" si="18"/>
        <v>0.99663473412232573</v>
      </c>
      <c r="M291" s="34">
        <f t="shared" si="19"/>
        <v>0.99602381585494748</v>
      </c>
    </row>
    <row r="292" spans="1:13" ht="69">
      <c r="A292" t="s">
        <v>164</v>
      </c>
      <c r="B292" t="s">
        <v>115</v>
      </c>
      <c r="C292" s="14" t="s">
        <v>291</v>
      </c>
      <c r="D292" t="s">
        <v>375</v>
      </c>
      <c r="E292" t="s">
        <v>392</v>
      </c>
      <c r="F292" s="20">
        <v>2032</v>
      </c>
      <c r="G292" s="20">
        <v>40</v>
      </c>
      <c r="H292" s="11">
        <v>3574.91168815017</v>
      </c>
      <c r="I292" s="10">
        <v>4340758.1671935301</v>
      </c>
      <c r="J292" s="34">
        <f t="shared" si="16"/>
        <v>8.2356849897065104E-4</v>
      </c>
      <c r="K292" s="34">
        <f t="shared" si="17"/>
        <v>8.2322945951485149E-4</v>
      </c>
      <c r="L292" s="34">
        <f t="shared" si="18"/>
        <v>0.99602381585494748</v>
      </c>
      <c r="M292" s="34">
        <f t="shared" si="19"/>
        <v>0.99520385970735725</v>
      </c>
    </row>
    <row r="293" spans="1:13" ht="69">
      <c r="A293" t="s">
        <v>164</v>
      </c>
      <c r="B293" t="s">
        <v>115</v>
      </c>
      <c r="C293" s="14" t="s">
        <v>291</v>
      </c>
      <c r="D293" t="s">
        <v>375</v>
      </c>
      <c r="E293" t="s">
        <v>392</v>
      </c>
      <c r="F293" s="20">
        <v>2032</v>
      </c>
      <c r="G293" s="20">
        <v>41</v>
      </c>
      <c r="H293" s="11">
        <v>3855.3395296571298</v>
      </c>
      <c r="I293" s="10">
        <v>4356419.4450994404</v>
      </c>
      <c r="J293" s="34">
        <f t="shared" si="16"/>
        <v>8.8497895536528788E-4</v>
      </c>
      <c r="K293" s="34">
        <f t="shared" si="17"/>
        <v>8.8458747698150209E-4</v>
      </c>
      <c r="L293" s="34">
        <f t="shared" si="18"/>
        <v>0.99520385970735725</v>
      </c>
      <c r="M293" s="34">
        <f t="shared" si="19"/>
        <v>0.99432351483601644</v>
      </c>
    </row>
    <row r="294" spans="1:13" ht="69">
      <c r="A294" t="s">
        <v>164</v>
      </c>
      <c r="B294" t="s">
        <v>115</v>
      </c>
      <c r="C294" s="14" t="s">
        <v>291</v>
      </c>
      <c r="D294" t="s">
        <v>375</v>
      </c>
      <c r="E294" t="s">
        <v>392</v>
      </c>
      <c r="F294" s="20">
        <v>2032</v>
      </c>
      <c r="G294" s="20">
        <v>42</v>
      </c>
      <c r="H294" s="11">
        <v>5867.8981961095596</v>
      </c>
      <c r="I294" s="10">
        <v>6413794.5589682302</v>
      </c>
      <c r="J294" s="34">
        <f t="shared" si="16"/>
        <v>9.1488714553612284E-4</v>
      </c>
      <c r="K294" s="34">
        <f t="shared" si="17"/>
        <v>9.1446876389200682E-4</v>
      </c>
      <c r="L294" s="34">
        <f t="shared" si="18"/>
        <v>0.99432351483601644</v>
      </c>
      <c r="M294" s="34">
        <f t="shared" si="19"/>
        <v>0.99341423704049558</v>
      </c>
    </row>
    <row r="295" spans="1:13" ht="69">
      <c r="A295" t="s">
        <v>164</v>
      </c>
      <c r="B295" t="s">
        <v>115</v>
      </c>
      <c r="C295" s="14" t="s">
        <v>291</v>
      </c>
      <c r="D295" t="s">
        <v>375</v>
      </c>
      <c r="E295" t="s">
        <v>392</v>
      </c>
      <c r="F295" s="20">
        <v>2032</v>
      </c>
      <c r="G295" s="20">
        <v>43</v>
      </c>
      <c r="H295" s="11">
        <v>4519.8198946222401</v>
      </c>
      <c r="I295" s="10">
        <v>4311670.73013251</v>
      </c>
      <c r="J295" s="34">
        <f t="shared" si="16"/>
        <v>1.0482757560857003E-3</v>
      </c>
      <c r="K295" s="34">
        <f t="shared" si="17"/>
        <v>1.0477265069935848E-3</v>
      </c>
      <c r="L295" s="34">
        <f t="shared" si="18"/>
        <v>0.99341423704049558</v>
      </c>
      <c r="M295" s="34">
        <f t="shared" si="19"/>
        <v>0.99237341061192341</v>
      </c>
    </row>
    <row r="296" spans="1:13" ht="69">
      <c r="A296" t="s">
        <v>164</v>
      </c>
      <c r="B296" t="s">
        <v>115</v>
      </c>
      <c r="C296" s="14" t="s">
        <v>291</v>
      </c>
      <c r="D296" t="s">
        <v>375</v>
      </c>
      <c r="E296" t="s">
        <v>392</v>
      </c>
      <c r="F296" s="20">
        <v>2032</v>
      </c>
      <c r="G296" s="20">
        <v>44</v>
      </c>
      <c r="H296" s="11">
        <v>4912.0335999817098</v>
      </c>
      <c r="I296" s="10">
        <v>4292970.9772974197</v>
      </c>
      <c r="J296" s="34">
        <f t="shared" si="16"/>
        <v>1.1442037754175577E-3</v>
      </c>
      <c r="K296" s="34">
        <f t="shared" si="17"/>
        <v>1.14354942387207E-3</v>
      </c>
      <c r="L296" s="34">
        <f t="shared" si="18"/>
        <v>0.99237341061192341</v>
      </c>
      <c r="M296" s="34">
        <f t="shared" si="19"/>
        <v>0.99123858256995223</v>
      </c>
    </row>
    <row r="297" spans="1:13" ht="69">
      <c r="A297" t="s">
        <v>164</v>
      </c>
      <c r="B297" t="s">
        <v>115</v>
      </c>
      <c r="C297" s="14" t="s">
        <v>291</v>
      </c>
      <c r="D297" t="s">
        <v>375</v>
      </c>
      <c r="E297" t="s">
        <v>392</v>
      </c>
      <c r="F297" s="20">
        <v>2032</v>
      </c>
      <c r="G297" s="20">
        <v>45</v>
      </c>
      <c r="H297" s="11">
        <v>6149.0209471487497</v>
      </c>
      <c r="I297" s="10">
        <v>4159201.2790006502</v>
      </c>
      <c r="J297" s="34">
        <f t="shared" si="16"/>
        <v>1.4784138911945618E-3</v>
      </c>
      <c r="K297" s="34">
        <f t="shared" si="17"/>
        <v>1.4773215757420965E-3</v>
      </c>
      <c r="L297" s="34">
        <f t="shared" si="18"/>
        <v>0.99123858256995223</v>
      </c>
      <c r="M297" s="34">
        <f t="shared" si="19"/>
        <v>0.98977420442521358</v>
      </c>
    </row>
    <row r="298" spans="1:13" ht="69">
      <c r="A298" t="s">
        <v>164</v>
      </c>
      <c r="B298" t="s">
        <v>115</v>
      </c>
      <c r="C298" s="14" t="s">
        <v>291</v>
      </c>
      <c r="D298" t="s">
        <v>375</v>
      </c>
      <c r="E298" t="s">
        <v>392</v>
      </c>
      <c r="F298" s="20">
        <v>2032</v>
      </c>
      <c r="G298" s="20">
        <v>46</v>
      </c>
      <c r="H298" s="11">
        <v>6630.4542712613402</v>
      </c>
      <c r="I298" s="10">
        <v>4121248.9277013</v>
      </c>
      <c r="J298" s="34">
        <f t="shared" si="16"/>
        <v>1.6088458590050746E-3</v>
      </c>
      <c r="K298" s="34">
        <f t="shared" si="17"/>
        <v>1.6075523602790964E-3</v>
      </c>
      <c r="L298" s="34">
        <f t="shared" si="18"/>
        <v>0.98977420442521358</v>
      </c>
      <c r="M298" s="34">
        <f t="shared" si="19"/>
        <v>0.98818309056674647</v>
      </c>
    </row>
    <row r="299" spans="1:13" ht="69">
      <c r="A299" t="s">
        <v>164</v>
      </c>
      <c r="B299" t="s">
        <v>115</v>
      </c>
      <c r="C299" s="14" t="s">
        <v>291</v>
      </c>
      <c r="D299" t="s">
        <v>375</v>
      </c>
      <c r="E299" t="s">
        <v>392</v>
      </c>
      <c r="F299" s="20">
        <v>2032</v>
      </c>
      <c r="G299" s="20">
        <v>47</v>
      </c>
      <c r="H299" s="11">
        <v>7393.29838534589</v>
      </c>
      <c r="I299" s="10">
        <v>4176746.63372391</v>
      </c>
      <c r="J299" s="34">
        <f t="shared" si="16"/>
        <v>1.7701093778710159E-3</v>
      </c>
      <c r="K299" s="34">
        <f t="shared" si="17"/>
        <v>1.7685436582340897E-3</v>
      </c>
      <c r="L299" s="34">
        <f t="shared" si="18"/>
        <v>0.98818309056674647</v>
      </c>
      <c r="M299" s="34">
        <f t="shared" si="19"/>
        <v>0.98643544562875052</v>
      </c>
    </row>
    <row r="300" spans="1:13" ht="69">
      <c r="A300" t="s">
        <v>164</v>
      </c>
      <c r="B300" t="s">
        <v>115</v>
      </c>
      <c r="C300" s="14" t="s">
        <v>291</v>
      </c>
      <c r="D300" t="s">
        <v>375</v>
      </c>
      <c r="E300" t="s">
        <v>392</v>
      </c>
      <c r="F300" s="20">
        <v>2032</v>
      </c>
      <c r="G300" s="20">
        <v>48</v>
      </c>
      <c r="H300" s="11">
        <v>8260.5297066203493</v>
      </c>
      <c r="I300" s="10">
        <v>4256643.38470277</v>
      </c>
      <c r="J300" s="34">
        <f t="shared" si="16"/>
        <v>1.9406205688516139E-3</v>
      </c>
      <c r="K300" s="34">
        <f t="shared" si="17"/>
        <v>1.938738782230276E-3</v>
      </c>
      <c r="L300" s="34">
        <f t="shared" si="18"/>
        <v>0.98643544562875052</v>
      </c>
      <c r="M300" s="34">
        <f t="shared" si="19"/>
        <v>0.98452300497414347</v>
      </c>
    </row>
    <row r="301" spans="1:13" ht="69">
      <c r="A301" t="s">
        <v>164</v>
      </c>
      <c r="B301" t="s">
        <v>115</v>
      </c>
      <c r="C301" s="14" t="s">
        <v>291</v>
      </c>
      <c r="D301" t="s">
        <v>375</v>
      </c>
      <c r="E301" t="s">
        <v>392</v>
      </c>
      <c r="F301" s="20">
        <v>2032</v>
      </c>
      <c r="G301" s="20">
        <v>49</v>
      </c>
      <c r="H301" s="11">
        <v>8990.1058239038302</v>
      </c>
      <c r="I301" s="10">
        <v>4228196.4635041803</v>
      </c>
      <c r="J301" s="34">
        <f t="shared" si="16"/>
        <v>2.126227080861126E-3</v>
      </c>
      <c r="K301" s="34">
        <f t="shared" si="17"/>
        <v>2.1239682612661515E-3</v>
      </c>
      <c r="L301" s="34">
        <f t="shared" si="18"/>
        <v>0.98452300497414347</v>
      </c>
      <c r="M301" s="34">
        <f t="shared" si="19"/>
        <v>0.98243190935909197</v>
      </c>
    </row>
    <row r="302" spans="1:13" ht="69">
      <c r="A302" t="s">
        <v>164</v>
      </c>
      <c r="B302" t="s">
        <v>115</v>
      </c>
      <c r="C302" s="14" t="s">
        <v>291</v>
      </c>
      <c r="D302" t="s">
        <v>375</v>
      </c>
      <c r="E302" t="s">
        <v>392</v>
      </c>
      <c r="F302" s="20">
        <v>2032</v>
      </c>
      <c r="G302" s="20">
        <v>50</v>
      </c>
      <c r="H302" s="11">
        <v>10105.3327305075</v>
      </c>
      <c r="I302" s="10">
        <v>4088260.3418677701</v>
      </c>
      <c r="J302" s="34">
        <f t="shared" si="16"/>
        <v>2.4717928618730673E-3</v>
      </c>
      <c r="K302" s="34">
        <f t="shared" si="17"/>
        <v>2.4687404973525728E-3</v>
      </c>
      <c r="L302" s="34">
        <f t="shared" si="18"/>
        <v>0.98243190935909197</v>
      </c>
      <c r="M302" s="34">
        <f t="shared" si="19"/>
        <v>0.98000653991856579</v>
      </c>
    </row>
    <row r="303" spans="1:13" ht="69">
      <c r="A303" t="s">
        <v>164</v>
      </c>
      <c r="B303" t="s">
        <v>115</v>
      </c>
      <c r="C303" s="14" t="s">
        <v>291</v>
      </c>
      <c r="D303" t="s">
        <v>375</v>
      </c>
      <c r="E303" t="s">
        <v>392</v>
      </c>
      <c r="F303" s="20">
        <v>2032</v>
      </c>
      <c r="G303" s="20">
        <v>51</v>
      </c>
      <c r="H303" s="11">
        <v>10774.012020972301</v>
      </c>
      <c r="I303" s="10">
        <v>4008868.8994775601</v>
      </c>
      <c r="J303" s="34">
        <f t="shared" si="16"/>
        <v>2.6875441155924011E-3</v>
      </c>
      <c r="K303" s="34">
        <f t="shared" si="17"/>
        <v>2.683935902040635E-3</v>
      </c>
      <c r="L303" s="34">
        <f t="shared" si="18"/>
        <v>0.98000653991856579</v>
      </c>
      <c r="M303" s="34">
        <f t="shared" si="19"/>
        <v>0.97737626518184373</v>
      </c>
    </row>
    <row r="304" spans="1:13" ht="69">
      <c r="A304" t="s">
        <v>164</v>
      </c>
      <c r="B304" t="s">
        <v>115</v>
      </c>
      <c r="C304" s="14" t="s">
        <v>291</v>
      </c>
      <c r="D304" t="s">
        <v>375</v>
      </c>
      <c r="E304" t="s">
        <v>392</v>
      </c>
      <c r="F304" s="20">
        <v>2032</v>
      </c>
      <c r="G304" s="20">
        <v>52</v>
      </c>
      <c r="H304" s="11">
        <v>11625.186555767001</v>
      </c>
      <c r="I304" s="10">
        <v>3945585.2743381499</v>
      </c>
      <c r="J304" s="34">
        <f t="shared" si="16"/>
        <v>2.9463782297081543E-3</v>
      </c>
      <c r="K304" s="34">
        <f t="shared" si="17"/>
        <v>2.9420419172229151E-3</v>
      </c>
      <c r="L304" s="34">
        <f t="shared" si="18"/>
        <v>0.97737626518184373</v>
      </c>
      <c r="M304" s="34">
        <f t="shared" si="19"/>
        <v>0.97450078324077993</v>
      </c>
    </row>
    <row r="305" spans="1:13" ht="69">
      <c r="A305" t="s">
        <v>164</v>
      </c>
      <c r="B305" t="s">
        <v>115</v>
      </c>
      <c r="C305" s="14" t="s">
        <v>291</v>
      </c>
      <c r="D305" t="s">
        <v>375</v>
      </c>
      <c r="E305" t="s">
        <v>392</v>
      </c>
      <c r="F305" s="20">
        <v>2032</v>
      </c>
      <c r="G305" s="20">
        <v>53</v>
      </c>
      <c r="H305" s="11">
        <v>12479.0852528572</v>
      </c>
      <c r="I305" s="10">
        <v>3876613.9284555502</v>
      </c>
      <c r="J305" s="34">
        <f t="shared" si="16"/>
        <v>3.2190683630517959E-3</v>
      </c>
      <c r="K305" s="34">
        <f t="shared" si="17"/>
        <v>3.2138927175637821E-3</v>
      </c>
      <c r="L305" s="34">
        <f t="shared" si="18"/>
        <v>0.97450078324077993</v>
      </c>
      <c r="M305" s="34">
        <f t="shared" si="19"/>
        <v>0.97136884227026221</v>
      </c>
    </row>
    <row r="306" spans="1:13" ht="69">
      <c r="A306" t="s">
        <v>164</v>
      </c>
      <c r="B306" t="s">
        <v>115</v>
      </c>
      <c r="C306" s="14" t="s">
        <v>291</v>
      </c>
      <c r="D306" t="s">
        <v>375</v>
      </c>
      <c r="E306" t="s">
        <v>392</v>
      </c>
      <c r="F306" s="20">
        <v>2032</v>
      </c>
      <c r="G306" s="20">
        <v>54</v>
      </c>
      <c r="H306" s="11">
        <v>13320.7356620841</v>
      </c>
      <c r="I306" s="10">
        <v>3788214.4171788502</v>
      </c>
      <c r="J306" s="34">
        <f t="shared" si="16"/>
        <v>3.5163626434863435E-3</v>
      </c>
      <c r="K306" s="34">
        <f t="shared" si="17"/>
        <v>3.5101874805240074E-3</v>
      </c>
      <c r="L306" s="34">
        <f t="shared" si="18"/>
        <v>0.97136884227026221</v>
      </c>
      <c r="M306" s="34">
        <f t="shared" si="19"/>
        <v>0.96795915552115408</v>
      </c>
    </row>
    <row r="307" spans="1:13" ht="69">
      <c r="A307" t="s">
        <v>164</v>
      </c>
      <c r="B307" t="s">
        <v>115</v>
      </c>
      <c r="C307" s="14" t="s">
        <v>291</v>
      </c>
      <c r="D307" t="s">
        <v>375</v>
      </c>
      <c r="E307" t="s">
        <v>392</v>
      </c>
      <c r="F307" s="20">
        <v>2032</v>
      </c>
      <c r="G307" s="20">
        <v>55</v>
      </c>
      <c r="H307" s="11">
        <v>14379.166258193</v>
      </c>
      <c r="I307" s="10">
        <v>3716148.38098827</v>
      </c>
      <c r="J307" s="34">
        <f t="shared" si="16"/>
        <v>3.8693735513243995E-3</v>
      </c>
      <c r="K307" s="34">
        <f t="shared" si="17"/>
        <v>3.8618971715618233E-3</v>
      </c>
      <c r="L307" s="34">
        <f t="shared" si="18"/>
        <v>0.96795915552115408</v>
      </c>
      <c r="M307" s="34">
        <f t="shared" si="19"/>
        <v>0.96422099679625961</v>
      </c>
    </row>
    <row r="308" spans="1:13" ht="69">
      <c r="A308" t="s">
        <v>164</v>
      </c>
      <c r="B308" t="s">
        <v>115</v>
      </c>
      <c r="C308" s="14" t="s">
        <v>291</v>
      </c>
      <c r="D308" t="s">
        <v>375</v>
      </c>
      <c r="E308" t="s">
        <v>392</v>
      </c>
      <c r="F308" s="20">
        <v>2032</v>
      </c>
      <c r="G308" s="20">
        <v>56</v>
      </c>
      <c r="H308" s="11">
        <v>15275.5819540757</v>
      </c>
      <c r="I308" s="10">
        <v>3631745.6182584199</v>
      </c>
      <c r="J308" s="34">
        <f t="shared" si="16"/>
        <v>4.2061266288251232E-3</v>
      </c>
      <c r="K308" s="34">
        <f t="shared" si="17"/>
        <v>4.1972932673017826E-3</v>
      </c>
      <c r="L308" s="34">
        <f t="shared" si="18"/>
        <v>0.96422099679625961</v>
      </c>
      <c r="M308" s="34">
        <f t="shared" si="19"/>
        <v>0.96017387849821567</v>
      </c>
    </row>
    <row r="309" spans="1:13" ht="69">
      <c r="A309" t="s">
        <v>164</v>
      </c>
      <c r="B309" t="s">
        <v>115</v>
      </c>
      <c r="C309" s="14" t="s">
        <v>291</v>
      </c>
      <c r="D309" t="s">
        <v>375</v>
      </c>
      <c r="E309" t="s">
        <v>392</v>
      </c>
      <c r="F309" s="20">
        <v>2032</v>
      </c>
      <c r="G309" s="20">
        <v>57</v>
      </c>
      <c r="H309" s="11">
        <v>16338.991254062599</v>
      </c>
      <c r="I309" s="10">
        <v>3546616.54677469</v>
      </c>
      <c r="J309" s="34">
        <f t="shared" si="16"/>
        <v>4.606923539259229E-3</v>
      </c>
      <c r="K309" s="34">
        <f t="shared" si="17"/>
        <v>4.5963279442875482E-3</v>
      </c>
      <c r="L309" s="34">
        <f t="shared" si="18"/>
        <v>0.96017387849821567</v>
      </c>
      <c r="M309" s="34">
        <f t="shared" si="19"/>
        <v>0.95576060446909938</v>
      </c>
    </row>
    <row r="310" spans="1:13" ht="69">
      <c r="A310" t="s">
        <v>164</v>
      </c>
      <c r="B310" t="s">
        <v>115</v>
      </c>
      <c r="C310" s="14" t="s">
        <v>291</v>
      </c>
      <c r="D310" t="s">
        <v>375</v>
      </c>
      <c r="E310" t="s">
        <v>392</v>
      </c>
      <c r="F310" s="20">
        <v>2032</v>
      </c>
      <c r="G310" s="20">
        <v>58</v>
      </c>
      <c r="H310" s="11">
        <v>17295.189776084801</v>
      </c>
      <c r="I310" s="10">
        <v>3434400.6247452502</v>
      </c>
      <c r="J310" s="34">
        <f t="shared" si="16"/>
        <v>5.0358684573578796E-3</v>
      </c>
      <c r="K310" s="34">
        <f t="shared" si="17"/>
        <v>5.0232097299410805E-3</v>
      </c>
      <c r="L310" s="34">
        <f t="shared" si="18"/>
        <v>0.95576060446909938</v>
      </c>
      <c r="M310" s="34">
        <f t="shared" si="19"/>
        <v>0.95095961850123578</v>
      </c>
    </row>
    <row r="311" spans="1:13" ht="69">
      <c r="A311" t="s">
        <v>164</v>
      </c>
      <c r="B311" t="s">
        <v>115</v>
      </c>
      <c r="C311" s="14" t="s">
        <v>291</v>
      </c>
      <c r="D311" t="s">
        <v>375</v>
      </c>
      <c r="E311" t="s">
        <v>392</v>
      </c>
      <c r="F311" s="20">
        <v>2032</v>
      </c>
      <c r="G311" s="20">
        <v>59</v>
      </c>
      <c r="H311" s="11">
        <v>18613.265145769201</v>
      </c>
      <c r="I311" s="10">
        <v>3379936.0868239198</v>
      </c>
      <c r="J311" s="34">
        <f t="shared" si="16"/>
        <v>5.5069873120766125E-3</v>
      </c>
      <c r="K311" s="34">
        <f t="shared" si="17"/>
        <v>5.4918516541534457E-3</v>
      </c>
      <c r="L311" s="34">
        <f t="shared" si="18"/>
        <v>0.95095961850123578</v>
      </c>
      <c r="M311" s="34">
        <f t="shared" si="19"/>
        <v>0.94573708934733669</v>
      </c>
    </row>
    <row r="312" spans="1:13" ht="69">
      <c r="A312" t="s">
        <v>164</v>
      </c>
      <c r="B312" t="s">
        <v>115</v>
      </c>
      <c r="C312" s="14" t="s">
        <v>291</v>
      </c>
      <c r="D312" t="s">
        <v>375</v>
      </c>
      <c r="E312" t="s">
        <v>392</v>
      </c>
      <c r="F312" s="20">
        <v>2032</v>
      </c>
      <c r="G312" s="20">
        <v>60</v>
      </c>
      <c r="H312" s="11">
        <v>19371.214795713498</v>
      </c>
      <c r="I312" s="10">
        <v>3167094.9110438498</v>
      </c>
      <c r="J312" s="34">
        <f t="shared" si="16"/>
        <v>6.1163985733944728E-3</v>
      </c>
      <c r="K312" s="34">
        <f t="shared" si="17"/>
        <v>6.0977314854806508E-3</v>
      </c>
      <c r="L312" s="34">
        <f t="shared" si="18"/>
        <v>0.94573708934733669</v>
      </c>
      <c r="M312" s="34">
        <f t="shared" si="19"/>
        <v>0.93997023852063666</v>
      </c>
    </row>
    <row r="313" spans="1:13" ht="69">
      <c r="A313" t="s">
        <v>164</v>
      </c>
      <c r="B313" t="s">
        <v>115</v>
      </c>
      <c r="C313" s="14" t="s">
        <v>291</v>
      </c>
      <c r="D313" t="s">
        <v>375</v>
      </c>
      <c r="E313" t="s">
        <v>392</v>
      </c>
      <c r="F313" s="20">
        <v>2032</v>
      </c>
      <c r="G313" s="20">
        <v>61</v>
      </c>
      <c r="H313" s="11">
        <v>20465.6847179221</v>
      </c>
      <c r="I313" s="10">
        <v>3070621.2067821398</v>
      </c>
      <c r="J313" s="34">
        <f t="shared" si="16"/>
        <v>6.6649981680316512E-3</v>
      </c>
      <c r="K313" s="34">
        <f t="shared" si="17"/>
        <v>6.6428363312766026E-3</v>
      </c>
      <c r="L313" s="34">
        <f t="shared" si="18"/>
        <v>0.93997023852063666</v>
      </c>
      <c r="M313" s="34">
        <f t="shared" si="19"/>
        <v>0.93372617006987302</v>
      </c>
    </row>
    <row r="314" spans="1:13" ht="69">
      <c r="A314" t="s">
        <v>164</v>
      </c>
      <c r="B314" t="s">
        <v>115</v>
      </c>
      <c r="C314" s="14" t="s">
        <v>291</v>
      </c>
      <c r="D314" t="s">
        <v>375</v>
      </c>
      <c r="E314" t="s">
        <v>392</v>
      </c>
      <c r="F314" s="20">
        <v>2032</v>
      </c>
      <c r="G314" s="20">
        <v>62</v>
      </c>
      <c r="H314" s="11">
        <v>21790.027660719999</v>
      </c>
      <c r="I314" s="10">
        <v>2978374.64844131</v>
      </c>
      <c r="J314" s="34">
        <f t="shared" si="16"/>
        <v>7.3160801553704803E-3</v>
      </c>
      <c r="K314" s="34">
        <f t="shared" si="17"/>
        <v>7.2893827873199424E-3</v>
      </c>
      <c r="L314" s="34">
        <f t="shared" si="18"/>
        <v>0.93372617006987302</v>
      </c>
      <c r="M314" s="34">
        <f t="shared" si="19"/>
        <v>0.92691988259769553</v>
      </c>
    </row>
    <row r="315" spans="1:13" ht="69">
      <c r="A315" t="s">
        <v>164</v>
      </c>
      <c r="B315" t="s">
        <v>115</v>
      </c>
      <c r="C315" s="14" t="s">
        <v>291</v>
      </c>
      <c r="D315" t="s">
        <v>375</v>
      </c>
      <c r="E315" t="s">
        <v>392</v>
      </c>
      <c r="F315" s="20">
        <v>2032</v>
      </c>
      <c r="G315" s="20">
        <v>63</v>
      </c>
      <c r="H315" s="11">
        <v>23053.017047085701</v>
      </c>
      <c r="I315" s="10">
        <v>2876887.9015660398</v>
      </c>
      <c r="J315" s="34">
        <f t="shared" si="16"/>
        <v>8.0131787667280137E-3</v>
      </c>
      <c r="K315" s="34">
        <f t="shared" si="17"/>
        <v>7.9811588339840922E-3</v>
      </c>
      <c r="L315" s="34">
        <f t="shared" si="18"/>
        <v>0.92691988259769553</v>
      </c>
      <c r="M315" s="34">
        <f t="shared" si="19"/>
        <v>0.91952198778830541</v>
      </c>
    </row>
    <row r="316" spans="1:13" ht="69">
      <c r="A316" t="s">
        <v>164</v>
      </c>
      <c r="B316" t="s">
        <v>115</v>
      </c>
      <c r="C316" s="14" t="s">
        <v>291</v>
      </c>
      <c r="D316" t="s">
        <v>375</v>
      </c>
      <c r="E316" t="s">
        <v>392</v>
      </c>
      <c r="F316" s="20">
        <v>2032</v>
      </c>
      <c r="G316" s="20">
        <v>64</v>
      </c>
      <c r="H316" s="11">
        <v>24197.887683256002</v>
      </c>
      <c r="I316" s="10">
        <v>2756331.7035236</v>
      </c>
      <c r="J316" s="34">
        <f t="shared" si="16"/>
        <v>8.7790187415840593E-3</v>
      </c>
      <c r="K316" s="34">
        <f t="shared" si="17"/>
        <v>8.7405956776945848E-3</v>
      </c>
      <c r="L316" s="34">
        <f t="shared" si="18"/>
        <v>0.91952198778830541</v>
      </c>
      <c r="M316" s="34">
        <f t="shared" si="19"/>
        <v>0.91148481787629776</v>
      </c>
    </row>
    <row r="317" spans="1:13" ht="69">
      <c r="A317" t="s">
        <v>164</v>
      </c>
      <c r="B317" t="s">
        <v>115</v>
      </c>
      <c r="C317" s="14" t="s">
        <v>291</v>
      </c>
      <c r="D317" t="s">
        <v>375</v>
      </c>
      <c r="E317" t="s">
        <v>392</v>
      </c>
      <c r="F317" s="20">
        <v>2032</v>
      </c>
      <c r="G317" s="20">
        <v>65</v>
      </c>
      <c r="H317" s="11">
        <v>24306.8189308002</v>
      </c>
      <c r="I317" s="10">
        <v>2606232.6715960298</v>
      </c>
      <c r="J317" s="34">
        <f t="shared" si="16"/>
        <v>9.3264193929066801E-3</v>
      </c>
      <c r="K317" s="34">
        <f t="shared" si="17"/>
        <v>9.283063234157729E-3</v>
      </c>
      <c r="L317" s="34">
        <f t="shared" si="18"/>
        <v>0.91148481787629776</v>
      </c>
      <c r="M317" s="34">
        <f t="shared" si="19"/>
        <v>0.90302344667497736</v>
      </c>
    </row>
    <row r="318" spans="1:13" ht="69">
      <c r="A318" t="s">
        <v>164</v>
      </c>
      <c r="B318" t="s">
        <v>115</v>
      </c>
      <c r="C318" s="14" t="s">
        <v>291</v>
      </c>
      <c r="D318" t="s">
        <v>375</v>
      </c>
      <c r="E318" t="s">
        <v>392</v>
      </c>
      <c r="F318" s="20">
        <v>2032</v>
      </c>
      <c r="G318" s="20">
        <v>66</v>
      </c>
      <c r="H318" s="11">
        <v>25380.308859375102</v>
      </c>
      <c r="I318" s="10">
        <v>2490653.85803161</v>
      </c>
      <c r="J318" s="34">
        <f t="shared" si="16"/>
        <v>1.0190219238025081E-2</v>
      </c>
      <c r="K318" s="34">
        <f t="shared" si="17"/>
        <v>1.0138474865286184E-2</v>
      </c>
      <c r="L318" s="34">
        <f t="shared" si="18"/>
        <v>0.90302344667497736</v>
      </c>
      <c r="M318" s="34">
        <f t="shared" si="19"/>
        <v>0.89386816615809905</v>
      </c>
    </row>
    <row r="319" spans="1:13" ht="69">
      <c r="A319" t="s">
        <v>164</v>
      </c>
      <c r="B319" t="s">
        <v>115</v>
      </c>
      <c r="C319" s="14" t="s">
        <v>291</v>
      </c>
      <c r="D319" t="s">
        <v>375</v>
      </c>
      <c r="E319" t="s">
        <v>392</v>
      </c>
      <c r="F319" s="20">
        <v>2032</v>
      </c>
      <c r="G319" s="20">
        <v>67</v>
      </c>
      <c r="H319" s="11">
        <v>26380.386474225899</v>
      </c>
      <c r="I319" s="10">
        <v>2354741.5888235401</v>
      </c>
      <c r="J319" s="34">
        <f t="shared" si="16"/>
        <v>1.1203091922883091E-2</v>
      </c>
      <c r="K319" s="34">
        <f t="shared" si="17"/>
        <v>1.1140570982323017E-2</v>
      </c>
      <c r="L319" s="34">
        <f t="shared" si="18"/>
        <v>0.89386816615809905</v>
      </c>
      <c r="M319" s="34">
        <f t="shared" si="19"/>
        <v>0.8839099644041758</v>
      </c>
    </row>
    <row r="320" spans="1:13" ht="69">
      <c r="A320" t="s">
        <v>164</v>
      </c>
      <c r="B320" t="s">
        <v>115</v>
      </c>
      <c r="C320" s="14" t="s">
        <v>291</v>
      </c>
      <c r="D320" t="s">
        <v>375</v>
      </c>
      <c r="E320" t="s">
        <v>392</v>
      </c>
      <c r="F320" s="20">
        <v>2032</v>
      </c>
      <c r="G320" s="20">
        <v>68</v>
      </c>
      <c r="H320" s="11">
        <v>27292.346686379198</v>
      </c>
      <c r="I320" s="10">
        <v>2219221.2646995401</v>
      </c>
      <c r="J320" s="34">
        <f t="shared" si="16"/>
        <v>1.229816382913684E-2</v>
      </c>
      <c r="K320" s="34">
        <f t="shared" si="17"/>
        <v>1.2222850467190849E-2</v>
      </c>
      <c r="L320" s="34">
        <f t="shared" si="18"/>
        <v>0.8839099644041758</v>
      </c>
      <c r="M320" s="34">
        <f t="shared" si="19"/>
        <v>0.87310606508280353</v>
      </c>
    </row>
    <row r="321" spans="1:13" ht="69">
      <c r="A321" t="s">
        <v>164</v>
      </c>
      <c r="B321" t="s">
        <v>115</v>
      </c>
      <c r="C321" s="14" t="s">
        <v>291</v>
      </c>
      <c r="D321" t="s">
        <v>375</v>
      </c>
      <c r="E321" t="s">
        <v>392</v>
      </c>
      <c r="F321" s="20">
        <v>2032</v>
      </c>
      <c r="G321" s="20">
        <v>69</v>
      </c>
      <c r="H321" s="11">
        <v>28214.364637859398</v>
      </c>
      <c r="I321" s="10">
        <v>2088399.62278508</v>
      </c>
      <c r="J321" s="34">
        <f t="shared" si="16"/>
        <v>1.351004105250357E-2</v>
      </c>
      <c r="K321" s="34">
        <f t="shared" si="17"/>
        <v>1.3419190041714213E-2</v>
      </c>
      <c r="L321" s="34">
        <f t="shared" si="18"/>
        <v>0.87310606508280353</v>
      </c>
      <c r="M321" s="34">
        <f t="shared" si="19"/>
        <v>0.86138968886888412</v>
      </c>
    </row>
    <row r="322" spans="1:13" ht="69">
      <c r="A322" t="s">
        <v>164</v>
      </c>
      <c r="B322" t="s">
        <v>115</v>
      </c>
      <c r="C322" s="14" t="s">
        <v>291</v>
      </c>
      <c r="D322" t="s">
        <v>375</v>
      </c>
      <c r="E322" t="s">
        <v>392</v>
      </c>
      <c r="F322" s="20">
        <v>2033</v>
      </c>
      <c r="G322" s="20">
        <v>30</v>
      </c>
      <c r="H322" s="11">
        <v>767.13260737559597</v>
      </c>
      <c r="I322" s="10">
        <v>4369792.04694157</v>
      </c>
      <c r="J322" s="34">
        <f t="shared" ref="J322:J385" si="20">IF(I322&gt;0,H322/I322,0)</f>
        <v>1.7555357306133464E-4</v>
      </c>
      <c r="K322" s="34">
        <f t="shared" ref="K322:K385" si="21">1-EXP(-J322)</f>
        <v>1.7553816443449666E-4</v>
      </c>
      <c r="L322" s="34">
        <f t="shared" ref="L322:L385" si="22">IF(G322=30,1,M321)</f>
        <v>1</v>
      </c>
      <c r="M322" s="34">
        <f t="shared" ref="M322:M385" si="23">L322*(1-K322)</f>
        <v>0.9998244618355655</v>
      </c>
    </row>
    <row r="323" spans="1:13" ht="69">
      <c r="A323" t="s">
        <v>164</v>
      </c>
      <c r="B323" t="s">
        <v>115</v>
      </c>
      <c r="C323" s="14" t="s">
        <v>291</v>
      </c>
      <c r="D323" t="s">
        <v>375</v>
      </c>
      <c r="E323" t="s">
        <v>392</v>
      </c>
      <c r="F323" s="20">
        <v>2033</v>
      </c>
      <c r="G323" s="20">
        <v>31</v>
      </c>
      <c r="H323" s="11">
        <v>1095.44156014276</v>
      </c>
      <c r="I323" s="10">
        <v>4349056.6641979003</v>
      </c>
      <c r="J323" s="34">
        <f t="shared" si="20"/>
        <v>2.5188026846387229E-4</v>
      </c>
      <c r="K323" s="34">
        <f t="shared" si="21"/>
        <v>2.5184854929227729E-4</v>
      </c>
      <c r="L323" s="34">
        <f t="shared" si="22"/>
        <v>0.9998244618355655</v>
      </c>
      <c r="M323" s="34">
        <f t="shared" si="23"/>
        <v>0.99957265749530533</v>
      </c>
    </row>
    <row r="324" spans="1:13" ht="69">
      <c r="A324" t="s">
        <v>164</v>
      </c>
      <c r="B324" t="s">
        <v>115</v>
      </c>
      <c r="C324" s="14" t="s">
        <v>291</v>
      </c>
      <c r="D324" t="s">
        <v>375</v>
      </c>
      <c r="E324" t="s">
        <v>392</v>
      </c>
      <c r="F324" s="20">
        <v>2033</v>
      </c>
      <c r="G324" s="20">
        <v>32</v>
      </c>
      <c r="H324" s="11">
        <v>1144.7848247398199</v>
      </c>
      <c r="I324" s="10">
        <v>4329512.37729437</v>
      </c>
      <c r="J324" s="34">
        <f t="shared" si="20"/>
        <v>2.644142630804135E-4</v>
      </c>
      <c r="K324" s="34">
        <f t="shared" si="21"/>
        <v>2.6437930871003879E-4</v>
      </c>
      <c r="L324" s="34">
        <f t="shared" si="22"/>
        <v>0.99957265749530533</v>
      </c>
      <c r="M324" s="34">
        <f t="shared" si="23"/>
        <v>0.99930839116711123</v>
      </c>
    </row>
    <row r="325" spans="1:13" ht="69">
      <c r="A325" t="s">
        <v>164</v>
      </c>
      <c r="B325" t="s">
        <v>115</v>
      </c>
      <c r="C325" s="14" t="s">
        <v>291</v>
      </c>
      <c r="D325" t="s">
        <v>375</v>
      </c>
      <c r="E325" t="s">
        <v>392</v>
      </c>
      <c r="F325" s="20">
        <v>2033</v>
      </c>
      <c r="G325" s="20">
        <v>33</v>
      </c>
      <c r="H325" s="11">
        <v>1205.1266807699999</v>
      </c>
      <c r="I325" s="10">
        <v>4309736.4373875102</v>
      </c>
      <c r="J325" s="34">
        <f t="shared" si="20"/>
        <v>2.796288585806253E-4</v>
      </c>
      <c r="K325" s="34">
        <f t="shared" si="21"/>
        <v>2.7958976607522779E-4</v>
      </c>
      <c r="L325" s="34">
        <f t="shared" si="22"/>
        <v>0.99930839116711123</v>
      </c>
      <c r="M325" s="34">
        <f t="shared" si="23"/>
        <v>0.99902899476778784</v>
      </c>
    </row>
    <row r="326" spans="1:13" ht="69">
      <c r="A326" t="s">
        <v>164</v>
      </c>
      <c r="B326" t="s">
        <v>115</v>
      </c>
      <c r="C326" s="14" t="s">
        <v>291</v>
      </c>
      <c r="D326" t="s">
        <v>375</v>
      </c>
      <c r="E326" t="s">
        <v>392</v>
      </c>
      <c r="F326" s="20">
        <v>2033</v>
      </c>
      <c r="G326" s="20">
        <v>34</v>
      </c>
      <c r="H326" s="11">
        <v>1288.1265478877499</v>
      </c>
      <c r="I326" s="10">
        <v>4329702.8651316501</v>
      </c>
      <c r="J326" s="34">
        <f t="shared" si="20"/>
        <v>2.9750922592434824E-4</v>
      </c>
      <c r="K326" s="34">
        <f t="shared" si="21"/>
        <v>2.9746497444316233E-4</v>
      </c>
      <c r="L326" s="34">
        <f t="shared" si="22"/>
        <v>0.99902899476778784</v>
      </c>
      <c r="M326" s="34">
        <f t="shared" si="23"/>
        <v>0.99873181863339122</v>
      </c>
    </row>
    <row r="327" spans="1:13" ht="69">
      <c r="A327" t="s">
        <v>164</v>
      </c>
      <c r="B327" t="s">
        <v>115</v>
      </c>
      <c r="C327" s="14" t="s">
        <v>291</v>
      </c>
      <c r="D327" t="s">
        <v>375</v>
      </c>
      <c r="E327" t="s">
        <v>392</v>
      </c>
      <c r="F327" s="20">
        <v>2033</v>
      </c>
      <c r="G327" s="20">
        <v>35</v>
      </c>
      <c r="H327" s="11">
        <v>1770.4704926367399</v>
      </c>
      <c r="I327" s="10">
        <v>4388842.1692855004</v>
      </c>
      <c r="J327" s="34">
        <f t="shared" si="20"/>
        <v>4.0340263430456669E-4</v>
      </c>
      <c r="K327" s="34">
        <f t="shared" si="21"/>
        <v>4.0332127840203569E-4</v>
      </c>
      <c r="L327" s="34">
        <f t="shared" si="22"/>
        <v>0.99873181863339122</v>
      </c>
      <c r="M327" s="34">
        <f t="shared" si="23"/>
        <v>0.99832900883951925</v>
      </c>
    </row>
    <row r="328" spans="1:13" ht="69">
      <c r="A328" t="s">
        <v>164</v>
      </c>
      <c r="B328" t="s">
        <v>115</v>
      </c>
      <c r="C328" s="14" t="s">
        <v>291</v>
      </c>
      <c r="D328" t="s">
        <v>375</v>
      </c>
      <c r="E328" t="s">
        <v>392</v>
      </c>
      <c r="F328" s="20">
        <v>2033</v>
      </c>
      <c r="G328" s="20">
        <v>36</v>
      </c>
      <c r="H328" s="11">
        <v>2207.0455190867501</v>
      </c>
      <c r="I328" s="10">
        <v>4526939.3873886298</v>
      </c>
      <c r="J328" s="34">
        <f t="shared" si="20"/>
        <v>4.8753591117991243E-4</v>
      </c>
      <c r="K328" s="34">
        <f t="shared" si="21"/>
        <v>4.8741708485899871E-4</v>
      </c>
      <c r="L328" s="34">
        <f t="shared" si="22"/>
        <v>0.99832900883951925</v>
      </c>
      <c r="M328" s="34">
        <f t="shared" si="23"/>
        <v>0.99784240622430054</v>
      </c>
    </row>
    <row r="329" spans="1:13" ht="69">
      <c r="A329" t="s">
        <v>164</v>
      </c>
      <c r="B329" t="s">
        <v>115</v>
      </c>
      <c r="C329" s="14" t="s">
        <v>291</v>
      </c>
      <c r="D329" t="s">
        <v>375</v>
      </c>
      <c r="E329" t="s">
        <v>392</v>
      </c>
      <c r="F329" s="20">
        <v>2033</v>
      </c>
      <c r="G329" s="20">
        <v>37</v>
      </c>
      <c r="H329" s="11">
        <v>2351.9564427196501</v>
      </c>
      <c r="I329" s="10">
        <v>4483039.9554093201</v>
      </c>
      <c r="J329" s="34">
        <f t="shared" si="20"/>
        <v>5.2463428078122201E-4</v>
      </c>
      <c r="K329" s="34">
        <f t="shared" si="21"/>
        <v>5.2449668428056206E-4</v>
      </c>
      <c r="L329" s="34">
        <f t="shared" si="22"/>
        <v>0.99784240622430054</v>
      </c>
      <c r="M329" s="34">
        <f t="shared" si="23"/>
        <v>0.99731904119080139</v>
      </c>
    </row>
    <row r="330" spans="1:13" ht="69">
      <c r="A330" t="s">
        <v>164</v>
      </c>
      <c r="B330" t="s">
        <v>115</v>
      </c>
      <c r="C330" s="14" t="s">
        <v>291</v>
      </c>
      <c r="D330" t="s">
        <v>375</v>
      </c>
      <c r="E330" t="s">
        <v>392</v>
      </c>
      <c r="F330" s="20">
        <v>2033</v>
      </c>
      <c r="G330" s="20">
        <v>38</v>
      </c>
      <c r="H330" s="11">
        <v>2494.3617330583202</v>
      </c>
      <c r="I330" s="10">
        <v>4408918.4248869596</v>
      </c>
      <c r="J330" s="34">
        <f t="shared" si="20"/>
        <v>5.6575365944137943E-4</v>
      </c>
      <c r="K330" s="34">
        <f t="shared" si="21"/>
        <v>5.6559365101638281E-4</v>
      </c>
      <c r="L330" s="34">
        <f t="shared" si="22"/>
        <v>0.99731904119080139</v>
      </c>
      <c r="M330" s="34">
        <f t="shared" si="23"/>
        <v>0.99675496387306617</v>
      </c>
    </row>
    <row r="331" spans="1:13" ht="69">
      <c r="A331" t="s">
        <v>164</v>
      </c>
      <c r="B331" t="s">
        <v>115</v>
      </c>
      <c r="C331" s="14" t="s">
        <v>291</v>
      </c>
      <c r="D331" t="s">
        <v>375</v>
      </c>
      <c r="E331" t="s">
        <v>392</v>
      </c>
      <c r="F331" s="20">
        <v>2033</v>
      </c>
      <c r="G331" s="20">
        <v>39</v>
      </c>
      <c r="H331" s="11">
        <v>2651.1071774115599</v>
      </c>
      <c r="I331" s="10">
        <v>4350329.1845325399</v>
      </c>
      <c r="J331" s="34">
        <f t="shared" si="20"/>
        <v>6.0940380944906171E-4</v>
      </c>
      <c r="K331" s="34">
        <f t="shared" si="21"/>
        <v>6.0921816066117351E-4</v>
      </c>
      <c r="L331" s="34">
        <f t="shared" si="22"/>
        <v>0.99675496387306617</v>
      </c>
      <c r="M331" s="34">
        <f t="shared" si="23"/>
        <v>0.99614772264734552</v>
      </c>
    </row>
    <row r="332" spans="1:13" ht="69">
      <c r="A332" t="s">
        <v>164</v>
      </c>
      <c r="B332" t="s">
        <v>115</v>
      </c>
      <c r="C332" s="14" t="s">
        <v>291</v>
      </c>
      <c r="D332" t="s">
        <v>375</v>
      </c>
      <c r="E332" t="s">
        <v>392</v>
      </c>
      <c r="F332" s="20">
        <v>2033</v>
      </c>
      <c r="G332" s="20">
        <v>40</v>
      </c>
      <c r="H332" s="11">
        <v>3515.5912818086699</v>
      </c>
      <c r="I332" s="10">
        <v>4295161.8213336105</v>
      </c>
      <c r="J332" s="34">
        <f t="shared" si="20"/>
        <v>8.1850030989451977E-4</v>
      </c>
      <c r="K332" s="34">
        <f t="shared" si="21"/>
        <v>8.1816542988855101E-4</v>
      </c>
      <c r="L332" s="34">
        <f t="shared" si="22"/>
        <v>0.99614772264734552</v>
      </c>
      <c r="M332" s="34">
        <f t="shared" si="23"/>
        <v>0.99533270901761328</v>
      </c>
    </row>
    <row r="333" spans="1:13" ht="69">
      <c r="A333" t="s">
        <v>164</v>
      </c>
      <c r="B333" t="s">
        <v>115</v>
      </c>
      <c r="C333" s="14" t="s">
        <v>291</v>
      </c>
      <c r="D333" t="s">
        <v>375</v>
      </c>
      <c r="E333" t="s">
        <v>392</v>
      </c>
      <c r="F333" s="20">
        <v>2033</v>
      </c>
      <c r="G333" s="20">
        <v>41</v>
      </c>
      <c r="H333" s="11">
        <v>3793.12769661213</v>
      </c>
      <c r="I333" s="10">
        <v>4329840.3243867699</v>
      </c>
      <c r="J333" s="34">
        <f t="shared" si="20"/>
        <v>8.7604332086988596E-4</v>
      </c>
      <c r="K333" s="34">
        <f t="shared" si="21"/>
        <v>8.756597069488059E-4</v>
      </c>
      <c r="L333" s="34">
        <f t="shared" si="22"/>
        <v>0.99533270901761328</v>
      </c>
      <c r="M333" s="34">
        <f t="shared" si="23"/>
        <v>0.99446113626931831</v>
      </c>
    </row>
    <row r="334" spans="1:13" ht="69">
      <c r="A334" t="s">
        <v>164</v>
      </c>
      <c r="B334" t="s">
        <v>115</v>
      </c>
      <c r="C334" s="14" t="s">
        <v>291</v>
      </c>
      <c r="D334" t="s">
        <v>375</v>
      </c>
      <c r="E334" t="s">
        <v>392</v>
      </c>
      <c r="F334" s="20">
        <v>2033</v>
      </c>
      <c r="G334" s="20">
        <v>42</v>
      </c>
      <c r="H334" s="11">
        <v>4143.6807506341702</v>
      </c>
      <c r="I334" s="10">
        <v>4345424.5967015103</v>
      </c>
      <c r="J334" s="34">
        <f t="shared" si="20"/>
        <v>9.5357327193745854E-4</v>
      </c>
      <c r="K334" s="34">
        <f t="shared" si="21"/>
        <v>9.5311876542492069E-4</v>
      </c>
      <c r="L334" s="34">
        <f t="shared" si="22"/>
        <v>0.99446113626931831</v>
      </c>
      <c r="M334" s="34">
        <f t="shared" si="23"/>
        <v>0.99351329669885424</v>
      </c>
    </row>
    <row r="335" spans="1:13" ht="69">
      <c r="A335" t="s">
        <v>164</v>
      </c>
      <c r="B335" t="s">
        <v>115</v>
      </c>
      <c r="C335" s="14" t="s">
        <v>291</v>
      </c>
      <c r="D335" t="s">
        <v>375</v>
      </c>
      <c r="E335" t="s">
        <v>392</v>
      </c>
      <c r="F335" s="20">
        <v>2033</v>
      </c>
      <c r="G335" s="20">
        <v>43</v>
      </c>
      <c r="H335" s="11">
        <v>6307.4040661065001</v>
      </c>
      <c r="I335" s="10">
        <v>6396999.4848368103</v>
      </c>
      <c r="J335" s="34">
        <f t="shared" si="20"/>
        <v>9.8599414945355502E-4</v>
      </c>
      <c r="K335" s="34">
        <f t="shared" si="21"/>
        <v>9.8550821694420865E-4</v>
      </c>
      <c r="L335" s="34">
        <f t="shared" si="22"/>
        <v>0.99351329669885424</v>
      </c>
      <c r="M335" s="34">
        <f t="shared" si="23"/>
        <v>0.9925341811813142</v>
      </c>
    </row>
    <row r="336" spans="1:13" ht="69">
      <c r="A336" t="s">
        <v>164</v>
      </c>
      <c r="B336" t="s">
        <v>115</v>
      </c>
      <c r="C336" s="14" t="s">
        <v>291</v>
      </c>
      <c r="D336" t="s">
        <v>375</v>
      </c>
      <c r="E336" t="s">
        <v>392</v>
      </c>
      <c r="F336" s="20">
        <v>2033</v>
      </c>
      <c r="G336" s="20">
        <v>44</v>
      </c>
      <c r="H336" s="11">
        <v>4882.9758922688598</v>
      </c>
      <c r="I336" s="10">
        <v>4298868.6796910204</v>
      </c>
      <c r="J336" s="34">
        <f t="shared" si="20"/>
        <v>1.1358746349562419E-3</v>
      </c>
      <c r="K336" s="34">
        <f t="shared" si="21"/>
        <v>1.135229773546742E-3</v>
      </c>
      <c r="L336" s="34">
        <f t="shared" si="22"/>
        <v>0.9925341811813142</v>
      </c>
      <c r="M336" s="34">
        <f t="shared" si="23"/>
        <v>0.99140742682757432</v>
      </c>
    </row>
    <row r="337" spans="1:13" ht="69">
      <c r="A337" t="s">
        <v>164</v>
      </c>
      <c r="B337" t="s">
        <v>115</v>
      </c>
      <c r="C337" s="14" t="s">
        <v>291</v>
      </c>
      <c r="D337" t="s">
        <v>375</v>
      </c>
      <c r="E337" t="s">
        <v>392</v>
      </c>
      <c r="F337" s="20">
        <v>2033</v>
      </c>
      <c r="G337" s="20">
        <v>45</v>
      </c>
      <c r="H337" s="11">
        <v>6273.0016377718302</v>
      </c>
      <c r="I337" s="10">
        <v>4279089.1736766901</v>
      </c>
      <c r="J337" s="34">
        <f t="shared" si="20"/>
        <v>1.4659665604449007E-3</v>
      </c>
      <c r="K337" s="34">
        <f t="shared" si="21"/>
        <v>1.4648925563488513E-3</v>
      </c>
      <c r="L337" s="34">
        <f t="shared" si="22"/>
        <v>0.99140742682757432</v>
      </c>
      <c r="M337" s="34">
        <f t="shared" si="23"/>
        <v>0.98995512146770559</v>
      </c>
    </row>
    <row r="338" spans="1:13" ht="69">
      <c r="A338" t="s">
        <v>164</v>
      </c>
      <c r="B338" t="s">
        <v>115</v>
      </c>
      <c r="C338" s="14" t="s">
        <v>291</v>
      </c>
      <c r="D338" t="s">
        <v>375</v>
      </c>
      <c r="E338" t="s">
        <v>392</v>
      </c>
      <c r="F338" s="20">
        <v>2033</v>
      </c>
      <c r="G338" s="20">
        <v>46</v>
      </c>
      <c r="H338" s="11">
        <v>6590.4010385763604</v>
      </c>
      <c r="I338" s="10">
        <v>4143511.74774259</v>
      </c>
      <c r="J338" s="34">
        <f t="shared" si="20"/>
        <v>1.5905351401904074E-3</v>
      </c>
      <c r="K338" s="34">
        <f t="shared" si="21"/>
        <v>1.589270909530871E-3</v>
      </c>
      <c r="L338" s="34">
        <f t="shared" si="22"/>
        <v>0.98995512146770559</v>
      </c>
      <c r="M338" s="34">
        <f t="shared" si="23"/>
        <v>0.98838181459141583</v>
      </c>
    </row>
    <row r="339" spans="1:13" ht="69">
      <c r="A339" t="s">
        <v>164</v>
      </c>
      <c r="B339" t="s">
        <v>115</v>
      </c>
      <c r="C339" s="14" t="s">
        <v>291</v>
      </c>
      <c r="D339" t="s">
        <v>375</v>
      </c>
      <c r="E339" t="s">
        <v>392</v>
      </c>
      <c r="F339" s="20">
        <v>2033</v>
      </c>
      <c r="G339" s="20">
        <v>47</v>
      </c>
      <c r="H339" s="11">
        <v>7182.9378164399704</v>
      </c>
      <c r="I339" s="10">
        <v>4105276.7387204799</v>
      </c>
      <c r="J339" s="34">
        <f t="shared" si="20"/>
        <v>1.7496841927101671E-3</v>
      </c>
      <c r="K339" s="34">
        <f t="shared" si="21"/>
        <v>1.7481543876783912E-3</v>
      </c>
      <c r="L339" s="34">
        <f t="shared" si="22"/>
        <v>0.98838181459141583</v>
      </c>
      <c r="M339" s="34">
        <f t="shared" si="23"/>
        <v>0.98665397058553628</v>
      </c>
    </row>
    <row r="340" spans="1:13" ht="69">
      <c r="A340" t="s">
        <v>164</v>
      </c>
      <c r="B340" t="s">
        <v>115</v>
      </c>
      <c r="C340" s="14" t="s">
        <v>291</v>
      </c>
      <c r="D340" t="s">
        <v>375</v>
      </c>
      <c r="E340" t="s">
        <v>392</v>
      </c>
      <c r="F340" s="20">
        <v>2033</v>
      </c>
      <c r="G340" s="20">
        <v>48</v>
      </c>
      <c r="H340" s="11">
        <v>8004.2359264941897</v>
      </c>
      <c r="I340" s="10">
        <v>4158989.36980537</v>
      </c>
      <c r="J340" s="34">
        <f t="shared" si="20"/>
        <v>1.9245627278121097E-3</v>
      </c>
      <c r="K340" s="34">
        <f t="shared" si="21"/>
        <v>1.922711944472022E-3</v>
      </c>
      <c r="L340" s="34">
        <f t="shared" si="22"/>
        <v>0.98665397058553628</v>
      </c>
      <c r="M340" s="34">
        <f t="shared" si="23"/>
        <v>0.98475691921123076</v>
      </c>
    </row>
    <row r="341" spans="1:13" ht="69">
      <c r="A341" t="s">
        <v>164</v>
      </c>
      <c r="B341" t="s">
        <v>115</v>
      </c>
      <c r="C341" s="14" t="s">
        <v>291</v>
      </c>
      <c r="D341" t="s">
        <v>375</v>
      </c>
      <c r="E341" t="s">
        <v>392</v>
      </c>
      <c r="F341" s="20">
        <v>2033</v>
      </c>
      <c r="G341" s="20">
        <v>49</v>
      </c>
      <c r="H341" s="11">
        <v>8934.9308313968795</v>
      </c>
      <c r="I341" s="10">
        <v>4236814.6805919399</v>
      </c>
      <c r="J341" s="34">
        <f t="shared" si="20"/>
        <v>2.1088793126416731E-3</v>
      </c>
      <c r="K341" s="34">
        <f t="shared" si="21"/>
        <v>2.106657189002048E-3</v>
      </c>
      <c r="L341" s="34">
        <f t="shared" si="22"/>
        <v>0.98475691921123076</v>
      </c>
      <c r="M341" s="34">
        <f t="shared" si="23"/>
        <v>0.98268237396795488</v>
      </c>
    </row>
    <row r="342" spans="1:13" ht="69">
      <c r="A342" t="s">
        <v>164</v>
      </c>
      <c r="B342" t="s">
        <v>115</v>
      </c>
      <c r="C342" s="14" t="s">
        <v>291</v>
      </c>
      <c r="D342" t="s">
        <v>375</v>
      </c>
      <c r="E342" t="s">
        <v>392</v>
      </c>
      <c r="F342" s="20">
        <v>2033</v>
      </c>
      <c r="G342" s="20">
        <v>50</v>
      </c>
      <c r="H342" s="11">
        <v>10290.4946089924</v>
      </c>
      <c r="I342" s="10">
        <v>4206623.0474882098</v>
      </c>
      <c r="J342" s="34">
        <f t="shared" si="20"/>
        <v>2.4462602170015903E-3</v>
      </c>
      <c r="K342" s="34">
        <f t="shared" si="21"/>
        <v>2.4432705607995153E-3</v>
      </c>
      <c r="L342" s="34">
        <f t="shared" si="22"/>
        <v>0.98268237396795488</v>
      </c>
      <c r="M342" s="34">
        <f t="shared" si="23"/>
        <v>0.98028141505302235</v>
      </c>
    </row>
    <row r="343" spans="1:13" ht="69">
      <c r="A343" t="s">
        <v>164</v>
      </c>
      <c r="B343" t="s">
        <v>115</v>
      </c>
      <c r="C343" s="14" t="s">
        <v>291</v>
      </c>
      <c r="D343" t="s">
        <v>375</v>
      </c>
      <c r="E343" t="s">
        <v>392</v>
      </c>
      <c r="F343" s="20">
        <v>2033</v>
      </c>
      <c r="G343" s="20">
        <v>51</v>
      </c>
      <c r="H343" s="11">
        <v>10791.240132077701</v>
      </c>
      <c r="I343" s="10">
        <v>4064571.3843704802</v>
      </c>
      <c r="J343" s="34">
        <f t="shared" si="20"/>
        <v>2.6549515586251774E-3</v>
      </c>
      <c r="K343" s="34">
        <f t="shared" si="21"/>
        <v>2.6514302916895716E-3</v>
      </c>
      <c r="L343" s="34">
        <f t="shared" si="22"/>
        <v>0.98028141505302235</v>
      </c>
      <c r="M343" s="34">
        <f t="shared" si="23"/>
        <v>0.97768226721477047</v>
      </c>
    </row>
    <row r="344" spans="1:13" ht="69">
      <c r="A344" t="s">
        <v>164</v>
      </c>
      <c r="B344" t="s">
        <v>115</v>
      </c>
      <c r="C344" s="14" t="s">
        <v>291</v>
      </c>
      <c r="D344" t="s">
        <v>375</v>
      </c>
      <c r="E344" t="s">
        <v>392</v>
      </c>
      <c r="F344" s="20">
        <v>2033</v>
      </c>
      <c r="G344" s="20">
        <v>52</v>
      </c>
      <c r="H344" s="11">
        <v>11598.256956965901</v>
      </c>
      <c r="I344" s="10">
        <v>3984360.9233359001</v>
      </c>
      <c r="J344" s="34">
        <f t="shared" si="20"/>
        <v>2.9109453636683288E-3</v>
      </c>
      <c r="K344" s="34">
        <f t="shared" si="21"/>
        <v>2.9067126702556623E-3</v>
      </c>
      <c r="L344" s="34">
        <f t="shared" si="22"/>
        <v>0.97768226721477047</v>
      </c>
      <c r="M344" s="34">
        <f t="shared" si="23"/>
        <v>0.97484042578117303</v>
      </c>
    </row>
    <row r="345" spans="1:13" ht="69">
      <c r="A345" t="s">
        <v>164</v>
      </c>
      <c r="B345" t="s">
        <v>115</v>
      </c>
      <c r="C345" s="14" t="s">
        <v>291</v>
      </c>
      <c r="D345" t="s">
        <v>375</v>
      </c>
      <c r="E345" t="s">
        <v>392</v>
      </c>
      <c r="F345" s="20">
        <v>2033</v>
      </c>
      <c r="G345" s="20">
        <v>53</v>
      </c>
      <c r="H345" s="11">
        <v>12498.0322571422</v>
      </c>
      <c r="I345" s="10">
        <v>3919194.1091234302</v>
      </c>
      <c r="J345" s="34">
        <f t="shared" si="20"/>
        <v>3.1889291290901432E-3</v>
      </c>
      <c r="K345" s="34">
        <f t="shared" si="21"/>
        <v>3.1838498951350935E-3</v>
      </c>
      <c r="L345" s="34">
        <f t="shared" si="22"/>
        <v>0.97484042578117303</v>
      </c>
      <c r="M345" s="34">
        <f t="shared" si="23"/>
        <v>0.97173668019377624</v>
      </c>
    </row>
    <row r="346" spans="1:13" ht="69">
      <c r="A346" t="s">
        <v>164</v>
      </c>
      <c r="B346" t="s">
        <v>115</v>
      </c>
      <c r="C346" s="14" t="s">
        <v>291</v>
      </c>
      <c r="D346" t="s">
        <v>375</v>
      </c>
      <c r="E346" t="s">
        <v>392</v>
      </c>
      <c r="F346" s="20">
        <v>2033</v>
      </c>
      <c r="G346" s="20">
        <v>54</v>
      </c>
      <c r="H346" s="11">
        <v>13401.565769880301</v>
      </c>
      <c r="I346" s="10">
        <v>3848293.8967454401</v>
      </c>
      <c r="J346" s="34">
        <f t="shared" si="20"/>
        <v>3.4824694083822978E-3</v>
      </c>
      <c r="K346" s="34">
        <f t="shared" si="21"/>
        <v>3.4764126446634736E-3</v>
      </c>
      <c r="L346" s="34">
        <f t="shared" si="22"/>
        <v>0.97173668019377624</v>
      </c>
      <c r="M346" s="34">
        <f t="shared" si="23"/>
        <v>0.96835852251146726</v>
      </c>
    </row>
    <row r="347" spans="1:13" ht="69">
      <c r="A347" t="s">
        <v>164</v>
      </c>
      <c r="B347" t="s">
        <v>115</v>
      </c>
      <c r="C347" s="14" t="s">
        <v>291</v>
      </c>
      <c r="D347" t="s">
        <v>375</v>
      </c>
      <c r="E347" t="s">
        <v>392</v>
      </c>
      <c r="F347" s="20">
        <v>2033</v>
      </c>
      <c r="G347" s="20">
        <v>55</v>
      </c>
      <c r="H347" s="11">
        <v>14355.3977950357</v>
      </c>
      <c r="I347" s="10">
        <v>3757995.41433891</v>
      </c>
      <c r="J347" s="34">
        <f t="shared" si="20"/>
        <v>3.8199614986919933E-3</v>
      </c>
      <c r="K347" s="34">
        <f t="shared" si="21"/>
        <v>3.8126747271146622E-3</v>
      </c>
      <c r="L347" s="34">
        <f t="shared" si="22"/>
        <v>0.96835852251146726</v>
      </c>
      <c r="M347" s="34">
        <f t="shared" si="23"/>
        <v>0.96466648644590169</v>
      </c>
    </row>
    <row r="348" spans="1:13" ht="69">
      <c r="A348" t="s">
        <v>164</v>
      </c>
      <c r="B348" t="s">
        <v>115</v>
      </c>
      <c r="C348" s="14" t="s">
        <v>291</v>
      </c>
      <c r="D348" t="s">
        <v>375</v>
      </c>
      <c r="E348" t="s">
        <v>392</v>
      </c>
      <c r="F348" s="20">
        <v>2033</v>
      </c>
      <c r="G348" s="20">
        <v>56</v>
      </c>
      <c r="H348" s="11">
        <v>15276.500060235399</v>
      </c>
      <c r="I348" s="10">
        <v>3683365.33024556</v>
      </c>
      <c r="J348" s="34">
        <f t="shared" si="20"/>
        <v>4.1474300512072629E-3</v>
      </c>
      <c r="K348" s="34">
        <f t="shared" si="21"/>
        <v>4.1388413409867431E-3</v>
      </c>
      <c r="L348" s="34">
        <f t="shared" si="22"/>
        <v>0.96466648644590169</v>
      </c>
      <c r="M348" s="34">
        <f t="shared" si="23"/>
        <v>0.96067388491153494</v>
      </c>
    </row>
    <row r="349" spans="1:13" ht="69">
      <c r="A349" t="s">
        <v>164</v>
      </c>
      <c r="B349" t="s">
        <v>115</v>
      </c>
      <c r="C349" s="14" t="s">
        <v>291</v>
      </c>
      <c r="D349" t="s">
        <v>375</v>
      </c>
      <c r="E349" t="s">
        <v>392</v>
      </c>
      <c r="F349" s="20">
        <v>2033</v>
      </c>
      <c r="G349" s="20">
        <v>57</v>
      </c>
      <c r="H349" s="11">
        <v>16339.8927350758</v>
      </c>
      <c r="I349" s="10">
        <v>3597212.7943260102</v>
      </c>
      <c r="J349" s="34">
        <f t="shared" si="20"/>
        <v>4.5423759086060172E-3</v>
      </c>
      <c r="K349" s="34">
        <f t="shared" si="21"/>
        <v>4.532074922044993E-3</v>
      </c>
      <c r="L349" s="34">
        <f t="shared" si="22"/>
        <v>0.96067388491153494</v>
      </c>
      <c r="M349" s="34">
        <f t="shared" si="23"/>
        <v>0.95632003888946382</v>
      </c>
    </row>
    <row r="350" spans="1:13" ht="69">
      <c r="A350" t="s">
        <v>164</v>
      </c>
      <c r="B350" t="s">
        <v>115</v>
      </c>
      <c r="C350" s="14" t="s">
        <v>291</v>
      </c>
      <c r="D350" t="s">
        <v>375</v>
      </c>
      <c r="E350" t="s">
        <v>392</v>
      </c>
      <c r="F350" s="20">
        <v>2033</v>
      </c>
      <c r="G350" s="20">
        <v>58</v>
      </c>
      <c r="H350" s="11">
        <v>17463.964016097001</v>
      </c>
      <c r="I350" s="10">
        <v>3509749.6806442402</v>
      </c>
      <c r="J350" s="34">
        <f t="shared" si="20"/>
        <v>4.9758431811841811E-3</v>
      </c>
      <c r="K350" s="34">
        <f t="shared" si="21"/>
        <v>4.9634841808152697E-3</v>
      </c>
      <c r="L350" s="34">
        <f t="shared" si="22"/>
        <v>0.95632003888946382</v>
      </c>
      <c r="M350" s="34">
        <f t="shared" si="23"/>
        <v>0.95157335950463928</v>
      </c>
    </row>
    <row r="351" spans="1:13" ht="69">
      <c r="A351" t="s">
        <v>164</v>
      </c>
      <c r="B351" t="s">
        <v>115</v>
      </c>
      <c r="C351" s="14" t="s">
        <v>291</v>
      </c>
      <c r="D351" t="s">
        <v>375</v>
      </c>
      <c r="E351" t="s">
        <v>392</v>
      </c>
      <c r="F351" s="20">
        <v>2033</v>
      </c>
      <c r="G351" s="20">
        <v>59</v>
      </c>
      <c r="H351" s="11">
        <v>18474.032211164402</v>
      </c>
      <c r="I351" s="10">
        <v>3395395.0661072298</v>
      </c>
      <c r="J351" s="34">
        <f t="shared" si="20"/>
        <v>5.440908009666341E-3</v>
      </c>
      <c r="K351" s="34">
        <f t="shared" si="21"/>
        <v>5.4261330781745221E-3</v>
      </c>
      <c r="L351" s="34">
        <f t="shared" si="22"/>
        <v>0.95157335950463928</v>
      </c>
      <c r="M351" s="34">
        <f t="shared" si="23"/>
        <v>0.94640999582232155</v>
      </c>
    </row>
    <row r="352" spans="1:13" ht="69">
      <c r="A352" t="s">
        <v>164</v>
      </c>
      <c r="B352" t="s">
        <v>115</v>
      </c>
      <c r="C352" s="14" t="s">
        <v>291</v>
      </c>
      <c r="D352" t="s">
        <v>375</v>
      </c>
      <c r="E352" t="s">
        <v>392</v>
      </c>
      <c r="F352" s="20">
        <v>2033</v>
      </c>
      <c r="G352" s="20">
        <v>60</v>
      </c>
      <c r="H352" s="11">
        <v>20104.4172208704</v>
      </c>
      <c r="I352" s="10">
        <v>3337975.3641928202</v>
      </c>
      <c r="J352" s="34">
        <f t="shared" si="20"/>
        <v>6.0229375676449891E-3</v>
      </c>
      <c r="K352" s="34">
        <f t="shared" si="21"/>
        <v>6.0048360388652577E-3</v>
      </c>
      <c r="L352" s="34">
        <f t="shared" si="22"/>
        <v>0.94640999582232155</v>
      </c>
      <c r="M352" s="34">
        <f t="shared" si="23"/>
        <v>0.94072695897186531</v>
      </c>
    </row>
    <row r="353" spans="1:13" ht="69">
      <c r="A353" t="s">
        <v>164</v>
      </c>
      <c r="B353" t="s">
        <v>115</v>
      </c>
      <c r="C353" s="14" t="s">
        <v>291</v>
      </c>
      <c r="D353" t="s">
        <v>375</v>
      </c>
      <c r="E353" t="s">
        <v>392</v>
      </c>
      <c r="F353" s="20">
        <v>2033</v>
      </c>
      <c r="G353" s="20">
        <v>61</v>
      </c>
      <c r="H353" s="11">
        <v>20483.325911533</v>
      </c>
      <c r="I353" s="10">
        <v>3123547.1504537901</v>
      </c>
      <c r="J353" s="34">
        <f t="shared" si="20"/>
        <v>6.5577130502279032E-3</v>
      </c>
      <c r="K353" s="34">
        <f t="shared" si="21"/>
        <v>6.5362581739283332E-3</v>
      </c>
      <c r="L353" s="34">
        <f t="shared" si="22"/>
        <v>0.94072695897186531</v>
      </c>
      <c r="M353" s="34">
        <f t="shared" si="23"/>
        <v>0.93457812469685075</v>
      </c>
    </row>
    <row r="354" spans="1:13" ht="69">
      <c r="A354" t="s">
        <v>164</v>
      </c>
      <c r="B354" t="s">
        <v>115</v>
      </c>
      <c r="C354" s="14" t="s">
        <v>291</v>
      </c>
      <c r="D354" t="s">
        <v>375</v>
      </c>
      <c r="E354" t="s">
        <v>392</v>
      </c>
      <c r="F354" s="20">
        <v>2033</v>
      </c>
      <c r="G354" s="20">
        <v>62</v>
      </c>
      <c r="H354" s="11">
        <v>21777.347273188501</v>
      </c>
      <c r="I354" s="10">
        <v>3024993.0677873599</v>
      </c>
      <c r="J354" s="34">
        <f t="shared" si="20"/>
        <v>7.1991395633569525E-3</v>
      </c>
      <c r="K354" s="34">
        <f t="shared" si="21"/>
        <v>7.1732878320708293E-3</v>
      </c>
      <c r="L354" s="34">
        <f t="shared" si="22"/>
        <v>0.93457812469685075</v>
      </c>
      <c r="M354" s="34">
        <f t="shared" si="23"/>
        <v>0.92787412680684322</v>
      </c>
    </row>
    <row r="355" spans="1:13" ht="69">
      <c r="A355" t="s">
        <v>164</v>
      </c>
      <c r="B355" t="s">
        <v>115</v>
      </c>
      <c r="C355" s="14" t="s">
        <v>291</v>
      </c>
      <c r="D355" t="s">
        <v>375</v>
      </c>
      <c r="E355" t="s">
        <v>392</v>
      </c>
      <c r="F355" s="20">
        <v>2033</v>
      </c>
      <c r="G355" s="20">
        <v>63</v>
      </c>
      <c r="H355" s="11">
        <v>23155.2884987943</v>
      </c>
      <c r="I355" s="10">
        <v>2929880.5573564498</v>
      </c>
      <c r="J355" s="34">
        <f t="shared" si="20"/>
        <v>7.9031510143494303E-3</v>
      </c>
      <c r="K355" s="34">
        <f t="shared" si="21"/>
        <v>7.8720032256104355E-3</v>
      </c>
      <c r="L355" s="34">
        <f t="shared" si="22"/>
        <v>0.92787412680684322</v>
      </c>
      <c r="M355" s="34">
        <f t="shared" si="23"/>
        <v>0.92056989868765926</v>
      </c>
    </row>
    <row r="356" spans="1:13" ht="69">
      <c r="A356" t="s">
        <v>164</v>
      </c>
      <c r="B356" t="s">
        <v>115</v>
      </c>
      <c r="C356" s="14" t="s">
        <v>291</v>
      </c>
      <c r="D356" t="s">
        <v>375</v>
      </c>
      <c r="E356" t="s">
        <v>392</v>
      </c>
      <c r="F356" s="20">
        <v>2033</v>
      </c>
      <c r="G356" s="20">
        <v>64</v>
      </c>
      <c r="H356" s="11">
        <v>24462.632197477498</v>
      </c>
      <c r="I356" s="10">
        <v>2825601.58052176</v>
      </c>
      <c r="J356" s="34">
        <f t="shared" si="20"/>
        <v>8.657495227250107E-3</v>
      </c>
      <c r="K356" s="34">
        <f t="shared" si="21"/>
        <v>8.6201270315264811E-3</v>
      </c>
      <c r="L356" s="34">
        <f t="shared" si="22"/>
        <v>0.92056989868765926</v>
      </c>
      <c r="M356" s="34">
        <f t="shared" si="23"/>
        <v>0.91263446921957214</v>
      </c>
    </row>
    <row r="357" spans="1:13" ht="69">
      <c r="A357" t="s">
        <v>164</v>
      </c>
      <c r="B357" t="s">
        <v>115</v>
      </c>
      <c r="C357" s="14" t="s">
        <v>291</v>
      </c>
      <c r="D357" t="s">
        <v>375</v>
      </c>
      <c r="E357" t="s">
        <v>392</v>
      </c>
      <c r="F357" s="20">
        <v>2033</v>
      </c>
      <c r="G357" s="20">
        <v>65</v>
      </c>
      <c r="H357" s="11">
        <v>24798.9558927818</v>
      </c>
      <c r="I357" s="10">
        <v>2702513.8167586899</v>
      </c>
      <c r="J357" s="34">
        <f t="shared" si="20"/>
        <v>9.1762549885960939E-3</v>
      </c>
      <c r="K357" s="34">
        <f t="shared" si="21"/>
        <v>9.1342816449381248E-3</v>
      </c>
      <c r="L357" s="34">
        <f t="shared" si="22"/>
        <v>0.91263446921957214</v>
      </c>
      <c r="M357" s="34">
        <f t="shared" si="23"/>
        <v>0.90429820893884194</v>
      </c>
    </row>
    <row r="358" spans="1:13" ht="69">
      <c r="A358" t="s">
        <v>164</v>
      </c>
      <c r="B358" t="s">
        <v>115</v>
      </c>
      <c r="C358" s="14" t="s">
        <v>291</v>
      </c>
      <c r="D358" t="s">
        <v>375</v>
      </c>
      <c r="E358" t="s">
        <v>392</v>
      </c>
      <c r="F358" s="20">
        <v>2033</v>
      </c>
      <c r="G358" s="20">
        <v>66</v>
      </c>
      <c r="H358" s="11">
        <v>25547.5385102529</v>
      </c>
      <c r="I358" s="10">
        <v>2550739.3409628901</v>
      </c>
      <c r="J358" s="34">
        <f t="shared" si="20"/>
        <v>1.0015738613498956E-2</v>
      </c>
      <c r="K358" s="34">
        <f t="shared" si="21"/>
        <v>9.9657481398910397E-3</v>
      </c>
      <c r="L358" s="34">
        <f t="shared" si="22"/>
        <v>0.90429820893884194</v>
      </c>
      <c r="M358" s="34">
        <f t="shared" si="23"/>
        <v>0.89528620074520293</v>
      </c>
    </row>
    <row r="359" spans="1:13" ht="69">
      <c r="A359" t="s">
        <v>164</v>
      </c>
      <c r="B359" t="s">
        <v>115</v>
      </c>
      <c r="C359" s="14" t="s">
        <v>291</v>
      </c>
      <c r="D359" t="s">
        <v>375</v>
      </c>
      <c r="E359" t="s">
        <v>392</v>
      </c>
      <c r="F359" s="20">
        <v>2033</v>
      </c>
      <c r="G359" s="20">
        <v>67</v>
      </c>
      <c r="H359" s="11">
        <v>26785.858641767201</v>
      </c>
      <c r="I359" s="10">
        <v>2432314.9295283402</v>
      </c>
      <c r="J359" s="34">
        <f t="shared" si="20"/>
        <v>1.1012496086171436E-2</v>
      </c>
      <c r="K359" s="34">
        <f t="shared" si="21"/>
        <v>1.0952080529881947E-2</v>
      </c>
      <c r="L359" s="34">
        <f t="shared" si="22"/>
        <v>0.89528620074520293</v>
      </c>
      <c r="M359" s="34">
        <f t="shared" si="23"/>
        <v>0.8854809541773494</v>
      </c>
    </row>
    <row r="360" spans="1:13" ht="69">
      <c r="A360" t="s">
        <v>164</v>
      </c>
      <c r="B360" t="s">
        <v>115</v>
      </c>
      <c r="C360" s="14" t="s">
        <v>291</v>
      </c>
      <c r="D360" t="s">
        <v>375</v>
      </c>
      <c r="E360" t="s">
        <v>392</v>
      </c>
      <c r="F360" s="20">
        <v>2033</v>
      </c>
      <c r="G360" s="20">
        <v>68</v>
      </c>
      <c r="H360" s="11">
        <v>27786.917051337801</v>
      </c>
      <c r="I360" s="10">
        <v>2294227.9233789002</v>
      </c>
      <c r="J360" s="34">
        <f t="shared" si="20"/>
        <v>1.2111663696610273E-2</v>
      </c>
      <c r="K360" s="34">
        <f t="shared" si="21"/>
        <v>1.2038612718248021E-2</v>
      </c>
      <c r="L360" s="34">
        <f t="shared" si="22"/>
        <v>0.8854809541773494</v>
      </c>
      <c r="M360" s="34">
        <f t="shared" si="23"/>
        <v>0.87482099190062357</v>
      </c>
    </row>
    <row r="361" spans="1:13" ht="69">
      <c r="A361" t="s">
        <v>164</v>
      </c>
      <c r="B361" t="s">
        <v>115</v>
      </c>
      <c r="C361" s="14" t="s">
        <v>291</v>
      </c>
      <c r="D361" t="s">
        <v>375</v>
      </c>
      <c r="E361" t="s">
        <v>392</v>
      </c>
      <c r="F361" s="20">
        <v>2033</v>
      </c>
      <c r="G361" s="20">
        <v>69</v>
      </c>
      <c r="H361" s="11">
        <v>28691.089760081901</v>
      </c>
      <c r="I361" s="10">
        <v>2156670.7803060799</v>
      </c>
      <c r="J361" s="34">
        <f t="shared" si="20"/>
        <v>1.3303416553921128E-2</v>
      </c>
      <c r="K361" s="34">
        <f t="shared" si="21"/>
        <v>1.3215317214710587E-2</v>
      </c>
      <c r="L361" s="34">
        <f t="shared" si="22"/>
        <v>0.87482099190062357</v>
      </c>
      <c r="M361" s="34">
        <f t="shared" si="23"/>
        <v>0.86325995498656904</v>
      </c>
    </row>
    <row r="362" spans="1:13" ht="69">
      <c r="A362" t="s">
        <v>164</v>
      </c>
      <c r="B362" t="s">
        <v>115</v>
      </c>
      <c r="C362" s="14" t="s">
        <v>291</v>
      </c>
      <c r="D362" t="s">
        <v>375</v>
      </c>
      <c r="E362" t="s">
        <v>392</v>
      </c>
      <c r="F362" s="20">
        <v>2034</v>
      </c>
      <c r="G362" s="20">
        <v>30</v>
      </c>
      <c r="H362" s="11">
        <v>781.666882484398</v>
      </c>
      <c r="I362" s="10">
        <v>4429664.7276376802</v>
      </c>
      <c r="J362" s="34">
        <f t="shared" si="20"/>
        <v>1.7646186123464414E-4</v>
      </c>
      <c r="K362" s="34">
        <f t="shared" si="21"/>
        <v>1.7644629275614943E-4</v>
      </c>
      <c r="L362" s="34">
        <f t="shared" si="22"/>
        <v>1</v>
      </c>
      <c r="M362" s="34">
        <f t="shared" si="23"/>
        <v>0.99982355370724385</v>
      </c>
    </row>
    <row r="363" spans="1:13" ht="69">
      <c r="A363" t="s">
        <v>164</v>
      </c>
      <c r="B363" t="s">
        <v>115</v>
      </c>
      <c r="C363" s="14" t="s">
        <v>291</v>
      </c>
      <c r="D363" t="s">
        <v>375</v>
      </c>
      <c r="E363" t="s">
        <v>392</v>
      </c>
      <c r="F363" s="20">
        <v>2034</v>
      </c>
      <c r="G363" s="20">
        <v>31</v>
      </c>
      <c r="H363" s="11">
        <v>964.788665019679</v>
      </c>
      <c r="I363" s="10">
        <v>4364275.60558875</v>
      </c>
      <c r="J363" s="34">
        <f t="shared" si="20"/>
        <v>2.2106501793429405E-4</v>
      </c>
      <c r="K363" s="34">
        <f t="shared" si="21"/>
        <v>2.2104058486371869E-4</v>
      </c>
      <c r="L363" s="34">
        <f t="shared" si="22"/>
        <v>0.99982355370724385</v>
      </c>
      <c r="M363" s="34">
        <f t="shared" si="23"/>
        <v>0.99960255212417193</v>
      </c>
    </row>
    <row r="364" spans="1:13" ht="69">
      <c r="A364" t="s">
        <v>164</v>
      </c>
      <c r="B364" t="s">
        <v>115</v>
      </c>
      <c r="C364" s="14" t="s">
        <v>291</v>
      </c>
      <c r="D364" t="s">
        <v>375</v>
      </c>
      <c r="E364" t="s">
        <v>392</v>
      </c>
      <c r="F364" s="20">
        <v>2034</v>
      </c>
      <c r="G364" s="20">
        <v>32</v>
      </c>
      <c r="H364" s="11">
        <v>1152.6777420302601</v>
      </c>
      <c r="I364" s="10">
        <v>4343486.1822525002</v>
      </c>
      <c r="J364" s="34">
        <f t="shared" si="20"/>
        <v>2.653807779428666E-4</v>
      </c>
      <c r="K364" s="34">
        <f t="shared" si="21"/>
        <v>2.6534556757895622E-4</v>
      </c>
      <c r="L364" s="34">
        <f t="shared" si="22"/>
        <v>0.99960255212417193</v>
      </c>
      <c r="M364" s="34">
        <f t="shared" si="23"/>
        <v>0.99933731201762521</v>
      </c>
    </row>
    <row r="365" spans="1:13" ht="69">
      <c r="A365" t="s">
        <v>164</v>
      </c>
      <c r="B365" t="s">
        <v>115</v>
      </c>
      <c r="C365" s="14" t="s">
        <v>291</v>
      </c>
      <c r="D365" t="s">
        <v>375</v>
      </c>
      <c r="E365" t="s">
        <v>392</v>
      </c>
      <c r="F365" s="20">
        <v>2034</v>
      </c>
      <c r="G365" s="20">
        <v>33</v>
      </c>
      <c r="H365" s="11">
        <v>1211.7512418086701</v>
      </c>
      <c r="I365" s="10">
        <v>4323733.4610731797</v>
      </c>
      <c r="J365" s="34">
        <f t="shared" si="20"/>
        <v>2.8025576801117276E-4</v>
      </c>
      <c r="K365" s="34">
        <f t="shared" si="21"/>
        <v>2.8021650003184906E-4</v>
      </c>
      <c r="L365" s="34">
        <f t="shared" si="22"/>
        <v>0.99933731201762521</v>
      </c>
      <c r="M365" s="34">
        <f t="shared" si="23"/>
        <v>0.99905728121370041</v>
      </c>
    </row>
    <row r="366" spans="1:13" ht="69">
      <c r="A366" t="s">
        <v>164</v>
      </c>
      <c r="B366" t="s">
        <v>115</v>
      </c>
      <c r="C366" s="14" t="s">
        <v>291</v>
      </c>
      <c r="D366" t="s">
        <v>375</v>
      </c>
      <c r="E366" t="s">
        <v>392</v>
      </c>
      <c r="F366" s="20">
        <v>2034</v>
      </c>
      <c r="G366" s="20">
        <v>34</v>
      </c>
      <c r="H366" s="11">
        <v>1282.7694311635601</v>
      </c>
      <c r="I366" s="10">
        <v>4303706.6375587797</v>
      </c>
      <c r="J366" s="34">
        <f t="shared" si="20"/>
        <v>2.9806154071207648E-4</v>
      </c>
      <c r="K366" s="34">
        <f t="shared" si="21"/>
        <v>2.9801712478405573E-4</v>
      </c>
      <c r="L366" s="34">
        <f t="shared" si="22"/>
        <v>0.99905728121370041</v>
      </c>
      <c r="M366" s="34">
        <f t="shared" si="23"/>
        <v>0.99875954503525854</v>
      </c>
    </row>
    <row r="367" spans="1:13" ht="69">
      <c r="A367" t="s">
        <v>164</v>
      </c>
      <c r="B367" t="s">
        <v>115</v>
      </c>
      <c r="C367" s="14" t="s">
        <v>291</v>
      </c>
      <c r="D367" t="s">
        <v>375</v>
      </c>
      <c r="E367" t="s">
        <v>392</v>
      </c>
      <c r="F367" s="20">
        <v>2034</v>
      </c>
      <c r="G367" s="20">
        <v>35</v>
      </c>
      <c r="H367" s="11">
        <v>1739.70139476959</v>
      </c>
      <c r="I367" s="10">
        <v>4323313.4956287099</v>
      </c>
      <c r="J367" s="34">
        <f t="shared" si="20"/>
        <v>4.0240001020712407E-4</v>
      </c>
      <c r="K367" s="34">
        <f t="shared" si="21"/>
        <v>4.0231905818177705E-4</v>
      </c>
      <c r="L367" s="34">
        <f t="shared" si="22"/>
        <v>0.99875954503525854</v>
      </c>
      <c r="M367" s="34">
        <f t="shared" si="23"/>
        <v>0.99835772503574993</v>
      </c>
    </row>
    <row r="368" spans="1:13" ht="69">
      <c r="A368" t="s">
        <v>164</v>
      </c>
      <c r="B368" t="s">
        <v>115</v>
      </c>
      <c r="C368" s="14" t="s">
        <v>291</v>
      </c>
      <c r="D368" t="s">
        <v>375</v>
      </c>
      <c r="E368" t="s">
        <v>392</v>
      </c>
      <c r="F368" s="20">
        <v>2034</v>
      </c>
      <c r="G368" s="20">
        <v>36</v>
      </c>
      <c r="H368" s="11">
        <v>1940.3209794110601</v>
      </c>
      <c r="I368" s="10">
        <v>4381556.5838713497</v>
      </c>
      <c r="J368" s="34">
        <f t="shared" si="20"/>
        <v>4.4283827956335058E-4</v>
      </c>
      <c r="K368" s="34">
        <f t="shared" si="21"/>
        <v>4.4274024116464084E-4</v>
      </c>
      <c r="L368" s="34">
        <f t="shared" si="22"/>
        <v>0.99835772503574993</v>
      </c>
      <c r="M368" s="34">
        <f t="shared" si="23"/>
        <v>0.99791571189579897</v>
      </c>
    </row>
    <row r="369" spans="1:13" ht="69">
      <c r="A369" t="s">
        <v>164</v>
      </c>
      <c r="B369" t="s">
        <v>115</v>
      </c>
      <c r="C369" s="14" t="s">
        <v>291</v>
      </c>
      <c r="D369" t="s">
        <v>375</v>
      </c>
      <c r="E369" t="s">
        <v>392</v>
      </c>
      <c r="F369" s="20">
        <v>2034</v>
      </c>
      <c r="G369" s="20">
        <v>37</v>
      </c>
      <c r="H369" s="11">
        <v>2358.4863131021698</v>
      </c>
      <c r="I369" s="10">
        <v>4519127.3712833598</v>
      </c>
      <c r="J369" s="34">
        <f t="shared" si="20"/>
        <v>5.2188976307441354E-4</v>
      </c>
      <c r="K369" s="34">
        <f t="shared" si="21"/>
        <v>5.2175360230000134E-4</v>
      </c>
      <c r="L369" s="34">
        <f t="shared" si="22"/>
        <v>0.99791571189579897</v>
      </c>
      <c r="M369" s="34">
        <f t="shared" si="23"/>
        <v>0.99739504577832561</v>
      </c>
    </row>
    <row r="370" spans="1:13" ht="69">
      <c r="A370" t="s">
        <v>164</v>
      </c>
      <c r="B370" t="s">
        <v>115</v>
      </c>
      <c r="C370" s="14" t="s">
        <v>291</v>
      </c>
      <c r="D370" t="s">
        <v>375</v>
      </c>
      <c r="E370" t="s">
        <v>392</v>
      </c>
      <c r="F370" s="20">
        <v>2034</v>
      </c>
      <c r="G370" s="20">
        <v>38</v>
      </c>
      <c r="H370" s="11">
        <v>2517.6952925578598</v>
      </c>
      <c r="I370" s="10">
        <v>4474753.3041555798</v>
      </c>
      <c r="J370" s="34">
        <f t="shared" si="20"/>
        <v>5.626444904168786E-4</v>
      </c>
      <c r="K370" s="34">
        <f t="shared" si="21"/>
        <v>5.6248623568733169E-4</v>
      </c>
      <c r="L370" s="34">
        <f t="shared" si="22"/>
        <v>0.99739504577832561</v>
      </c>
      <c r="M370" s="34">
        <f t="shared" si="23"/>
        <v>0.99683402479353256</v>
      </c>
    </row>
    <row r="371" spans="1:13" ht="69">
      <c r="A371" t="s">
        <v>164</v>
      </c>
      <c r="B371" t="s">
        <v>115</v>
      </c>
      <c r="C371" s="14" t="s">
        <v>291</v>
      </c>
      <c r="D371" t="s">
        <v>375</v>
      </c>
      <c r="E371" t="s">
        <v>392</v>
      </c>
      <c r="F371" s="20">
        <v>2034</v>
      </c>
      <c r="G371" s="20">
        <v>39</v>
      </c>
      <c r="H371" s="11">
        <v>2673.7324146691099</v>
      </c>
      <c r="I371" s="10">
        <v>4400165.1323971804</v>
      </c>
      <c r="J371" s="34">
        <f t="shared" si="20"/>
        <v>6.0764365295819668E-4</v>
      </c>
      <c r="K371" s="34">
        <f t="shared" si="21"/>
        <v>6.0745907494152984E-4</v>
      </c>
      <c r="L371" s="34">
        <f t="shared" si="22"/>
        <v>0.99683402479353256</v>
      </c>
      <c r="M371" s="34">
        <f t="shared" si="23"/>
        <v>0.99622848891896121</v>
      </c>
    </row>
    <row r="372" spans="1:13" ht="69">
      <c r="A372" t="s">
        <v>164</v>
      </c>
      <c r="B372" t="s">
        <v>115</v>
      </c>
      <c r="C372" s="14" t="s">
        <v>291</v>
      </c>
      <c r="D372" t="s">
        <v>375</v>
      </c>
      <c r="E372" t="s">
        <v>392</v>
      </c>
      <c r="F372" s="20">
        <v>2034</v>
      </c>
      <c r="G372" s="20">
        <v>40</v>
      </c>
      <c r="H372" s="11">
        <v>3538.9312127015201</v>
      </c>
      <c r="I372" s="10">
        <v>4341040.8706836598</v>
      </c>
      <c r="J372" s="34">
        <f t="shared" si="20"/>
        <v>8.1522642106435239E-4</v>
      </c>
      <c r="K372" s="34">
        <f t="shared" si="21"/>
        <v>8.1489421428626585E-4</v>
      </c>
      <c r="L372" s="34">
        <f t="shared" si="22"/>
        <v>0.99622848891896121</v>
      </c>
      <c r="M372" s="34">
        <f t="shared" si="23"/>
        <v>0.99541666808723395</v>
      </c>
    </row>
    <row r="373" spans="1:13" ht="69">
      <c r="A373" t="s">
        <v>164</v>
      </c>
      <c r="B373" t="s">
        <v>115</v>
      </c>
      <c r="C373" s="14" t="s">
        <v>291</v>
      </c>
      <c r="D373" t="s">
        <v>375</v>
      </c>
      <c r="E373" t="s">
        <v>392</v>
      </c>
      <c r="F373" s="20">
        <v>2034</v>
      </c>
      <c r="G373" s="20">
        <v>41</v>
      </c>
      <c r="H373" s="11">
        <v>3728.9954673530001</v>
      </c>
      <c r="I373" s="10">
        <v>4284496.76512146</v>
      </c>
      <c r="J373" s="34">
        <f t="shared" si="20"/>
        <v>8.7034619741328898E-4</v>
      </c>
      <c r="K373" s="34">
        <f t="shared" si="21"/>
        <v>8.6996755601931319E-4</v>
      </c>
      <c r="L373" s="34">
        <f t="shared" si="22"/>
        <v>0.99541666808723395</v>
      </c>
      <c r="M373" s="34">
        <f t="shared" si="23"/>
        <v>0.99455068788127721</v>
      </c>
    </row>
    <row r="374" spans="1:13" ht="69">
      <c r="A374" t="s">
        <v>164</v>
      </c>
      <c r="B374" t="s">
        <v>115</v>
      </c>
      <c r="C374" s="14" t="s">
        <v>291</v>
      </c>
      <c r="D374" t="s">
        <v>375</v>
      </c>
      <c r="E374" t="s">
        <v>392</v>
      </c>
      <c r="F374" s="20">
        <v>2034</v>
      </c>
      <c r="G374" s="20">
        <v>42</v>
      </c>
      <c r="H374" s="11">
        <v>4087.4478851757799</v>
      </c>
      <c r="I374" s="10">
        <v>4319074.4749316201</v>
      </c>
      <c r="J374" s="34">
        <f t="shared" si="20"/>
        <v>9.463712443255549E-4</v>
      </c>
      <c r="K374" s="34">
        <f t="shared" si="21"/>
        <v>9.4592357629075252E-4</v>
      </c>
      <c r="L374" s="34">
        <f t="shared" si="22"/>
        <v>0.99455068788127721</v>
      </c>
      <c r="M374" s="34">
        <f t="shared" si="23"/>
        <v>0.99360991893779416</v>
      </c>
    </row>
    <row r="375" spans="1:13" ht="69">
      <c r="A375" t="s">
        <v>164</v>
      </c>
      <c r="B375" t="s">
        <v>115</v>
      </c>
      <c r="C375" s="14" t="s">
        <v>291</v>
      </c>
      <c r="D375" t="s">
        <v>375</v>
      </c>
      <c r="E375" t="s">
        <v>392</v>
      </c>
      <c r="F375" s="20">
        <v>2034</v>
      </c>
      <c r="G375" s="20">
        <v>43</v>
      </c>
      <c r="H375" s="11">
        <v>4475.5986084032302</v>
      </c>
      <c r="I375" s="10">
        <v>4333715.1499975799</v>
      </c>
      <c r="J375" s="34">
        <f t="shared" si="20"/>
        <v>1.032739451831699E-3</v>
      </c>
      <c r="K375" s="34">
        <f t="shared" si="21"/>
        <v>1.0322063599748077E-3</v>
      </c>
      <c r="L375" s="34">
        <f t="shared" si="22"/>
        <v>0.99360991893779416</v>
      </c>
      <c r="M375" s="34">
        <f t="shared" si="23"/>
        <v>0.99258430846013246</v>
      </c>
    </row>
    <row r="376" spans="1:13" ht="69">
      <c r="A376" t="s">
        <v>164</v>
      </c>
      <c r="B376" t="s">
        <v>115</v>
      </c>
      <c r="C376" s="14" t="s">
        <v>291</v>
      </c>
      <c r="D376" t="s">
        <v>375</v>
      </c>
      <c r="E376" t="s">
        <v>392</v>
      </c>
      <c r="F376" s="20">
        <v>2034</v>
      </c>
      <c r="G376" s="20">
        <v>44</v>
      </c>
      <c r="H376" s="11">
        <v>6809.4334671289398</v>
      </c>
      <c r="I376" s="10">
        <v>6379100.2919472996</v>
      </c>
      <c r="J376" s="34">
        <f t="shared" si="20"/>
        <v>1.0674598541309773E-3</v>
      </c>
      <c r="K376" s="34">
        <f t="shared" si="21"/>
        <v>1.0668903215299563E-3</v>
      </c>
      <c r="L376" s="34">
        <f t="shared" si="22"/>
        <v>0.99258430846013246</v>
      </c>
      <c r="M376" s="34">
        <f t="shared" si="23"/>
        <v>0.9915253298681338</v>
      </c>
    </row>
    <row r="377" spans="1:13" ht="69">
      <c r="A377" t="s">
        <v>164</v>
      </c>
      <c r="B377" t="s">
        <v>115</v>
      </c>
      <c r="C377" s="14" t="s">
        <v>291</v>
      </c>
      <c r="D377" t="s">
        <v>375</v>
      </c>
      <c r="E377" t="s">
        <v>392</v>
      </c>
      <c r="F377" s="20">
        <v>2034</v>
      </c>
      <c r="G377" s="20">
        <v>45</v>
      </c>
      <c r="H377" s="11">
        <v>6241.2844862054899</v>
      </c>
      <c r="I377" s="10">
        <v>4285159.8503815001</v>
      </c>
      <c r="J377" s="34">
        <f t="shared" si="20"/>
        <v>1.4564881367610685E-3</v>
      </c>
      <c r="K377" s="34">
        <f t="shared" si="21"/>
        <v>1.4554279726827213E-3</v>
      </c>
      <c r="L377" s="34">
        <f t="shared" si="22"/>
        <v>0.9915253298681338</v>
      </c>
      <c r="M377" s="34">
        <f t="shared" si="23"/>
        <v>0.9900822361674203</v>
      </c>
    </row>
    <row r="378" spans="1:13" ht="69">
      <c r="A378" t="s">
        <v>164</v>
      </c>
      <c r="B378" t="s">
        <v>115</v>
      </c>
      <c r="C378" s="14" t="s">
        <v>291</v>
      </c>
      <c r="D378" t="s">
        <v>375</v>
      </c>
      <c r="E378" t="s">
        <v>392</v>
      </c>
      <c r="F378" s="20">
        <v>2034</v>
      </c>
      <c r="G378" s="20">
        <v>46</v>
      </c>
      <c r="H378" s="11">
        <v>6711.6415891588003</v>
      </c>
      <c r="I378" s="10">
        <v>4263175.5263420297</v>
      </c>
      <c r="J378" s="34">
        <f t="shared" si="20"/>
        <v>1.57432917028346E-3</v>
      </c>
      <c r="K378" s="34">
        <f t="shared" si="21"/>
        <v>1.5730905641917481E-3</v>
      </c>
      <c r="L378" s="34">
        <f t="shared" si="22"/>
        <v>0.9900822361674203</v>
      </c>
      <c r="M378" s="34">
        <f t="shared" si="23"/>
        <v>0.98852474714393146</v>
      </c>
    </row>
    <row r="379" spans="1:13" ht="69">
      <c r="A379" t="s">
        <v>164</v>
      </c>
      <c r="B379" t="s">
        <v>115</v>
      </c>
      <c r="C379" s="14" t="s">
        <v>291</v>
      </c>
      <c r="D379" t="s">
        <v>375</v>
      </c>
      <c r="E379" t="s">
        <v>392</v>
      </c>
      <c r="F379" s="20">
        <v>2034</v>
      </c>
      <c r="G379" s="20">
        <v>47</v>
      </c>
      <c r="H379" s="11">
        <v>7149.9430760054502</v>
      </c>
      <c r="I379" s="10">
        <v>4127702.7206741502</v>
      </c>
      <c r="J379" s="34">
        <f t="shared" si="20"/>
        <v>1.7321845975472037E-3</v>
      </c>
      <c r="K379" s="34">
        <f t="shared" si="21"/>
        <v>1.7306852316583132E-3</v>
      </c>
      <c r="L379" s="34">
        <f t="shared" si="22"/>
        <v>0.98852474714393146</v>
      </c>
      <c r="M379" s="34">
        <f t="shared" si="23"/>
        <v>0.98681392196292073</v>
      </c>
    </row>
    <row r="380" spans="1:13" ht="69">
      <c r="A380" t="s">
        <v>164</v>
      </c>
      <c r="B380" t="s">
        <v>115</v>
      </c>
      <c r="C380" s="14" t="s">
        <v>291</v>
      </c>
      <c r="D380" t="s">
        <v>375</v>
      </c>
      <c r="E380" t="s">
        <v>392</v>
      </c>
      <c r="F380" s="20">
        <v>2034</v>
      </c>
      <c r="G380" s="20">
        <v>48</v>
      </c>
      <c r="H380" s="11">
        <v>7786.9117957011904</v>
      </c>
      <c r="I380" s="10">
        <v>4088097.4018765902</v>
      </c>
      <c r="J380" s="34">
        <f t="shared" si="20"/>
        <v>1.9047764840746469E-3</v>
      </c>
      <c r="K380" s="34">
        <f t="shared" si="21"/>
        <v>1.9029635486091934E-3</v>
      </c>
      <c r="L380" s="34">
        <f t="shared" si="22"/>
        <v>0.98681392196292073</v>
      </c>
      <c r="M380" s="34">
        <f t="shared" si="23"/>
        <v>0.98493605104016524</v>
      </c>
    </row>
    <row r="381" spans="1:13" ht="69">
      <c r="A381" t="s">
        <v>164</v>
      </c>
      <c r="B381" t="s">
        <v>115</v>
      </c>
      <c r="C381" s="14" t="s">
        <v>291</v>
      </c>
      <c r="D381" t="s">
        <v>375</v>
      </c>
      <c r="E381" t="s">
        <v>392</v>
      </c>
      <c r="F381" s="20">
        <v>2034</v>
      </c>
      <c r="G381" s="20">
        <v>49</v>
      </c>
      <c r="H381" s="11">
        <v>8666.6006494253706</v>
      </c>
      <c r="I381" s="10">
        <v>4139893.0402160399</v>
      </c>
      <c r="J381" s="34">
        <f t="shared" si="20"/>
        <v>2.0934358847524972E-3</v>
      </c>
      <c r="K381" s="34">
        <f t="shared" si="21"/>
        <v>2.0912461761221079E-3</v>
      </c>
      <c r="L381" s="34">
        <f t="shared" si="22"/>
        <v>0.98493605104016524</v>
      </c>
      <c r="M381" s="34">
        <f t="shared" si="23"/>
        <v>0.98287630728970266</v>
      </c>
    </row>
    <row r="382" spans="1:13" ht="69">
      <c r="A382" t="s">
        <v>164</v>
      </c>
      <c r="B382" t="s">
        <v>115</v>
      </c>
      <c r="C382" s="14" t="s">
        <v>291</v>
      </c>
      <c r="D382" t="s">
        <v>375</v>
      </c>
      <c r="E382" t="s">
        <v>392</v>
      </c>
      <c r="F382" s="20">
        <v>2034</v>
      </c>
      <c r="G382" s="20">
        <v>50</v>
      </c>
      <c r="H382" s="11">
        <v>10220.4734120507</v>
      </c>
      <c r="I382" s="10">
        <v>4215504.2802130999</v>
      </c>
      <c r="J382" s="34">
        <f t="shared" si="20"/>
        <v>2.4244960347980099E-3</v>
      </c>
      <c r="K382" s="34">
        <f t="shared" si="21"/>
        <v>2.4215593181187156E-3</v>
      </c>
      <c r="L382" s="34">
        <f t="shared" si="22"/>
        <v>0.98287630728970266</v>
      </c>
      <c r="M382" s="34">
        <f t="shared" si="23"/>
        <v>0.98049621400922715</v>
      </c>
    </row>
    <row r="383" spans="1:13" ht="69">
      <c r="A383" t="s">
        <v>164</v>
      </c>
      <c r="B383" t="s">
        <v>115</v>
      </c>
      <c r="C383" s="14" t="s">
        <v>291</v>
      </c>
      <c r="D383" t="s">
        <v>375</v>
      </c>
      <c r="E383" t="s">
        <v>392</v>
      </c>
      <c r="F383" s="20">
        <v>2034</v>
      </c>
      <c r="G383" s="20">
        <v>51</v>
      </c>
      <c r="H383" s="11">
        <v>10967.634962975901</v>
      </c>
      <c r="I383" s="10">
        <v>4182617.74480204</v>
      </c>
      <c r="J383" s="34">
        <f t="shared" si="20"/>
        <v>2.6221939541584837E-3</v>
      </c>
      <c r="K383" s="34">
        <f t="shared" si="21"/>
        <v>2.6187590066140132E-3</v>
      </c>
      <c r="L383" s="34">
        <f t="shared" si="22"/>
        <v>0.98049621400922715</v>
      </c>
      <c r="M383" s="34">
        <f t="shared" si="23"/>
        <v>0.97792853071783958</v>
      </c>
    </row>
    <row r="384" spans="1:13" ht="69">
      <c r="A384" t="s">
        <v>164</v>
      </c>
      <c r="B384" t="s">
        <v>115</v>
      </c>
      <c r="C384" s="14" t="s">
        <v>291</v>
      </c>
      <c r="D384" t="s">
        <v>375</v>
      </c>
      <c r="E384" t="s">
        <v>392</v>
      </c>
      <c r="F384" s="20">
        <v>2034</v>
      </c>
      <c r="G384" s="20">
        <v>52</v>
      </c>
      <c r="H384" s="11">
        <v>11624.4698301024</v>
      </c>
      <c r="I384" s="10">
        <v>4040101.44015344</v>
      </c>
      <c r="J384" s="34">
        <f t="shared" si="20"/>
        <v>2.8772717720822651E-3</v>
      </c>
      <c r="K384" s="34">
        <f t="shared" si="21"/>
        <v>2.8731363928111708E-3</v>
      </c>
      <c r="L384" s="34">
        <f t="shared" si="22"/>
        <v>0.97792853071783958</v>
      </c>
      <c r="M384" s="34">
        <f t="shared" si="23"/>
        <v>0.97511880866666578</v>
      </c>
    </row>
    <row r="385" spans="1:13" ht="69">
      <c r="A385" t="s">
        <v>164</v>
      </c>
      <c r="B385" t="s">
        <v>115</v>
      </c>
      <c r="C385" s="14" t="s">
        <v>291</v>
      </c>
      <c r="D385" t="s">
        <v>375</v>
      </c>
      <c r="E385" t="s">
        <v>392</v>
      </c>
      <c r="F385" s="20">
        <v>2034</v>
      </c>
      <c r="G385" s="20">
        <v>53</v>
      </c>
      <c r="H385" s="11">
        <v>12473.696411484299</v>
      </c>
      <c r="I385" s="10">
        <v>3958112.6102090999</v>
      </c>
      <c r="J385" s="34">
        <f t="shared" si="20"/>
        <v>3.1514253483620157E-3</v>
      </c>
      <c r="K385" s="34">
        <f t="shared" si="21"/>
        <v>3.1464648197788714E-3</v>
      </c>
      <c r="L385" s="34">
        <f t="shared" si="22"/>
        <v>0.97511880866666578</v>
      </c>
      <c r="M385" s="34">
        <f t="shared" si="23"/>
        <v>0.97205063164009142</v>
      </c>
    </row>
    <row r="386" spans="1:13" ht="69">
      <c r="A386" t="s">
        <v>164</v>
      </c>
      <c r="B386" t="s">
        <v>115</v>
      </c>
      <c r="C386" s="14" t="s">
        <v>291</v>
      </c>
      <c r="D386" t="s">
        <v>375</v>
      </c>
      <c r="E386" t="s">
        <v>392</v>
      </c>
      <c r="F386" s="20">
        <v>2034</v>
      </c>
      <c r="G386" s="20">
        <v>54</v>
      </c>
      <c r="H386" s="11">
        <v>13420.6013854291</v>
      </c>
      <c r="I386" s="10">
        <v>3890960.0238049999</v>
      </c>
      <c r="J386" s="34">
        <f t="shared" ref="J386:J449" si="24">IF(I386&gt;0,H386/I386,0)</f>
        <v>3.4491748317437066E-3</v>
      </c>
      <c r="K386" s="34">
        <f t="shared" ref="K386:K449" si="25">1-EXP(-J386)</f>
        <v>3.4432332613684169E-3</v>
      </c>
      <c r="L386" s="34">
        <f t="shared" ref="L386:L449" si="26">IF(G386=30,1,M385)</f>
        <v>0.97205063164009142</v>
      </c>
      <c r="M386" s="34">
        <f t="shared" ref="M386:M449" si="27">L386*(1-K386)</f>
        <v>0.96870363457349407</v>
      </c>
    </row>
    <row r="387" spans="1:13" ht="69">
      <c r="A387" t="s">
        <v>164</v>
      </c>
      <c r="B387" t="s">
        <v>115</v>
      </c>
      <c r="C387" s="14" t="s">
        <v>291</v>
      </c>
      <c r="D387" t="s">
        <v>375</v>
      </c>
      <c r="E387" t="s">
        <v>392</v>
      </c>
      <c r="F387" s="20">
        <v>2034</v>
      </c>
      <c r="G387" s="20">
        <v>55</v>
      </c>
      <c r="H387" s="11">
        <v>14411.994237983899</v>
      </c>
      <c r="I387" s="10">
        <v>3818025.39263485</v>
      </c>
      <c r="J387" s="34">
        <f t="shared" si="24"/>
        <v>3.774724564636294E-3</v>
      </c>
      <c r="K387" s="34">
        <f t="shared" si="25"/>
        <v>3.767609247469883E-3</v>
      </c>
      <c r="L387" s="34">
        <f t="shared" si="26"/>
        <v>0.96870363457349407</v>
      </c>
      <c r="M387" s="34">
        <f t="shared" si="27"/>
        <v>0.96505393780181725</v>
      </c>
    </row>
    <row r="388" spans="1:13" ht="69">
      <c r="A388" t="s">
        <v>164</v>
      </c>
      <c r="B388" t="s">
        <v>115</v>
      </c>
      <c r="C388" s="14" t="s">
        <v>291</v>
      </c>
      <c r="D388" t="s">
        <v>375</v>
      </c>
      <c r="E388" t="s">
        <v>392</v>
      </c>
      <c r="F388" s="20">
        <v>2034</v>
      </c>
      <c r="G388" s="20">
        <v>56</v>
      </c>
      <c r="H388" s="11">
        <v>15213.3973969789</v>
      </c>
      <c r="I388" s="10">
        <v>3725368.76429328</v>
      </c>
      <c r="J388" s="34">
        <f t="shared" si="24"/>
        <v>4.0837292519321786E-3</v>
      </c>
      <c r="K388" s="34">
        <f t="shared" si="25"/>
        <v>4.0754021686715269E-3</v>
      </c>
      <c r="L388" s="34">
        <f t="shared" si="26"/>
        <v>0.96505393780181725</v>
      </c>
      <c r="M388" s="34">
        <f t="shared" si="27"/>
        <v>0.96112095489081473</v>
      </c>
    </row>
    <row r="389" spans="1:13" ht="69">
      <c r="A389" t="s">
        <v>164</v>
      </c>
      <c r="B389" t="s">
        <v>115</v>
      </c>
      <c r="C389" s="14" t="s">
        <v>291</v>
      </c>
      <c r="D389" t="s">
        <v>375</v>
      </c>
      <c r="E389" t="s">
        <v>392</v>
      </c>
      <c r="F389" s="20">
        <v>2034</v>
      </c>
      <c r="G389" s="20">
        <v>57</v>
      </c>
      <c r="H389" s="11">
        <v>16336.8187626323</v>
      </c>
      <c r="I389" s="10">
        <v>3648876.9318377399</v>
      </c>
      <c r="J389" s="34">
        <f t="shared" si="24"/>
        <v>4.4772183517859387E-3</v>
      </c>
      <c r="K389" s="34">
        <f t="shared" si="25"/>
        <v>4.4672105509752091E-3</v>
      </c>
      <c r="L389" s="34">
        <f t="shared" si="26"/>
        <v>0.96112095489081473</v>
      </c>
      <c r="M389" s="34">
        <f t="shared" si="27"/>
        <v>0.95682742522036313</v>
      </c>
    </row>
    <row r="390" spans="1:13" ht="69">
      <c r="A390" t="s">
        <v>164</v>
      </c>
      <c r="B390" t="s">
        <v>115</v>
      </c>
      <c r="C390" s="14" t="s">
        <v>291</v>
      </c>
      <c r="D390" t="s">
        <v>375</v>
      </c>
      <c r="E390" t="s">
        <v>392</v>
      </c>
      <c r="F390" s="20">
        <v>2034</v>
      </c>
      <c r="G390" s="20">
        <v>58</v>
      </c>
      <c r="H390" s="11">
        <v>17459.611288790398</v>
      </c>
      <c r="I390" s="10">
        <v>3560394.1581874499</v>
      </c>
      <c r="J390" s="34">
        <f t="shared" si="24"/>
        <v>4.9038422469715711E-3</v>
      </c>
      <c r="K390" s="34">
        <f t="shared" si="25"/>
        <v>4.8918380428372155E-3</v>
      </c>
      <c r="L390" s="34">
        <f t="shared" si="26"/>
        <v>0.95682742522036313</v>
      </c>
      <c r="M390" s="34">
        <f t="shared" si="27"/>
        <v>0.95214678042124012</v>
      </c>
    </row>
    <row r="391" spans="1:13" ht="69">
      <c r="A391" t="s">
        <v>164</v>
      </c>
      <c r="B391" t="s">
        <v>115</v>
      </c>
      <c r="C391" s="14" t="s">
        <v>291</v>
      </c>
      <c r="D391" t="s">
        <v>375</v>
      </c>
      <c r="E391" t="s">
        <v>392</v>
      </c>
      <c r="F391" s="20">
        <v>2034</v>
      </c>
      <c r="G391" s="20">
        <v>59</v>
      </c>
      <c r="H391" s="11">
        <v>18644.743470208799</v>
      </c>
      <c r="I391" s="10">
        <v>3470465.4732503998</v>
      </c>
      <c r="J391" s="34">
        <f t="shared" si="24"/>
        <v>5.3724042535269302E-3</v>
      </c>
      <c r="K391" s="34">
        <f t="shared" si="25"/>
        <v>5.35799869882847E-3</v>
      </c>
      <c r="L391" s="34">
        <f t="shared" si="26"/>
        <v>0.95214678042124012</v>
      </c>
      <c r="M391" s="34">
        <f t="shared" si="27"/>
        <v>0.94704517921064946</v>
      </c>
    </row>
    <row r="392" spans="1:13" ht="69">
      <c r="A392" t="s">
        <v>164</v>
      </c>
      <c r="B392" t="s">
        <v>115</v>
      </c>
      <c r="C392" s="14" t="s">
        <v>291</v>
      </c>
      <c r="D392" t="s">
        <v>375</v>
      </c>
      <c r="E392" t="s">
        <v>392</v>
      </c>
      <c r="F392" s="20">
        <v>2034</v>
      </c>
      <c r="G392" s="20">
        <v>60</v>
      </c>
      <c r="H392" s="11">
        <v>19902.592393465799</v>
      </c>
      <c r="I392" s="10">
        <v>3353853.1214977498</v>
      </c>
      <c r="J392" s="34">
        <f t="shared" si="24"/>
        <v>5.934246871424644E-3</v>
      </c>
      <c r="K392" s="34">
        <f t="shared" si="25"/>
        <v>5.9166740062156498E-3</v>
      </c>
      <c r="L392" s="34">
        <f t="shared" si="26"/>
        <v>0.94704517921064946</v>
      </c>
      <c r="M392" s="34">
        <f t="shared" si="27"/>
        <v>0.94144182161610201</v>
      </c>
    </row>
    <row r="393" spans="1:13" ht="69">
      <c r="A393" t="s">
        <v>164</v>
      </c>
      <c r="B393" t="s">
        <v>115</v>
      </c>
      <c r="C393" s="14" t="s">
        <v>291</v>
      </c>
      <c r="D393" t="s">
        <v>375</v>
      </c>
      <c r="E393" t="s">
        <v>392</v>
      </c>
      <c r="F393" s="20">
        <v>2034</v>
      </c>
      <c r="G393" s="20">
        <v>61</v>
      </c>
      <c r="H393" s="11">
        <v>21206.7835515066</v>
      </c>
      <c r="I393" s="10">
        <v>3292829.37697392</v>
      </c>
      <c r="J393" s="34">
        <f t="shared" si="24"/>
        <v>6.4402922604497167E-3</v>
      </c>
      <c r="K393" s="34">
        <f t="shared" si="25"/>
        <v>6.4195980277179654E-3</v>
      </c>
      <c r="L393" s="34">
        <f t="shared" si="26"/>
        <v>0.94144182161610201</v>
      </c>
      <c r="M393" s="34">
        <f t="shared" si="27"/>
        <v>0.93539814355484407</v>
      </c>
    </row>
    <row r="394" spans="1:13" ht="69">
      <c r="A394" t="s">
        <v>164</v>
      </c>
      <c r="B394" t="s">
        <v>115</v>
      </c>
      <c r="C394" s="14" t="s">
        <v>291</v>
      </c>
      <c r="D394" t="s">
        <v>375</v>
      </c>
      <c r="E394" t="s">
        <v>392</v>
      </c>
      <c r="F394" s="20">
        <v>2034</v>
      </c>
      <c r="G394" s="20">
        <v>62</v>
      </c>
      <c r="H394" s="11">
        <v>21787.668710415899</v>
      </c>
      <c r="I394" s="10">
        <v>3077846.5997874001</v>
      </c>
      <c r="J394" s="34">
        <f t="shared" si="24"/>
        <v>7.0788676446450795E-3</v>
      </c>
      <c r="K394" s="34">
        <f t="shared" si="25"/>
        <v>7.0538714773769051E-3</v>
      </c>
      <c r="L394" s="34">
        <f t="shared" si="26"/>
        <v>0.93539814355484407</v>
      </c>
      <c r="M394" s="34">
        <f t="shared" si="27"/>
        <v>0.92879996527003128</v>
      </c>
    </row>
    <row r="395" spans="1:13" ht="69">
      <c r="A395" t="s">
        <v>164</v>
      </c>
      <c r="B395" t="s">
        <v>115</v>
      </c>
      <c r="C395" s="14" t="s">
        <v>291</v>
      </c>
      <c r="D395" t="s">
        <v>375</v>
      </c>
      <c r="E395" t="s">
        <v>392</v>
      </c>
      <c r="F395" s="20">
        <v>2034</v>
      </c>
      <c r="G395" s="20">
        <v>63</v>
      </c>
      <c r="H395" s="11">
        <v>23129.618437355599</v>
      </c>
      <c r="I395" s="10">
        <v>2976491.5002794801</v>
      </c>
      <c r="J395" s="34">
        <f t="shared" si="24"/>
        <v>7.7707658278828697E-3</v>
      </c>
      <c r="K395" s="34">
        <f t="shared" si="25"/>
        <v>7.7406514814379879E-3</v>
      </c>
      <c r="L395" s="34">
        <f t="shared" si="26"/>
        <v>0.92879996527003128</v>
      </c>
      <c r="M395" s="34">
        <f t="shared" si="27"/>
        <v>0.9216104484429043</v>
      </c>
    </row>
    <row r="396" spans="1:13" ht="69">
      <c r="A396" t="s">
        <v>164</v>
      </c>
      <c r="B396" t="s">
        <v>115</v>
      </c>
      <c r="C396" s="14" t="s">
        <v>291</v>
      </c>
      <c r="D396" t="s">
        <v>375</v>
      </c>
      <c r="E396" t="s">
        <v>392</v>
      </c>
      <c r="F396" s="20">
        <v>2034</v>
      </c>
      <c r="G396" s="20">
        <v>64</v>
      </c>
      <c r="H396" s="11">
        <v>24550.513107514402</v>
      </c>
      <c r="I396" s="10">
        <v>2878386.9054467599</v>
      </c>
      <c r="J396" s="34">
        <f t="shared" si="24"/>
        <v>8.5292609763675496E-3</v>
      </c>
      <c r="K396" s="34">
        <f t="shared" si="25"/>
        <v>8.4929900246910606E-3</v>
      </c>
      <c r="L396" s="34">
        <f t="shared" si="26"/>
        <v>0.9216104484429043</v>
      </c>
      <c r="M396" s="34">
        <f t="shared" si="27"/>
        <v>0.91378322009762769</v>
      </c>
    </row>
    <row r="397" spans="1:13" ht="69">
      <c r="A397" t="s">
        <v>164</v>
      </c>
      <c r="B397" t="s">
        <v>115</v>
      </c>
      <c r="C397" s="14" t="s">
        <v>291</v>
      </c>
      <c r="D397" t="s">
        <v>375</v>
      </c>
      <c r="E397" t="s">
        <v>392</v>
      </c>
      <c r="F397" s="20">
        <v>2034</v>
      </c>
      <c r="G397" s="20">
        <v>65</v>
      </c>
      <c r="H397" s="11">
        <v>25013.618334334202</v>
      </c>
      <c r="I397" s="10">
        <v>2771208.5897289999</v>
      </c>
      <c r="J397" s="34">
        <f t="shared" si="24"/>
        <v>9.0262488457356852E-3</v>
      </c>
      <c r="K397" s="34">
        <f t="shared" si="25"/>
        <v>8.9856345517251857E-3</v>
      </c>
      <c r="L397" s="34">
        <f t="shared" si="26"/>
        <v>0.91378322009762769</v>
      </c>
      <c r="M397" s="34">
        <f t="shared" si="27"/>
        <v>0.90557229802233175</v>
      </c>
    </row>
    <row r="398" spans="1:13" ht="69">
      <c r="A398" t="s">
        <v>164</v>
      </c>
      <c r="B398" t="s">
        <v>115</v>
      </c>
      <c r="C398" s="14" t="s">
        <v>291</v>
      </c>
      <c r="D398" t="s">
        <v>375</v>
      </c>
      <c r="E398" t="s">
        <v>392</v>
      </c>
      <c r="F398" s="20">
        <v>2034</v>
      </c>
      <c r="G398" s="20">
        <v>66</v>
      </c>
      <c r="H398" s="11">
        <v>25995.056135558199</v>
      </c>
      <c r="I398" s="10">
        <v>2645864.9074966102</v>
      </c>
      <c r="J398" s="34">
        <f t="shared" si="24"/>
        <v>9.8247858618577266E-3</v>
      </c>
      <c r="K398" s="34">
        <f t="shared" si="25"/>
        <v>9.7766803243439782E-3</v>
      </c>
      <c r="L398" s="34">
        <f t="shared" si="26"/>
        <v>0.90557229802233175</v>
      </c>
      <c r="M398" s="34">
        <f t="shared" si="27"/>
        <v>0.89671880715398589</v>
      </c>
    </row>
    <row r="399" spans="1:13" ht="69">
      <c r="A399" t="s">
        <v>164</v>
      </c>
      <c r="B399" t="s">
        <v>115</v>
      </c>
      <c r="C399" s="14" t="s">
        <v>291</v>
      </c>
      <c r="D399" t="s">
        <v>375</v>
      </c>
      <c r="E399" t="s">
        <v>392</v>
      </c>
      <c r="F399" s="20">
        <v>2034</v>
      </c>
      <c r="G399" s="20">
        <v>67</v>
      </c>
      <c r="H399" s="11">
        <v>26938.270161506502</v>
      </c>
      <c r="I399" s="10">
        <v>2491883.8756003398</v>
      </c>
      <c r="J399" s="34">
        <f t="shared" si="24"/>
        <v>1.0810403496437644E-2</v>
      </c>
      <c r="K399" s="34">
        <f t="shared" si="25"/>
        <v>1.0752181076046696E-2</v>
      </c>
      <c r="L399" s="34">
        <f t="shared" si="26"/>
        <v>0.89671880715398589</v>
      </c>
      <c r="M399" s="34">
        <f t="shared" si="27"/>
        <v>0.88707712416516959</v>
      </c>
    </row>
    <row r="400" spans="1:13" ht="69">
      <c r="A400" t="s">
        <v>164</v>
      </c>
      <c r="B400" t="s">
        <v>115</v>
      </c>
      <c r="C400" s="14" t="s">
        <v>291</v>
      </c>
      <c r="D400" t="s">
        <v>375</v>
      </c>
      <c r="E400" t="s">
        <v>392</v>
      </c>
      <c r="F400" s="20">
        <v>2034</v>
      </c>
      <c r="G400" s="20">
        <v>68</v>
      </c>
      <c r="H400" s="11">
        <v>28187.3842661405</v>
      </c>
      <c r="I400" s="10">
        <v>2370727.9443205199</v>
      </c>
      <c r="J400" s="34">
        <f t="shared" si="24"/>
        <v>1.1889759149154229E-2</v>
      </c>
      <c r="K400" s="34">
        <f t="shared" si="25"/>
        <v>1.1819355267486231E-2</v>
      </c>
      <c r="L400" s="34">
        <f t="shared" si="26"/>
        <v>0.88707712416516959</v>
      </c>
      <c r="M400" s="34">
        <f t="shared" si="27"/>
        <v>0.87659244448500151</v>
      </c>
    </row>
    <row r="401" spans="1:13" ht="69">
      <c r="A401" t="s">
        <v>164</v>
      </c>
      <c r="B401" t="s">
        <v>115</v>
      </c>
      <c r="C401" s="14" t="s">
        <v>291</v>
      </c>
      <c r="D401" t="s">
        <v>375</v>
      </c>
      <c r="E401" t="s">
        <v>392</v>
      </c>
      <c r="F401" s="20">
        <v>2034</v>
      </c>
      <c r="G401" s="20">
        <v>69</v>
      </c>
      <c r="H401" s="11">
        <v>29179.358527606899</v>
      </c>
      <c r="I401" s="10">
        <v>2230465.3680543401</v>
      </c>
      <c r="J401" s="34">
        <f t="shared" si="24"/>
        <v>1.3082184079397019E-2</v>
      </c>
      <c r="K401" s="34">
        <f t="shared" si="25"/>
        <v>1.2996984247234611E-2</v>
      </c>
      <c r="L401" s="34">
        <f t="shared" si="26"/>
        <v>0.87659244448500151</v>
      </c>
      <c r="M401" s="34">
        <f t="shared" si="27"/>
        <v>0.86519938629278503</v>
      </c>
    </row>
    <row r="402" spans="1:13" ht="69">
      <c r="A402" t="s">
        <v>164</v>
      </c>
      <c r="B402" t="s">
        <v>115</v>
      </c>
      <c r="C402" s="14" t="s">
        <v>291</v>
      </c>
      <c r="D402" t="s">
        <v>375</v>
      </c>
      <c r="E402" t="s">
        <v>392</v>
      </c>
      <c r="F402" s="20">
        <v>2035</v>
      </c>
      <c r="G402" s="20">
        <v>30</v>
      </c>
      <c r="H402" s="11">
        <v>807.451255792403</v>
      </c>
      <c r="I402" s="10">
        <v>4552857.8463042798</v>
      </c>
      <c r="J402" s="34">
        <f t="shared" si="24"/>
        <v>1.7735042099938187E-4</v>
      </c>
      <c r="K402" s="34">
        <f t="shared" si="25"/>
        <v>1.7733469534308988E-4</v>
      </c>
      <c r="L402" s="34">
        <f t="shared" si="26"/>
        <v>1</v>
      </c>
      <c r="M402" s="34">
        <f t="shared" si="27"/>
        <v>0.99982266530465691</v>
      </c>
    </row>
    <row r="403" spans="1:13" ht="69">
      <c r="A403" t="s">
        <v>164</v>
      </c>
      <c r="B403" t="s">
        <v>115</v>
      </c>
      <c r="C403" s="14" t="s">
        <v>291</v>
      </c>
      <c r="D403" t="s">
        <v>375</v>
      </c>
      <c r="E403" t="s">
        <v>392</v>
      </c>
      <c r="F403" s="20">
        <v>2035</v>
      </c>
      <c r="G403" s="20">
        <v>31</v>
      </c>
      <c r="H403" s="11">
        <v>982.97796618716302</v>
      </c>
      <c r="I403" s="10">
        <v>4424114.1490027197</v>
      </c>
      <c r="J403" s="34">
        <f t="shared" si="24"/>
        <v>2.2218639327123717E-4</v>
      </c>
      <c r="K403" s="34">
        <f t="shared" si="25"/>
        <v>2.2216171170252874E-4</v>
      </c>
      <c r="L403" s="34">
        <f t="shared" si="26"/>
        <v>0.99982266530465691</v>
      </c>
      <c r="M403" s="34">
        <f t="shared" si="27"/>
        <v>0.99960054298993384</v>
      </c>
    </row>
    <row r="404" spans="1:13" ht="69">
      <c r="A404" t="s">
        <v>164</v>
      </c>
      <c r="B404" t="s">
        <v>115</v>
      </c>
      <c r="C404" s="14" t="s">
        <v>291</v>
      </c>
      <c r="D404" t="s">
        <v>375</v>
      </c>
      <c r="E404" t="s">
        <v>392</v>
      </c>
      <c r="F404" s="20">
        <v>2035</v>
      </c>
      <c r="G404" s="20">
        <v>32</v>
      </c>
      <c r="H404" s="11">
        <v>1017.89041318982</v>
      </c>
      <c r="I404" s="10">
        <v>4358885.4658219004</v>
      </c>
      <c r="J404" s="34">
        <f t="shared" si="24"/>
        <v>2.3352079818823347E-4</v>
      </c>
      <c r="K404" s="34">
        <f t="shared" si="25"/>
        <v>2.3349353432888797E-4</v>
      </c>
      <c r="L404" s="34">
        <f t="shared" si="26"/>
        <v>0.99960054298993384</v>
      </c>
      <c r="M404" s="34">
        <f t="shared" si="27"/>
        <v>0.99936714272623406</v>
      </c>
    </row>
    <row r="405" spans="1:13" ht="69">
      <c r="A405" t="s">
        <v>164</v>
      </c>
      <c r="B405" t="s">
        <v>115</v>
      </c>
      <c r="C405" s="14" t="s">
        <v>291</v>
      </c>
      <c r="D405" t="s">
        <v>375</v>
      </c>
      <c r="E405" t="s">
        <v>392</v>
      </c>
      <c r="F405" s="20">
        <v>2035</v>
      </c>
      <c r="G405" s="20">
        <v>33</v>
      </c>
      <c r="H405" s="11">
        <v>1219.03135211638</v>
      </c>
      <c r="I405" s="10">
        <v>4337734.76790669</v>
      </c>
      <c r="J405" s="34">
        <f t="shared" si="24"/>
        <v>2.8102948136330194E-4</v>
      </c>
      <c r="K405" s="34">
        <f t="shared" si="25"/>
        <v>2.8098999627756971E-4</v>
      </c>
      <c r="L405" s="34">
        <f t="shared" si="26"/>
        <v>0.99936714272623406</v>
      </c>
      <c r="M405" s="34">
        <f t="shared" si="27"/>
        <v>0.99908633055651952</v>
      </c>
    </row>
    <row r="406" spans="1:13" ht="69">
      <c r="A406" t="s">
        <v>164</v>
      </c>
      <c r="B406" t="s">
        <v>115</v>
      </c>
      <c r="C406" s="14" t="s">
        <v>291</v>
      </c>
      <c r="D406" t="s">
        <v>375</v>
      </c>
      <c r="E406" t="s">
        <v>392</v>
      </c>
      <c r="F406" s="20">
        <v>2035</v>
      </c>
      <c r="G406" s="20">
        <v>34</v>
      </c>
      <c r="H406" s="11">
        <v>1288.6770502643501</v>
      </c>
      <c r="I406" s="10">
        <v>4317735.0244196104</v>
      </c>
      <c r="J406" s="34">
        <f t="shared" si="24"/>
        <v>2.984613560063413E-4</v>
      </c>
      <c r="K406" s="34">
        <f t="shared" si="25"/>
        <v>2.9841682084663645E-4</v>
      </c>
      <c r="L406" s="34">
        <f t="shared" si="26"/>
        <v>0.99908633055651952</v>
      </c>
      <c r="M406" s="34">
        <f t="shared" si="27"/>
        <v>0.99878818639000355</v>
      </c>
    </row>
    <row r="407" spans="1:13" ht="69">
      <c r="A407" t="s">
        <v>164</v>
      </c>
      <c r="B407" t="s">
        <v>115</v>
      </c>
      <c r="C407" s="14" t="s">
        <v>291</v>
      </c>
      <c r="D407" t="s">
        <v>375</v>
      </c>
      <c r="E407" t="s">
        <v>392</v>
      </c>
      <c r="F407" s="20">
        <v>2035</v>
      </c>
      <c r="G407" s="20">
        <v>35</v>
      </c>
      <c r="H407" s="11">
        <v>1725.02888420355</v>
      </c>
      <c r="I407" s="10">
        <v>4297411.3521706304</v>
      </c>
      <c r="J407" s="34">
        <f t="shared" si="24"/>
        <v>4.0141116193874129E-4</v>
      </c>
      <c r="K407" s="34">
        <f t="shared" si="25"/>
        <v>4.0133060725711101E-4</v>
      </c>
      <c r="L407" s="34">
        <f t="shared" si="26"/>
        <v>0.99878818639000355</v>
      </c>
      <c r="M407" s="34">
        <f t="shared" si="27"/>
        <v>0.9983873421206384</v>
      </c>
    </row>
    <row r="408" spans="1:13" ht="69">
      <c r="A408" t="s">
        <v>164</v>
      </c>
      <c r="B408" t="s">
        <v>115</v>
      </c>
      <c r="C408" s="14" t="s">
        <v>291</v>
      </c>
      <c r="D408" t="s">
        <v>375</v>
      </c>
      <c r="E408" t="s">
        <v>392</v>
      </c>
      <c r="F408" s="20">
        <v>2035</v>
      </c>
      <c r="G408" s="20">
        <v>36</v>
      </c>
      <c r="H408" s="11">
        <v>1898.9474790131201</v>
      </c>
      <c r="I408" s="10">
        <v>4316205.1938679796</v>
      </c>
      <c r="J408" s="34">
        <f t="shared" si="24"/>
        <v>4.3995764652499591E-4</v>
      </c>
      <c r="K408" s="34">
        <f t="shared" si="25"/>
        <v>4.3986087935132812E-4</v>
      </c>
      <c r="L408" s="34">
        <f t="shared" si="26"/>
        <v>0.9983873421206384</v>
      </c>
      <c r="M408" s="34">
        <f t="shared" si="27"/>
        <v>0.99794819058639994</v>
      </c>
    </row>
    <row r="409" spans="1:13" ht="69">
      <c r="A409" t="s">
        <v>164</v>
      </c>
      <c r="B409" t="s">
        <v>115</v>
      </c>
      <c r="C409" s="14" t="s">
        <v>291</v>
      </c>
      <c r="D409" t="s">
        <v>375</v>
      </c>
      <c r="E409" t="s">
        <v>392</v>
      </c>
      <c r="F409" s="20">
        <v>2035</v>
      </c>
      <c r="G409" s="20">
        <v>37</v>
      </c>
      <c r="H409" s="11">
        <v>2077.4672265854401</v>
      </c>
      <c r="I409" s="10">
        <v>4374280.86384713</v>
      </c>
      <c r="J409" s="34">
        <f t="shared" si="24"/>
        <v>4.7492771754905819E-4</v>
      </c>
      <c r="K409" s="34">
        <f t="shared" si="25"/>
        <v>4.7481495723233902E-4</v>
      </c>
      <c r="L409" s="34">
        <f t="shared" si="26"/>
        <v>0.99794819058639994</v>
      </c>
      <c r="M409" s="34">
        <f t="shared" si="27"/>
        <v>0.99747434985896655</v>
      </c>
    </row>
    <row r="410" spans="1:13" ht="69">
      <c r="A410" t="s">
        <v>164</v>
      </c>
      <c r="B410" t="s">
        <v>115</v>
      </c>
      <c r="C410" s="14" t="s">
        <v>291</v>
      </c>
      <c r="D410" t="s">
        <v>375</v>
      </c>
      <c r="E410" t="s">
        <v>392</v>
      </c>
      <c r="F410" s="20">
        <v>2035</v>
      </c>
      <c r="G410" s="20">
        <v>38</v>
      </c>
      <c r="H410" s="11">
        <v>2523.0645423282499</v>
      </c>
      <c r="I410" s="10">
        <v>4510860.4238774199</v>
      </c>
      <c r="J410" s="34">
        <f t="shared" si="24"/>
        <v>5.5933110432166474E-4</v>
      </c>
      <c r="K410" s="34">
        <f t="shared" si="25"/>
        <v>5.5917470784005996E-4</v>
      </c>
      <c r="L410" s="34">
        <f t="shared" si="26"/>
        <v>0.99747434985896655</v>
      </c>
      <c r="M410" s="34">
        <f t="shared" si="27"/>
        <v>0.99691658743080624</v>
      </c>
    </row>
    <row r="411" spans="1:13" ht="69">
      <c r="A411" t="s">
        <v>164</v>
      </c>
      <c r="B411" t="s">
        <v>115</v>
      </c>
      <c r="C411" s="14" t="s">
        <v>291</v>
      </c>
      <c r="D411" t="s">
        <v>375</v>
      </c>
      <c r="E411" t="s">
        <v>392</v>
      </c>
      <c r="F411" s="20">
        <v>2035</v>
      </c>
      <c r="G411" s="20">
        <v>39</v>
      </c>
      <c r="H411" s="11">
        <v>2697.09682078995</v>
      </c>
      <c r="I411" s="10">
        <v>4465963.6042219102</v>
      </c>
      <c r="J411" s="34">
        <f t="shared" si="24"/>
        <v>6.0392270511122007E-4</v>
      </c>
      <c r="K411" s="34">
        <f t="shared" si="25"/>
        <v>6.0374038049948453E-4</v>
      </c>
      <c r="L411" s="34">
        <f t="shared" si="26"/>
        <v>0.99691658743080624</v>
      </c>
      <c r="M411" s="34">
        <f t="shared" si="27"/>
        <v>0.99631470863098448</v>
      </c>
    </row>
    <row r="412" spans="1:13" ht="69">
      <c r="A412" t="s">
        <v>164</v>
      </c>
      <c r="B412" t="s">
        <v>115</v>
      </c>
      <c r="C412" s="14" t="s">
        <v>291</v>
      </c>
      <c r="D412" t="s">
        <v>375</v>
      </c>
      <c r="E412" t="s">
        <v>392</v>
      </c>
      <c r="F412" s="20">
        <v>2035</v>
      </c>
      <c r="G412" s="20">
        <v>40</v>
      </c>
      <c r="H412" s="11">
        <v>3563.3259225577699</v>
      </c>
      <c r="I412" s="10">
        <v>4390864.35382355</v>
      </c>
      <c r="J412" s="34">
        <f t="shared" si="24"/>
        <v>8.1153177038020721E-4</v>
      </c>
      <c r="K412" s="34">
        <f t="shared" si="25"/>
        <v>8.112025675318657E-4</v>
      </c>
      <c r="L412" s="34">
        <f t="shared" si="26"/>
        <v>0.99631470863098448</v>
      </c>
      <c r="M412" s="34">
        <f t="shared" si="27"/>
        <v>0.99550649558127324</v>
      </c>
    </row>
    <row r="413" spans="1:13" ht="69">
      <c r="A413" t="s">
        <v>164</v>
      </c>
      <c r="B413" t="s">
        <v>115</v>
      </c>
      <c r="C413" s="14" t="s">
        <v>291</v>
      </c>
      <c r="D413" t="s">
        <v>375</v>
      </c>
      <c r="E413" t="s">
        <v>392</v>
      </c>
      <c r="F413" s="20">
        <v>2035</v>
      </c>
      <c r="G413" s="20">
        <v>41</v>
      </c>
      <c r="H413" s="11">
        <v>3739.3133892288101</v>
      </c>
      <c r="I413" s="10">
        <v>4330370.1111893496</v>
      </c>
      <c r="J413" s="34">
        <f t="shared" si="24"/>
        <v>8.6350895956137938E-4</v>
      </c>
      <c r="K413" s="34">
        <f t="shared" si="25"/>
        <v>8.6313624298883784E-4</v>
      </c>
      <c r="L413" s="34">
        <f t="shared" si="26"/>
        <v>0.99550649558127324</v>
      </c>
      <c r="M413" s="34">
        <f t="shared" si="27"/>
        <v>0.99464723784480624</v>
      </c>
    </row>
    <row r="414" spans="1:13" ht="69">
      <c r="A414" t="s">
        <v>164</v>
      </c>
      <c r="B414" t="s">
        <v>115</v>
      </c>
      <c r="C414" s="14" t="s">
        <v>291</v>
      </c>
      <c r="D414" t="s">
        <v>375</v>
      </c>
      <c r="E414" t="s">
        <v>392</v>
      </c>
      <c r="F414" s="20">
        <v>2035</v>
      </c>
      <c r="G414" s="20">
        <v>42</v>
      </c>
      <c r="H414" s="11">
        <v>4015.3965052973199</v>
      </c>
      <c r="I414" s="10">
        <v>4273960.23592865</v>
      </c>
      <c r="J414" s="34">
        <f t="shared" si="24"/>
        <v>9.3950254182111048E-4</v>
      </c>
      <c r="K414" s="34">
        <f t="shared" si="25"/>
        <v>9.3906134748666936E-4</v>
      </c>
      <c r="L414" s="34">
        <f t="shared" si="26"/>
        <v>0.99464723784480624</v>
      </c>
      <c r="M414" s="34">
        <f t="shared" si="27"/>
        <v>0.99371320306936184</v>
      </c>
    </row>
    <row r="415" spans="1:13" ht="69">
      <c r="A415" t="s">
        <v>164</v>
      </c>
      <c r="B415" t="s">
        <v>115</v>
      </c>
      <c r="C415" s="14" t="s">
        <v>291</v>
      </c>
      <c r="D415" t="s">
        <v>375</v>
      </c>
      <c r="E415" t="s">
        <v>392</v>
      </c>
      <c r="F415" s="20">
        <v>2035</v>
      </c>
      <c r="G415" s="20">
        <v>43</v>
      </c>
      <c r="H415" s="11">
        <v>4410.8991214561802</v>
      </c>
      <c r="I415" s="10">
        <v>4307573.29282529</v>
      </c>
      <c r="J415" s="34">
        <f t="shared" si="24"/>
        <v>1.0239870157991253E-3</v>
      </c>
      <c r="K415" s="34">
        <f t="shared" si="25"/>
        <v>1.0234629199992185E-3</v>
      </c>
      <c r="L415" s="34">
        <f t="shared" si="26"/>
        <v>0.99371320306936184</v>
      </c>
      <c r="M415" s="34">
        <f t="shared" si="27"/>
        <v>0.9926961744529067</v>
      </c>
    </row>
    <row r="416" spans="1:13" ht="69">
      <c r="A416" t="s">
        <v>164</v>
      </c>
      <c r="B416" t="s">
        <v>115</v>
      </c>
      <c r="C416" s="14" t="s">
        <v>291</v>
      </c>
      <c r="D416" t="s">
        <v>375</v>
      </c>
      <c r="E416" t="s">
        <v>392</v>
      </c>
      <c r="F416" s="20">
        <v>2035</v>
      </c>
      <c r="G416" s="20">
        <v>44</v>
      </c>
      <c r="H416" s="11">
        <v>4839.13194712111</v>
      </c>
      <c r="I416" s="10">
        <v>4321176.0314150499</v>
      </c>
      <c r="J416" s="34">
        <f t="shared" si="24"/>
        <v>1.1198645720379148E-3</v>
      </c>
      <c r="K416" s="34">
        <f t="shared" si="25"/>
        <v>1.119237757712277E-3</v>
      </c>
      <c r="L416" s="34">
        <f t="shared" si="26"/>
        <v>0.9926961744529067</v>
      </c>
      <c r="M416" s="34">
        <f t="shared" si="27"/>
        <v>0.99158511141252248</v>
      </c>
    </row>
    <row r="417" spans="1:13" ht="69">
      <c r="A417" t="s">
        <v>164</v>
      </c>
      <c r="B417" t="s">
        <v>115</v>
      </c>
      <c r="C417" s="14" t="s">
        <v>291</v>
      </c>
      <c r="D417" t="s">
        <v>375</v>
      </c>
      <c r="E417" t="s">
        <v>392</v>
      </c>
      <c r="F417" s="20">
        <v>2035</v>
      </c>
      <c r="G417" s="20">
        <v>45</v>
      </c>
      <c r="H417" s="11">
        <v>8573.6981333576205</v>
      </c>
      <c r="I417" s="10">
        <v>6359923.92351388</v>
      </c>
      <c r="J417" s="34">
        <f t="shared" si="24"/>
        <v>1.3480818696052299E-3</v>
      </c>
      <c r="K417" s="34">
        <f t="shared" si="25"/>
        <v>1.3471736154211378E-3</v>
      </c>
      <c r="L417" s="34">
        <f t="shared" si="26"/>
        <v>0.99158511141252248</v>
      </c>
      <c r="M417" s="34">
        <f t="shared" si="27"/>
        <v>0.99024927411298314</v>
      </c>
    </row>
    <row r="418" spans="1:13" ht="69">
      <c r="A418" t="s">
        <v>164</v>
      </c>
      <c r="B418" t="s">
        <v>115</v>
      </c>
      <c r="C418" s="14" t="s">
        <v>291</v>
      </c>
      <c r="D418" t="s">
        <v>375</v>
      </c>
      <c r="E418" t="s">
        <v>392</v>
      </c>
      <c r="F418" s="20">
        <v>2035</v>
      </c>
      <c r="G418" s="20">
        <v>46</v>
      </c>
      <c r="H418" s="11">
        <v>6650.0930303232299</v>
      </c>
      <c r="I418" s="10">
        <v>4269410.8829024499</v>
      </c>
      <c r="J418" s="34">
        <f t="shared" si="24"/>
        <v>1.5576137347086008E-3</v>
      </c>
      <c r="K418" s="34">
        <f t="shared" si="25"/>
        <v>1.5564012840270092E-3</v>
      </c>
      <c r="L418" s="34">
        <f t="shared" si="26"/>
        <v>0.99024927411298314</v>
      </c>
      <c r="M418" s="34">
        <f t="shared" si="27"/>
        <v>0.98870804887124686</v>
      </c>
    </row>
    <row r="419" spans="1:13" ht="69">
      <c r="A419" t="s">
        <v>164</v>
      </c>
      <c r="B419" t="s">
        <v>115</v>
      </c>
      <c r="C419" s="14" t="s">
        <v>291</v>
      </c>
      <c r="D419" t="s">
        <v>375</v>
      </c>
      <c r="E419" t="s">
        <v>392</v>
      </c>
      <c r="F419" s="20">
        <v>2035</v>
      </c>
      <c r="G419" s="20">
        <v>47</v>
      </c>
      <c r="H419" s="11">
        <v>7274.7918197400504</v>
      </c>
      <c r="I419" s="10">
        <v>4247135.2170429798</v>
      </c>
      <c r="J419" s="34">
        <f t="shared" si="24"/>
        <v>1.7128703109210266E-3</v>
      </c>
      <c r="K419" s="34">
        <f t="shared" si="25"/>
        <v>1.7114041857835272E-3</v>
      </c>
      <c r="L419" s="34">
        <f t="shared" si="26"/>
        <v>0.98870804887124686</v>
      </c>
      <c r="M419" s="34">
        <f t="shared" si="27"/>
        <v>0.98701596977789074</v>
      </c>
    </row>
    <row r="420" spans="1:13" ht="69">
      <c r="A420" t="s">
        <v>164</v>
      </c>
      <c r="B420" t="s">
        <v>115</v>
      </c>
      <c r="C420" s="14" t="s">
        <v>291</v>
      </c>
      <c r="D420" t="s">
        <v>375</v>
      </c>
      <c r="E420" t="s">
        <v>392</v>
      </c>
      <c r="F420" s="20">
        <v>2035</v>
      </c>
      <c r="G420" s="20">
        <v>48</v>
      </c>
      <c r="H420" s="11">
        <v>7744.7077023884904</v>
      </c>
      <c r="I420" s="10">
        <v>4110668.0909797102</v>
      </c>
      <c r="J420" s="34">
        <f t="shared" si="24"/>
        <v>1.8840508479347129E-3</v>
      </c>
      <c r="K420" s="34">
        <f t="shared" si="25"/>
        <v>1.8822771382305259E-3</v>
      </c>
      <c r="L420" s="34">
        <f t="shared" si="26"/>
        <v>0.98701596977789074</v>
      </c>
      <c r="M420" s="34">
        <f t="shared" si="27"/>
        <v>0.98515813218290937</v>
      </c>
    </row>
    <row r="421" spans="1:13" ht="69">
      <c r="A421" t="s">
        <v>164</v>
      </c>
      <c r="B421" t="s">
        <v>115</v>
      </c>
      <c r="C421" s="14" t="s">
        <v>291</v>
      </c>
      <c r="D421" t="s">
        <v>375</v>
      </c>
      <c r="E421" t="s">
        <v>392</v>
      </c>
      <c r="F421" s="20">
        <v>2035</v>
      </c>
      <c r="G421" s="20">
        <v>49</v>
      </c>
      <c r="H421" s="11">
        <v>8424.66280384932</v>
      </c>
      <c r="I421" s="10">
        <v>4069591.05427717</v>
      </c>
      <c r="J421" s="34">
        <f t="shared" si="24"/>
        <v>2.070149725485301E-3</v>
      </c>
      <c r="K421" s="34">
        <f t="shared" si="25"/>
        <v>2.0680084433887247E-3</v>
      </c>
      <c r="L421" s="34">
        <f t="shared" si="26"/>
        <v>0.98515813218290937</v>
      </c>
      <c r="M421" s="34">
        <f t="shared" si="27"/>
        <v>0.98312081684748209</v>
      </c>
    </row>
    <row r="422" spans="1:13" ht="69">
      <c r="A422" t="s">
        <v>164</v>
      </c>
      <c r="B422" t="s">
        <v>115</v>
      </c>
      <c r="C422" s="14" t="s">
        <v>291</v>
      </c>
      <c r="D422" t="s">
        <v>375</v>
      </c>
      <c r="E422" t="s">
        <v>392</v>
      </c>
      <c r="F422" s="20">
        <v>2035</v>
      </c>
      <c r="G422" s="20">
        <v>50</v>
      </c>
      <c r="H422" s="11">
        <v>9889.2687914085309</v>
      </c>
      <c r="I422" s="10">
        <v>4119338.2811745401</v>
      </c>
      <c r="J422" s="34">
        <f t="shared" si="24"/>
        <v>2.4006935377467518E-3</v>
      </c>
      <c r="K422" s="34">
        <f t="shared" si="25"/>
        <v>2.3978141776302975E-3</v>
      </c>
      <c r="L422" s="34">
        <f t="shared" si="26"/>
        <v>0.98312081684748209</v>
      </c>
      <c r="M422" s="34">
        <f t="shared" si="27"/>
        <v>0.98076347581452172</v>
      </c>
    </row>
    <row r="423" spans="1:13" ht="69">
      <c r="A423" t="s">
        <v>164</v>
      </c>
      <c r="B423" t="s">
        <v>115</v>
      </c>
      <c r="C423" s="14" t="s">
        <v>291</v>
      </c>
      <c r="D423" t="s">
        <v>375</v>
      </c>
      <c r="E423" t="s">
        <v>392</v>
      </c>
      <c r="F423" s="20">
        <v>2035</v>
      </c>
      <c r="G423" s="20">
        <v>51</v>
      </c>
      <c r="H423" s="11">
        <v>10855.6158462474</v>
      </c>
      <c r="I423" s="10">
        <v>4191771.07610224</v>
      </c>
      <c r="J423" s="34">
        <f t="shared" si="24"/>
        <v>2.5897444419463863E-3</v>
      </c>
      <c r="K423" s="34">
        <f t="shared" si="25"/>
        <v>2.5863939467419828E-3</v>
      </c>
      <c r="L423" s="34">
        <f t="shared" si="26"/>
        <v>0.98076347581452172</v>
      </c>
      <c r="M423" s="34">
        <f t="shared" si="27"/>
        <v>0.97822683509748942</v>
      </c>
    </row>
    <row r="424" spans="1:13" ht="69">
      <c r="A424" t="s">
        <v>164</v>
      </c>
      <c r="B424" t="s">
        <v>115</v>
      </c>
      <c r="C424" s="14" t="s">
        <v>291</v>
      </c>
      <c r="D424" t="s">
        <v>375</v>
      </c>
      <c r="E424" t="s">
        <v>392</v>
      </c>
      <c r="F424" s="20">
        <v>2035</v>
      </c>
      <c r="G424" s="20">
        <v>52</v>
      </c>
      <c r="H424" s="11">
        <v>11804.0694659213</v>
      </c>
      <c r="I424" s="10">
        <v>4157812.4578271299</v>
      </c>
      <c r="J424" s="34">
        <f t="shared" si="24"/>
        <v>2.8390095959475044E-3</v>
      </c>
      <c r="K424" s="34">
        <f t="shared" si="25"/>
        <v>2.8349834192239465E-3</v>
      </c>
      <c r="L424" s="34">
        <f t="shared" si="26"/>
        <v>0.97822683509748942</v>
      </c>
      <c r="M424" s="34">
        <f t="shared" si="27"/>
        <v>0.9754535782397481</v>
      </c>
    </row>
    <row r="425" spans="1:13" ht="69">
      <c r="A425" t="s">
        <v>164</v>
      </c>
      <c r="B425" t="s">
        <v>115</v>
      </c>
      <c r="C425" s="14" t="s">
        <v>291</v>
      </c>
      <c r="D425" t="s">
        <v>375</v>
      </c>
      <c r="E425" t="s">
        <v>392</v>
      </c>
      <c r="F425" s="20">
        <v>2035</v>
      </c>
      <c r="G425" s="20">
        <v>53</v>
      </c>
      <c r="H425" s="11">
        <v>12489.328876027501</v>
      </c>
      <c r="I425" s="10">
        <v>4013864.76964232</v>
      </c>
      <c r="J425" s="34">
        <f t="shared" si="24"/>
        <v>3.1115469984158033E-3</v>
      </c>
      <c r="K425" s="34">
        <f t="shared" si="25"/>
        <v>3.1067111530078684E-3</v>
      </c>
      <c r="L425" s="34">
        <f t="shared" si="26"/>
        <v>0.9754535782397481</v>
      </c>
      <c r="M425" s="34">
        <f t="shared" si="27"/>
        <v>0.97242312572898926</v>
      </c>
    </row>
    <row r="426" spans="1:13" ht="69">
      <c r="A426" t="s">
        <v>164</v>
      </c>
      <c r="B426" t="s">
        <v>115</v>
      </c>
      <c r="C426" s="14" t="s">
        <v>291</v>
      </c>
      <c r="D426" t="s">
        <v>375</v>
      </c>
      <c r="E426" t="s">
        <v>392</v>
      </c>
      <c r="F426" s="20">
        <v>2035</v>
      </c>
      <c r="G426" s="20">
        <v>54</v>
      </c>
      <c r="H426" s="11">
        <v>13379.0250627894</v>
      </c>
      <c r="I426" s="10">
        <v>3930007.2222726201</v>
      </c>
      <c r="J426" s="34">
        <f t="shared" si="24"/>
        <v>3.4043258208193983E-3</v>
      </c>
      <c r="K426" s="34">
        <f t="shared" si="25"/>
        <v>3.3985376737812878E-3</v>
      </c>
      <c r="L426" s="34">
        <f t="shared" si="26"/>
        <v>0.97242312572898926</v>
      </c>
      <c r="M426" s="34">
        <f t="shared" si="27"/>
        <v>0.96911830910134311</v>
      </c>
    </row>
    <row r="427" spans="1:13" ht="69">
      <c r="A427" t="s">
        <v>164</v>
      </c>
      <c r="B427" t="s">
        <v>115</v>
      </c>
      <c r="C427" s="14" t="s">
        <v>291</v>
      </c>
      <c r="D427" t="s">
        <v>375</v>
      </c>
      <c r="E427" t="s">
        <v>392</v>
      </c>
      <c r="F427" s="20">
        <v>2035</v>
      </c>
      <c r="G427" s="20">
        <v>55</v>
      </c>
      <c r="H427" s="11">
        <v>14386.661037337801</v>
      </c>
      <c r="I427" s="10">
        <v>3860767.7933600298</v>
      </c>
      <c r="J427" s="34">
        <f t="shared" si="24"/>
        <v>3.7263730447816123E-3</v>
      </c>
      <c r="K427" s="34">
        <f t="shared" si="25"/>
        <v>3.7194387326990874E-3</v>
      </c>
      <c r="L427" s="34">
        <f t="shared" si="26"/>
        <v>0.96911830910134311</v>
      </c>
      <c r="M427" s="34">
        <f t="shared" si="27"/>
        <v>0.9655137329259037</v>
      </c>
    </row>
    <row r="428" spans="1:13" ht="69">
      <c r="A428" t="s">
        <v>164</v>
      </c>
      <c r="B428" t="s">
        <v>115</v>
      </c>
      <c r="C428" s="14" t="s">
        <v>291</v>
      </c>
      <c r="D428" t="s">
        <v>375</v>
      </c>
      <c r="E428" t="s">
        <v>392</v>
      </c>
      <c r="F428" s="20">
        <v>2035</v>
      </c>
      <c r="G428" s="20">
        <v>56</v>
      </c>
      <c r="H428" s="11">
        <v>15222.329166162201</v>
      </c>
      <c r="I428" s="10">
        <v>3785361.3394204299</v>
      </c>
      <c r="J428" s="34">
        <f t="shared" si="24"/>
        <v>4.0213675264335171E-3</v>
      </c>
      <c r="K428" s="34">
        <f t="shared" si="25"/>
        <v>4.0132926556761817E-3</v>
      </c>
      <c r="L428" s="34">
        <f t="shared" si="26"/>
        <v>0.9655137329259037</v>
      </c>
      <c r="M428" s="34">
        <f t="shared" si="27"/>
        <v>0.96163884375259767</v>
      </c>
    </row>
    <row r="429" spans="1:13" ht="69">
      <c r="A429" t="s">
        <v>164</v>
      </c>
      <c r="B429" t="s">
        <v>115</v>
      </c>
      <c r="C429" s="14" t="s">
        <v>291</v>
      </c>
      <c r="D429" t="s">
        <v>375</v>
      </c>
      <c r="E429" t="s">
        <v>392</v>
      </c>
      <c r="F429" s="20">
        <v>2035</v>
      </c>
      <c r="G429" s="20">
        <v>57</v>
      </c>
      <c r="H429" s="11">
        <v>16250.8314358384</v>
      </c>
      <c r="I429" s="10">
        <v>3691050.8048224901</v>
      </c>
      <c r="J429" s="34">
        <f t="shared" si="24"/>
        <v>4.402765579548812E-3</v>
      </c>
      <c r="K429" s="34">
        <f t="shared" si="25"/>
        <v>4.3930876156529353E-3</v>
      </c>
      <c r="L429" s="34">
        <f t="shared" si="26"/>
        <v>0.96163884375259767</v>
      </c>
      <c r="M429" s="34">
        <f t="shared" si="27"/>
        <v>0.95741428005737728</v>
      </c>
    </row>
    <row r="430" spans="1:13" ht="69">
      <c r="A430" t="s">
        <v>164</v>
      </c>
      <c r="B430" t="s">
        <v>115</v>
      </c>
      <c r="C430" s="14" t="s">
        <v>291</v>
      </c>
      <c r="D430" t="s">
        <v>375</v>
      </c>
      <c r="E430" t="s">
        <v>392</v>
      </c>
      <c r="F430" s="20">
        <v>2035</v>
      </c>
      <c r="G430" s="20">
        <v>58</v>
      </c>
      <c r="H430" s="11">
        <v>17437.910895370998</v>
      </c>
      <c r="I430" s="10">
        <v>3612098.79966533</v>
      </c>
      <c r="J430" s="34">
        <f t="shared" si="24"/>
        <v>4.8276395144525568E-3</v>
      </c>
      <c r="K430" s="34">
        <f t="shared" si="25"/>
        <v>4.8160051924455161E-3</v>
      </c>
      <c r="L430" s="34">
        <f t="shared" si="26"/>
        <v>0.95741428005737728</v>
      </c>
      <c r="M430" s="34">
        <f t="shared" si="27"/>
        <v>0.95280336791329945</v>
      </c>
    </row>
    <row r="431" spans="1:13" ht="69">
      <c r="A431" t="s">
        <v>164</v>
      </c>
      <c r="B431" t="s">
        <v>115</v>
      </c>
      <c r="C431" s="14" t="s">
        <v>291</v>
      </c>
      <c r="D431" t="s">
        <v>375</v>
      </c>
      <c r="E431" t="s">
        <v>392</v>
      </c>
      <c r="F431" s="20">
        <v>2035</v>
      </c>
      <c r="G431" s="20">
        <v>59</v>
      </c>
      <c r="H431" s="11">
        <v>18621.526267727</v>
      </c>
      <c r="I431" s="10">
        <v>3521155.69761346</v>
      </c>
      <c r="J431" s="34">
        <f t="shared" si="24"/>
        <v>5.288469998741648E-3</v>
      </c>
      <c r="K431" s="34">
        <f t="shared" si="25"/>
        <v>5.27451065996698E-3</v>
      </c>
      <c r="L431" s="34">
        <f t="shared" si="26"/>
        <v>0.95280336791329945</v>
      </c>
      <c r="M431" s="34">
        <f t="shared" si="27"/>
        <v>0.94777779639238835</v>
      </c>
    </row>
    <row r="432" spans="1:13" ht="69">
      <c r="A432" t="s">
        <v>164</v>
      </c>
      <c r="B432" t="s">
        <v>115</v>
      </c>
      <c r="C432" s="14" t="s">
        <v>291</v>
      </c>
      <c r="D432" t="s">
        <v>375</v>
      </c>
      <c r="E432" t="s">
        <v>392</v>
      </c>
      <c r="F432" s="20">
        <v>2035</v>
      </c>
      <c r="G432" s="20">
        <v>60</v>
      </c>
      <c r="H432" s="11">
        <v>20025.570875828202</v>
      </c>
      <c r="I432" s="10">
        <v>3428624.9421324199</v>
      </c>
      <c r="J432" s="34">
        <f t="shared" si="24"/>
        <v>5.8407003430866302E-3</v>
      </c>
      <c r="K432" s="34">
        <f t="shared" si="25"/>
        <v>5.8236766124662998E-3</v>
      </c>
      <c r="L432" s="34">
        <f t="shared" si="26"/>
        <v>0.94777779639238835</v>
      </c>
      <c r="M432" s="34">
        <f t="shared" si="27"/>
        <v>0.94225824500572319</v>
      </c>
    </row>
    <row r="433" spans="1:13" ht="69">
      <c r="A433" t="s">
        <v>164</v>
      </c>
      <c r="B433" t="s">
        <v>115</v>
      </c>
      <c r="C433" s="14" t="s">
        <v>291</v>
      </c>
      <c r="D433" t="s">
        <v>375</v>
      </c>
      <c r="E433" t="s">
        <v>392</v>
      </c>
      <c r="F433" s="20">
        <v>2035</v>
      </c>
      <c r="G433" s="20">
        <v>61</v>
      </c>
      <c r="H433" s="11">
        <v>20936.344034916699</v>
      </c>
      <c r="I433" s="10">
        <v>3309190.77503045</v>
      </c>
      <c r="J433" s="34">
        <f t="shared" si="24"/>
        <v>6.3267262174463339E-3</v>
      </c>
      <c r="K433" s="34">
        <f t="shared" si="25"/>
        <v>6.3067546255921592E-3</v>
      </c>
      <c r="L433" s="34">
        <f t="shared" si="26"/>
        <v>0.94225824500572319</v>
      </c>
      <c r="M433" s="34">
        <f t="shared" si="27"/>
        <v>0.93631565346053103</v>
      </c>
    </row>
    <row r="434" spans="1:13" ht="69">
      <c r="A434" t="s">
        <v>164</v>
      </c>
      <c r="B434" t="s">
        <v>115</v>
      </c>
      <c r="C434" s="14" t="s">
        <v>291</v>
      </c>
      <c r="D434" t="s">
        <v>375</v>
      </c>
      <c r="E434" t="s">
        <v>392</v>
      </c>
      <c r="F434" s="20">
        <v>2035</v>
      </c>
      <c r="G434" s="20">
        <v>62</v>
      </c>
      <c r="H434" s="11">
        <v>22541.398232815402</v>
      </c>
      <c r="I434" s="10">
        <v>3245461.3727910002</v>
      </c>
      <c r="J434" s="34">
        <f t="shared" si="24"/>
        <v>6.9455142562459375E-3</v>
      </c>
      <c r="K434" s="34">
        <f t="shared" si="25"/>
        <v>6.9214499174049537E-3</v>
      </c>
      <c r="L434" s="34">
        <f t="shared" si="26"/>
        <v>0.93631565346053103</v>
      </c>
      <c r="M434" s="34">
        <f t="shared" si="27"/>
        <v>0.92983499155822169</v>
      </c>
    </row>
    <row r="435" spans="1:13" ht="69">
      <c r="A435" t="s">
        <v>164</v>
      </c>
      <c r="B435" t="s">
        <v>115</v>
      </c>
      <c r="C435" s="14" t="s">
        <v>291</v>
      </c>
      <c r="D435" t="s">
        <v>375</v>
      </c>
      <c r="E435" t="s">
        <v>392</v>
      </c>
      <c r="F435" s="20">
        <v>2035</v>
      </c>
      <c r="G435" s="20">
        <v>63</v>
      </c>
      <c r="H435" s="11">
        <v>23123.556193533401</v>
      </c>
      <c r="I435" s="10">
        <v>3029264.0293682399</v>
      </c>
      <c r="J435" s="34">
        <f t="shared" si="24"/>
        <v>7.633390806926748E-3</v>
      </c>
      <c r="K435" s="34">
        <f t="shared" si="25"/>
        <v>7.6043304693047542E-3</v>
      </c>
      <c r="L435" s="34">
        <f t="shared" si="26"/>
        <v>0.92983499155822169</v>
      </c>
      <c r="M435" s="34">
        <f t="shared" si="27"/>
        <v>0.92276421900048977</v>
      </c>
    </row>
    <row r="436" spans="1:13" ht="69">
      <c r="A436" t="s">
        <v>164</v>
      </c>
      <c r="B436" t="s">
        <v>115</v>
      </c>
      <c r="C436" s="14" t="s">
        <v>291</v>
      </c>
      <c r="D436" t="s">
        <v>375</v>
      </c>
      <c r="E436" t="s">
        <v>392</v>
      </c>
      <c r="F436" s="20">
        <v>2035</v>
      </c>
      <c r="G436" s="20">
        <v>64</v>
      </c>
      <c r="H436" s="11">
        <v>24504.080542088701</v>
      </c>
      <c r="I436" s="10">
        <v>2924990.7579327999</v>
      </c>
      <c r="J436" s="34">
        <f t="shared" si="24"/>
        <v>8.3774899033891813E-3</v>
      </c>
      <c r="K436" s="34">
        <f t="shared" si="25"/>
        <v>8.3424965219301983E-3</v>
      </c>
      <c r="L436" s="34">
        <f t="shared" si="26"/>
        <v>0.92276421900048977</v>
      </c>
      <c r="M436" s="34">
        <f t="shared" si="27"/>
        <v>0.9150660617129166</v>
      </c>
    </row>
    <row r="437" spans="1:13" ht="69">
      <c r="A437" t="s">
        <v>164</v>
      </c>
      <c r="B437" t="s">
        <v>115</v>
      </c>
      <c r="C437" s="14" t="s">
        <v>291</v>
      </c>
      <c r="D437" t="s">
        <v>375</v>
      </c>
      <c r="E437" t="s">
        <v>392</v>
      </c>
      <c r="F437" s="20">
        <v>2035</v>
      </c>
      <c r="G437" s="20">
        <v>65</v>
      </c>
      <c r="H437" s="11">
        <v>25047.299264828202</v>
      </c>
      <c r="I437" s="10">
        <v>2823785.8119120598</v>
      </c>
      <c r="J437" s="34">
        <f t="shared" si="24"/>
        <v>8.8701130089849176E-3</v>
      </c>
      <c r="K437" s="34">
        <f t="shared" si="25"/>
        <v>8.8308896142431648E-3</v>
      </c>
      <c r="L437" s="34">
        <f t="shared" si="26"/>
        <v>0.9150660617129166</v>
      </c>
      <c r="M437" s="34">
        <f t="shared" si="27"/>
        <v>0.90698521433218959</v>
      </c>
    </row>
    <row r="438" spans="1:13" ht="69">
      <c r="A438" t="s">
        <v>164</v>
      </c>
      <c r="B438" t="s">
        <v>115</v>
      </c>
      <c r="C438" s="14" t="s">
        <v>291</v>
      </c>
      <c r="D438" t="s">
        <v>375</v>
      </c>
      <c r="E438" t="s">
        <v>392</v>
      </c>
      <c r="F438" s="20">
        <v>2035</v>
      </c>
      <c r="G438" s="20">
        <v>66</v>
      </c>
      <c r="H438" s="11">
        <v>26154.606935056301</v>
      </c>
      <c r="I438" s="10">
        <v>2714000.3907647501</v>
      </c>
      <c r="J438" s="34">
        <f t="shared" si="24"/>
        <v>9.6369208435104405E-3</v>
      </c>
      <c r="K438" s="34">
        <f t="shared" si="25"/>
        <v>9.5906345270238003E-3</v>
      </c>
      <c r="L438" s="34">
        <f t="shared" si="26"/>
        <v>0.90698521433218959</v>
      </c>
      <c r="M438" s="34">
        <f t="shared" si="27"/>
        <v>0.89828665062011526</v>
      </c>
    </row>
    <row r="439" spans="1:13" ht="69">
      <c r="A439" t="s">
        <v>164</v>
      </c>
      <c r="B439" t="s">
        <v>115</v>
      </c>
      <c r="C439" s="14" t="s">
        <v>291</v>
      </c>
      <c r="D439" t="s">
        <v>375</v>
      </c>
      <c r="E439" t="s">
        <v>392</v>
      </c>
      <c r="F439" s="20">
        <v>2035</v>
      </c>
      <c r="G439" s="20">
        <v>67</v>
      </c>
      <c r="H439" s="11">
        <v>27393.326517195801</v>
      </c>
      <c r="I439" s="10">
        <v>2585825.1074654502</v>
      </c>
      <c r="J439" s="34">
        <f t="shared" si="24"/>
        <v>1.0593650142118828E-2</v>
      </c>
      <c r="K439" s="34">
        <f t="shared" si="25"/>
        <v>1.0537735052934538E-2</v>
      </c>
      <c r="L439" s="34">
        <f t="shared" si="26"/>
        <v>0.89828665062011526</v>
      </c>
      <c r="M439" s="34">
        <f t="shared" si="27"/>
        <v>0.88882074389429255</v>
      </c>
    </row>
    <row r="440" spans="1:13" ht="69">
      <c r="A440" t="s">
        <v>164</v>
      </c>
      <c r="B440" t="s">
        <v>115</v>
      </c>
      <c r="C440" s="14" t="s">
        <v>291</v>
      </c>
      <c r="D440" t="s">
        <v>375</v>
      </c>
      <c r="E440" t="s">
        <v>392</v>
      </c>
      <c r="F440" s="20">
        <v>2035</v>
      </c>
      <c r="G440" s="20">
        <v>68</v>
      </c>
      <c r="H440" s="11">
        <v>28330.898122551302</v>
      </c>
      <c r="I440" s="10">
        <v>2429771.9755300302</v>
      </c>
      <c r="J440" s="34">
        <f t="shared" si="24"/>
        <v>1.1659899944467506E-2</v>
      </c>
      <c r="K440" s="34">
        <f t="shared" si="25"/>
        <v>1.1592186743013211E-2</v>
      </c>
      <c r="L440" s="34">
        <f t="shared" si="26"/>
        <v>0.88882074389429255</v>
      </c>
      <c r="M440" s="34">
        <f t="shared" si="27"/>
        <v>0.878517367850006</v>
      </c>
    </row>
    <row r="441" spans="1:13" ht="69">
      <c r="A441" t="s">
        <v>164</v>
      </c>
      <c r="B441" t="s">
        <v>115</v>
      </c>
      <c r="C441" s="14" t="s">
        <v>291</v>
      </c>
      <c r="D441" t="s">
        <v>375</v>
      </c>
      <c r="E441" t="s">
        <v>392</v>
      </c>
      <c r="F441" s="20">
        <v>2035</v>
      </c>
      <c r="G441" s="20">
        <v>69</v>
      </c>
      <c r="H441" s="11">
        <v>29584.171017751101</v>
      </c>
      <c r="I441" s="10">
        <v>2305859.0869999002</v>
      </c>
      <c r="J441" s="34">
        <f t="shared" si="24"/>
        <v>1.2829999536633602E-2</v>
      </c>
      <c r="K441" s="34">
        <f t="shared" si="25"/>
        <v>1.2748045955125575E-2</v>
      </c>
      <c r="L441" s="34">
        <f t="shared" si="26"/>
        <v>0.878517367850006</v>
      </c>
      <c r="M441" s="34">
        <f t="shared" si="27"/>
        <v>0.86731798807227811</v>
      </c>
    </row>
    <row r="442" spans="1:13" ht="69">
      <c r="A442" t="s">
        <v>164</v>
      </c>
      <c r="B442" t="s">
        <v>115</v>
      </c>
      <c r="C442" s="14" t="s">
        <v>291</v>
      </c>
      <c r="D442" t="s">
        <v>375</v>
      </c>
      <c r="E442" t="s">
        <v>392</v>
      </c>
      <c r="F442" s="20">
        <v>2036</v>
      </c>
      <c r="G442" s="20">
        <v>30</v>
      </c>
      <c r="H442" s="11">
        <v>821.326135329659</v>
      </c>
      <c r="I442" s="10">
        <v>4608173.2625415996</v>
      </c>
      <c r="J442" s="34">
        <f t="shared" si="24"/>
        <v>1.7823247706547028E-4</v>
      </c>
      <c r="K442" s="34">
        <f t="shared" si="25"/>
        <v>1.7821659460115491E-4</v>
      </c>
      <c r="L442" s="34">
        <f t="shared" si="26"/>
        <v>1</v>
      </c>
      <c r="M442" s="34">
        <f t="shared" si="27"/>
        <v>0.99982178340539885</v>
      </c>
    </row>
    <row r="443" spans="1:13" ht="69">
      <c r="A443" t="s">
        <v>164</v>
      </c>
      <c r="B443" t="s">
        <v>115</v>
      </c>
      <c r="C443" s="14" t="s">
        <v>291</v>
      </c>
      <c r="D443" t="s">
        <v>375</v>
      </c>
      <c r="E443" t="s">
        <v>392</v>
      </c>
      <c r="F443" s="20">
        <v>2036</v>
      </c>
      <c r="G443" s="20">
        <v>31</v>
      </c>
      <c r="H443" s="11">
        <v>1015.23924482363</v>
      </c>
      <c r="I443" s="10">
        <v>4547194.8838270698</v>
      </c>
      <c r="J443" s="34">
        <f t="shared" si="24"/>
        <v>2.2326715057551503E-4</v>
      </c>
      <c r="K443" s="34">
        <f t="shared" si="25"/>
        <v>2.2324222832004192E-4</v>
      </c>
      <c r="L443" s="34">
        <f t="shared" si="26"/>
        <v>0.99982178340539885</v>
      </c>
      <c r="M443" s="34">
        <f t="shared" si="27"/>
        <v>0.9995985809625485</v>
      </c>
    </row>
    <row r="444" spans="1:13" ht="69">
      <c r="A444" t="s">
        <v>164</v>
      </c>
      <c r="B444" t="s">
        <v>115</v>
      </c>
      <c r="C444" s="14" t="s">
        <v>291</v>
      </c>
      <c r="D444" t="s">
        <v>375</v>
      </c>
      <c r="E444" t="s">
        <v>392</v>
      </c>
      <c r="F444" s="20">
        <v>2036</v>
      </c>
      <c r="G444" s="20">
        <v>32</v>
      </c>
      <c r="H444" s="11">
        <v>1036.19756236491</v>
      </c>
      <c r="I444" s="10">
        <v>4418692.7453456204</v>
      </c>
      <c r="J444" s="34">
        <f t="shared" si="24"/>
        <v>2.3450319406262789E-4</v>
      </c>
      <c r="K444" s="34">
        <f t="shared" si="25"/>
        <v>2.3447570033774401E-4</v>
      </c>
      <c r="L444" s="34">
        <f t="shared" si="26"/>
        <v>0.9995985809625485</v>
      </c>
      <c r="M444" s="34">
        <f t="shared" si="27"/>
        <v>0.9993641993852207</v>
      </c>
    </row>
    <row r="445" spans="1:13" ht="69">
      <c r="A445" t="s">
        <v>164</v>
      </c>
      <c r="B445" t="s">
        <v>115</v>
      </c>
      <c r="C445" s="14" t="s">
        <v>291</v>
      </c>
      <c r="D445" t="s">
        <v>375</v>
      </c>
      <c r="E445" t="s">
        <v>392</v>
      </c>
      <c r="F445" s="20">
        <v>2036</v>
      </c>
      <c r="G445" s="20">
        <v>33</v>
      </c>
      <c r="H445" s="11">
        <v>1079.40874427875</v>
      </c>
      <c r="I445" s="10">
        <v>4353320.2338786405</v>
      </c>
      <c r="J445" s="34">
        <f t="shared" si="24"/>
        <v>2.4795068735778217E-4</v>
      </c>
      <c r="K445" s="34">
        <f t="shared" si="25"/>
        <v>2.4791995012662937E-4</v>
      </c>
      <c r="L445" s="34">
        <f t="shared" si="26"/>
        <v>0.9993641993852207</v>
      </c>
      <c r="M445" s="34">
        <f t="shared" si="27"/>
        <v>0.99911643706275077</v>
      </c>
    </row>
    <row r="446" spans="1:13" ht="69">
      <c r="A446" t="s">
        <v>164</v>
      </c>
      <c r="B446" t="s">
        <v>115</v>
      </c>
      <c r="C446" s="14" t="s">
        <v>291</v>
      </c>
      <c r="D446" t="s">
        <v>375</v>
      </c>
      <c r="E446" t="s">
        <v>392</v>
      </c>
      <c r="F446" s="20">
        <v>2036</v>
      </c>
      <c r="G446" s="20">
        <v>34</v>
      </c>
      <c r="H446" s="11">
        <v>1295.2673919157401</v>
      </c>
      <c r="I446" s="10">
        <v>4331766.4034177903</v>
      </c>
      <c r="J446" s="34">
        <f t="shared" si="24"/>
        <v>2.9901598361669875E-4</v>
      </c>
      <c r="K446" s="34">
        <f t="shared" si="25"/>
        <v>2.9897128279299245E-4</v>
      </c>
      <c r="L446" s="34">
        <f t="shared" si="26"/>
        <v>0.99911643706275077</v>
      </c>
      <c r="M446" s="34">
        <f t="shared" si="27"/>
        <v>0.99881772993990259</v>
      </c>
    </row>
    <row r="447" spans="1:13" ht="69">
      <c r="A447" t="s">
        <v>164</v>
      </c>
      <c r="B447" t="s">
        <v>115</v>
      </c>
      <c r="C447" s="14" t="s">
        <v>291</v>
      </c>
      <c r="D447" t="s">
        <v>375</v>
      </c>
      <c r="E447" t="s">
        <v>392</v>
      </c>
      <c r="F447" s="20">
        <v>2036</v>
      </c>
      <c r="G447" s="20">
        <v>35</v>
      </c>
      <c r="H447" s="11">
        <v>1725.7415548281699</v>
      </c>
      <c r="I447" s="10">
        <v>4311474.5115965102</v>
      </c>
      <c r="J447" s="34">
        <f t="shared" si="24"/>
        <v>4.00267136031181E-4</v>
      </c>
      <c r="K447" s="34">
        <f t="shared" si="25"/>
        <v>4.0018703982802606E-4</v>
      </c>
      <c r="L447" s="34">
        <f t="shared" si="26"/>
        <v>0.99881772993990259</v>
      </c>
      <c r="M447" s="34">
        <f t="shared" si="27"/>
        <v>0.99841801602923019</v>
      </c>
    </row>
    <row r="448" spans="1:13" ht="69">
      <c r="A448" t="s">
        <v>164</v>
      </c>
      <c r="B448" t="s">
        <v>115</v>
      </c>
      <c r="C448" s="14" t="s">
        <v>291</v>
      </c>
      <c r="D448" t="s">
        <v>375</v>
      </c>
      <c r="E448" t="s">
        <v>392</v>
      </c>
      <c r="F448" s="20">
        <v>2036</v>
      </c>
      <c r="G448" s="20">
        <v>36</v>
      </c>
      <c r="H448" s="11">
        <v>1875.09106118721</v>
      </c>
      <c r="I448" s="10">
        <v>4290412.6480298098</v>
      </c>
      <c r="J448" s="34">
        <f t="shared" si="24"/>
        <v>4.370421250851631E-4</v>
      </c>
      <c r="K448" s="34">
        <f t="shared" si="25"/>
        <v>4.3694663608706552E-4</v>
      </c>
      <c r="L448" s="34">
        <f t="shared" si="26"/>
        <v>0.99841801602923019</v>
      </c>
      <c r="M448" s="34">
        <f t="shared" si="27"/>
        <v>0.99798176063571753</v>
      </c>
    </row>
    <row r="449" spans="1:13" ht="69">
      <c r="A449" t="s">
        <v>164</v>
      </c>
      <c r="B449" t="s">
        <v>115</v>
      </c>
      <c r="C449" s="14" t="s">
        <v>291</v>
      </c>
      <c r="D449" t="s">
        <v>375</v>
      </c>
      <c r="E449" t="s">
        <v>392</v>
      </c>
      <c r="F449" s="20">
        <v>2036</v>
      </c>
      <c r="G449" s="20">
        <v>37</v>
      </c>
      <c r="H449" s="11">
        <v>2031.96598461645</v>
      </c>
      <c r="I449" s="10">
        <v>4309113.9790905798</v>
      </c>
      <c r="J449" s="34">
        <f t="shared" si="24"/>
        <v>4.7155076298197333E-4</v>
      </c>
      <c r="K449" s="34">
        <f t="shared" si="25"/>
        <v>4.7143960039452981E-4</v>
      </c>
      <c r="L449" s="34">
        <f t="shared" si="26"/>
        <v>0.99798176063571753</v>
      </c>
      <c r="M449" s="34">
        <f t="shared" si="27"/>
        <v>0.99751127251328242</v>
      </c>
    </row>
    <row r="450" spans="1:13" ht="69">
      <c r="A450" t="s">
        <v>164</v>
      </c>
      <c r="B450" t="s">
        <v>115</v>
      </c>
      <c r="C450" s="14" t="s">
        <v>291</v>
      </c>
      <c r="D450" t="s">
        <v>375</v>
      </c>
      <c r="E450" t="s">
        <v>392</v>
      </c>
      <c r="F450" s="20">
        <v>2036</v>
      </c>
      <c r="G450" s="20">
        <v>38</v>
      </c>
      <c r="H450" s="11">
        <v>2227.3634763680798</v>
      </c>
      <c r="I450" s="10">
        <v>4366580.7266001599</v>
      </c>
      <c r="J450" s="34">
        <f t="shared" ref="J450:J513" si="28">IF(I450&gt;0,H450/I450,0)</f>
        <v>5.1009327797365959E-4</v>
      </c>
      <c r="K450" s="34">
        <f t="shared" ref="K450:K513" si="29">1-EXP(-J450)</f>
        <v>5.0996320251539551E-4</v>
      </c>
      <c r="L450" s="34">
        <f t="shared" ref="L450:L513" si="30">IF(G450=30,1,M449)</f>
        <v>0.99751127251328242</v>
      </c>
      <c r="M450" s="34">
        <f t="shared" ref="M450:M513" si="31">L450*(1-K450)</f>
        <v>0.99700257847020635</v>
      </c>
    </row>
    <row r="451" spans="1:13" ht="69">
      <c r="A451" t="s">
        <v>164</v>
      </c>
      <c r="B451" t="s">
        <v>115</v>
      </c>
      <c r="C451" s="14" t="s">
        <v>291</v>
      </c>
      <c r="D451" t="s">
        <v>375</v>
      </c>
      <c r="E451" t="s">
        <v>392</v>
      </c>
      <c r="F451" s="20">
        <v>2036</v>
      </c>
      <c r="G451" s="20">
        <v>39</v>
      </c>
      <c r="H451" s="11">
        <v>2701.6711426116099</v>
      </c>
      <c r="I451" s="10">
        <v>4502094.7877120301</v>
      </c>
      <c r="J451" s="34">
        <f t="shared" si="28"/>
        <v>6.0009201716177156E-4</v>
      </c>
      <c r="K451" s="34">
        <f t="shared" si="29"/>
        <v>5.9991199795839112E-4</v>
      </c>
      <c r="L451" s="34">
        <f t="shared" si="30"/>
        <v>0.99700257847020635</v>
      </c>
      <c r="M451" s="34">
        <f t="shared" si="31"/>
        <v>0.99640446466138666</v>
      </c>
    </row>
    <row r="452" spans="1:13" ht="69">
      <c r="A452" t="s">
        <v>164</v>
      </c>
      <c r="B452" t="s">
        <v>115</v>
      </c>
      <c r="C452" s="14" t="s">
        <v>291</v>
      </c>
      <c r="D452" t="s">
        <v>375</v>
      </c>
      <c r="E452" t="s">
        <v>392</v>
      </c>
      <c r="F452" s="20">
        <v>2036</v>
      </c>
      <c r="G452" s="20">
        <v>40</v>
      </c>
      <c r="H452" s="11">
        <v>3589.6163710482001</v>
      </c>
      <c r="I452" s="10">
        <v>4456626.9948713304</v>
      </c>
      <c r="J452" s="34">
        <f t="shared" si="28"/>
        <v>8.0545586946789965E-4</v>
      </c>
      <c r="K452" s="34">
        <f t="shared" si="29"/>
        <v>8.0513157696271431E-4</v>
      </c>
      <c r="L452" s="34">
        <f t="shared" si="30"/>
        <v>0.99640446466138666</v>
      </c>
      <c r="M452" s="34">
        <f t="shared" si="31"/>
        <v>0.99560222796346109</v>
      </c>
    </row>
    <row r="453" spans="1:13" ht="69">
      <c r="A453" t="s">
        <v>164</v>
      </c>
      <c r="B453" t="s">
        <v>115</v>
      </c>
      <c r="C453" s="14" t="s">
        <v>291</v>
      </c>
      <c r="D453" t="s">
        <v>375</v>
      </c>
      <c r="E453" t="s">
        <v>392</v>
      </c>
      <c r="F453" s="20">
        <v>2036</v>
      </c>
      <c r="G453" s="20">
        <v>41</v>
      </c>
      <c r="H453" s="11">
        <v>3751.7512753432802</v>
      </c>
      <c r="I453" s="10">
        <v>4380181.6070277803</v>
      </c>
      <c r="J453" s="34">
        <f t="shared" si="28"/>
        <v>8.5652870404363704E-4</v>
      </c>
      <c r="K453" s="34">
        <f t="shared" si="29"/>
        <v>8.5616198804161492E-4</v>
      </c>
      <c r="L453" s="34">
        <f t="shared" si="30"/>
        <v>0.99560222796346109</v>
      </c>
      <c r="M453" s="34">
        <f t="shared" si="31"/>
        <v>0.99474983118066929</v>
      </c>
    </row>
    <row r="454" spans="1:13" ht="69">
      <c r="A454" t="s">
        <v>164</v>
      </c>
      <c r="B454" t="s">
        <v>115</v>
      </c>
      <c r="C454" s="14" t="s">
        <v>291</v>
      </c>
      <c r="D454" t="s">
        <v>375</v>
      </c>
      <c r="E454" t="s">
        <v>392</v>
      </c>
      <c r="F454" s="20">
        <v>2036</v>
      </c>
      <c r="G454" s="20">
        <v>42</v>
      </c>
      <c r="H454" s="11">
        <v>4024.5059368855</v>
      </c>
      <c r="I454" s="10">
        <v>4319847.2841781396</v>
      </c>
      <c r="J454" s="34">
        <f t="shared" si="28"/>
        <v>9.3163153050008129E-4</v>
      </c>
      <c r="K454" s="34">
        <f t="shared" si="29"/>
        <v>9.3119769658067675E-4</v>
      </c>
      <c r="L454" s="34">
        <f t="shared" si="30"/>
        <v>0.99474983118066929</v>
      </c>
      <c r="M454" s="34">
        <f t="shared" si="31"/>
        <v>0.9938235224291998</v>
      </c>
    </row>
    <row r="455" spans="1:13" ht="69">
      <c r="A455" t="s">
        <v>164</v>
      </c>
      <c r="B455" t="s">
        <v>115</v>
      </c>
      <c r="C455" s="14" t="s">
        <v>291</v>
      </c>
      <c r="D455" t="s">
        <v>375</v>
      </c>
      <c r="E455" t="s">
        <v>392</v>
      </c>
      <c r="F455" s="20">
        <v>2036</v>
      </c>
      <c r="G455" s="20">
        <v>43</v>
      </c>
      <c r="H455" s="11">
        <v>4330.7942429978602</v>
      </c>
      <c r="I455" s="10">
        <v>4262708.3939013202</v>
      </c>
      <c r="J455" s="34">
        <f t="shared" si="28"/>
        <v>1.0159724388358236E-3</v>
      </c>
      <c r="K455" s="34">
        <f t="shared" si="29"/>
        <v>1.0154565135743754E-3</v>
      </c>
      <c r="L455" s="34">
        <f t="shared" si="30"/>
        <v>0.9938235224291998</v>
      </c>
      <c r="M455" s="34">
        <f t="shared" si="31"/>
        <v>0.99281433786000561</v>
      </c>
    </row>
    <row r="456" spans="1:13" ht="69">
      <c r="A456" t="s">
        <v>164</v>
      </c>
      <c r="B456" t="s">
        <v>115</v>
      </c>
      <c r="C456" s="14" t="s">
        <v>291</v>
      </c>
      <c r="D456" t="s">
        <v>375</v>
      </c>
      <c r="E456" t="s">
        <v>392</v>
      </c>
      <c r="F456" s="20">
        <v>2036</v>
      </c>
      <c r="G456" s="20">
        <v>44</v>
      </c>
      <c r="H456" s="11">
        <v>4766.1730840291702</v>
      </c>
      <c r="I456" s="10">
        <v>4295263.5952713303</v>
      </c>
      <c r="J456" s="34">
        <f t="shared" si="28"/>
        <v>1.1096345959480266E-3</v>
      </c>
      <c r="K456" s="34">
        <f t="shared" si="29"/>
        <v>1.1090191791300885E-3</v>
      </c>
      <c r="L456" s="34">
        <f t="shared" si="30"/>
        <v>0.99281433786000561</v>
      </c>
      <c r="M456" s="34">
        <f t="shared" si="31"/>
        <v>0.99171328771800349</v>
      </c>
    </row>
    <row r="457" spans="1:13" ht="69">
      <c r="A457" t="s">
        <v>164</v>
      </c>
      <c r="B457" t="s">
        <v>115</v>
      </c>
      <c r="C457" s="14" t="s">
        <v>291</v>
      </c>
      <c r="D457" t="s">
        <v>375</v>
      </c>
      <c r="E457" t="s">
        <v>392</v>
      </c>
      <c r="F457" s="20">
        <v>2036</v>
      </c>
      <c r="G457" s="20">
        <v>45</v>
      </c>
      <c r="H457" s="11">
        <v>6165.8012205647101</v>
      </c>
      <c r="I457" s="10">
        <v>4307724.6111499397</v>
      </c>
      <c r="J457" s="34">
        <f t="shared" si="28"/>
        <v>1.4313359783040449E-3</v>
      </c>
      <c r="K457" s="34">
        <f t="shared" si="29"/>
        <v>1.4303121055229129E-3</v>
      </c>
      <c r="L457" s="34">
        <f t="shared" si="30"/>
        <v>0.99171328771800349</v>
      </c>
      <c r="M457" s="34">
        <f t="shared" si="31"/>
        <v>0.99029482819737247</v>
      </c>
    </row>
    <row r="458" spans="1:13" ht="69">
      <c r="A458" t="s">
        <v>164</v>
      </c>
      <c r="B458" t="s">
        <v>115</v>
      </c>
      <c r="C458" s="14" t="s">
        <v>291</v>
      </c>
      <c r="D458" t="s">
        <v>375</v>
      </c>
      <c r="E458" t="s">
        <v>392</v>
      </c>
      <c r="F458" s="20">
        <v>2036</v>
      </c>
      <c r="G458" s="20">
        <v>46</v>
      </c>
      <c r="H458" s="11">
        <v>9081.7720984894295</v>
      </c>
      <c r="I458" s="10">
        <v>6338029.3762526503</v>
      </c>
      <c r="J458" s="34">
        <f t="shared" si="28"/>
        <v>1.4329015470513663E-3</v>
      </c>
      <c r="K458" s="34">
        <f t="shared" si="29"/>
        <v>1.4318754337945272E-3</v>
      </c>
      <c r="L458" s="34">
        <f t="shared" si="30"/>
        <v>0.99029482819737247</v>
      </c>
      <c r="M458" s="34">
        <f t="shared" si="31"/>
        <v>0.98887684936066289</v>
      </c>
    </row>
    <row r="459" spans="1:13" ht="69">
      <c r="A459" t="s">
        <v>164</v>
      </c>
      <c r="B459" t="s">
        <v>115</v>
      </c>
      <c r="C459" s="14" t="s">
        <v>291</v>
      </c>
      <c r="D459" t="s">
        <v>375</v>
      </c>
      <c r="E459" t="s">
        <v>392</v>
      </c>
      <c r="F459" s="20">
        <v>2036</v>
      </c>
      <c r="G459" s="20">
        <v>47</v>
      </c>
      <c r="H459" s="11">
        <v>7205.1353750285998</v>
      </c>
      <c r="I459" s="10">
        <v>4253573.0013785297</v>
      </c>
      <c r="J459" s="34">
        <f t="shared" si="28"/>
        <v>1.6939018967567984E-3</v>
      </c>
      <c r="K459" s="34">
        <f t="shared" si="29"/>
        <v>1.6924680546490656E-3</v>
      </c>
      <c r="L459" s="34">
        <f t="shared" si="30"/>
        <v>0.98887684936066289</v>
      </c>
      <c r="M459" s="34">
        <f t="shared" si="31"/>
        <v>0.98720320688313801</v>
      </c>
    </row>
    <row r="460" spans="1:13" ht="69">
      <c r="A460" t="s">
        <v>164</v>
      </c>
      <c r="B460" t="s">
        <v>115</v>
      </c>
      <c r="C460" s="14" t="s">
        <v>291</v>
      </c>
      <c r="D460" t="s">
        <v>375</v>
      </c>
      <c r="E460" t="s">
        <v>392</v>
      </c>
      <c r="F460" s="20">
        <v>2036</v>
      </c>
      <c r="G460" s="20">
        <v>48</v>
      </c>
      <c r="H460" s="11">
        <v>7877.46864633935</v>
      </c>
      <c r="I460" s="10">
        <v>4229862.7435119497</v>
      </c>
      <c r="J460" s="34">
        <f t="shared" si="28"/>
        <v>1.8623461620409186E-3</v>
      </c>
      <c r="K460" s="34">
        <f t="shared" si="29"/>
        <v>1.8606130714657887E-3</v>
      </c>
      <c r="L460" s="34">
        <f t="shared" si="30"/>
        <v>0.98720320688313801</v>
      </c>
      <c r="M460" s="34">
        <f t="shared" si="31"/>
        <v>0.98536640369221828</v>
      </c>
    </row>
    <row r="461" spans="1:13" ht="69">
      <c r="A461" t="s">
        <v>164</v>
      </c>
      <c r="B461" t="s">
        <v>115</v>
      </c>
      <c r="C461" s="14" t="s">
        <v>291</v>
      </c>
      <c r="D461" t="s">
        <v>375</v>
      </c>
      <c r="E461" t="s">
        <v>392</v>
      </c>
      <c r="F461" s="20">
        <v>2036</v>
      </c>
      <c r="G461" s="20">
        <v>49</v>
      </c>
      <c r="H461" s="11">
        <v>8377.2759941761906</v>
      </c>
      <c r="I461" s="10">
        <v>4092328.0316507402</v>
      </c>
      <c r="J461" s="34">
        <f t="shared" si="28"/>
        <v>2.0470685461636889E-3</v>
      </c>
      <c r="K461" s="34">
        <f t="shared" si="29"/>
        <v>2.0449747303191712E-3</v>
      </c>
      <c r="L461" s="34">
        <f t="shared" si="30"/>
        <v>0.98536640369221828</v>
      </c>
      <c r="M461" s="34">
        <f t="shared" si="31"/>
        <v>0.98335135429656217</v>
      </c>
    </row>
    <row r="462" spans="1:13" ht="69">
      <c r="A462" t="s">
        <v>164</v>
      </c>
      <c r="B462" t="s">
        <v>115</v>
      </c>
      <c r="C462" s="14" t="s">
        <v>291</v>
      </c>
      <c r="D462" t="s">
        <v>375</v>
      </c>
      <c r="E462" t="s">
        <v>392</v>
      </c>
      <c r="F462" s="20">
        <v>2036</v>
      </c>
      <c r="G462" s="20">
        <v>50</v>
      </c>
      <c r="H462" s="11">
        <v>9597.5265411838409</v>
      </c>
      <c r="I462" s="10">
        <v>4049681.2241122299</v>
      </c>
      <c r="J462" s="34">
        <f t="shared" si="28"/>
        <v>2.3699461784891002E-3</v>
      </c>
      <c r="K462" s="34">
        <f t="shared" si="29"/>
        <v>2.367140073255114E-3</v>
      </c>
      <c r="L462" s="34">
        <f t="shared" si="30"/>
        <v>0.98335135429656217</v>
      </c>
      <c r="M462" s="34">
        <f t="shared" si="31"/>
        <v>0.98102362389971709</v>
      </c>
    </row>
    <row r="463" spans="1:13" ht="69">
      <c r="A463" t="s">
        <v>164</v>
      </c>
      <c r="B463" t="s">
        <v>115</v>
      </c>
      <c r="C463" s="14" t="s">
        <v>291</v>
      </c>
      <c r="D463" t="s">
        <v>375</v>
      </c>
      <c r="E463" t="s">
        <v>392</v>
      </c>
      <c r="F463" s="20">
        <v>2036</v>
      </c>
      <c r="G463" s="20">
        <v>51</v>
      </c>
      <c r="H463" s="11">
        <v>10475.322248984699</v>
      </c>
      <c r="I463" s="10">
        <v>4096470.7123780702</v>
      </c>
      <c r="J463" s="34">
        <f t="shared" si="28"/>
        <v>2.557157852326887E-3</v>
      </c>
      <c r="K463" s="34">
        <f t="shared" si="29"/>
        <v>2.5538911093051508E-3</v>
      </c>
      <c r="L463" s="34">
        <f t="shared" si="30"/>
        <v>0.98102362389971709</v>
      </c>
      <c r="M463" s="34">
        <f t="shared" si="31"/>
        <v>0.97851819638862125</v>
      </c>
    </row>
    <row r="464" spans="1:13" ht="69">
      <c r="A464" t="s">
        <v>164</v>
      </c>
      <c r="B464" t="s">
        <v>115</v>
      </c>
      <c r="C464" s="14" t="s">
        <v>291</v>
      </c>
      <c r="D464" t="s">
        <v>375</v>
      </c>
      <c r="E464" t="s">
        <v>392</v>
      </c>
      <c r="F464" s="20">
        <v>2036</v>
      </c>
      <c r="G464" s="20">
        <v>52</v>
      </c>
      <c r="H464" s="11">
        <v>11681.3913550037</v>
      </c>
      <c r="I464" s="10">
        <v>4167279.1967926999</v>
      </c>
      <c r="J464" s="34">
        <f t="shared" si="28"/>
        <v>2.8031218460222566E-3</v>
      </c>
      <c r="K464" s="34">
        <f t="shared" si="29"/>
        <v>2.7991967683272945E-3</v>
      </c>
      <c r="L464" s="34">
        <f t="shared" si="30"/>
        <v>0.97851819638862125</v>
      </c>
      <c r="M464" s="34">
        <f t="shared" si="31"/>
        <v>0.97577913141554073</v>
      </c>
    </row>
    <row r="465" spans="1:13" ht="69">
      <c r="A465" t="s">
        <v>164</v>
      </c>
      <c r="B465" t="s">
        <v>115</v>
      </c>
      <c r="C465" s="14" t="s">
        <v>291</v>
      </c>
      <c r="D465" t="s">
        <v>375</v>
      </c>
      <c r="E465" t="s">
        <v>392</v>
      </c>
      <c r="F465" s="20">
        <v>2036</v>
      </c>
      <c r="G465" s="20">
        <v>53</v>
      </c>
      <c r="H465" s="11">
        <v>12678.027820584901</v>
      </c>
      <c r="I465" s="10">
        <v>4131229.6018332699</v>
      </c>
      <c r="J465" s="34">
        <f t="shared" si="28"/>
        <v>3.0688267277516877E-3</v>
      </c>
      <c r="K465" s="34">
        <f t="shared" si="29"/>
        <v>3.0641226921962472E-3</v>
      </c>
      <c r="L465" s="34">
        <f t="shared" si="30"/>
        <v>0.97577913141554073</v>
      </c>
      <c r="M465" s="34">
        <f t="shared" si="31"/>
        <v>0.97278922443639881</v>
      </c>
    </row>
    <row r="466" spans="1:13" ht="69">
      <c r="A466" t="s">
        <v>164</v>
      </c>
      <c r="B466" t="s">
        <v>115</v>
      </c>
      <c r="C466" s="14" t="s">
        <v>291</v>
      </c>
      <c r="D466" t="s">
        <v>375</v>
      </c>
      <c r="E466" t="s">
        <v>392</v>
      </c>
      <c r="F466" s="20">
        <v>2036</v>
      </c>
      <c r="G466" s="20">
        <v>54</v>
      </c>
      <c r="H466" s="11">
        <v>13390.2155435313</v>
      </c>
      <c r="I466" s="10">
        <v>3985788.4392295699</v>
      </c>
      <c r="J466" s="34">
        <f t="shared" si="28"/>
        <v>3.3594897841892359E-3</v>
      </c>
      <c r="K466" s="34">
        <f t="shared" si="29"/>
        <v>3.353853012376784E-3</v>
      </c>
      <c r="L466" s="34">
        <f t="shared" si="30"/>
        <v>0.97278922443639881</v>
      </c>
      <c r="M466" s="34">
        <f t="shared" si="31"/>
        <v>0.96952663236561509</v>
      </c>
    </row>
    <row r="467" spans="1:13" ht="69">
      <c r="A467" t="s">
        <v>164</v>
      </c>
      <c r="B467" t="s">
        <v>115</v>
      </c>
      <c r="C467" s="14" t="s">
        <v>291</v>
      </c>
      <c r="D467" t="s">
        <v>375</v>
      </c>
      <c r="E467" t="s">
        <v>392</v>
      </c>
      <c r="F467" s="20">
        <v>2036</v>
      </c>
      <c r="G467" s="20">
        <v>55</v>
      </c>
      <c r="H467" s="11">
        <v>14310.4800574771</v>
      </c>
      <c r="I467" s="10">
        <v>3899974.34904197</v>
      </c>
      <c r="J467" s="34">
        <f t="shared" si="28"/>
        <v>3.6693779950097553E-3</v>
      </c>
      <c r="K467" s="34">
        <f t="shared" si="29"/>
        <v>3.6626540543155395E-3</v>
      </c>
      <c r="L467" s="34">
        <f t="shared" si="30"/>
        <v>0.96952663236561509</v>
      </c>
      <c r="M467" s="34">
        <f t="shared" si="31"/>
        <v>0.96597559171481429</v>
      </c>
    </row>
    <row r="468" spans="1:13" ht="69">
      <c r="A468" t="s">
        <v>164</v>
      </c>
      <c r="B468" t="s">
        <v>115</v>
      </c>
      <c r="C468" s="14" t="s">
        <v>291</v>
      </c>
      <c r="D468" t="s">
        <v>375</v>
      </c>
      <c r="E468" t="s">
        <v>392</v>
      </c>
      <c r="F468" s="20">
        <v>2036</v>
      </c>
      <c r="G468" s="20">
        <v>56</v>
      </c>
      <c r="H468" s="11">
        <v>15157.9466074471</v>
      </c>
      <c r="I468" s="10">
        <v>3828240.36246322</v>
      </c>
      <c r="J468" s="34">
        <f t="shared" si="28"/>
        <v>3.959507547142093E-3</v>
      </c>
      <c r="K468" s="34">
        <f t="shared" si="29"/>
        <v>3.9516790328962825E-3</v>
      </c>
      <c r="L468" s="34">
        <f t="shared" si="30"/>
        <v>0.96597559171481429</v>
      </c>
      <c r="M468" s="34">
        <f t="shared" si="31"/>
        <v>0.96215836622274531</v>
      </c>
    </row>
    <row r="469" spans="1:13" ht="69">
      <c r="A469" t="s">
        <v>164</v>
      </c>
      <c r="B469" t="s">
        <v>115</v>
      </c>
      <c r="C469" s="14" t="s">
        <v>291</v>
      </c>
      <c r="D469" t="s">
        <v>375</v>
      </c>
      <c r="E469" t="s">
        <v>392</v>
      </c>
      <c r="F469" s="20">
        <v>2036</v>
      </c>
      <c r="G469" s="20">
        <v>57</v>
      </c>
      <c r="H469" s="11">
        <v>16255.7136704901</v>
      </c>
      <c r="I469" s="10">
        <v>3751043.0179558098</v>
      </c>
      <c r="J469" s="34">
        <f t="shared" si="28"/>
        <v>4.3336516250749128E-3</v>
      </c>
      <c r="K469" s="34">
        <f t="shared" si="29"/>
        <v>4.3242749069046793E-3</v>
      </c>
      <c r="L469" s="34">
        <f t="shared" si="30"/>
        <v>0.96215836622274531</v>
      </c>
      <c r="M469" s="34">
        <f t="shared" si="31"/>
        <v>0.95799772894321988</v>
      </c>
    </row>
    <row r="470" spans="1:13" ht="69">
      <c r="A470" t="s">
        <v>164</v>
      </c>
      <c r="B470" t="s">
        <v>115</v>
      </c>
      <c r="C470" s="14" t="s">
        <v>291</v>
      </c>
      <c r="D470" t="s">
        <v>375</v>
      </c>
      <c r="E470" t="s">
        <v>392</v>
      </c>
      <c r="F470" s="20">
        <v>2036</v>
      </c>
      <c r="G470" s="20">
        <v>58</v>
      </c>
      <c r="H470" s="11">
        <v>17342.263434145902</v>
      </c>
      <c r="I470" s="10">
        <v>3654483.1493510301</v>
      </c>
      <c r="J470" s="34">
        <f t="shared" si="28"/>
        <v>4.7454763711868731E-3</v>
      </c>
      <c r="K470" s="34">
        <f t="shared" si="29"/>
        <v>4.7342343880772964E-3</v>
      </c>
      <c r="L470" s="34">
        <f t="shared" si="30"/>
        <v>0.95799772894321988</v>
      </c>
      <c r="M470" s="34">
        <f t="shared" si="31"/>
        <v>0.95346234315115697</v>
      </c>
    </row>
    <row r="471" spans="1:13" ht="69">
      <c r="A471" t="s">
        <v>164</v>
      </c>
      <c r="B471" t="s">
        <v>115</v>
      </c>
      <c r="C471" s="14" t="s">
        <v>291</v>
      </c>
      <c r="D471" t="s">
        <v>375</v>
      </c>
      <c r="E471" t="s">
        <v>392</v>
      </c>
      <c r="F471" s="20">
        <v>2036</v>
      </c>
      <c r="G471" s="20">
        <v>59</v>
      </c>
      <c r="H471" s="11">
        <v>18596.262917626798</v>
      </c>
      <c r="I471" s="10">
        <v>3572930.7984007201</v>
      </c>
      <c r="J471" s="34">
        <f t="shared" si="28"/>
        <v>5.2047643704576287E-3</v>
      </c>
      <c r="K471" s="34">
        <f t="shared" si="29"/>
        <v>5.1912430529765796E-3</v>
      </c>
      <c r="L471" s="34">
        <f t="shared" si="30"/>
        <v>0.95346234315115697</v>
      </c>
      <c r="M471" s="34">
        <f t="shared" si="31"/>
        <v>0.94851268838599878</v>
      </c>
    </row>
    <row r="472" spans="1:13" ht="69">
      <c r="A472" t="s">
        <v>164</v>
      </c>
      <c r="B472" t="s">
        <v>115</v>
      </c>
      <c r="C472" s="14" t="s">
        <v>291</v>
      </c>
      <c r="D472" t="s">
        <v>375</v>
      </c>
      <c r="E472" t="s">
        <v>392</v>
      </c>
      <c r="F472" s="20">
        <v>2036</v>
      </c>
      <c r="G472" s="20">
        <v>60</v>
      </c>
      <c r="H472" s="11">
        <v>19959.922901552101</v>
      </c>
      <c r="I472" s="10">
        <v>3479389.7248488702</v>
      </c>
      <c r="J472" s="34">
        <f t="shared" si="28"/>
        <v>5.7366160390150247E-3</v>
      </c>
      <c r="K472" s="34">
        <f t="shared" si="29"/>
        <v>5.7201930763095543E-3</v>
      </c>
      <c r="L472" s="34">
        <f t="shared" si="30"/>
        <v>0.94851268838599878</v>
      </c>
      <c r="M472" s="34">
        <f t="shared" si="31"/>
        <v>0.94308701267310147</v>
      </c>
    </row>
    <row r="473" spans="1:13" ht="69">
      <c r="A473" t="s">
        <v>164</v>
      </c>
      <c r="B473" t="s">
        <v>115</v>
      </c>
      <c r="C473" s="14" t="s">
        <v>291</v>
      </c>
      <c r="D473" t="s">
        <v>375</v>
      </c>
      <c r="E473" t="s">
        <v>392</v>
      </c>
      <c r="F473" s="20">
        <v>2036</v>
      </c>
      <c r="G473" s="20">
        <v>61</v>
      </c>
      <c r="H473" s="11">
        <v>21028.348003754501</v>
      </c>
      <c r="I473" s="10">
        <v>3383701.92387651</v>
      </c>
      <c r="J473" s="34">
        <f t="shared" si="28"/>
        <v>6.2145982349602327E-3</v>
      </c>
      <c r="K473" s="34">
        <f t="shared" si="29"/>
        <v>6.1953275598489732E-3</v>
      </c>
      <c r="L473" s="34">
        <f t="shared" si="30"/>
        <v>0.94308701267310147</v>
      </c>
      <c r="M473" s="34">
        <f t="shared" si="31"/>
        <v>0.93724427971215218</v>
      </c>
    </row>
    <row r="474" spans="1:13" ht="69">
      <c r="A474" t="s">
        <v>164</v>
      </c>
      <c r="B474" t="s">
        <v>115</v>
      </c>
      <c r="C474" s="14" t="s">
        <v>291</v>
      </c>
      <c r="D474" t="s">
        <v>375</v>
      </c>
      <c r="E474" t="s">
        <v>392</v>
      </c>
      <c r="F474" s="20">
        <v>2036</v>
      </c>
      <c r="G474" s="20">
        <v>62</v>
      </c>
      <c r="H474" s="11">
        <v>22258.2954620364</v>
      </c>
      <c r="I474" s="10">
        <v>3262358.756792</v>
      </c>
      <c r="J474" s="34">
        <f t="shared" si="28"/>
        <v>6.8227614193859592E-3</v>
      </c>
      <c r="K474" s="34">
        <f t="shared" si="29"/>
        <v>6.7995392258689558E-3</v>
      </c>
      <c r="L474" s="34">
        <f t="shared" si="30"/>
        <v>0.93724427971215218</v>
      </c>
      <c r="M474" s="34">
        <f t="shared" si="31"/>
        <v>0.93087145046802811</v>
      </c>
    </row>
    <row r="475" spans="1:13" ht="69">
      <c r="A475" t="s">
        <v>164</v>
      </c>
      <c r="B475" t="s">
        <v>115</v>
      </c>
      <c r="C475" s="14" t="s">
        <v>291</v>
      </c>
      <c r="D475" t="s">
        <v>375</v>
      </c>
      <c r="E475" t="s">
        <v>392</v>
      </c>
      <c r="F475" s="20">
        <v>2036</v>
      </c>
      <c r="G475" s="20">
        <v>63</v>
      </c>
      <c r="H475" s="11">
        <v>23927.848536133501</v>
      </c>
      <c r="I475" s="10">
        <v>3195123.5749969799</v>
      </c>
      <c r="J475" s="34">
        <f t="shared" si="28"/>
        <v>7.4888648199330186E-3</v>
      </c>
      <c r="K475" s="34">
        <f t="shared" si="29"/>
        <v>7.460893140716518E-3</v>
      </c>
      <c r="L475" s="34">
        <f t="shared" si="30"/>
        <v>0.93087145046802811</v>
      </c>
      <c r="M475" s="34">
        <f t="shared" si="31"/>
        <v>0.92392631804834235</v>
      </c>
    </row>
    <row r="476" spans="1:13" ht="69">
      <c r="A476" t="s">
        <v>164</v>
      </c>
      <c r="B476" t="s">
        <v>115</v>
      </c>
      <c r="C476" s="14" t="s">
        <v>291</v>
      </c>
      <c r="D476" t="s">
        <v>375</v>
      </c>
      <c r="E476" t="s">
        <v>392</v>
      </c>
      <c r="F476" s="20">
        <v>2036</v>
      </c>
      <c r="G476" s="20">
        <v>64</v>
      </c>
      <c r="H476" s="11">
        <v>24500.882905458799</v>
      </c>
      <c r="I476" s="10">
        <v>2977695.0021784198</v>
      </c>
      <c r="J476" s="34">
        <f t="shared" si="28"/>
        <v>8.228137162313286E-3</v>
      </c>
      <c r="K476" s="34">
        <f t="shared" si="29"/>
        <v>8.1943786949508768E-3</v>
      </c>
      <c r="L476" s="34">
        <f t="shared" si="30"/>
        <v>0.92392631804834235</v>
      </c>
      <c r="M476" s="34">
        <f t="shared" si="31"/>
        <v>0.91635531591202257</v>
      </c>
    </row>
    <row r="477" spans="1:13" ht="69">
      <c r="A477" t="s">
        <v>164</v>
      </c>
      <c r="B477" t="s">
        <v>115</v>
      </c>
      <c r="C477" s="14" t="s">
        <v>291</v>
      </c>
      <c r="D477" t="s">
        <v>375</v>
      </c>
      <c r="E477" t="s">
        <v>392</v>
      </c>
      <c r="F477" s="20">
        <v>2036</v>
      </c>
      <c r="G477" s="20">
        <v>65</v>
      </c>
      <c r="H477" s="11">
        <v>24971.119007476998</v>
      </c>
      <c r="I477" s="10">
        <v>2870402.1866669799</v>
      </c>
      <c r="J477" s="34">
        <f t="shared" si="28"/>
        <v>8.6995192253781928E-3</v>
      </c>
      <c r="K477" s="34">
        <f t="shared" si="29"/>
        <v>8.6617879020679522E-3</v>
      </c>
      <c r="L477" s="34">
        <f t="shared" si="30"/>
        <v>0.91635531591202257</v>
      </c>
      <c r="M477" s="34">
        <f t="shared" si="31"/>
        <v>0.90841804052266018</v>
      </c>
    </row>
    <row r="478" spans="1:13" ht="69">
      <c r="A478" t="s">
        <v>164</v>
      </c>
      <c r="B478" t="s">
        <v>115</v>
      </c>
      <c r="C478" s="14" t="s">
        <v>291</v>
      </c>
      <c r="D478" t="s">
        <v>375</v>
      </c>
      <c r="E478" t="s">
        <v>392</v>
      </c>
      <c r="F478" s="20">
        <v>2036</v>
      </c>
      <c r="G478" s="20">
        <v>66</v>
      </c>
      <c r="H478" s="11">
        <v>26149.6595334751</v>
      </c>
      <c r="I478" s="10">
        <v>2766411.9294435298</v>
      </c>
      <c r="J478" s="34">
        <f t="shared" si="28"/>
        <v>9.4525545003470123E-3</v>
      </c>
      <c r="K478" s="34">
        <f t="shared" si="29"/>
        <v>9.4080195405653599E-3</v>
      </c>
      <c r="L478" s="34">
        <f t="shared" si="30"/>
        <v>0.90841804052266018</v>
      </c>
      <c r="M478" s="34">
        <f t="shared" si="31"/>
        <v>0.89987162584642089</v>
      </c>
    </row>
    <row r="479" spans="1:13" ht="69">
      <c r="A479" t="s">
        <v>164</v>
      </c>
      <c r="B479" t="s">
        <v>115</v>
      </c>
      <c r="C479" s="14" t="s">
        <v>291</v>
      </c>
      <c r="D479" t="s">
        <v>375</v>
      </c>
      <c r="E479" t="s">
        <v>392</v>
      </c>
      <c r="F479" s="20">
        <v>2036</v>
      </c>
      <c r="G479" s="20">
        <v>67</v>
      </c>
      <c r="H479" s="11">
        <v>27567.9537878425</v>
      </c>
      <c r="I479" s="10">
        <v>2653407.2937917798</v>
      </c>
      <c r="J479" s="34">
        <f t="shared" si="28"/>
        <v>1.0389642725541491E-2</v>
      </c>
      <c r="K479" s="34">
        <f t="shared" si="29"/>
        <v>1.0335856820833711E-2</v>
      </c>
      <c r="L479" s="34">
        <f t="shared" si="30"/>
        <v>0.89987162584642089</v>
      </c>
      <c r="M479" s="34">
        <f t="shared" si="31"/>
        <v>0.89057068156454144</v>
      </c>
    </row>
    <row r="480" spans="1:13" ht="69">
      <c r="A480" t="s">
        <v>164</v>
      </c>
      <c r="B480" t="s">
        <v>115</v>
      </c>
      <c r="C480" s="14" t="s">
        <v>291</v>
      </c>
      <c r="D480" t="s">
        <v>375</v>
      </c>
      <c r="E480" t="s">
        <v>392</v>
      </c>
      <c r="F480" s="20">
        <v>2036</v>
      </c>
      <c r="G480" s="20">
        <v>68</v>
      </c>
      <c r="H480" s="11">
        <v>28819.045417154</v>
      </c>
      <c r="I480" s="10">
        <v>2522478.3990313602</v>
      </c>
      <c r="J480" s="34">
        <f t="shared" si="28"/>
        <v>1.1424892846741763E-2</v>
      </c>
      <c r="K480" s="34">
        <f t="shared" si="29"/>
        <v>1.1359876595252616E-2</v>
      </c>
      <c r="L480" s="34">
        <f t="shared" si="30"/>
        <v>0.89057068156454144</v>
      </c>
      <c r="M480" s="34">
        <f t="shared" si="31"/>
        <v>0.88045390852261829</v>
      </c>
    </row>
    <row r="481" spans="1:13" ht="69">
      <c r="A481" t="s">
        <v>164</v>
      </c>
      <c r="B481" t="s">
        <v>115</v>
      </c>
      <c r="C481" s="14" t="s">
        <v>291</v>
      </c>
      <c r="D481" t="s">
        <v>375</v>
      </c>
      <c r="E481" t="s">
        <v>392</v>
      </c>
      <c r="F481" s="20">
        <v>2036</v>
      </c>
      <c r="G481" s="20">
        <v>69</v>
      </c>
      <c r="H481" s="11">
        <v>29744.9079624238</v>
      </c>
      <c r="I481" s="10">
        <v>2364364.8818266601</v>
      </c>
      <c r="J481" s="34">
        <f t="shared" si="28"/>
        <v>1.2580506583841446E-2</v>
      </c>
      <c r="K481" s="34">
        <f t="shared" si="29"/>
        <v>1.2501702820800875E-2</v>
      </c>
      <c r="L481" s="34">
        <f t="shared" si="30"/>
        <v>0.88045390852261829</v>
      </c>
      <c r="M481" s="34">
        <f t="shared" si="31"/>
        <v>0.86944673541085593</v>
      </c>
    </row>
    <row r="482" spans="1:13" ht="69">
      <c r="A482" t="s">
        <v>164</v>
      </c>
      <c r="B482" t="s">
        <v>115</v>
      </c>
      <c r="C482" s="14" t="s">
        <v>291</v>
      </c>
      <c r="D482" t="s">
        <v>375</v>
      </c>
      <c r="E482" t="s">
        <v>392</v>
      </c>
      <c r="F482" s="20">
        <v>2037</v>
      </c>
      <c r="G482" s="20">
        <v>30</v>
      </c>
      <c r="H482" s="11">
        <v>838.93964656456296</v>
      </c>
      <c r="I482" s="10">
        <v>4685537.4246978704</v>
      </c>
      <c r="J482" s="34">
        <f t="shared" si="28"/>
        <v>1.7904875588922628E-4</v>
      </c>
      <c r="K482" s="34">
        <f t="shared" si="29"/>
        <v>1.7903272761732314E-4</v>
      </c>
      <c r="L482" s="34">
        <f t="shared" si="30"/>
        <v>1</v>
      </c>
      <c r="M482" s="34">
        <f t="shared" si="31"/>
        <v>0.99982096727238268</v>
      </c>
    </row>
    <row r="483" spans="1:13" ht="69">
      <c r="A483" t="s">
        <v>164</v>
      </c>
      <c r="B483" t="s">
        <v>115</v>
      </c>
      <c r="C483" s="14" t="s">
        <v>291</v>
      </c>
      <c r="D483" t="s">
        <v>375</v>
      </c>
      <c r="E483" t="s">
        <v>392</v>
      </c>
      <c r="F483" s="20">
        <v>2037</v>
      </c>
      <c r="G483" s="20">
        <v>31</v>
      </c>
      <c r="H483" s="11">
        <v>1032.18772195575</v>
      </c>
      <c r="I483" s="10">
        <v>4602483.2882150002</v>
      </c>
      <c r="J483" s="34">
        <f t="shared" si="28"/>
        <v>2.2426756542467916E-4</v>
      </c>
      <c r="K483" s="34">
        <f t="shared" si="29"/>
        <v>2.2424241933405309E-4</v>
      </c>
      <c r="L483" s="34">
        <f t="shared" si="30"/>
        <v>0.99982096727238268</v>
      </c>
      <c r="M483" s="34">
        <f t="shared" si="31"/>
        <v>0.99959676499978056</v>
      </c>
    </row>
    <row r="484" spans="1:13" ht="69">
      <c r="A484" t="s">
        <v>164</v>
      </c>
      <c r="B484" t="s">
        <v>115</v>
      </c>
      <c r="C484" s="14" t="s">
        <v>291</v>
      </c>
      <c r="D484" t="s">
        <v>375</v>
      </c>
      <c r="E484" t="s">
        <v>392</v>
      </c>
      <c r="F484" s="20">
        <v>2037</v>
      </c>
      <c r="G484" s="20">
        <v>32</v>
      </c>
      <c r="H484" s="11">
        <v>1069.0405827209399</v>
      </c>
      <c r="I484" s="10">
        <v>4541666.0656336797</v>
      </c>
      <c r="J484" s="34">
        <f t="shared" si="28"/>
        <v>2.3538511358425494E-4</v>
      </c>
      <c r="K484" s="34">
        <f t="shared" si="29"/>
        <v>2.3535741268188026E-4</v>
      </c>
      <c r="L484" s="34">
        <f t="shared" si="30"/>
        <v>0.99959676499978056</v>
      </c>
      <c r="M484" s="34">
        <f t="shared" si="31"/>
        <v>0.99936150249144506</v>
      </c>
    </row>
    <row r="485" spans="1:13" ht="69">
      <c r="A485" t="s">
        <v>164</v>
      </c>
      <c r="B485" t="s">
        <v>115</v>
      </c>
      <c r="C485" s="14" t="s">
        <v>291</v>
      </c>
      <c r="D485" t="s">
        <v>375</v>
      </c>
      <c r="E485" t="s">
        <v>392</v>
      </c>
      <c r="F485" s="20">
        <v>2037</v>
      </c>
      <c r="G485" s="20">
        <v>33</v>
      </c>
      <c r="H485" s="11">
        <v>1097.5597020927</v>
      </c>
      <c r="I485" s="10">
        <v>4413096.3639834505</v>
      </c>
      <c r="J485" s="34">
        <f t="shared" si="28"/>
        <v>2.487051293622774E-4</v>
      </c>
      <c r="K485" s="34">
        <f t="shared" si="29"/>
        <v>2.4867420480534363E-4</v>
      </c>
      <c r="L485" s="34">
        <f t="shared" si="30"/>
        <v>0.99936150249144506</v>
      </c>
      <c r="M485" s="34">
        <f t="shared" si="31"/>
        <v>0.99911298706449991</v>
      </c>
    </row>
    <row r="486" spans="1:13" ht="69">
      <c r="A486" t="s">
        <v>164</v>
      </c>
      <c r="B486" t="s">
        <v>115</v>
      </c>
      <c r="C486" s="14" t="s">
        <v>291</v>
      </c>
      <c r="D486" t="s">
        <v>375</v>
      </c>
      <c r="E486" t="s">
        <v>392</v>
      </c>
      <c r="F486" s="20">
        <v>2037</v>
      </c>
      <c r="G486" s="20">
        <v>34</v>
      </c>
      <c r="H486" s="11">
        <v>1150.16743536742</v>
      </c>
      <c r="I486" s="10">
        <v>4347545.3627995402</v>
      </c>
      <c r="J486" s="34">
        <f t="shared" si="28"/>
        <v>2.6455559157795332E-4</v>
      </c>
      <c r="K486" s="34">
        <f t="shared" si="29"/>
        <v>2.6452059983328446E-4</v>
      </c>
      <c r="L486" s="34">
        <f t="shared" si="30"/>
        <v>0.99911298706449991</v>
      </c>
      <c r="M486" s="34">
        <f t="shared" si="31"/>
        <v>0.99884870109786039</v>
      </c>
    </row>
    <row r="487" spans="1:13" ht="69">
      <c r="A487" t="s">
        <v>164</v>
      </c>
      <c r="B487" t="s">
        <v>115</v>
      </c>
      <c r="C487" s="14" t="s">
        <v>291</v>
      </c>
      <c r="D487" t="s">
        <v>375</v>
      </c>
      <c r="E487" t="s">
        <v>392</v>
      </c>
      <c r="F487" s="20">
        <v>2037</v>
      </c>
      <c r="G487" s="20">
        <v>35</v>
      </c>
      <c r="H487" s="11">
        <v>1727.02888026714</v>
      </c>
      <c r="I487" s="10">
        <v>4325539.3783231899</v>
      </c>
      <c r="J487" s="34">
        <f t="shared" si="28"/>
        <v>3.9926324308175152E-4</v>
      </c>
      <c r="K487" s="34">
        <f t="shared" si="29"/>
        <v>3.9918354811985246E-4</v>
      </c>
      <c r="L487" s="34">
        <f t="shared" si="30"/>
        <v>0.99884870109786039</v>
      </c>
      <c r="M487" s="34">
        <f t="shared" si="31"/>
        <v>0.99844997712932126</v>
      </c>
    </row>
    <row r="488" spans="1:13" ht="69">
      <c r="A488" t="s">
        <v>164</v>
      </c>
      <c r="B488" t="s">
        <v>115</v>
      </c>
      <c r="C488" s="14" t="s">
        <v>291</v>
      </c>
      <c r="D488" t="s">
        <v>375</v>
      </c>
      <c r="E488" t="s">
        <v>392</v>
      </c>
      <c r="F488" s="20">
        <v>2037</v>
      </c>
      <c r="G488" s="20">
        <v>36</v>
      </c>
      <c r="H488" s="11">
        <v>1867.4734008134001</v>
      </c>
      <c r="I488" s="10">
        <v>4304519.2920139004</v>
      </c>
      <c r="J488" s="34">
        <f t="shared" si="28"/>
        <v>4.3384017450638239E-4</v>
      </c>
      <c r="K488" s="34">
        <f t="shared" si="29"/>
        <v>4.3374607946577992E-4</v>
      </c>
      <c r="L488" s="34">
        <f t="shared" si="30"/>
        <v>0.99844997712932126</v>
      </c>
      <c r="M488" s="34">
        <f t="shared" si="31"/>
        <v>0.99801690336619875</v>
      </c>
    </row>
    <row r="489" spans="1:13" ht="69">
      <c r="A489" t="s">
        <v>164</v>
      </c>
      <c r="B489" t="s">
        <v>115</v>
      </c>
      <c r="C489" s="14" t="s">
        <v>291</v>
      </c>
      <c r="D489" t="s">
        <v>375</v>
      </c>
      <c r="E489" t="s">
        <v>392</v>
      </c>
      <c r="F489" s="20">
        <v>2037</v>
      </c>
      <c r="G489" s="20">
        <v>37</v>
      </c>
      <c r="H489" s="11">
        <v>2004.7763841564099</v>
      </c>
      <c r="I489" s="10">
        <v>4283438.2607528605</v>
      </c>
      <c r="J489" s="34">
        <f t="shared" si="28"/>
        <v>4.6802971400924286E-4</v>
      </c>
      <c r="K489" s="34">
        <f t="shared" si="29"/>
        <v>4.6792020518782174E-4</v>
      </c>
      <c r="L489" s="34">
        <f t="shared" si="30"/>
        <v>0.99801690336619875</v>
      </c>
      <c r="M489" s="34">
        <f t="shared" si="31"/>
        <v>0.99754991109199476</v>
      </c>
    </row>
    <row r="490" spans="1:13" ht="69">
      <c r="A490" t="s">
        <v>164</v>
      </c>
      <c r="B490" t="s">
        <v>115</v>
      </c>
      <c r="C490" s="14" t="s">
        <v>291</v>
      </c>
      <c r="D490" t="s">
        <v>375</v>
      </c>
      <c r="E490" t="s">
        <v>392</v>
      </c>
      <c r="F490" s="20">
        <v>2037</v>
      </c>
      <c r="G490" s="20">
        <v>38</v>
      </c>
      <c r="H490" s="11">
        <v>2176.9175031181699</v>
      </c>
      <c r="I490" s="10">
        <v>4301611.6013243403</v>
      </c>
      <c r="J490" s="34">
        <f t="shared" si="28"/>
        <v>5.0607021388169042E-4</v>
      </c>
      <c r="K490" s="34">
        <f t="shared" si="29"/>
        <v>5.0594218194965901E-4</v>
      </c>
      <c r="L490" s="34">
        <f t="shared" si="30"/>
        <v>0.99754991109199476</v>
      </c>
      <c r="M490" s="34">
        <f t="shared" si="31"/>
        <v>0.99704520851337319</v>
      </c>
    </row>
    <row r="491" spans="1:13" ht="69">
      <c r="A491" t="s">
        <v>164</v>
      </c>
      <c r="B491" t="s">
        <v>115</v>
      </c>
      <c r="C491" s="14" t="s">
        <v>291</v>
      </c>
      <c r="D491" t="s">
        <v>375</v>
      </c>
      <c r="E491" t="s">
        <v>392</v>
      </c>
      <c r="F491" s="20">
        <v>2037</v>
      </c>
      <c r="G491" s="20">
        <v>39</v>
      </c>
      <c r="H491" s="11">
        <v>2390.02838242795</v>
      </c>
      <c r="I491" s="10">
        <v>4358413.3273213096</v>
      </c>
      <c r="J491" s="34">
        <f t="shared" si="28"/>
        <v>5.4837120826648779E-4</v>
      </c>
      <c r="K491" s="34">
        <f t="shared" si="29"/>
        <v>5.4822088025519022E-4</v>
      </c>
      <c r="L491" s="34">
        <f t="shared" si="30"/>
        <v>0.99704520851337319</v>
      </c>
      <c r="M491" s="34">
        <f t="shared" si="31"/>
        <v>0.99649860751150776</v>
      </c>
    </row>
    <row r="492" spans="1:13" ht="69">
      <c r="A492" t="s">
        <v>164</v>
      </c>
      <c r="B492" t="s">
        <v>115</v>
      </c>
      <c r="C492" s="14" t="s">
        <v>291</v>
      </c>
      <c r="D492" t="s">
        <v>375</v>
      </c>
      <c r="E492" t="s">
        <v>392</v>
      </c>
      <c r="F492" s="20">
        <v>2037</v>
      </c>
      <c r="G492" s="20">
        <v>40</v>
      </c>
      <c r="H492" s="11">
        <v>3589.89050987459</v>
      </c>
      <c r="I492" s="10">
        <v>4492785.1686485801</v>
      </c>
      <c r="J492" s="34">
        <f t="shared" si="28"/>
        <v>7.9903453539809945E-4</v>
      </c>
      <c r="K492" s="34">
        <f t="shared" si="29"/>
        <v>7.9871539231146649E-4</v>
      </c>
      <c r="L492" s="34">
        <f t="shared" si="30"/>
        <v>0.99649860751150776</v>
      </c>
      <c r="M492" s="34">
        <f t="shared" si="31"/>
        <v>0.99570268873527135</v>
      </c>
    </row>
    <row r="493" spans="1:13" ht="69">
      <c r="A493" t="s">
        <v>164</v>
      </c>
      <c r="B493" t="s">
        <v>115</v>
      </c>
      <c r="C493" s="14" t="s">
        <v>291</v>
      </c>
      <c r="D493" t="s">
        <v>375</v>
      </c>
      <c r="E493" t="s">
        <v>392</v>
      </c>
      <c r="F493" s="20">
        <v>2037</v>
      </c>
      <c r="G493" s="20">
        <v>41</v>
      </c>
      <c r="H493" s="11">
        <v>3768.2508889832998</v>
      </c>
      <c r="I493" s="10">
        <v>4445904.8070289101</v>
      </c>
      <c r="J493" s="34">
        <f t="shared" si="28"/>
        <v>8.4757795151748424E-4</v>
      </c>
      <c r="K493" s="34">
        <f t="shared" si="29"/>
        <v>8.4721885878569214E-4</v>
      </c>
      <c r="L493" s="34">
        <f t="shared" si="30"/>
        <v>0.99570268873527135</v>
      </c>
      <c r="M493" s="34">
        <f t="shared" si="31"/>
        <v>0.99485911063963117</v>
      </c>
    </row>
    <row r="494" spans="1:13" ht="69">
      <c r="A494" t="s">
        <v>164</v>
      </c>
      <c r="B494" t="s">
        <v>115</v>
      </c>
      <c r="C494" s="14" t="s">
        <v>291</v>
      </c>
      <c r="D494" t="s">
        <v>375</v>
      </c>
      <c r="E494" t="s">
        <v>392</v>
      </c>
      <c r="F494" s="20">
        <v>2037</v>
      </c>
      <c r="G494" s="20">
        <v>42</v>
      </c>
      <c r="H494" s="11">
        <v>4034.53856120622</v>
      </c>
      <c r="I494" s="10">
        <v>4369663.9555796096</v>
      </c>
      <c r="J494" s="34">
        <f t="shared" si="28"/>
        <v>9.2330636914413771E-4</v>
      </c>
      <c r="K494" s="34">
        <f t="shared" si="29"/>
        <v>9.2288025297382337E-4</v>
      </c>
      <c r="L494" s="34">
        <f t="shared" si="30"/>
        <v>0.99485911063963117</v>
      </c>
      <c r="M494" s="34">
        <f t="shared" si="31"/>
        <v>0.99394097481193078</v>
      </c>
    </row>
    <row r="495" spans="1:13" ht="69">
      <c r="A495" t="s">
        <v>164</v>
      </c>
      <c r="B495" t="s">
        <v>115</v>
      </c>
      <c r="C495" s="14" t="s">
        <v>291</v>
      </c>
      <c r="D495" t="s">
        <v>375</v>
      </c>
      <c r="E495" t="s">
        <v>392</v>
      </c>
      <c r="F495" s="20">
        <v>2037</v>
      </c>
      <c r="G495" s="20">
        <v>43</v>
      </c>
      <c r="H495" s="11">
        <v>4336.5427831678599</v>
      </c>
      <c r="I495" s="10">
        <v>4308611.9100758703</v>
      </c>
      <c r="J495" s="34">
        <f t="shared" si="28"/>
        <v>1.0064825687889577E-3</v>
      </c>
      <c r="K495" s="34">
        <f t="shared" si="29"/>
        <v>1.0059762350945745E-3</v>
      </c>
      <c r="L495" s="34">
        <f t="shared" si="30"/>
        <v>0.99394097481193078</v>
      </c>
      <c r="M495" s="34">
        <f t="shared" si="31"/>
        <v>0.99294109381218321</v>
      </c>
    </row>
    <row r="496" spans="1:13" ht="69">
      <c r="A496" t="s">
        <v>164</v>
      </c>
      <c r="B496" t="s">
        <v>115</v>
      </c>
      <c r="C496" s="14" t="s">
        <v>291</v>
      </c>
      <c r="D496" t="s">
        <v>375</v>
      </c>
      <c r="E496" t="s">
        <v>392</v>
      </c>
      <c r="F496" s="20">
        <v>2037</v>
      </c>
      <c r="G496" s="20">
        <v>44</v>
      </c>
      <c r="H496" s="11">
        <v>4675.0530691873801</v>
      </c>
      <c r="I496" s="10">
        <v>4250667.9855204597</v>
      </c>
      <c r="J496" s="34">
        <f t="shared" si="28"/>
        <v>1.0998396217047656E-3</v>
      </c>
      <c r="K496" s="34">
        <f t="shared" si="29"/>
        <v>1.0992350197833733E-3</v>
      </c>
      <c r="L496" s="34">
        <f t="shared" si="30"/>
        <v>0.99294109381218321</v>
      </c>
      <c r="M496" s="34">
        <f t="shared" si="31"/>
        <v>0.99184961818928286</v>
      </c>
    </row>
    <row r="497" spans="1:13" ht="69">
      <c r="A497" t="s">
        <v>164</v>
      </c>
      <c r="B497" t="s">
        <v>115</v>
      </c>
      <c r="C497" s="14" t="s">
        <v>291</v>
      </c>
      <c r="D497" t="s">
        <v>375</v>
      </c>
      <c r="E497" t="s">
        <v>392</v>
      </c>
      <c r="F497" s="20">
        <v>2037</v>
      </c>
      <c r="G497" s="20">
        <v>45</v>
      </c>
      <c r="H497" s="11">
        <v>6062.59308860698</v>
      </c>
      <c r="I497" s="10">
        <v>4282062.0960469497</v>
      </c>
      <c r="J497" s="34">
        <f t="shared" si="28"/>
        <v>1.4158115769044438E-3</v>
      </c>
      <c r="K497" s="34">
        <f t="shared" si="29"/>
        <v>1.4148097885308131E-3</v>
      </c>
      <c r="L497" s="34">
        <f t="shared" si="30"/>
        <v>0.99184961818928286</v>
      </c>
      <c r="M497" s="34">
        <f t="shared" si="31"/>
        <v>0.99044633964071815</v>
      </c>
    </row>
    <row r="498" spans="1:13" ht="69">
      <c r="A498" t="s">
        <v>164</v>
      </c>
      <c r="B498" t="s">
        <v>115</v>
      </c>
      <c r="C498" s="14" t="s">
        <v>291</v>
      </c>
      <c r="D498" t="s">
        <v>375</v>
      </c>
      <c r="E498" t="s">
        <v>392</v>
      </c>
      <c r="F498" s="20">
        <v>2037</v>
      </c>
      <c r="G498" s="20">
        <v>46</v>
      </c>
      <c r="H498" s="11">
        <v>6526.50864566568</v>
      </c>
      <c r="I498" s="10">
        <v>4292289.95627221</v>
      </c>
      <c r="J498" s="34">
        <f t="shared" si="28"/>
        <v>1.5205190497740409E-3</v>
      </c>
      <c r="K498" s="34">
        <f t="shared" si="29"/>
        <v>1.5193636463621818E-3</v>
      </c>
      <c r="L498" s="34">
        <f t="shared" si="30"/>
        <v>0.99044633964071815</v>
      </c>
      <c r="M498" s="34">
        <f t="shared" si="31"/>
        <v>0.98894149147859556</v>
      </c>
    </row>
    <row r="499" spans="1:13" ht="69">
      <c r="A499" t="s">
        <v>164</v>
      </c>
      <c r="B499" t="s">
        <v>115</v>
      </c>
      <c r="C499" s="14" t="s">
        <v>291</v>
      </c>
      <c r="D499" t="s">
        <v>375</v>
      </c>
      <c r="E499" t="s">
        <v>392</v>
      </c>
      <c r="F499" s="20">
        <v>2037</v>
      </c>
      <c r="G499" s="20">
        <v>47</v>
      </c>
      <c r="H499" s="11">
        <v>9796.8473554535103</v>
      </c>
      <c r="I499" s="10">
        <v>6316019.3009163104</v>
      </c>
      <c r="J499" s="34">
        <f t="shared" si="28"/>
        <v>1.5511110540831013E-3</v>
      </c>
      <c r="K499" s="34">
        <f t="shared" si="29"/>
        <v>1.5499087030723668E-3</v>
      </c>
      <c r="L499" s="34">
        <f t="shared" si="30"/>
        <v>0.98894149147859556</v>
      </c>
      <c r="M499" s="34">
        <f t="shared" si="31"/>
        <v>0.98740872245412348</v>
      </c>
    </row>
    <row r="500" spans="1:13" ht="69">
      <c r="A500" t="s">
        <v>164</v>
      </c>
      <c r="B500" t="s">
        <v>115</v>
      </c>
      <c r="C500" s="14" t="s">
        <v>291</v>
      </c>
      <c r="D500" t="s">
        <v>375</v>
      </c>
      <c r="E500" t="s">
        <v>392</v>
      </c>
      <c r="F500" s="20">
        <v>2037</v>
      </c>
      <c r="G500" s="20">
        <v>48</v>
      </c>
      <c r="H500" s="11">
        <v>7796.1453324479198</v>
      </c>
      <c r="I500" s="10">
        <v>4236521.5462189</v>
      </c>
      <c r="J500" s="34">
        <f t="shared" si="28"/>
        <v>1.8402232226119534E-3</v>
      </c>
      <c r="K500" s="34">
        <f t="shared" si="29"/>
        <v>1.8385310500084184E-3</v>
      </c>
      <c r="L500" s="34">
        <f t="shared" si="30"/>
        <v>0.98740872245412348</v>
      </c>
      <c r="M500" s="34">
        <f t="shared" si="31"/>
        <v>0.98559334085884243</v>
      </c>
    </row>
    <row r="501" spans="1:13" ht="69">
      <c r="A501" t="s">
        <v>164</v>
      </c>
      <c r="B501" t="s">
        <v>115</v>
      </c>
      <c r="C501" s="14" t="s">
        <v>291</v>
      </c>
      <c r="D501" t="s">
        <v>375</v>
      </c>
      <c r="E501" t="s">
        <v>392</v>
      </c>
      <c r="F501" s="20">
        <v>2037</v>
      </c>
      <c r="G501" s="20">
        <v>49</v>
      </c>
      <c r="H501" s="11">
        <v>8514.9212955775802</v>
      </c>
      <c r="I501" s="10">
        <v>4211267.9908384904</v>
      </c>
      <c r="J501" s="34">
        <f t="shared" si="28"/>
        <v>2.0219376477824689E-3</v>
      </c>
      <c r="K501" s="34">
        <f t="shared" si="29"/>
        <v>2.0198949088522378E-3</v>
      </c>
      <c r="L501" s="34">
        <f t="shared" si="30"/>
        <v>0.98559334085884243</v>
      </c>
      <c r="M501" s="34">
        <f t="shared" si="31"/>
        <v>0.983602545887443</v>
      </c>
    </row>
    <row r="502" spans="1:13" ht="69">
      <c r="A502" t="s">
        <v>164</v>
      </c>
      <c r="B502" t="s">
        <v>115</v>
      </c>
      <c r="C502" s="14" t="s">
        <v>291</v>
      </c>
      <c r="D502" t="s">
        <v>375</v>
      </c>
      <c r="E502" t="s">
        <v>392</v>
      </c>
      <c r="F502" s="20">
        <v>2037</v>
      </c>
      <c r="G502" s="20">
        <v>50</v>
      </c>
      <c r="H502" s="11">
        <v>9523.5531632497405</v>
      </c>
      <c r="I502" s="10">
        <v>4072596.0374766099</v>
      </c>
      <c r="J502" s="34">
        <f t="shared" si="28"/>
        <v>2.3384477801413756E-3</v>
      </c>
      <c r="K502" s="34">
        <f t="shared" si="29"/>
        <v>2.3357157411229013E-3</v>
      </c>
      <c r="L502" s="34">
        <f t="shared" si="30"/>
        <v>0.983602545887443</v>
      </c>
      <c r="M502" s="34">
        <f t="shared" si="31"/>
        <v>0.98130512993800512</v>
      </c>
    </row>
    <row r="503" spans="1:13" ht="69">
      <c r="A503" t="s">
        <v>164</v>
      </c>
      <c r="B503" t="s">
        <v>115</v>
      </c>
      <c r="C503" s="14" t="s">
        <v>291</v>
      </c>
      <c r="D503" t="s">
        <v>375</v>
      </c>
      <c r="E503" t="s">
        <v>392</v>
      </c>
      <c r="F503" s="20">
        <v>2037</v>
      </c>
      <c r="G503" s="20">
        <v>51</v>
      </c>
      <c r="H503" s="11">
        <v>10142.9173429247</v>
      </c>
      <c r="I503" s="10">
        <v>4027540.6287563001</v>
      </c>
      <c r="J503" s="34">
        <f t="shared" si="28"/>
        <v>2.5183898259163737E-3</v>
      </c>
      <c r="K503" s="34">
        <f t="shared" si="29"/>
        <v>2.5152213426421488E-3</v>
      </c>
      <c r="L503" s="34">
        <f t="shared" si="30"/>
        <v>0.98130512993800512</v>
      </c>
      <c r="M503" s="34">
        <f t="shared" si="31"/>
        <v>0.97883693033154084</v>
      </c>
    </row>
    <row r="504" spans="1:13" ht="69">
      <c r="A504" t="s">
        <v>164</v>
      </c>
      <c r="B504" t="s">
        <v>115</v>
      </c>
      <c r="C504" s="14" t="s">
        <v>291</v>
      </c>
      <c r="D504" t="s">
        <v>375</v>
      </c>
      <c r="E504" t="s">
        <v>392</v>
      </c>
      <c r="F504" s="20">
        <v>2037</v>
      </c>
      <c r="G504" s="20">
        <v>52</v>
      </c>
      <c r="H504" s="11">
        <v>11264.2437104498</v>
      </c>
      <c r="I504" s="10">
        <v>4072888.3329833699</v>
      </c>
      <c r="J504" s="34">
        <f t="shared" si="28"/>
        <v>2.7656647542307648E-3</v>
      </c>
      <c r="K504" s="34">
        <f t="shared" si="29"/>
        <v>2.7618438267441592E-3</v>
      </c>
      <c r="L504" s="34">
        <f t="shared" si="30"/>
        <v>0.97883693033154084</v>
      </c>
      <c r="M504" s="34">
        <f t="shared" si="31"/>
        <v>0.97613353559811544</v>
      </c>
    </row>
    <row r="505" spans="1:13" ht="69">
      <c r="A505" t="s">
        <v>164</v>
      </c>
      <c r="B505" t="s">
        <v>115</v>
      </c>
      <c r="C505" s="14" t="s">
        <v>291</v>
      </c>
      <c r="D505" t="s">
        <v>375</v>
      </c>
      <c r="E505" t="s">
        <v>392</v>
      </c>
      <c r="F505" s="20">
        <v>2037</v>
      </c>
      <c r="G505" s="20">
        <v>53</v>
      </c>
      <c r="H505" s="11">
        <v>12535.7159122424</v>
      </c>
      <c r="I505" s="10">
        <v>4141027.9487407799</v>
      </c>
      <c r="J505" s="34">
        <f t="shared" si="28"/>
        <v>3.0271990596089336E-3</v>
      </c>
      <c r="K505" s="34">
        <f t="shared" si="29"/>
        <v>3.0226217125475241E-3</v>
      </c>
      <c r="L505" s="34">
        <f t="shared" si="30"/>
        <v>0.97613353559811544</v>
      </c>
      <c r="M505" s="34">
        <f t="shared" si="31"/>
        <v>0.97318305317907083</v>
      </c>
    </row>
    <row r="506" spans="1:13" ht="69">
      <c r="A506" t="s">
        <v>164</v>
      </c>
      <c r="B506" t="s">
        <v>115</v>
      </c>
      <c r="C506" s="14" t="s">
        <v>291</v>
      </c>
      <c r="D506" t="s">
        <v>375</v>
      </c>
      <c r="E506" t="s">
        <v>392</v>
      </c>
      <c r="F506" s="20">
        <v>2037</v>
      </c>
      <c r="G506" s="20">
        <v>54</v>
      </c>
      <c r="H506" s="11">
        <v>13578.9744642479</v>
      </c>
      <c r="I506" s="10">
        <v>4102781.6382468701</v>
      </c>
      <c r="J506" s="34">
        <f t="shared" si="28"/>
        <v>3.3096995310845333E-3</v>
      </c>
      <c r="K506" s="34">
        <f t="shared" si="29"/>
        <v>3.3042285130644444E-3</v>
      </c>
      <c r="L506" s="34">
        <f t="shared" si="30"/>
        <v>0.97318305317907083</v>
      </c>
      <c r="M506" s="34">
        <f t="shared" si="31"/>
        <v>0.96996743398632546</v>
      </c>
    </row>
    <row r="507" spans="1:13" ht="69">
      <c r="A507" t="s">
        <v>164</v>
      </c>
      <c r="B507" t="s">
        <v>115</v>
      </c>
      <c r="C507" s="14" t="s">
        <v>291</v>
      </c>
      <c r="D507" t="s">
        <v>375</v>
      </c>
      <c r="E507" t="s">
        <v>392</v>
      </c>
      <c r="F507" s="20">
        <v>2037</v>
      </c>
      <c r="G507" s="20">
        <v>55</v>
      </c>
      <c r="H507" s="11">
        <v>14283.0841306113</v>
      </c>
      <c r="I507" s="10">
        <v>3955787.5083408798</v>
      </c>
      <c r="J507" s="34">
        <f t="shared" si="28"/>
        <v>3.6106803261032219E-3</v>
      </c>
      <c r="K507" s="34">
        <f t="shared" si="29"/>
        <v>3.6041696582318483E-3</v>
      </c>
      <c r="L507" s="34">
        <f t="shared" si="30"/>
        <v>0.96996743398632546</v>
      </c>
      <c r="M507" s="34">
        <f t="shared" si="31"/>
        <v>0.96647150679127891</v>
      </c>
    </row>
    <row r="508" spans="1:13" ht="69">
      <c r="A508" t="s">
        <v>164</v>
      </c>
      <c r="B508" t="s">
        <v>115</v>
      </c>
      <c r="C508" s="14" t="s">
        <v>291</v>
      </c>
      <c r="D508" t="s">
        <v>375</v>
      </c>
      <c r="E508" t="s">
        <v>392</v>
      </c>
      <c r="F508" s="20">
        <v>2037</v>
      </c>
      <c r="G508" s="20">
        <v>56</v>
      </c>
      <c r="H508" s="11">
        <v>15042.7613786</v>
      </c>
      <c r="I508" s="10">
        <v>3867646.0381212998</v>
      </c>
      <c r="J508" s="34">
        <f t="shared" si="28"/>
        <v>3.8893841965711492E-3</v>
      </c>
      <c r="K508" s="34">
        <f t="shared" si="29"/>
        <v>3.8818303383159058E-3</v>
      </c>
      <c r="L508" s="34">
        <f t="shared" si="30"/>
        <v>0.96647150679127891</v>
      </c>
      <c r="M508" s="34">
        <f t="shared" si="31"/>
        <v>0.96271982837509862</v>
      </c>
    </row>
    <row r="509" spans="1:13" ht="69">
      <c r="A509" t="s">
        <v>164</v>
      </c>
      <c r="B509" t="s">
        <v>115</v>
      </c>
      <c r="C509" s="14" t="s">
        <v>291</v>
      </c>
      <c r="D509" t="s">
        <v>375</v>
      </c>
      <c r="E509" t="s">
        <v>392</v>
      </c>
      <c r="F509" s="20">
        <v>2037</v>
      </c>
      <c r="G509" s="20">
        <v>57</v>
      </c>
      <c r="H509" s="11">
        <v>16172.5745146831</v>
      </c>
      <c r="I509" s="10">
        <v>3794077.7046267199</v>
      </c>
      <c r="J509" s="34">
        <f t="shared" si="28"/>
        <v>4.2625838935668918E-3</v>
      </c>
      <c r="K509" s="34">
        <f t="shared" si="29"/>
        <v>4.2535119773541297E-3</v>
      </c>
      <c r="L509" s="34">
        <f t="shared" si="30"/>
        <v>0.96271982837509862</v>
      </c>
      <c r="M509" s="34">
        <f t="shared" si="31"/>
        <v>0.95862488805426882</v>
      </c>
    </row>
    <row r="510" spans="1:13" ht="69">
      <c r="A510" t="s">
        <v>164</v>
      </c>
      <c r="B510" t="s">
        <v>115</v>
      </c>
      <c r="C510" s="14" t="s">
        <v>291</v>
      </c>
      <c r="D510" t="s">
        <v>375</v>
      </c>
      <c r="E510" t="s">
        <v>392</v>
      </c>
      <c r="F510" s="20">
        <v>2037</v>
      </c>
      <c r="G510" s="20">
        <v>58</v>
      </c>
      <c r="H510" s="11">
        <v>17333.4332067342</v>
      </c>
      <c r="I510" s="10">
        <v>3714474.2828831398</v>
      </c>
      <c r="J510" s="34">
        <f t="shared" si="28"/>
        <v>4.6664566468017522E-3</v>
      </c>
      <c r="K510" s="34">
        <f t="shared" si="29"/>
        <v>4.6555856542289664E-3</v>
      </c>
      <c r="L510" s="34">
        <f t="shared" si="30"/>
        <v>0.95862488805426882</v>
      </c>
      <c r="M510" s="34">
        <f t="shared" si="31"/>
        <v>0.95416192777765652</v>
      </c>
    </row>
    <row r="511" spans="1:13" ht="69">
      <c r="A511" t="s">
        <v>164</v>
      </c>
      <c r="B511" t="s">
        <v>115</v>
      </c>
      <c r="C511" s="14" t="s">
        <v>291</v>
      </c>
      <c r="D511" t="s">
        <v>375</v>
      </c>
      <c r="E511" t="s">
        <v>392</v>
      </c>
      <c r="F511" s="20">
        <v>2037</v>
      </c>
      <c r="G511" s="20">
        <v>59</v>
      </c>
      <c r="H511" s="11">
        <v>18480.491602661899</v>
      </c>
      <c r="I511" s="10">
        <v>3615536.0722917099</v>
      </c>
      <c r="J511" s="34">
        <f t="shared" si="28"/>
        <v>5.1114112079507007E-3</v>
      </c>
      <c r="K511" s="34">
        <f t="shared" si="29"/>
        <v>5.0983701745049848E-3</v>
      </c>
      <c r="L511" s="34">
        <f t="shared" si="30"/>
        <v>0.95416192777765652</v>
      </c>
      <c r="M511" s="34">
        <f t="shared" si="31"/>
        <v>0.94929725706342671</v>
      </c>
    </row>
    <row r="512" spans="1:13" ht="69">
      <c r="A512" t="s">
        <v>164</v>
      </c>
      <c r="B512" t="s">
        <v>115</v>
      </c>
      <c r="C512" s="14" t="s">
        <v>291</v>
      </c>
      <c r="D512" t="s">
        <v>375</v>
      </c>
      <c r="E512" t="s">
        <v>392</v>
      </c>
      <c r="F512" s="20">
        <v>2037</v>
      </c>
      <c r="G512" s="20">
        <v>60</v>
      </c>
      <c r="H512" s="11">
        <v>19880.9779265248</v>
      </c>
      <c r="I512" s="10">
        <v>3531231.1902557602</v>
      </c>
      <c r="J512" s="34">
        <f t="shared" si="28"/>
        <v>5.6300414374978545E-3</v>
      </c>
      <c r="K512" s="34">
        <f t="shared" si="29"/>
        <v>5.6142224553020759E-3</v>
      </c>
      <c r="L512" s="34">
        <f t="shared" si="30"/>
        <v>0.94929725706342671</v>
      </c>
      <c r="M512" s="34">
        <f t="shared" si="31"/>
        <v>0.9439676910860646</v>
      </c>
    </row>
    <row r="513" spans="1:13" ht="69">
      <c r="A513" t="s">
        <v>164</v>
      </c>
      <c r="B513" t="s">
        <v>115</v>
      </c>
      <c r="C513" s="14" t="s">
        <v>291</v>
      </c>
      <c r="D513" t="s">
        <v>375</v>
      </c>
      <c r="E513" t="s">
        <v>392</v>
      </c>
      <c r="F513" s="20">
        <v>2037</v>
      </c>
      <c r="G513" s="20">
        <v>61</v>
      </c>
      <c r="H513" s="11">
        <v>20922.8689840886</v>
      </c>
      <c r="I513" s="10">
        <v>3434567.1013835999</v>
      </c>
      <c r="J513" s="34">
        <f t="shared" si="28"/>
        <v>6.0918504039882979E-3</v>
      </c>
      <c r="K513" s="34">
        <f t="shared" si="29"/>
        <v>6.0733327047484131E-3</v>
      </c>
      <c r="L513" s="34">
        <f t="shared" si="30"/>
        <v>0.9439676910860646</v>
      </c>
      <c r="M513" s="34">
        <f t="shared" si="31"/>
        <v>0.93823466123556576</v>
      </c>
    </row>
    <row r="514" spans="1:13" ht="69">
      <c r="A514" t="s">
        <v>164</v>
      </c>
      <c r="B514" t="s">
        <v>115</v>
      </c>
      <c r="C514" s="14" t="s">
        <v>291</v>
      </c>
      <c r="D514" t="s">
        <v>375</v>
      </c>
      <c r="E514" t="s">
        <v>392</v>
      </c>
      <c r="F514" s="20">
        <v>2037</v>
      </c>
      <c r="G514" s="20">
        <v>62</v>
      </c>
      <c r="H514" s="11">
        <v>22346.774313600399</v>
      </c>
      <c r="I514" s="10">
        <v>3336583.84731727</v>
      </c>
      <c r="J514" s="34">
        <f t="shared" ref="J514:J577" si="32">IF(I514&gt;0,H514/I514,0)</f>
        <v>6.6975011976899623E-3</v>
      </c>
      <c r="K514" s="34">
        <f t="shared" ref="K514:K577" si="33">1-EXP(-J514)</f>
        <v>6.6751229239198073E-3</v>
      </c>
      <c r="L514" s="34">
        <f t="shared" ref="L514:L577" si="34">IF(G514=30,1,M513)</f>
        <v>0.93823466123556576</v>
      </c>
      <c r="M514" s="34">
        <f t="shared" ref="M514:M577" si="35">L514*(1-K514)</f>
        <v>0.93197182954033608</v>
      </c>
    </row>
    <row r="515" spans="1:13" ht="69">
      <c r="A515" t="s">
        <v>164</v>
      </c>
      <c r="B515" t="s">
        <v>115</v>
      </c>
      <c r="C515" s="14" t="s">
        <v>291</v>
      </c>
      <c r="D515" t="s">
        <v>375</v>
      </c>
      <c r="E515" t="s">
        <v>392</v>
      </c>
      <c r="F515" s="20">
        <v>2037</v>
      </c>
      <c r="G515" s="20">
        <v>63</v>
      </c>
      <c r="H515" s="11">
        <v>23617.156713408</v>
      </c>
      <c r="I515" s="10">
        <v>3212564.94800269</v>
      </c>
      <c r="J515" s="34">
        <f t="shared" si="32"/>
        <v>7.3514954859017602E-3</v>
      </c>
      <c r="K515" s="34">
        <f t="shared" si="33"/>
        <v>7.3245393394062441E-3</v>
      </c>
      <c r="L515" s="34">
        <f t="shared" si="34"/>
        <v>0.93197182954033608</v>
      </c>
      <c r="M515" s="34">
        <f t="shared" si="35"/>
        <v>0.92514556521164948</v>
      </c>
    </row>
    <row r="516" spans="1:13" ht="69">
      <c r="A516" t="s">
        <v>164</v>
      </c>
      <c r="B516" t="s">
        <v>115</v>
      </c>
      <c r="C516" s="14" t="s">
        <v>291</v>
      </c>
      <c r="D516" t="s">
        <v>375</v>
      </c>
      <c r="E516" t="s">
        <v>392</v>
      </c>
      <c r="F516" s="20">
        <v>2037</v>
      </c>
      <c r="G516" s="20">
        <v>64</v>
      </c>
      <c r="H516" s="11">
        <v>25342.069116240302</v>
      </c>
      <c r="I516" s="10">
        <v>3141663.8492259602</v>
      </c>
      <c r="J516" s="34">
        <f t="shared" si="32"/>
        <v>8.0664483319830838E-3</v>
      </c>
      <c r="K516" s="34">
        <f t="shared" si="33"/>
        <v>8.0340018389034595E-3</v>
      </c>
      <c r="L516" s="34">
        <f t="shared" si="34"/>
        <v>0.92514556521164948</v>
      </c>
      <c r="M516" s="34">
        <f t="shared" si="35"/>
        <v>0.91771294403948567</v>
      </c>
    </row>
    <row r="517" spans="1:13" ht="69">
      <c r="A517" t="s">
        <v>164</v>
      </c>
      <c r="B517" t="s">
        <v>115</v>
      </c>
      <c r="C517" s="14" t="s">
        <v>291</v>
      </c>
      <c r="D517" t="s">
        <v>375</v>
      </c>
      <c r="E517" t="s">
        <v>392</v>
      </c>
      <c r="F517" s="20">
        <v>2037</v>
      </c>
      <c r="G517" s="20">
        <v>65</v>
      </c>
      <c r="H517" s="11">
        <v>24924.584209606699</v>
      </c>
      <c r="I517" s="10">
        <v>2923007.1791845202</v>
      </c>
      <c r="J517" s="34">
        <f t="shared" si="32"/>
        <v>8.5270348930721156E-3</v>
      </c>
      <c r="K517" s="34">
        <f t="shared" si="33"/>
        <v>8.4907828450422329E-3</v>
      </c>
      <c r="L517" s="34">
        <f t="shared" si="34"/>
        <v>0.91771294403948567</v>
      </c>
      <c r="M517" s="34">
        <f t="shared" si="35"/>
        <v>0.90992084271756202</v>
      </c>
    </row>
    <row r="518" spans="1:13" ht="69">
      <c r="A518" t="s">
        <v>164</v>
      </c>
      <c r="B518" t="s">
        <v>115</v>
      </c>
      <c r="C518" s="14" t="s">
        <v>291</v>
      </c>
      <c r="D518" t="s">
        <v>375</v>
      </c>
      <c r="E518" t="s">
        <v>392</v>
      </c>
      <c r="F518" s="20">
        <v>2037</v>
      </c>
      <c r="G518" s="20">
        <v>66</v>
      </c>
      <c r="H518" s="11">
        <v>26032.176473494801</v>
      </c>
      <c r="I518" s="10">
        <v>2813038.8037561998</v>
      </c>
      <c r="J518" s="34">
        <f t="shared" si="32"/>
        <v>9.2541121148896014E-3</v>
      </c>
      <c r="K518" s="34">
        <f t="shared" si="33"/>
        <v>9.2114245992086508E-3</v>
      </c>
      <c r="L518" s="34">
        <f t="shared" si="34"/>
        <v>0.90992084271756202</v>
      </c>
      <c r="M518" s="34">
        <f t="shared" si="35"/>
        <v>0.90153917548362084</v>
      </c>
    </row>
    <row r="519" spans="1:13" ht="69">
      <c r="A519" t="s">
        <v>164</v>
      </c>
      <c r="B519" t="s">
        <v>115</v>
      </c>
      <c r="C519" s="14" t="s">
        <v>291</v>
      </c>
      <c r="D519" t="s">
        <v>375</v>
      </c>
      <c r="E519" t="s">
        <v>392</v>
      </c>
      <c r="F519" s="20">
        <v>2037</v>
      </c>
      <c r="G519" s="20">
        <v>67</v>
      </c>
      <c r="H519" s="11">
        <v>27553.7486221699</v>
      </c>
      <c r="I519" s="10">
        <v>2705629.3036591099</v>
      </c>
      <c r="J519" s="34">
        <f t="shared" si="32"/>
        <v>1.0183859475836561E-2</v>
      </c>
      <c r="K519" s="34">
        <f t="shared" si="33"/>
        <v>1.0132179561368471E-2</v>
      </c>
      <c r="L519" s="34">
        <f t="shared" si="34"/>
        <v>0.90153917548362084</v>
      </c>
      <c r="M519" s="34">
        <f t="shared" si="35"/>
        <v>0.89240461867601273</v>
      </c>
    </row>
    <row r="520" spans="1:13" ht="69">
      <c r="A520" t="s">
        <v>164</v>
      </c>
      <c r="B520" t="s">
        <v>115</v>
      </c>
      <c r="C520" s="14" t="s">
        <v>291</v>
      </c>
      <c r="D520" t="s">
        <v>375</v>
      </c>
      <c r="E520" t="s">
        <v>392</v>
      </c>
      <c r="F520" s="20">
        <v>2037</v>
      </c>
      <c r="G520" s="20">
        <v>68</v>
      </c>
      <c r="H520" s="11">
        <v>28995.1341667708</v>
      </c>
      <c r="I520" s="10">
        <v>2589440.6304342402</v>
      </c>
      <c r="J520" s="34">
        <f t="shared" si="32"/>
        <v>1.1197450841693334E-2</v>
      </c>
      <c r="K520" s="34">
        <f t="shared" si="33"/>
        <v>1.113499273026497E-2</v>
      </c>
      <c r="L520" s="34">
        <f t="shared" si="34"/>
        <v>0.89240461867601273</v>
      </c>
      <c r="M520" s="34">
        <f t="shared" si="35"/>
        <v>0.88246769973460049</v>
      </c>
    </row>
    <row r="521" spans="1:13" ht="69">
      <c r="A521" t="s">
        <v>164</v>
      </c>
      <c r="B521" t="s">
        <v>115</v>
      </c>
      <c r="C521" s="14" t="s">
        <v>291</v>
      </c>
      <c r="D521" t="s">
        <v>375</v>
      </c>
      <c r="E521" t="s">
        <v>392</v>
      </c>
      <c r="F521" s="20">
        <v>2037</v>
      </c>
      <c r="G521" s="20">
        <v>69</v>
      </c>
      <c r="H521" s="11">
        <v>30253.221015585499</v>
      </c>
      <c r="I521" s="10">
        <v>2455728.2933460101</v>
      </c>
      <c r="J521" s="34">
        <f t="shared" si="32"/>
        <v>1.2319449630302747E-2</v>
      </c>
      <c r="K521" s="34">
        <f t="shared" si="33"/>
        <v>1.2243875871419951E-2</v>
      </c>
      <c r="L521" s="34">
        <f t="shared" si="34"/>
        <v>0.88246769973460049</v>
      </c>
      <c r="M521" s="34">
        <f t="shared" si="35"/>
        <v>0.87166287475851256</v>
      </c>
    </row>
    <row r="522" spans="1:13" ht="69">
      <c r="A522" t="s">
        <v>164</v>
      </c>
      <c r="B522" t="s">
        <v>115</v>
      </c>
      <c r="C522" s="14" t="s">
        <v>291</v>
      </c>
      <c r="D522" t="s">
        <v>375</v>
      </c>
      <c r="E522" t="s">
        <v>392</v>
      </c>
      <c r="F522" s="20">
        <v>2038</v>
      </c>
      <c r="G522" s="20">
        <v>30</v>
      </c>
      <c r="H522" s="11">
        <v>775.17948469551004</v>
      </c>
      <c r="I522" s="10">
        <v>4653447.2591583701</v>
      </c>
      <c r="J522" s="34">
        <f t="shared" si="32"/>
        <v>1.6658177078721426E-4</v>
      </c>
      <c r="K522" s="34">
        <f t="shared" si="33"/>
        <v>1.6656789681446238E-4</v>
      </c>
      <c r="L522" s="34">
        <f t="shared" si="34"/>
        <v>1</v>
      </c>
      <c r="M522" s="34">
        <f t="shared" si="35"/>
        <v>0.99983343210318554</v>
      </c>
    </row>
    <row r="523" spans="1:13" ht="69">
      <c r="A523" t="s">
        <v>164</v>
      </c>
      <c r="B523" t="s">
        <v>115</v>
      </c>
      <c r="C523" s="14" t="s">
        <v>291</v>
      </c>
      <c r="D523" t="s">
        <v>375</v>
      </c>
      <c r="E523" t="s">
        <v>392</v>
      </c>
      <c r="F523" s="20">
        <v>2038</v>
      </c>
      <c r="G523" s="20">
        <v>31</v>
      </c>
      <c r="H523" s="11">
        <v>1053.71484302559</v>
      </c>
      <c r="I523" s="10">
        <v>4679795.4855615199</v>
      </c>
      <c r="J523" s="34">
        <f t="shared" si="32"/>
        <v>2.2516258376602044E-4</v>
      </c>
      <c r="K523" s="34">
        <f t="shared" si="33"/>
        <v>2.2513723657391349E-4</v>
      </c>
      <c r="L523" s="34">
        <f t="shared" si="34"/>
        <v>0.99983343210318554</v>
      </c>
      <c r="M523" s="34">
        <f t="shared" si="35"/>
        <v>0.99960833236724767</v>
      </c>
    </row>
    <row r="524" spans="1:13" ht="69">
      <c r="A524" t="s">
        <v>164</v>
      </c>
      <c r="B524" t="s">
        <v>115</v>
      </c>
      <c r="C524" s="14" t="s">
        <v>291</v>
      </c>
      <c r="D524" t="s">
        <v>375</v>
      </c>
      <c r="E524" t="s">
        <v>392</v>
      </c>
      <c r="F524" s="20">
        <v>2038</v>
      </c>
      <c r="G524" s="20">
        <v>32</v>
      </c>
      <c r="H524" s="11">
        <v>1085.6399888408801</v>
      </c>
      <c r="I524" s="10">
        <v>4596931.88176121</v>
      </c>
      <c r="J524" s="34">
        <f t="shared" si="32"/>
        <v>2.3616621189195036E-4</v>
      </c>
      <c r="K524" s="34">
        <f t="shared" si="33"/>
        <v>2.3613832684732383E-4</v>
      </c>
      <c r="L524" s="34">
        <f t="shared" si="34"/>
        <v>0.99960833236724767</v>
      </c>
      <c r="M524" s="34">
        <f t="shared" si="35"/>
        <v>0.99937228652813981</v>
      </c>
    </row>
    <row r="525" spans="1:13" ht="69">
      <c r="A525" t="s">
        <v>164</v>
      </c>
      <c r="B525" t="s">
        <v>115</v>
      </c>
      <c r="C525" s="14" t="s">
        <v>291</v>
      </c>
      <c r="D525" t="s">
        <v>375</v>
      </c>
      <c r="E525" t="s">
        <v>392</v>
      </c>
      <c r="F525" s="20">
        <v>2038</v>
      </c>
      <c r="G525" s="20">
        <v>33</v>
      </c>
      <c r="H525" s="11">
        <v>1130.9653963036701</v>
      </c>
      <c r="I525" s="10">
        <v>4535961.3389583696</v>
      </c>
      <c r="J525" s="34">
        <f t="shared" si="32"/>
        <v>2.4933312076319043E-4</v>
      </c>
      <c r="K525" s="34">
        <f t="shared" si="33"/>
        <v>2.4930203984385724E-4</v>
      </c>
      <c r="L525" s="34">
        <f t="shared" si="34"/>
        <v>0.99937228652813981</v>
      </c>
      <c r="M525" s="34">
        <f t="shared" si="35"/>
        <v>0.99912314097854493</v>
      </c>
    </row>
    <row r="526" spans="1:13" ht="69">
      <c r="A526" t="s">
        <v>164</v>
      </c>
      <c r="B526" t="s">
        <v>115</v>
      </c>
      <c r="C526" s="14" t="s">
        <v>291</v>
      </c>
      <c r="D526" t="s">
        <v>375</v>
      </c>
      <c r="E526" t="s">
        <v>392</v>
      </c>
      <c r="F526" s="20">
        <v>2038</v>
      </c>
      <c r="G526" s="20">
        <v>34</v>
      </c>
      <c r="H526" s="11">
        <v>1168.02188029074</v>
      </c>
      <c r="I526" s="10">
        <v>4407292.0970256897</v>
      </c>
      <c r="J526" s="34">
        <f t="shared" si="32"/>
        <v>2.6502030148602872E-4</v>
      </c>
      <c r="K526" s="34">
        <f t="shared" si="33"/>
        <v>2.6498518670803328E-4</v>
      </c>
      <c r="L526" s="34">
        <f t="shared" si="34"/>
        <v>0.99912314097854493</v>
      </c>
      <c r="M526" s="34">
        <f t="shared" si="35"/>
        <v>0.99885838814648842</v>
      </c>
    </row>
    <row r="527" spans="1:13" ht="69">
      <c r="A527" t="s">
        <v>164</v>
      </c>
      <c r="B527" t="s">
        <v>115</v>
      </c>
      <c r="C527" s="14" t="s">
        <v>291</v>
      </c>
      <c r="D527" t="s">
        <v>375</v>
      </c>
      <c r="E527" t="s">
        <v>392</v>
      </c>
      <c r="F527" s="20">
        <v>2038</v>
      </c>
      <c r="G527" s="20">
        <v>35</v>
      </c>
      <c r="H527" s="11">
        <v>1539.2234924821801</v>
      </c>
      <c r="I527" s="10">
        <v>4341521.5629334496</v>
      </c>
      <c r="J527" s="34">
        <f t="shared" si="32"/>
        <v>3.5453549410501326E-4</v>
      </c>
      <c r="K527" s="34">
        <f t="shared" si="33"/>
        <v>3.5447265382326787E-4</v>
      </c>
      <c r="L527" s="34">
        <f t="shared" si="34"/>
        <v>0.99885838814648842</v>
      </c>
      <c r="M527" s="34">
        <f t="shared" si="35"/>
        <v>0.99850432016284851</v>
      </c>
    </row>
    <row r="528" spans="1:13" ht="69">
      <c r="A528" t="s">
        <v>164</v>
      </c>
      <c r="B528" t="s">
        <v>115</v>
      </c>
      <c r="C528" s="14" t="s">
        <v>291</v>
      </c>
      <c r="D528" t="s">
        <v>375</v>
      </c>
      <c r="E528" t="s">
        <v>392</v>
      </c>
      <c r="F528" s="20">
        <v>2038</v>
      </c>
      <c r="G528" s="20">
        <v>36</v>
      </c>
      <c r="H528" s="11">
        <v>1859.7622271182199</v>
      </c>
      <c r="I528" s="10">
        <v>4318627.5575109096</v>
      </c>
      <c r="J528" s="34">
        <f t="shared" si="32"/>
        <v>4.3063732687106623E-4</v>
      </c>
      <c r="K528" s="34">
        <f t="shared" si="33"/>
        <v>4.305446159261761E-4</v>
      </c>
      <c r="L528" s="34">
        <f t="shared" si="34"/>
        <v>0.99850432016284851</v>
      </c>
      <c r="M528" s="34">
        <f t="shared" si="35"/>
        <v>0.99807441950382336</v>
      </c>
    </row>
    <row r="529" spans="1:13" ht="69">
      <c r="A529" t="s">
        <v>164</v>
      </c>
      <c r="B529" t="s">
        <v>115</v>
      </c>
      <c r="C529" s="14" t="s">
        <v>291</v>
      </c>
      <c r="D529" t="s">
        <v>375</v>
      </c>
      <c r="E529" t="s">
        <v>392</v>
      </c>
      <c r="F529" s="20">
        <v>2038</v>
      </c>
      <c r="G529" s="20">
        <v>37</v>
      </c>
      <c r="H529" s="11">
        <v>1994.7823791738199</v>
      </c>
      <c r="I529" s="10">
        <v>4297597.6597140804</v>
      </c>
      <c r="J529" s="34">
        <f t="shared" si="32"/>
        <v>4.6416219877282161E-4</v>
      </c>
      <c r="K529" s="34">
        <f t="shared" si="33"/>
        <v>4.6405449216457839E-4</v>
      </c>
      <c r="L529" s="34">
        <f t="shared" si="34"/>
        <v>0.99807441950382336</v>
      </c>
      <c r="M529" s="34">
        <f t="shared" si="35"/>
        <v>0.99761125858593802</v>
      </c>
    </row>
    <row r="530" spans="1:13" ht="69">
      <c r="A530" t="s">
        <v>164</v>
      </c>
      <c r="B530" t="s">
        <v>115</v>
      </c>
      <c r="C530" s="14" t="s">
        <v>291</v>
      </c>
      <c r="D530" t="s">
        <v>375</v>
      </c>
      <c r="E530" t="s">
        <v>392</v>
      </c>
      <c r="F530" s="20">
        <v>2038</v>
      </c>
      <c r="G530" s="20">
        <v>38</v>
      </c>
      <c r="H530" s="11">
        <v>2145.9320142042502</v>
      </c>
      <c r="I530" s="10">
        <v>4276063.7322804099</v>
      </c>
      <c r="J530" s="34">
        <f t="shared" si="32"/>
        <v>5.0184752813771372E-4</v>
      </c>
      <c r="K530" s="34">
        <f t="shared" si="33"/>
        <v>5.0172162372941198E-4</v>
      </c>
      <c r="L530" s="34">
        <f t="shared" si="34"/>
        <v>0.99761125858593802</v>
      </c>
      <c r="M530" s="34">
        <f t="shared" si="35"/>
        <v>0.9971107354454295</v>
      </c>
    </row>
    <row r="531" spans="1:13" ht="69">
      <c r="A531" t="s">
        <v>164</v>
      </c>
      <c r="B531" t="s">
        <v>115</v>
      </c>
      <c r="C531" s="14" t="s">
        <v>291</v>
      </c>
      <c r="D531" t="s">
        <v>375</v>
      </c>
      <c r="E531" t="s">
        <v>392</v>
      </c>
      <c r="F531" s="20">
        <v>2038</v>
      </c>
      <c r="G531" s="20">
        <v>39</v>
      </c>
      <c r="H531" s="11">
        <v>2333.99600844008</v>
      </c>
      <c r="I531" s="10">
        <v>4293657.9347827099</v>
      </c>
      <c r="J531" s="34">
        <f t="shared" si="32"/>
        <v>5.4359151192098797E-4</v>
      </c>
      <c r="K531" s="34">
        <f t="shared" si="33"/>
        <v>5.4344379282256217E-4</v>
      </c>
      <c r="L531" s="34">
        <f t="shared" si="34"/>
        <v>0.9971107354454295</v>
      </c>
      <c r="M531" s="34">
        <f t="shared" si="35"/>
        <v>0.99656886180549498</v>
      </c>
    </row>
    <row r="532" spans="1:13" ht="69">
      <c r="A532" t="s">
        <v>164</v>
      </c>
      <c r="B532" t="s">
        <v>115</v>
      </c>
      <c r="C532" s="14" t="s">
        <v>291</v>
      </c>
      <c r="D532" t="s">
        <v>375</v>
      </c>
      <c r="E532" t="s">
        <v>392</v>
      </c>
      <c r="F532" s="20">
        <v>2038</v>
      </c>
      <c r="G532" s="20">
        <v>40</v>
      </c>
      <c r="H532" s="11">
        <v>3186.44833371096</v>
      </c>
      <c r="I532" s="10">
        <v>4349737.25506821</v>
      </c>
      <c r="J532" s="34">
        <f t="shared" si="32"/>
        <v>7.3256110584568905E-4</v>
      </c>
      <c r="K532" s="34">
        <f t="shared" si="33"/>
        <v>7.3229284846776377E-4</v>
      </c>
      <c r="L532" s="34">
        <f t="shared" si="34"/>
        <v>0.99656886180549498</v>
      </c>
      <c r="M532" s="34">
        <f t="shared" si="35"/>
        <v>0.99583908155498913</v>
      </c>
    </row>
    <row r="533" spans="1:13" ht="69">
      <c r="A533" t="s">
        <v>164</v>
      </c>
      <c r="B533" t="s">
        <v>115</v>
      </c>
      <c r="C533" s="14" t="s">
        <v>291</v>
      </c>
      <c r="D533" t="s">
        <v>375</v>
      </c>
      <c r="E533" t="s">
        <v>392</v>
      </c>
      <c r="F533" s="20">
        <v>2038</v>
      </c>
      <c r="G533" s="20">
        <v>41</v>
      </c>
      <c r="H533" s="11">
        <v>3757.13615496179</v>
      </c>
      <c r="I533" s="10">
        <v>4482098.91363745</v>
      </c>
      <c r="J533" s="34">
        <f t="shared" si="32"/>
        <v>8.3825373499235968E-4</v>
      </c>
      <c r="K533" s="34">
        <f t="shared" si="33"/>
        <v>8.3790249847892628E-4</v>
      </c>
      <c r="L533" s="34">
        <f t="shared" si="34"/>
        <v>0.99583908155498913</v>
      </c>
      <c r="M533" s="34">
        <f t="shared" si="35"/>
        <v>0.99500466550047129</v>
      </c>
    </row>
    <row r="534" spans="1:13" ht="69">
      <c r="A534" t="s">
        <v>164</v>
      </c>
      <c r="B534" t="s">
        <v>115</v>
      </c>
      <c r="C534" s="14" t="s">
        <v>291</v>
      </c>
      <c r="D534" t="s">
        <v>375</v>
      </c>
      <c r="E534" t="s">
        <v>392</v>
      </c>
      <c r="F534" s="20">
        <v>2038</v>
      </c>
      <c r="G534" s="20">
        <v>42</v>
      </c>
      <c r="H534" s="11">
        <v>4048.90567469194</v>
      </c>
      <c r="I534" s="10">
        <v>4435366.1038728701</v>
      </c>
      <c r="J534" s="34">
        <f t="shared" si="32"/>
        <v>9.1286842616137578E-4</v>
      </c>
      <c r="K534" s="34">
        <f t="shared" si="33"/>
        <v>9.124518885372801E-4</v>
      </c>
      <c r="L534" s="34">
        <f t="shared" si="34"/>
        <v>0.99500466550047129</v>
      </c>
      <c r="M534" s="34">
        <f t="shared" si="35"/>
        <v>0.99409677161433196</v>
      </c>
    </row>
    <row r="535" spans="1:13" ht="69">
      <c r="A535" t="s">
        <v>164</v>
      </c>
      <c r="B535" t="s">
        <v>115</v>
      </c>
      <c r="C535" s="14" t="s">
        <v>291</v>
      </c>
      <c r="D535" t="s">
        <v>375</v>
      </c>
      <c r="E535" t="s">
        <v>392</v>
      </c>
      <c r="F535" s="20">
        <v>2038</v>
      </c>
      <c r="G535" s="20">
        <v>43</v>
      </c>
      <c r="H535" s="11">
        <v>4343.0618824295598</v>
      </c>
      <c r="I535" s="10">
        <v>4358439.7237442899</v>
      </c>
      <c r="J535" s="34">
        <f t="shared" si="32"/>
        <v>9.964717095361092E-4</v>
      </c>
      <c r="K535" s="34">
        <f t="shared" si="33"/>
        <v>9.9597539646978372E-4</v>
      </c>
      <c r="L535" s="34">
        <f t="shared" si="34"/>
        <v>0.99409677161433196</v>
      </c>
      <c r="M535" s="34">
        <f t="shared" si="35"/>
        <v>0.99310667568809408</v>
      </c>
    </row>
    <row r="536" spans="1:13" ht="69">
      <c r="A536" t="s">
        <v>164</v>
      </c>
      <c r="B536" t="s">
        <v>115</v>
      </c>
      <c r="C536" s="14" t="s">
        <v>291</v>
      </c>
      <c r="D536" t="s">
        <v>375</v>
      </c>
      <c r="E536" t="s">
        <v>392</v>
      </c>
      <c r="F536" s="20">
        <v>2038</v>
      </c>
      <c r="G536" s="20">
        <v>44</v>
      </c>
      <c r="H536" s="11">
        <v>4676.33300218157</v>
      </c>
      <c r="I536" s="10">
        <v>4296596.2312982799</v>
      </c>
      <c r="J536" s="34">
        <f t="shared" si="32"/>
        <v>1.0883808369325286E-3</v>
      </c>
      <c r="K536" s="34">
        <f t="shared" si="33"/>
        <v>1.0877887653286678E-3</v>
      </c>
      <c r="L536" s="34">
        <f t="shared" si="34"/>
        <v>0.99310667568809408</v>
      </c>
      <c r="M536" s="34">
        <f t="shared" si="35"/>
        <v>0.99202638540350763</v>
      </c>
    </row>
    <row r="537" spans="1:13" ht="69">
      <c r="A537" t="s">
        <v>164</v>
      </c>
      <c r="B537" t="s">
        <v>115</v>
      </c>
      <c r="C537" s="14" t="s">
        <v>291</v>
      </c>
      <c r="D537" t="s">
        <v>375</v>
      </c>
      <c r="E537" t="s">
        <v>392</v>
      </c>
      <c r="F537" s="20">
        <v>2038</v>
      </c>
      <c r="G537" s="20">
        <v>45</v>
      </c>
      <c r="H537" s="11">
        <v>5937.7672102215402</v>
      </c>
      <c r="I537" s="10">
        <v>4237763.6198035004</v>
      </c>
      <c r="J537" s="34">
        <f t="shared" si="32"/>
        <v>1.4011558319283668E-3</v>
      </c>
      <c r="K537" s="34">
        <f t="shared" si="33"/>
        <v>1.4001746714020769E-3</v>
      </c>
      <c r="L537" s="34">
        <f t="shared" si="34"/>
        <v>0.99202638540350763</v>
      </c>
      <c r="M537" s="34">
        <f t="shared" si="35"/>
        <v>0.99063737518530304</v>
      </c>
    </row>
    <row r="538" spans="1:13" ht="69">
      <c r="A538" t="s">
        <v>164</v>
      </c>
      <c r="B538" t="s">
        <v>115</v>
      </c>
      <c r="C538" s="14" t="s">
        <v>291</v>
      </c>
      <c r="D538" t="s">
        <v>375</v>
      </c>
      <c r="E538" t="s">
        <v>392</v>
      </c>
      <c r="F538" s="20">
        <v>2038</v>
      </c>
      <c r="G538" s="20">
        <v>46</v>
      </c>
      <c r="H538" s="11">
        <v>6398.1013243172101</v>
      </c>
      <c r="I538" s="10">
        <v>4266927.4008664098</v>
      </c>
      <c r="J538" s="34">
        <f t="shared" si="32"/>
        <v>1.4994633663132071E-3</v>
      </c>
      <c r="K538" s="34">
        <f t="shared" si="33"/>
        <v>1.4983397328056647E-3</v>
      </c>
      <c r="L538" s="34">
        <f t="shared" si="34"/>
        <v>0.99063737518530304</v>
      </c>
      <c r="M538" s="34">
        <f t="shared" si="35"/>
        <v>0.98915306384526058</v>
      </c>
    </row>
    <row r="539" spans="1:13" ht="69">
      <c r="A539" t="s">
        <v>164</v>
      </c>
      <c r="B539" t="s">
        <v>115</v>
      </c>
      <c r="C539" s="14" t="s">
        <v>291</v>
      </c>
      <c r="D539" t="s">
        <v>375</v>
      </c>
      <c r="E539" t="s">
        <v>392</v>
      </c>
      <c r="F539" s="20">
        <v>2038</v>
      </c>
      <c r="G539" s="20">
        <v>47</v>
      </c>
      <c r="H539" s="11">
        <v>7059.8714408956102</v>
      </c>
      <c r="I539" s="10">
        <v>4276826.8642792599</v>
      </c>
      <c r="J539" s="34">
        <f t="shared" si="32"/>
        <v>1.6507265000275748E-3</v>
      </c>
      <c r="K539" s="34">
        <f t="shared" si="33"/>
        <v>1.6493648004062278E-3</v>
      </c>
      <c r="L539" s="34">
        <f t="shared" si="34"/>
        <v>0.98915306384526058</v>
      </c>
      <c r="M539" s="34">
        <f t="shared" si="35"/>
        <v>0.98752158959954028</v>
      </c>
    </row>
    <row r="540" spans="1:13" ht="69">
      <c r="A540" t="s">
        <v>164</v>
      </c>
      <c r="B540" t="s">
        <v>115</v>
      </c>
      <c r="C540" s="14" t="s">
        <v>291</v>
      </c>
      <c r="D540" t="s">
        <v>375</v>
      </c>
      <c r="E540" t="s">
        <v>392</v>
      </c>
      <c r="F540" s="20">
        <v>2038</v>
      </c>
      <c r="G540" s="20">
        <v>48</v>
      </c>
      <c r="H540" s="11">
        <v>10552.884444312</v>
      </c>
      <c r="I540" s="10">
        <v>6292398.4594469797</v>
      </c>
      <c r="J540" s="34">
        <f t="shared" si="32"/>
        <v>1.6770845826631681E-3</v>
      </c>
      <c r="K540" s="34">
        <f t="shared" si="33"/>
        <v>1.6756790621498263E-3</v>
      </c>
      <c r="L540" s="34">
        <f t="shared" si="34"/>
        <v>0.98752158959954028</v>
      </c>
      <c r="M540" s="34">
        <f t="shared" si="35"/>
        <v>0.98586682034842743</v>
      </c>
    </row>
    <row r="541" spans="1:13" ht="69">
      <c r="A541" t="s">
        <v>164</v>
      </c>
      <c r="B541" t="s">
        <v>115</v>
      </c>
      <c r="C541" s="14" t="s">
        <v>291</v>
      </c>
      <c r="D541" t="s">
        <v>375</v>
      </c>
      <c r="E541" t="s">
        <v>392</v>
      </c>
      <c r="F541" s="20">
        <v>2038</v>
      </c>
      <c r="G541" s="20">
        <v>49</v>
      </c>
      <c r="H541" s="11">
        <v>8421.3255289483495</v>
      </c>
      <c r="I541" s="10">
        <v>4218174.6284787999</v>
      </c>
      <c r="J541" s="34">
        <f t="shared" si="32"/>
        <v>1.996438334271934E-3</v>
      </c>
      <c r="K541" s="34">
        <f t="shared" si="33"/>
        <v>1.9944467768217011E-3</v>
      </c>
      <c r="L541" s="34">
        <f t="shared" si="34"/>
        <v>0.98586682034842743</v>
      </c>
      <c r="M541" s="34">
        <f t="shared" si="35"/>
        <v>0.98390056144620808</v>
      </c>
    </row>
    <row r="542" spans="1:13" ht="69">
      <c r="A542" t="s">
        <v>164</v>
      </c>
      <c r="B542" t="s">
        <v>115</v>
      </c>
      <c r="C542" s="14" t="s">
        <v>291</v>
      </c>
      <c r="D542" t="s">
        <v>375</v>
      </c>
      <c r="E542" t="s">
        <v>392</v>
      </c>
      <c r="F542" s="20">
        <v>2038</v>
      </c>
      <c r="G542" s="20">
        <v>50</v>
      </c>
      <c r="H542" s="11">
        <v>9660.3689703441996</v>
      </c>
      <c r="I542" s="10">
        <v>4191271.1321932701</v>
      </c>
      <c r="J542" s="34">
        <f t="shared" si="32"/>
        <v>2.3048780824849618E-3</v>
      </c>
      <c r="K542" s="34">
        <f t="shared" si="33"/>
        <v>2.3022238905852088E-3</v>
      </c>
      <c r="L542" s="34">
        <f t="shared" si="34"/>
        <v>0.98390056144620808</v>
      </c>
      <c r="M542" s="34">
        <f t="shared" si="35"/>
        <v>0.9816354020676864</v>
      </c>
    </row>
    <row r="543" spans="1:13" ht="69">
      <c r="A543" t="s">
        <v>164</v>
      </c>
      <c r="B543" t="s">
        <v>115</v>
      </c>
      <c r="C543" s="14" t="s">
        <v>291</v>
      </c>
      <c r="D543" t="s">
        <v>375</v>
      </c>
      <c r="E543" t="s">
        <v>392</v>
      </c>
      <c r="F543" s="20">
        <v>2038</v>
      </c>
      <c r="G543" s="20">
        <v>51</v>
      </c>
      <c r="H543" s="11">
        <v>10042.398473315699</v>
      </c>
      <c r="I543" s="10">
        <v>4050673.6673775702</v>
      </c>
      <c r="J543" s="34">
        <f t="shared" si="32"/>
        <v>2.4791921783759011E-3</v>
      </c>
      <c r="K543" s="34">
        <f t="shared" si="33"/>
        <v>2.4761215195558961E-3</v>
      </c>
      <c r="L543" s="34">
        <f t="shared" si="34"/>
        <v>0.9816354020676864</v>
      </c>
      <c r="M543" s="34">
        <f t="shared" si="35"/>
        <v>0.97920475352426872</v>
      </c>
    </row>
    <row r="544" spans="1:13" ht="69">
      <c r="A544" t="s">
        <v>164</v>
      </c>
      <c r="B544" t="s">
        <v>115</v>
      </c>
      <c r="C544" s="14" t="s">
        <v>291</v>
      </c>
      <c r="D544" t="s">
        <v>375</v>
      </c>
      <c r="E544" t="s">
        <v>392</v>
      </c>
      <c r="F544" s="20">
        <v>2038</v>
      </c>
      <c r="G544" s="20">
        <v>52</v>
      </c>
      <c r="H544" s="11">
        <v>10900.777097211199</v>
      </c>
      <c r="I544" s="10">
        <v>4004727.24046851</v>
      </c>
      <c r="J544" s="34">
        <f t="shared" si="32"/>
        <v>2.7219774138565116E-3</v>
      </c>
      <c r="K544" s="34">
        <f t="shared" si="33"/>
        <v>2.7182761923111309E-3</v>
      </c>
      <c r="L544" s="34">
        <f t="shared" si="34"/>
        <v>0.97920475352426872</v>
      </c>
      <c r="M544" s="34">
        <f t="shared" si="35"/>
        <v>0.9765430045553658</v>
      </c>
    </row>
    <row r="545" spans="1:13" ht="69">
      <c r="A545" t="s">
        <v>164</v>
      </c>
      <c r="B545" t="s">
        <v>115</v>
      </c>
      <c r="C545" s="14" t="s">
        <v>291</v>
      </c>
      <c r="D545" t="s">
        <v>375</v>
      </c>
      <c r="E545" t="s">
        <v>392</v>
      </c>
      <c r="F545" s="20">
        <v>2038</v>
      </c>
      <c r="G545" s="20">
        <v>53</v>
      </c>
      <c r="H545" s="11">
        <v>12078.5652220805</v>
      </c>
      <c r="I545" s="10">
        <v>4047621.58680862</v>
      </c>
      <c r="J545" s="34">
        <f t="shared" si="32"/>
        <v>2.9841142416685111E-3</v>
      </c>
      <c r="K545" s="34">
        <f t="shared" si="33"/>
        <v>2.979666198354658E-3</v>
      </c>
      <c r="L545" s="34">
        <f t="shared" si="34"/>
        <v>0.9765430045553658</v>
      </c>
      <c r="M545" s="34">
        <f t="shared" si="35"/>
        <v>0.97363323237345245</v>
      </c>
    </row>
    <row r="546" spans="1:13" ht="69">
      <c r="A546" t="s">
        <v>164</v>
      </c>
      <c r="B546" t="s">
        <v>115</v>
      </c>
      <c r="C546" s="14" t="s">
        <v>291</v>
      </c>
      <c r="D546" t="s">
        <v>375</v>
      </c>
      <c r="E546" t="s">
        <v>392</v>
      </c>
      <c r="F546" s="20">
        <v>2038</v>
      </c>
      <c r="G546" s="20">
        <v>54</v>
      </c>
      <c r="H546" s="11">
        <v>13414.4809243442</v>
      </c>
      <c r="I546" s="10">
        <v>4112948.5461323899</v>
      </c>
      <c r="J546" s="34">
        <f t="shared" si="32"/>
        <v>3.2615241289508721E-3</v>
      </c>
      <c r="K546" s="34">
        <f t="shared" si="33"/>
        <v>3.256211136849263E-3</v>
      </c>
      <c r="L546" s="34">
        <f t="shared" si="34"/>
        <v>0.97363323237345245</v>
      </c>
      <c r="M546" s="34">
        <f t="shared" si="35"/>
        <v>0.97046287699899147</v>
      </c>
    </row>
    <row r="547" spans="1:13" ht="69">
      <c r="A547" t="s">
        <v>164</v>
      </c>
      <c r="B547" t="s">
        <v>115</v>
      </c>
      <c r="C547" s="14" t="s">
        <v>291</v>
      </c>
      <c r="D547" t="s">
        <v>375</v>
      </c>
      <c r="E547" t="s">
        <v>392</v>
      </c>
      <c r="F547" s="20">
        <v>2038</v>
      </c>
      <c r="G547" s="20">
        <v>55</v>
      </c>
      <c r="H547" s="11">
        <v>14447.453649222</v>
      </c>
      <c r="I547" s="10">
        <v>4072402.78712798</v>
      </c>
      <c r="J547" s="34">
        <f t="shared" si="32"/>
        <v>3.5476485024731352E-3</v>
      </c>
      <c r="K547" s="34">
        <f t="shared" si="33"/>
        <v>3.541363032600775E-3</v>
      </c>
      <c r="L547" s="34">
        <f t="shared" si="34"/>
        <v>0.97046287699899147</v>
      </c>
      <c r="M547" s="34">
        <f t="shared" si="35"/>
        <v>0.96702611564187591</v>
      </c>
    </row>
    <row r="548" spans="1:13" ht="69">
      <c r="A548" t="s">
        <v>164</v>
      </c>
      <c r="B548" t="s">
        <v>115</v>
      </c>
      <c r="C548" s="14" t="s">
        <v>291</v>
      </c>
      <c r="D548" t="s">
        <v>375</v>
      </c>
      <c r="E548" t="s">
        <v>392</v>
      </c>
      <c r="F548" s="20">
        <v>2038</v>
      </c>
      <c r="G548" s="20">
        <v>56</v>
      </c>
      <c r="H548" s="11">
        <v>14981.3141389414</v>
      </c>
      <c r="I548" s="10">
        <v>3923539.8499664702</v>
      </c>
      <c r="J548" s="34">
        <f t="shared" si="32"/>
        <v>3.8183157841685813E-3</v>
      </c>
      <c r="K548" s="34">
        <f t="shared" si="33"/>
        <v>3.8110352858164998E-3</v>
      </c>
      <c r="L548" s="34">
        <f t="shared" si="34"/>
        <v>0.96702611564187591</v>
      </c>
      <c r="M548" s="34">
        <f t="shared" si="35"/>
        <v>0.9633407449928586</v>
      </c>
    </row>
    <row r="549" spans="1:13" ht="69">
      <c r="A549" t="s">
        <v>164</v>
      </c>
      <c r="B549" t="s">
        <v>115</v>
      </c>
      <c r="C549" s="14" t="s">
        <v>291</v>
      </c>
      <c r="D549" t="s">
        <v>375</v>
      </c>
      <c r="E549" t="s">
        <v>392</v>
      </c>
      <c r="F549" s="20">
        <v>2038</v>
      </c>
      <c r="G549" s="20">
        <v>57</v>
      </c>
      <c r="H549" s="11">
        <v>16039.026920803501</v>
      </c>
      <c r="I549" s="10">
        <v>3833714.0700388602</v>
      </c>
      <c r="J549" s="34">
        <f t="shared" si="32"/>
        <v>4.1836784454404871E-3</v>
      </c>
      <c r="K549" s="34">
        <f t="shared" si="33"/>
        <v>4.1749390546212961E-3</v>
      </c>
      <c r="L549" s="34">
        <f t="shared" si="34"/>
        <v>0.9633407449928586</v>
      </c>
      <c r="M549" s="34">
        <f t="shared" si="35"/>
        <v>0.95931885609367995</v>
      </c>
    </row>
    <row r="550" spans="1:13" ht="69">
      <c r="A550" t="s">
        <v>164</v>
      </c>
      <c r="B550" t="s">
        <v>115</v>
      </c>
      <c r="C550" s="14" t="s">
        <v>291</v>
      </c>
      <c r="D550" t="s">
        <v>375</v>
      </c>
      <c r="E550" t="s">
        <v>392</v>
      </c>
      <c r="F550" s="20">
        <v>2038</v>
      </c>
      <c r="G550" s="20">
        <v>58</v>
      </c>
      <c r="H550" s="11">
        <v>17233.099416966499</v>
      </c>
      <c r="I550" s="10">
        <v>3757697.0031647198</v>
      </c>
      <c r="J550" s="34">
        <f t="shared" si="32"/>
        <v>4.5860800917298123E-3</v>
      </c>
      <c r="K550" s="34">
        <f t="shared" si="33"/>
        <v>4.5755800838508387E-3</v>
      </c>
      <c r="L550" s="34">
        <f t="shared" si="34"/>
        <v>0.95931885609367995</v>
      </c>
      <c r="M550" s="34">
        <f t="shared" si="35"/>
        <v>0.95492941584167512</v>
      </c>
    </row>
    <row r="551" spans="1:13" ht="69">
      <c r="A551" t="s">
        <v>164</v>
      </c>
      <c r="B551" t="s">
        <v>115</v>
      </c>
      <c r="C551" s="14" t="s">
        <v>291</v>
      </c>
      <c r="D551" t="s">
        <v>375</v>
      </c>
      <c r="E551" t="s">
        <v>392</v>
      </c>
      <c r="F551" s="20">
        <v>2038</v>
      </c>
      <c r="G551" s="20">
        <v>59</v>
      </c>
      <c r="H551" s="11">
        <v>18460.294784740901</v>
      </c>
      <c r="I551" s="10">
        <v>3675546.7863249299</v>
      </c>
      <c r="J551" s="34">
        <f t="shared" si="32"/>
        <v>5.0224621962161996E-3</v>
      </c>
      <c r="K551" s="34">
        <f t="shared" si="33"/>
        <v>5.0098707218478866E-3</v>
      </c>
      <c r="L551" s="34">
        <f t="shared" si="34"/>
        <v>0.95492941584167512</v>
      </c>
      <c r="M551" s="34">
        <f t="shared" si="35"/>
        <v>0.95014534291981856</v>
      </c>
    </row>
    <row r="552" spans="1:13" ht="69">
      <c r="A552" t="s">
        <v>164</v>
      </c>
      <c r="B552" t="s">
        <v>115</v>
      </c>
      <c r="C552" s="14" t="s">
        <v>291</v>
      </c>
      <c r="D552" t="s">
        <v>375</v>
      </c>
      <c r="E552" t="s">
        <v>392</v>
      </c>
      <c r="F552" s="20">
        <v>2038</v>
      </c>
      <c r="G552" s="20">
        <v>60</v>
      </c>
      <c r="H552" s="11">
        <v>19712.411868445601</v>
      </c>
      <c r="I552" s="10">
        <v>3574090.6600651299</v>
      </c>
      <c r="J552" s="34">
        <f t="shared" si="32"/>
        <v>5.5153642543825081E-3</v>
      </c>
      <c r="K552" s="34">
        <f t="shared" si="33"/>
        <v>5.5001825566410867E-3</v>
      </c>
      <c r="L552" s="34">
        <f t="shared" si="34"/>
        <v>0.95014534291981856</v>
      </c>
      <c r="M552" s="34">
        <f t="shared" si="35"/>
        <v>0.9449193700784172</v>
      </c>
    </row>
    <row r="553" spans="1:13" ht="69">
      <c r="A553" t="s">
        <v>164</v>
      </c>
      <c r="B553" t="s">
        <v>115</v>
      </c>
      <c r="C553" s="14" t="s">
        <v>291</v>
      </c>
      <c r="D553" t="s">
        <v>375</v>
      </c>
      <c r="E553" t="s">
        <v>392</v>
      </c>
      <c r="F553" s="20">
        <v>2038</v>
      </c>
      <c r="G553" s="20">
        <v>61</v>
      </c>
      <c r="H553" s="11">
        <v>20807.752902033299</v>
      </c>
      <c r="I553" s="10">
        <v>3486528.2609271002</v>
      </c>
      <c r="J553" s="34">
        <f t="shared" si="32"/>
        <v>5.968043665448541E-3</v>
      </c>
      <c r="K553" s="34">
        <f t="shared" si="33"/>
        <v>5.9502702679006259E-3</v>
      </c>
      <c r="L553" s="34">
        <f t="shared" si="34"/>
        <v>0.9449193700784172</v>
      </c>
      <c r="M553" s="34">
        <f t="shared" si="35"/>
        <v>0.93929684444507622</v>
      </c>
    </row>
    <row r="554" spans="1:13" ht="69">
      <c r="A554" t="s">
        <v>164</v>
      </c>
      <c r="B554" t="s">
        <v>115</v>
      </c>
      <c r="C554" s="14" t="s">
        <v>291</v>
      </c>
      <c r="D554" t="s">
        <v>375</v>
      </c>
      <c r="E554" t="s">
        <v>392</v>
      </c>
      <c r="F554" s="20">
        <v>2038</v>
      </c>
      <c r="G554" s="20">
        <v>62</v>
      </c>
      <c r="H554" s="11">
        <v>22230.339404841699</v>
      </c>
      <c r="I554" s="10">
        <v>3387558.0872768201</v>
      </c>
      <c r="J554" s="34">
        <f t="shared" si="32"/>
        <v>6.5623492888094376E-3</v>
      </c>
      <c r="K554" s="34">
        <f t="shared" si="33"/>
        <v>6.5408640981804433E-3</v>
      </c>
      <c r="L554" s="34">
        <f t="shared" si="34"/>
        <v>0.93929684444507622</v>
      </c>
      <c r="M554" s="34">
        <f t="shared" si="35"/>
        <v>0.93315303143771122</v>
      </c>
    </row>
    <row r="555" spans="1:13" ht="69">
      <c r="A555" t="s">
        <v>164</v>
      </c>
      <c r="B555" t="s">
        <v>115</v>
      </c>
      <c r="C555" s="14" t="s">
        <v>291</v>
      </c>
      <c r="D555" t="s">
        <v>375</v>
      </c>
      <c r="E555" t="s">
        <v>392</v>
      </c>
      <c r="F555" s="20">
        <v>2038</v>
      </c>
      <c r="G555" s="20">
        <v>63</v>
      </c>
      <c r="H555" s="11">
        <v>23704.216673815499</v>
      </c>
      <c r="I555" s="10">
        <v>3286492.4927117499</v>
      </c>
      <c r="J555" s="34">
        <f t="shared" si="32"/>
        <v>7.2126185367478758E-3</v>
      </c>
      <c r="K555" s="34">
        <f t="shared" si="33"/>
        <v>7.1866700267165795E-3</v>
      </c>
      <c r="L555" s="34">
        <f t="shared" si="34"/>
        <v>0.93315303143771122</v>
      </c>
      <c r="M555" s="34">
        <f t="shared" si="35"/>
        <v>0.92644676851633811</v>
      </c>
    </row>
    <row r="556" spans="1:13" ht="69">
      <c r="A556" t="s">
        <v>164</v>
      </c>
      <c r="B556" t="s">
        <v>115</v>
      </c>
      <c r="C556" s="14" t="s">
        <v>291</v>
      </c>
      <c r="D556" t="s">
        <v>375</v>
      </c>
      <c r="E556" t="s">
        <v>392</v>
      </c>
      <c r="F556" s="20">
        <v>2038</v>
      </c>
      <c r="G556" s="20">
        <v>64</v>
      </c>
      <c r="H556" s="11">
        <v>25005.022625121401</v>
      </c>
      <c r="I556" s="10">
        <v>3159689.45921815</v>
      </c>
      <c r="J556" s="34">
        <f t="shared" si="32"/>
        <v>7.9137595475312229E-3</v>
      </c>
      <c r="K556" s="34">
        <f t="shared" si="33"/>
        <v>7.8825281925574142E-3</v>
      </c>
      <c r="L556" s="34">
        <f t="shared" si="34"/>
        <v>0.92644676851633811</v>
      </c>
      <c r="M556" s="34">
        <f t="shared" si="35"/>
        <v>0.91914402574460441</v>
      </c>
    </row>
    <row r="557" spans="1:13" ht="69">
      <c r="A557" t="s">
        <v>164</v>
      </c>
      <c r="B557" t="s">
        <v>115</v>
      </c>
      <c r="C557" s="14" t="s">
        <v>291</v>
      </c>
      <c r="D557" t="s">
        <v>375</v>
      </c>
      <c r="E557" t="s">
        <v>392</v>
      </c>
      <c r="F557" s="20">
        <v>2038</v>
      </c>
      <c r="G557" s="20">
        <v>65</v>
      </c>
      <c r="H557" s="11">
        <v>25745.417286875701</v>
      </c>
      <c r="I557" s="10">
        <v>3084977.8224134902</v>
      </c>
      <c r="J557" s="34">
        <f t="shared" si="32"/>
        <v>8.3454140577043524E-3</v>
      </c>
      <c r="K557" s="34">
        <f t="shared" si="33"/>
        <v>8.3106877587326711E-3</v>
      </c>
      <c r="L557" s="34">
        <f t="shared" si="34"/>
        <v>0.91914402574460441</v>
      </c>
      <c r="M557" s="34">
        <f t="shared" si="35"/>
        <v>0.91150530674133645</v>
      </c>
    </row>
    <row r="558" spans="1:13" ht="69">
      <c r="A558" t="s">
        <v>164</v>
      </c>
      <c r="B558" t="s">
        <v>115</v>
      </c>
      <c r="C558" s="14" t="s">
        <v>291</v>
      </c>
      <c r="D558" t="s">
        <v>375</v>
      </c>
      <c r="E558" t="s">
        <v>392</v>
      </c>
      <c r="F558" s="20">
        <v>2038</v>
      </c>
      <c r="G558" s="20">
        <v>66</v>
      </c>
      <c r="H558" s="11">
        <v>25950.2325318775</v>
      </c>
      <c r="I558" s="10">
        <v>2865572.01607284</v>
      </c>
      <c r="J558" s="34">
        <f t="shared" si="32"/>
        <v>9.0558647231073017E-3</v>
      </c>
      <c r="K558" s="34">
        <f t="shared" si="33"/>
        <v>9.0149838770406943E-3</v>
      </c>
      <c r="L558" s="34">
        <f t="shared" si="34"/>
        <v>0.91150530674133645</v>
      </c>
      <c r="M558" s="34">
        <f t="shared" si="35"/>
        <v>0.90328810109722624</v>
      </c>
    </row>
    <row r="559" spans="1:13" ht="69">
      <c r="A559" t="s">
        <v>164</v>
      </c>
      <c r="B559" t="s">
        <v>115</v>
      </c>
      <c r="C559" s="14" t="s">
        <v>291</v>
      </c>
      <c r="D559" t="s">
        <v>375</v>
      </c>
      <c r="E559" t="s">
        <v>392</v>
      </c>
      <c r="F559" s="20">
        <v>2038</v>
      </c>
      <c r="G559" s="20">
        <v>67</v>
      </c>
      <c r="H559" s="11">
        <v>27426.178929521298</v>
      </c>
      <c r="I559" s="10">
        <v>2752271.6591345598</v>
      </c>
      <c r="J559" s="34">
        <f t="shared" si="32"/>
        <v>9.9649243702001952E-3</v>
      </c>
      <c r="K559" s="34">
        <f t="shared" si="33"/>
        <v>9.9154390203438636E-3</v>
      </c>
      <c r="L559" s="34">
        <f t="shared" si="34"/>
        <v>0.90328810109722624</v>
      </c>
      <c r="M559" s="34">
        <f t="shared" si="35"/>
        <v>0.89433160301299452</v>
      </c>
    </row>
    <row r="560" spans="1:13" ht="69">
      <c r="A560" t="s">
        <v>164</v>
      </c>
      <c r="B560" t="s">
        <v>115</v>
      </c>
      <c r="C560" s="14" t="s">
        <v>291</v>
      </c>
      <c r="D560" t="s">
        <v>375</v>
      </c>
      <c r="E560" t="s">
        <v>392</v>
      </c>
      <c r="F560" s="20">
        <v>2038</v>
      </c>
      <c r="G560" s="20">
        <v>68</v>
      </c>
      <c r="H560" s="11">
        <v>28975.6782419589</v>
      </c>
      <c r="I560" s="10">
        <v>2641464.5917818402</v>
      </c>
      <c r="J560" s="34">
        <f t="shared" si="32"/>
        <v>1.0969550124619658E-2</v>
      </c>
      <c r="K560" s="34">
        <f t="shared" si="33"/>
        <v>1.0909604003868423E-2</v>
      </c>
      <c r="L560" s="34">
        <f t="shared" si="34"/>
        <v>0.89433160301299452</v>
      </c>
      <c r="M560" s="34">
        <f t="shared" si="35"/>
        <v>0.88457479937597794</v>
      </c>
    </row>
    <row r="561" spans="1:13" ht="69">
      <c r="A561" t="s">
        <v>164</v>
      </c>
      <c r="B561" t="s">
        <v>115</v>
      </c>
      <c r="C561" s="14" t="s">
        <v>291</v>
      </c>
      <c r="D561" t="s">
        <v>375</v>
      </c>
      <c r="E561" t="s">
        <v>392</v>
      </c>
      <c r="F561" s="20">
        <v>2038</v>
      </c>
      <c r="G561" s="20">
        <v>69</v>
      </c>
      <c r="H561" s="11">
        <v>30434.962661123402</v>
      </c>
      <c r="I561" s="10">
        <v>2522036.05427338</v>
      </c>
      <c r="J561" s="34">
        <f t="shared" si="32"/>
        <v>1.2067616007928949E-2</v>
      </c>
      <c r="K561" s="34">
        <f t="shared" si="33"/>
        <v>1.1995094344196988E-2</v>
      </c>
      <c r="L561" s="34">
        <f t="shared" si="34"/>
        <v>0.88457479937597794</v>
      </c>
      <c r="M561" s="34">
        <f t="shared" si="35"/>
        <v>0.87396424120296401</v>
      </c>
    </row>
    <row r="562" spans="1:13" ht="69">
      <c r="A562" t="s">
        <v>164</v>
      </c>
      <c r="B562" t="s">
        <v>115</v>
      </c>
      <c r="C562" s="14" t="s">
        <v>291</v>
      </c>
      <c r="D562" t="s">
        <v>375</v>
      </c>
      <c r="E562" t="s">
        <v>392</v>
      </c>
      <c r="F562" s="20">
        <v>2039</v>
      </c>
      <c r="G562" s="20">
        <v>30</v>
      </c>
      <c r="H562" s="11">
        <v>784.69218189768696</v>
      </c>
      <c r="I562" s="10">
        <v>4690505.8211246701</v>
      </c>
      <c r="J562" s="34">
        <f t="shared" si="32"/>
        <v>1.6729372307004977E-4</v>
      </c>
      <c r="K562" s="34">
        <f t="shared" si="33"/>
        <v>1.6727973025543186E-4</v>
      </c>
      <c r="L562" s="34">
        <f t="shared" si="34"/>
        <v>1</v>
      </c>
      <c r="M562" s="34">
        <f t="shared" si="35"/>
        <v>0.99983272026974457</v>
      </c>
    </row>
    <row r="563" spans="1:13" ht="69">
      <c r="A563" t="s">
        <v>164</v>
      </c>
      <c r="B563" t="s">
        <v>115</v>
      </c>
      <c r="C563" s="14" t="s">
        <v>291</v>
      </c>
      <c r="D563" t="s">
        <v>375</v>
      </c>
      <c r="E563" t="s">
        <v>392</v>
      </c>
      <c r="F563" s="20">
        <v>2039</v>
      </c>
      <c r="G563" s="20">
        <v>31</v>
      </c>
      <c r="H563" s="11">
        <v>1001.78650412822</v>
      </c>
      <c r="I563" s="10">
        <v>4647851.0972092198</v>
      </c>
      <c r="J563" s="34">
        <f t="shared" si="32"/>
        <v>2.1553756417234149E-4</v>
      </c>
      <c r="K563" s="34">
        <f t="shared" si="33"/>
        <v>2.1551433762034833E-4</v>
      </c>
      <c r="L563" s="34">
        <f t="shared" si="34"/>
        <v>0.99983272026974457</v>
      </c>
      <c r="M563" s="34">
        <f t="shared" si="35"/>
        <v>0.99961724198330448</v>
      </c>
    </row>
    <row r="564" spans="1:13" ht="69">
      <c r="A564" t="s">
        <v>164</v>
      </c>
      <c r="B564" t="s">
        <v>115</v>
      </c>
      <c r="C564" s="14" t="s">
        <v>291</v>
      </c>
      <c r="D564" t="s">
        <v>375</v>
      </c>
      <c r="E564" t="s">
        <v>392</v>
      </c>
      <c r="F564" s="20">
        <v>2039</v>
      </c>
      <c r="G564" s="20">
        <v>32</v>
      </c>
      <c r="H564" s="11">
        <v>1107.3992671881499</v>
      </c>
      <c r="I564" s="10">
        <v>4674197.36686402</v>
      </c>
      <c r="J564" s="34">
        <f t="shared" si="32"/>
        <v>2.3691752407346858E-4</v>
      </c>
      <c r="K564" s="34">
        <f t="shared" si="33"/>
        <v>2.3688946133304523E-4</v>
      </c>
      <c r="L564" s="34">
        <f t="shared" si="34"/>
        <v>0.99961724198330448</v>
      </c>
      <c r="M564" s="34">
        <f t="shared" si="35"/>
        <v>0.99938044319331187</v>
      </c>
    </row>
    <row r="565" spans="1:13" ht="69">
      <c r="A565" t="s">
        <v>164</v>
      </c>
      <c r="B565" t="s">
        <v>115</v>
      </c>
      <c r="C565" s="14" t="s">
        <v>291</v>
      </c>
      <c r="D565" t="s">
        <v>375</v>
      </c>
      <c r="E565" t="s">
        <v>392</v>
      </c>
      <c r="F565" s="20">
        <v>2039</v>
      </c>
      <c r="G565" s="20">
        <v>33</v>
      </c>
      <c r="H565" s="11">
        <v>1147.54077393691</v>
      </c>
      <c r="I565" s="10">
        <v>4591206.68392477</v>
      </c>
      <c r="J565" s="34">
        <f t="shared" si="32"/>
        <v>2.4994317462439755E-4</v>
      </c>
      <c r="K565" s="34">
        <f t="shared" si="33"/>
        <v>2.4991194143131334E-4</v>
      </c>
      <c r="L565" s="34">
        <f t="shared" si="34"/>
        <v>0.99938044319331187</v>
      </c>
      <c r="M565" s="34">
        <f t="shared" si="35"/>
        <v>0.999130686086525</v>
      </c>
    </row>
    <row r="566" spans="1:13" ht="69">
      <c r="A566" t="s">
        <v>164</v>
      </c>
      <c r="B566" t="s">
        <v>115</v>
      </c>
      <c r="C566" s="14" t="s">
        <v>291</v>
      </c>
      <c r="D566" t="s">
        <v>375</v>
      </c>
      <c r="E566" t="s">
        <v>392</v>
      </c>
      <c r="F566" s="20">
        <v>2039</v>
      </c>
      <c r="G566" s="20">
        <v>34</v>
      </c>
      <c r="H566" s="11">
        <v>1202.50936361556</v>
      </c>
      <c r="I566" s="10">
        <v>4530048.0463743201</v>
      </c>
      <c r="J566" s="34">
        <f t="shared" si="32"/>
        <v>2.6545179020297661E-4</v>
      </c>
      <c r="K566" s="34">
        <f t="shared" si="33"/>
        <v>2.6541656099376976E-4</v>
      </c>
      <c r="L566" s="34">
        <f t="shared" si="34"/>
        <v>0.999130686086525</v>
      </c>
      <c r="M566" s="34">
        <f t="shared" si="35"/>
        <v>0.99886550025584053</v>
      </c>
    </row>
    <row r="567" spans="1:13" ht="69">
      <c r="A567" t="s">
        <v>164</v>
      </c>
      <c r="B567" t="s">
        <v>115</v>
      </c>
      <c r="C567" s="14" t="s">
        <v>291</v>
      </c>
      <c r="D567" t="s">
        <v>375</v>
      </c>
      <c r="E567" t="s">
        <v>392</v>
      </c>
      <c r="F567" s="20">
        <v>2039</v>
      </c>
      <c r="G567" s="20">
        <v>35</v>
      </c>
      <c r="H567" s="11">
        <v>1557.0632694405199</v>
      </c>
      <c r="I567" s="10">
        <v>4401241.4446957698</v>
      </c>
      <c r="J567" s="34">
        <f t="shared" si="32"/>
        <v>3.5377819849375476E-4</v>
      </c>
      <c r="K567" s="34">
        <f t="shared" si="33"/>
        <v>3.537156263659913E-4</v>
      </c>
      <c r="L567" s="34">
        <f t="shared" si="34"/>
        <v>0.99886550025584053</v>
      </c>
      <c r="M567" s="34">
        <f t="shared" si="35"/>
        <v>0.99851218591976221</v>
      </c>
    </row>
    <row r="568" spans="1:13" ht="69">
      <c r="A568" t="s">
        <v>164</v>
      </c>
      <c r="B568" t="s">
        <v>115</v>
      </c>
      <c r="C568" s="14" t="s">
        <v>291</v>
      </c>
      <c r="D568" t="s">
        <v>375</v>
      </c>
      <c r="E568" t="s">
        <v>392</v>
      </c>
      <c r="F568" s="20">
        <v>2039</v>
      </c>
      <c r="G568" s="20">
        <v>36</v>
      </c>
      <c r="H568" s="11">
        <v>1712.2427360203001</v>
      </c>
      <c r="I568" s="10">
        <v>4334867.7236548904</v>
      </c>
      <c r="J568" s="34">
        <f t="shared" si="32"/>
        <v>3.9499307595403251E-4</v>
      </c>
      <c r="K568" s="34">
        <f t="shared" si="33"/>
        <v>3.9491507645905699E-4</v>
      </c>
      <c r="L568" s="34">
        <f t="shared" si="34"/>
        <v>0.99851218591976221</v>
      </c>
      <c r="M568" s="34">
        <f t="shared" si="35"/>
        <v>0.99811785840351441</v>
      </c>
    </row>
    <row r="569" spans="1:13" ht="69">
      <c r="A569" t="s">
        <v>164</v>
      </c>
      <c r="B569" t="s">
        <v>115</v>
      </c>
      <c r="C569" s="14" t="s">
        <v>291</v>
      </c>
      <c r="D569" t="s">
        <v>375</v>
      </c>
      <c r="E569" t="s">
        <v>392</v>
      </c>
      <c r="F569" s="20">
        <v>2039</v>
      </c>
      <c r="G569" s="20">
        <v>37</v>
      </c>
      <c r="H569" s="11">
        <v>1985.5954305443599</v>
      </c>
      <c r="I569" s="10">
        <v>4311759.6960801901</v>
      </c>
      <c r="J569" s="34">
        <f t="shared" si="32"/>
        <v>4.6050697870511192E-4</v>
      </c>
      <c r="K569" s="34">
        <f t="shared" si="33"/>
        <v>4.6040096164090549E-4</v>
      </c>
      <c r="L569" s="34">
        <f t="shared" si="34"/>
        <v>0.99811785840351441</v>
      </c>
      <c r="M569" s="34">
        <f t="shared" si="35"/>
        <v>0.99765832398167442</v>
      </c>
    </row>
    <row r="570" spans="1:13" ht="69">
      <c r="A570" t="s">
        <v>164</v>
      </c>
      <c r="B570" t="s">
        <v>115</v>
      </c>
      <c r="C570" s="14" t="s">
        <v>291</v>
      </c>
      <c r="D570" t="s">
        <v>375</v>
      </c>
      <c r="E570" t="s">
        <v>392</v>
      </c>
      <c r="F570" s="20">
        <v>2039</v>
      </c>
      <c r="G570" s="20">
        <v>38</v>
      </c>
      <c r="H570" s="11">
        <v>2134.4378848942301</v>
      </c>
      <c r="I570" s="10">
        <v>4290283.8612289298</v>
      </c>
      <c r="J570" s="34">
        <f t="shared" si="32"/>
        <v>4.9750504953367618E-4</v>
      </c>
      <c r="K570" s="34">
        <f t="shared" si="33"/>
        <v>4.9738131441701139E-4</v>
      </c>
      <c r="L570" s="34">
        <f t="shared" si="34"/>
        <v>0.99765832398167442</v>
      </c>
      <c r="M570" s="34">
        <f t="shared" si="35"/>
        <v>0.99716210737315336</v>
      </c>
    </row>
    <row r="571" spans="1:13" ht="69">
      <c r="A571" t="s">
        <v>164</v>
      </c>
      <c r="B571" t="s">
        <v>115</v>
      </c>
      <c r="C571" s="14" t="s">
        <v>291</v>
      </c>
      <c r="D571" t="s">
        <v>375</v>
      </c>
      <c r="E571" t="s">
        <v>392</v>
      </c>
      <c r="F571" s="20">
        <v>2039</v>
      </c>
      <c r="G571" s="20">
        <v>39</v>
      </c>
      <c r="H571" s="11">
        <v>2300.0238020400002</v>
      </c>
      <c r="I571" s="10">
        <v>4268250.2817475097</v>
      </c>
      <c r="J571" s="34">
        <f t="shared" si="32"/>
        <v>5.3886807244544316E-4</v>
      </c>
      <c r="K571" s="34">
        <f t="shared" si="33"/>
        <v>5.3872290912149179E-4</v>
      </c>
      <c r="L571" s="34">
        <f t="shared" si="34"/>
        <v>0.99716210737315336</v>
      </c>
      <c r="M571" s="34">
        <f t="shared" si="35"/>
        <v>0.99662491330180358</v>
      </c>
    </row>
    <row r="572" spans="1:13" ht="69">
      <c r="A572" t="s">
        <v>164</v>
      </c>
      <c r="B572" t="s">
        <v>115</v>
      </c>
      <c r="C572" s="14" t="s">
        <v>291</v>
      </c>
      <c r="D572" t="s">
        <v>375</v>
      </c>
      <c r="E572" t="s">
        <v>392</v>
      </c>
      <c r="F572" s="20">
        <v>2039</v>
      </c>
      <c r="G572" s="20">
        <v>40</v>
      </c>
      <c r="H572" s="11">
        <v>3108.2210768695099</v>
      </c>
      <c r="I572" s="10">
        <v>4285213.3175292397</v>
      </c>
      <c r="J572" s="34">
        <f t="shared" si="32"/>
        <v>7.2533637104013344E-4</v>
      </c>
      <c r="K572" s="34">
        <f t="shared" si="33"/>
        <v>7.2507337820448825E-4</v>
      </c>
      <c r="L572" s="34">
        <f t="shared" si="34"/>
        <v>0.99662491330180358</v>
      </c>
      <c r="M572" s="34">
        <f t="shared" si="35"/>
        <v>0.9959022871091131</v>
      </c>
    </row>
    <row r="573" spans="1:13" ht="69">
      <c r="A573" t="s">
        <v>164</v>
      </c>
      <c r="B573" t="s">
        <v>115</v>
      </c>
      <c r="C573" s="14" t="s">
        <v>291</v>
      </c>
      <c r="D573" t="s">
        <v>375</v>
      </c>
      <c r="E573" t="s">
        <v>392</v>
      </c>
      <c r="F573" s="20">
        <v>2039</v>
      </c>
      <c r="G573" s="20">
        <v>41</v>
      </c>
      <c r="H573" s="11">
        <v>3404.2682903904501</v>
      </c>
      <c r="I573" s="10">
        <v>4339813.0075422404</v>
      </c>
      <c r="J573" s="34">
        <f t="shared" si="32"/>
        <v>7.8442741299547005E-4</v>
      </c>
      <c r="K573" s="34">
        <f t="shared" si="33"/>
        <v>7.8411983024306853E-4</v>
      </c>
      <c r="L573" s="34">
        <f t="shared" si="34"/>
        <v>0.9959022871091131</v>
      </c>
      <c r="M573" s="34">
        <f t="shared" si="35"/>
        <v>0.99512138037680642</v>
      </c>
    </row>
    <row r="574" spans="1:13" ht="69">
      <c r="A574" t="s">
        <v>164</v>
      </c>
      <c r="B574" t="s">
        <v>115</v>
      </c>
      <c r="C574" s="14" t="s">
        <v>291</v>
      </c>
      <c r="D574" t="s">
        <v>375</v>
      </c>
      <c r="E574" t="s">
        <v>392</v>
      </c>
      <c r="F574" s="20">
        <v>2039</v>
      </c>
      <c r="G574" s="20">
        <v>42</v>
      </c>
      <c r="H574" s="11">
        <v>4035.6621441734101</v>
      </c>
      <c r="I574" s="10">
        <v>4471614.1293273298</v>
      </c>
      <c r="J574" s="34">
        <f t="shared" si="32"/>
        <v>9.0250679675271965E-4</v>
      </c>
      <c r="K574" s="34">
        <f t="shared" si="33"/>
        <v>9.0209965998411246E-4</v>
      </c>
      <c r="L574" s="34">
        <f t="shared" si="34"/>
        <v>0.99512138037680642</v>
      </c>
      <c r="M574" s="34">
        <f t="shared" si="35"/>
        <v>0.99422368171792563</v>
      </c>
    </row>
    <row r="575" spans="1:13" ht="69">
      <c r="A575" t="s">
        <v>164</v>
      </c>
      <c r="B575" t="s">
        <v>115</v>
      </c>
      <c r="C575" s="14" t="s">
        <v>291</v>
      </c>
      <c r="D575" t="s">
        <v>375</v>
      </c>
      <c r="E575" t="s">
        <v>392</v>
      </c>
      <c r="F575" s="20">
        <v>2039</v>
      </c>
      <c r="G575" s="20">
        <v>43</v>
      </c>
      <c r="H575" s="11">
        <v>4356.7705502024701</v>
      </c>
      <c r="I575" s="10">
        <v>4424125.5732549503</v>
      </c>
      <c r="J575" s="34">
        <f t="shared" si="32"/>
        <v>9.8477551734524457E-4</v>
      </c>
      <c r="K575" s="34">
        <f t="shared" si="33"/>
        <v>9.8429078506601098E-4</v>
      </c>
      <c r="L575" s="34">
        <f t="shared" si="34"/>
        <v>0.99422368171792563</v>
      </c>
      <c r="M575" s="34">
        <f t="shared" si="35"/>
        <v>0.99324507650971627</v>
      </c>
    </row>
    <row r="576" spans="1:13" ht="69">
      <c r="A576" t="s">
        <v>164</v>
      </c>
      <c r="B576" t="s">
        <v>115</v>
      </c>
      <c r="C576" s="14" t="s">
        <v>291</v>
      </c>
      <c r="D576" t="s">
        <v>375</v>
      </c>
      <c r="E576" t="s">
        <v>392</v>
      </c>
      <c r="F576" s="20">
        <v>2039</v>
      </c>
      <c r="G576" s="20">
        <v>44</v>
      </c>
      <c r="H576" s="11">
        <v>4680.9179462639804</v>
      </c>
      <c r="I576" s="10">
        <v>4346443.6835495401</v>
      </c>
      <c r="J576" s="34">
        <f t="shared" si="32"/>
        <v>1.0769535480191223E-3</v>
      </c>
      <c r="K576" s="34">
        <f t="shared" si="33"/>
        <v>1.076373841671141E-3</v>
      </c>
      <c r="L576" s="34">
        <f t="shared" si="34"/>
        <v>0.99324507650971627</v>
      </c>
      <c r="M576" s="34">
        <f t="shared" si="35"/>
        <v>0.99217597349099251</v>
      </c>
    </row>
    <row r="577" spans="1:13" ht="69">
      <c r="A577" t="s">
        <v>164</v>
      </c>
      <c r="B577" t="s">
        <v>115</v>
      </c>
      <c r="C577" s="14" t="s">
        <v>291</v>
      </c>
      <c r="D577" t="s">
        <v>375</v>
      </c>
      <c r="E577" t="s">
        <v>392</v>
      </c>
      <c r="F577" s="20">
        <v>2039</v>
      </c>
      <c r="G577" s="20">
        <v>45</v>
      </c>
      <c r="H577" s="11">
        <v>5932.4791165098504</v>
      </c>
      <c r="I577" s="10">
        <v>4283727.5507128397</v>
      </c>
      <c r="J577" s="34">
        <f t="shared" si="32"/>
        <v>1.3848871213862908E-3</v>
      </c>
      <c r="K577" s="34">
        <f t="shared" si="33"/>
        <v>1.3839286077456103E-3</v>
      </c>
      <c r="L577" s="34">
        <f t="shared" si="34"/>
        <v>0.99217597349099251</v>
      </c>
      <c r="M577" s="34">
        <f t="shared" si="35"/>
        <v>0.99080287277736045</v>
      </c>
    </row>
    <row r="578" spans="1:13" ht="69">
      <c r="A578" t="s">
        <v>164</v>
      </c>
      <c r="B578" t="s">
        <v>115</v>
      </c>
      <c r="C578" s="14" t="s">
        <v>291</v>
      </c>
      <c r="D578" t="s">
        <v>375</v>
      </c>
      <c r="E578" t="s">
        <v>392</v>
      </c>
      <c r="F578" s="20">
        <v>2039</v>
      </c>
      <c r="G578" s="20">
        <v>46</v>
      </c>
      <c r="H578" s="11">
        <v>6251.5279366411896</v>
      </c>
      <c r="I578" s="10">
        <v>4222981.7085966105</v>
      </c>
      <c r="J578" s="34">
        <f t="shared" ref="J578:J641" si="36">IF(I578&gt;0,H578/I578,0)</f>
        <v>1.480358753132916E-3</v>
      </c>
      <c r="K578" s="34">
        <f t="shared" ref="K578:K641" si="37">1-EXP(-J578)</f>
        <v>1.4792635626055262E-3</v>
      </c>
      <c r="L578" s="34">
        <f t="shared" ref="L578:L641" si="38">IF(G578=30,1,M577)</f>
        <v>0.99080287277736045</v>
      </c>
      <c r="M578" s="34">
        <f t="shared" ref="M578:M641" si="39">L578*(1-K578)</f>
        <v>0.98933721418993603</v>
      </c>
    </row>
    <row r="579" spans="1:13" ht="69">
      <c r="A579" t="s">
        <v>164</v>
      </c>
      <c r="B579" t="s">
        <v>115</v>
      </c>
      <c r="C579" s="14" t="s">
        <v>291</v>
      </c>
      <c r="D579" t="s">
        <v>375</v>
      </c>
      <c r="E579" t="s">
        <v>392</v>
      </c>
      <c r="F579" s="20">
        <v>2039</v>
      </c>
      <c r="G579" s="20">
        <v>47</v>
      </c>
      <c r="H579" s="11">
        <v>6919.5788460403101</v>
      </c>
      <c r="I579" s="10">
        <v>4251794.31379297</v>
      </c>
      <c r="J579" s="34">
        <f t="shared" si="36"/>
        <v>1.6274491039213617E-3</v>
      </c>
      <c r="K579" s="34">
        <f t="shared" si="37"/>
        <v>1.6261255267440156E-3</v>
      </c>
      <c r="L579" s="34">
        <f t="shared" si="38"/>
        <v>0.98933721418993603</v>
      </c>
      <c r="M579" s="34">
        <f t="shared" si="39"/>
        <v>0.98772842769138391</v>
      </c>
    </row>
    <row r="580" spans="1:13" ht="69">
      <c r="A580" t="s">
        <v>164</v>
      </c>
      <c r="B580" t="s">
        <v>115</v>
      </c>
      <c r="C580" s="14" t="s">
        <v>291</v>
      </c>
      <c r="D580" t="s">
        <v>375</v>
      </c>
      <c r="E580" t="s">
        <v>392</v>
      </c>
      <c r="F580" s="20">
        <v>2039</v>
      </c>
      <c r="G580" s="20">
        <v>48</v>
      </c>
      <c r="H580" s="11">
        <v>7632.5556981764003</v>
      </c>
      <c r="I580" s="10">
        <v>4260199.3400027798</v>
      </c>
      <c r="J580" s="34">
        <f t="shared" si="36"/>
        <v>1.7915959064421197E-3</v>
      </c>
      <c r="K580" s="34">
        <f t="shared" si="37"/>
        <v>1.7899919565158573E-3</v>
      </c>
      <c r="L580" s="34">
        <f t="shared" si="38"/>
        <v>0.98772842769138391</v>
      </c>
      <c r="M580" s="34">
        <f t="shared" si="39"/>
        <v>0.9859604017505943</v>
      </c>
    </row>
    <row r="581" spans="1:13" ht="69">
      <c r="A581" t="s">
        <v>164</v>
      </c>
      <c r="B581" t="s">
        <v>115</v>
      </c>
      <c r="C581" s="14" t="s">
        <v>291</v>
      </c>
      <c r="D581" t="s">
        <v>375</v>
      </c>
      <c r="E581" t="s">
        <v>392</v>
      </c>
      <c r="F581" s="20">
        <v>2039</v>
      </c>
      <c r="G581" s="20">
        <v>49</v>
      </c>
      <c r="H581" s="11">
        <v>11352.952243989001</v>
      </c>
      <c r="I581" s="10">
        <v>6267067.7885599798</v>
      </c>
      <c r="J581" s="34">
        <f t="shared" si="36"/>
        <v>1.8115253619424522E-3</v>
      </c>
      <c r="K581" s="34">
        <f t="shared" si="37"/>
        <v>1.8098855402163272E-3</v>
      </c>
      <c r="L581" s="34">
        <f t="shared" si="38"/>
        <v>0.9859604017505943</v>
      </c>
      <c r="M581" s="34">
        <f t="shared" si="39"/>
        <v>0.98417592627624007</v>
      </c>
    </row>
    <row r="582" spans="1:13" ht="69">
      <c r="A582" t="s">
        <v>164</v>
      </c>
      <c r="B582" t="s">
        <v>115</v>
      </c>
      <c r="C582" s="14" t="s">
        <v>291</v>
      </c>
      <c r="D582" t="s">
        <v>375</v>
      </c>
      <c r="E582" t="s">
        <v>392</v>
      </c>
      <c r="F582" s="20">
        <v>2039</v>
      </c>
      <c r="G582" s="20">
        <v>50</v>
      </c>
      <c r="H582" s="11">
        <v>9540.6843951749597</v>
      </c>
      <c r="I582" s="10">
        <v>4198452.6376294103</v>
      </c>
      <c r="J582" s="34">
        <f t="shared" si="36"/>
        <v>2.2724287299718013E-3</v>
      </c>
      <c r="K582" s="34">
        <f t="shared" si="37"/>
        <v>2.2698487184728E-3</v>
      </c>
      <c r="L582" s="34">
        <f t="shared" si="38"/>
        <v>0.98417592627624007</v>
      </c>
      <c r="M582" s="34">
        <f t="shared" si="39"/>
        <v>0.98194199581123021</v>
      </c>
    </row>
    <row r="583" spans="1:13" ht="69">
      <c r="A583" t="s">
        <v>164</v>
      </c>
      <c r="B583" t="s">
        <v>115</v>
      </c>
      <c r="C583" s="14" t="s">
        <v>291</v>
      </c>
      <c r="D583" t="s">
        <v>375</v>
      </c>
      <c r="E583" t="s">
        <v>392</v>
      </c>
      <c r="F583" s="20">
        <v>2039</v>
      </c>
      <c r="G583" s="20">
        <v>51</v>
      </c>
      <c r="H583" s="11">
        <v>10170.1128393853</v>
      </c>
      <c r="I583" s="10">
        <v>4169074.4801637498</v>
      </c>
      <c r="J583" s="34">
        <f t="shared" si="36"/>
        <v>2.4394174025372281E-3</v>
      </c>
      <c r="K583" s="34">
        <f t="shared" si="37"/>
        <v>2.4364444418273346E-3</v>
      </c>
      <c r="L583" s="34">
        <f t="shared" si="38"/>
        <v>0.98194199581123021</v>
      </c>
      <c r="M583" s="34">
        <f t="shared" si="39"/>
        <v>0.9795495486933391</v>
      </c>
    </row>
    <row r="584" spans="1:13" ht="69">
      <c r="A584" t="s">
        <v>164</v>
      </c>
      <c r="B584" t="s">
        <v>115</v>
      </c>
      <c r="C584" s="14" t="s">
        <v>291</v>
      </c>
      <c r="D584" t="s">
        <v>375</v>
      </c>
      <c r="E584" t="s">
        <v>392</v>
      </c>
      <c r="F584" s="20">
        <v>2039</v>
      </c>
      <c r="G584" s="20">
        <v>52</v>
      </c>
      <c r="H584" s="11">
        <v>10793.2616602245</v>
      </c>
      <c r="I584" s="10">
        <v>4028102.6970523898</v>
      </c>
      <c r="J584" s="34">
        <f t="shared" si="36"/>
        <v>2.6794901897914847E-3</v>
      </c>
      <c r="K584" s="34">
        <f t="shared" si="37"/>
        <v>2.6759035601143788E-3</v>
      </c>
      <c r="L584" s="34">
        <f t="shared" si="38"/>
        <v>0.9795495486933391</v>
      </c>
      <c r="M584" s="34">
        <f t="shared" si="39"/>
        <v>0.97692836856868215</v>
      </c>
    </row>
    <row r="585" spans="1:13" ht="69">
      <c r="A585" t="s">
        <v>164</v>
      </c>
      <c r="B585" t="s">
        <v>115</v>
      </c>
      <c r="C585" s="14" t="s">
        <v>291</v>
      </c>
      <c r="D585" t="s">
        <v>375</v>
      </c>
      <c r="E585" t="s">
        <v>392</v>
      </c>
      <c r="F585" s="20">
        <v>2039</v>
      </c>
      <c r="G585" s="20">
        <v>53</v>
      </c>
      <c r="H585" s="11">
        <v>11687.907299839</v>
      </c>
      <c r="I585" s="10">
        <v>3980291.3317847499</v>
      </c>
      <c r="J585" s="34">
        <f t="shared" si="36"/>
        <v>2.9364451809104587E-3</v>
      </c>
      <c r="K585" s="34">
        <f t="shared" si="37"/>
        <v>2.9321380426834409E-3</v>
      </c>
      <c r="L585" s="34">
        <f t="shared" si="38"/>
        <v>0.97692836856868215</v>
      </c>
      <c r="M585" s="34">
        <f t="shared" si="39"/>
        <v>0.97406387973422526</v>
      </c>
    </row>
    <row r="586" spans="1:13" ht="69">
      <c r="A586" t="s">
        <v>164</v>
      </c>
      <c r="B586" t="s">
        <v>115</v>
      </c>
      <c r="C586" s="14" t="s">
        <v>291</v>
      </c>
      <c r="D586" t="s">
        <v>375</v>
      </c>
      <c r="E586" t="s">
        <v>392</v>
      </c>
      <c r="F586" s="20">
        <v>2039</v>
      </c>
      <c r="G586" s="20">
        <v>54</v>
      </c>
      <c r="H586" s="11">
        <v>12921.568679687</v>
      </c>
      <c r="I586" s="10">
        <v>4020606.7784112301</v>
      </c>
      <c r="J586" s="34">
        <f t="shared" si="36"/>
        <v>3.2138354710711213E-3</v>
      </c>
      <c r="K586" s="34">
        <f t="shared" si="37"/>
        <v>3.2086766298889957E-3</v>
      </c>
      <c r="L586" s="34">
        <f t="shared" si="38"/>
        <v>0.97406387973422526</v>
      </c>
      <c r="M586" s="34">
        <f t="shared" si="39"/>
        <v>0.97093842372730299</v>
      </c>
    </row>
    <row r="587" spans="1:13" ht="69">
      <c r="A587" t="s">
        <v>164</v>
      </c>
      <c r="B587" t="s">
        <v>115</v>
      </c>
      <c r="C587" s="14" t="s">
        <v>291</v>
      </c>
      <c r="D587" t="s">
        <v>375</v>
      </c>
      <c r="E587" t="s">
        <v>392</v>
      </c>
      <c r="F587" s="20">
        <v>2039</v>
      </c>
      <c r="G587" s="20">
        <v>55</v>
      </c>
      <c r="H587" s="11">
        <v>14244.4354145049</v>
      </c>
      <c r="I587" s="10">
        <v>4082979.2740229201</v>
      </c>
      <c r="J587" s="34">
        <f t="shared" si="36"/>
        <v>3.4887356654323635E-3</v>
      </c>
      <c r="K587" s="34">
        <f t="shared" si="37"/>
        <v>3.4826570980536209E-3</v>
      </c>
      <c r="L587" s="34">
        <f t="shared" si="38"/>
        <v>0.97093842372730299</v>
      </c>
      <c r="M587" s="34">
        <f t="shared" si="39"/>
        <v>0.9675569781341361</v>
      </c>
    </row>
    <row r="588" spans="1:13" ht="69">
      <c r="A588" t="s">
        <v>164</v>
      </c>
      <c r="B588" t="s">
        <v>115</v>
      </c>
      <c r="C588" s="14" t="s">
        <v>291</v>
      </c>
      <c r="D588" t="s">
        <v>375</v>
      </c>
      <c r="E588" t="s">
        <v>392</v>
      </c>
      <c r="F588" s="20">
        <v>2039</v>
      </c>
      <c r="G588" s="20">
        <v>56</v>
      </c>
      <c r="H588" s="11">
        <v>15130.135585227799</v>
      </c>
      <c r="I588" s="10">
        <v>4039791.5335377799</v>
      </c>
      <c r="J588" s="34">
        <f t="shared" si="36"/>
        <v>3.7452763241913713E-3</v>
      </c>
      <c r="K588" s="34">
        <f t="shared" si="37"/>
        <v>3.7382715245178888E-3</v>
      </c>
      <c r="L588" s="34">
        <f t="shared" si="38"/>
        <v>0.9675569781341361</v>
      </c>
      <c r="M588" s="34">
        <f t="shared" si="39"/>
        <v>0.96393998743442866</v>
      </c>
    </row>
    <row r="589" spans="1:13" ht="69">
      <c r="A589" t="s">
        <v>164</v>
      </c>
      <c r="B589" t="s">
        <v>115</v>
      </c>
      <c r="C589" s="14" t="s">
        <v>291</v>
      </c>
      <c r="D589" t="s">
        <v>375</v>
      </c>
      <c r="E589" t="s">
        <v>392</v>
      </c>
      <c r="F589" s="20">
        <v>2039</v>
      </c>
      <c r="G589" s="20">
        <v>57</v>
      </c>
      <c r="H589" s="11">
        <v>15972.8214033116</v>
      </c>
      <c r="I589" s="10">
        <v>3889710.0862217601</v>
      </c>
      <c r="J589" s="34">
        <f t="shared" si="36"/>
        <v>4.1064297979150101E-3</v>
      </c>
      <c r="K589" s="34">
        <f t="shared" si="37"/>
        <v>4.0980099441946249E-3</v>
      </c>
      <c r="L589" s="34">
        <f t="shared" si="38"/>
        <v>0.96393998743442866</v>
      </c>
      <c r="M589" s="34">
        <f t="shared" si="39"/>
        <v>0.95998975178031554</v>
      </c>
    </row>
    <row r="590" spans="1:13" ht="69">
      <c r="A590" t="s">
        <v>164</v>
      </c>
      <c r="B590" t="s">
        <v>115</v>
      </c>
      <c r="C590" s="14" t="s">
        <v>291</v>
      </c>
      <c r="D590" t="s">
        <v>375</v>
      </c>
      <c r="E590" t="s">
        <v>392</v>
      </c>
      <c r="F590" s="20">
        <v>2039</v>
      </c>
      <c r="G590" s="20">
        <v>58</v>
      </c>
      <c r="H590" s="11">
        <v>17091.7337839801</v>
      </c>
      <c r="I590" s="10">
        <v>3797595.3847189499</v>
      </c>
      <c r="J590" s="34">
        <f t="shared" si="36"/>
        <v>4.5006726763875647E-3</v>
      </c>
      <c r="K590" s="34">
        <f t="shared" si="37"/>
        <v>4.4905598263487168E-3</v>
      </c>
      <c r="L590" s="34">
        <f t="shared" si="38"/>
        <v>0.95998975178031554</v>
      </c>
      <c r="M590" s="34">
        <f t="shared" si="39"/>
        <v>0.95567886036726435</v>
      </c>
    </row>
    <row r="591" spans="1:13" ht="69">
      <c r="A591" t="s">
        <v>164</v>
      </c>
      <c r="B591" t="s">
        <v>115</v>
      </c>
      <c r="C591" s="14" t="s">
        <v>291</v>
      </c>
      <c r="D591" t="s">
        <v>375</v>
      </c>
      <c r="E591" t="s">
        <v>392</v>
      </c>
      <c r="F591" s="20">
        <v>2039</v>
      </c>
      <c r="G591" s="20">
        <v>59</v>
      </c>
      <c r="H591" s="11">
        <v>18354.450036961702</v>
      </c>
      <c r="I591" s="10">
        <v>3718985.8039794001</v>
      </c>
      <c r="J591" s="34">
        <f t="shared" si="36"/>
        <v>4.9353374829562459E-3</v>
      </c>
      <c r="K591" s="34">
        <f t="shared" si="37"/>
        <v>4.9231787156848172E-3</v>
      </c>
      <c r="L591" s="34">
        <f t="shared" si="38"/>
        <v>0.95567886036726435</v>
      </c>
      <c r="M591" s="34">
        <f t="shared" si="39"/>
        <v>0.95097388254287429</v>
      </c>
    </row>
    <row r="592" spans="1:13" ht="69">
      <c r="A592" t="s">
        <v>164</v>
      </c>
      <c r="B592" t="s">
        <v>115</v>
      </c>
      <c r="C592" s="14" t="s">
        <v>291</v>
      </c>
      <c r="D592" t="s">
        <v>375</v>
      </c>
      <c r="E592" t="s">
        <v>392</v>
      </c>
      <c r="F592" s="20">
        <v>2039</v>
      </c>
      <c r="G592" s="20">
        <v>60</v>
      </c>
      <c r="H592" s="11">
        <v>19657.568283852099</v>
      </c>
      <c r="I592" s="10">
        <v>3634135.26286761</v>
      </c>
      <c r="J592" s="34">
        <f t="shared" si="36"/>
        <v>5.4091460174051911E-3</v>
      </c>
      <c r="K592" s="34">
        <f t="shared" si="37"/>
        <v>5.3945429290298552E-3</v>
      </c>
      <c r="L592" s="34">
        <f t="shared" si="38"/>
        <v>0.95097388254287429</v>
      </c>
      <c r="M592" s="34">
        <f t="shared" si="39"/>
        <v>0.94584381310911059</v>
      </c>
    </row>
    <row r="593" spans="1:13" ht="69">
      <c r="A593" t="s">
        <v>164</v>
      </c>
      <c r="B593" t="s">
        <v>115</v>
      </c>
      <c r="C593" s="14" t="s">
        <v>291</v>
      </c>
      <c r="D593" t="s">
        <v>375</v>
      </c>
      <c r="E593" t="s">
        <v>392</v>
      </c>
      <c r="F593" s="20">
        <v>2039</v>
      </c>
      <c r="G593" s="20">
        <v>61</v>
      </c>
      <c r="H593" s="11">
        <v>20612.7333804632</v>
      </c>
      <c r="I593" s="10">
        <v>3529699.1340218</v>
      </c>
      <c r="J593" s="34">
        <f t="shared" si="36"/>
        <v>5.8397989737376558E-3</v>
      </c>
      <c r="K593" s="34">
        <f t="shared" si="37"/>
        <v>5.8227804919971371E-3</v>
      </c>
      <c r="L593" s="34">
        <f t="shared" si="38"/>
        <v>0.94584381310911059</v>
      </c>
      <c r="M593" s="34">
        <f t="shared" si="39"/>
        <v>0.94033637220566268</v>
      </c>
    </row>
    <row r="594" spans="1:13" ht="69">
      <c r="A594" t="s">
        <v>164</v>
      </c>
      <c r="B594" t="s">
        <v>115</v>
      </c>
      <c r="C594" s="14" t="s">
        <v>291</v>
      </c>
      <c r="D594" t="s">
        <v>375</v>
      </c>
      <c r="E594" t="s">
        <v>392</v>
      </c>
      <c r="F594" s="20">
        <v>2039</v>
      </c>
      <c r="G594" s="20">
        <v>62</v>
      </c>
      <c r="H594" s="11">
        <v>22117.8438424468</v>
      </c>
      <c r="I594" s="10">
        <v>3439641.5330672502</v>
      </c>
      <c r="J594" s="34">
        <f t="shared" si="36"/>
        <v>6.4302758382858392E-3</v>
      </c>
      <c r="K594" s="34">
        <f t="shared" si="37"/>
        <v>6.4096458571155646E-3</v>
      </c>
      <c r="L594" s="34">
        <f t="shared" si="38"/>
        <v>0.94033637220566268</v>
      </c>
      <c r="M594" s="34">
        <f t="shared" si="39"/>
        <v>0.93430914907325957</v>
      </c>
    </row>
    <row r="595" spans="1:13" ht="69">
      <c r="A595" t="s">
        <v>164</v>
      </c>
      <c r="B595" t="s">
        <v>115</v>
      </c>
      <c r="C595" s="14" t="s">
        <v>291</v>
      </c>
      <c r="D595" t="s">
        <v>375</v>
      </c>
      <c r="E595" t="s">
        <v>392</v>
      </c>
      <c r="F595" s="20">
        <v>2039</v>
      </c>
      <c r="G595" s="20">
        <v>63</v>
      </c>
      <c r="H595" s="11">
        <v>23590.934763182999</v>
      </c>
      <c r="I595" s="10">
        <v>3337581.1665973798</v>
      </c>
      <c r="J595" s="34">
        <f t="shared" si="36"/>
        <v>7.0682729754355748E-3</v>
      </c>
      <c r="K595" s="34">
        <f t="shared" si="37"/>
        <v>7.0433514858745383E-3</v>
      </c>
      <c r="L595" s="34">
        <f t="shared" si="38"/>
        <v>0.93430914907325957</v>
      </c>
      <c r="M595" s="34">
        <f t="shared" si="39"/>
        <v>0.92772848133986829</v>
      </c>
    </row>
    <row r="596" spans="1:13" ht="69">
      <c r="A596" t="s">
        <v>164</v>
      </c>
      <c r="B596" t="s">
        <v>115</v>
      </c>
      <c r="C596" s="14" t="s">
        <v>291</v>
      </c>
      <c r="D596" t="s">
        <v>375</v>
      </c>
      <c r="E596" t="s">
        <v>392</v>
      </c>
      <c r="F596" s="20">
        <v>2039</v>
      </c>
      <c r="G596" s="20">
        <v>64</v>
      </c>
      <c r="H596" s="11">
        <v>25105.679490481099</v>
      </c>
      <c r="I596" s="10">
        <v>3233301.3975720899</v>
      </c>
      <c r="J596" s="34">
        <f t="shared" si="36"/>
        <v>7.7647198338308765E-3</v>
      </c>
      <c r="K596" s="34">
        <f t="shared" si="37"/>
        <v>7.7346522691832398E-3</v>
      </c>
      <c r="L596" s="34">
        <f t="shared" si="38"/>
        <v>0.92772848133986829</v>
      </c>
      <c r="M596" s="34">
        <f t="shared" si="39"/>
        <v>0.92055282413648698</v>
      </c>
    </row>
    <row r="597" spans="1:13" ht="69">
      <c r="A597" t="s">
        <v>164</v>
      </c>
      <c r="B597" t="s">
        <v>115</v>
      </c>
      <c r="C597" s="14" t="s">
        <v>291</v>
      </c>
      <c r="D597" t="s">
        <v>375</v>
      </c>
      <c r="E597" t="s">
        <v>392</v>
      </c>
      <c r="F597" s="20">
        <v>2039</v>
      </c>
      <c r="G597" s="20">
        <v>65</v>
      </c>
      <c r="H597" s="11">
        <v>25380.0634726319</v>
      </c>
      <c r="I597" s="10">
        <v>3103624.3367220401</v>
      </c>
      <c r="J597" s="34">
        <f t="shared" si="36"/>
        <v>8.1775565336098636E-3</v>
      </c>
      <c r="K597" s="34">
        <f t="shared" si="37"/>
        <v>8.1442112743346229E-3</v>
      </c>
      <c r="L597" s="34">
        <f t="shared" si="38"/>
        <v>0.92055282413648698</v>
      </c>
      <c r="M597" s="34">
        <f t="shared" si="39"/>
        <v>0.91305564744753398</v>
      </c>
    </row>
    <row r="598" spans="1:13" ht="69">
      <c r="A598" t="s">
        <v>164</v>
      </c>
      <c r="B598" t="s">
        <v>115</v>
      </c>
      <c r="C598" s="14" t="s">
        <v>291</v>
      </c>
      <c r="D598" t="s">
        <v>375</v>
      </c>
      <c r="E598" t="s">
        <v>392</v>
      </c>
      <c r="F598" s="20">
        <v>2039</v>
      </c>
      <c r="G598" s="20">
        <v>66</v>
      </c>
      <c r="H598" s="11">
        <v>26789.254898579002</v>
      </c>
      <c r="I598" s="10">
        <v>3025465.0507305101</v>
      </c>
      <c r="J598" s="34">
        <f t="shared" si="36"/>
        <v>8.8545907651819133E-3</v>
      </c>
      <c r="K598" s="34">
        <f t="shared" si="37"/>
        <v>8.815504326254886E-3</v>
      </c>
      <c r="L598" s="34">
        <f t="shared" si="38"/>
        <v>0.91305564744753398</v>
      </c>
      <c r="M598" s="34">
        <f t="shared" si="39"/>
        <v>0.90500660143734879</v>
      </c>
    </row>
    <row r="599" spans="1:13" ht="69">
      <c r="A599" t="s">
        <v>164</v>
      </c>
      <c r="B599" t="s">
        <v>115</v>
      </c>
      <c r="C599" s="14" t="s">
        <v>291</v>
      </c>
      <c r="D599" t="s">
        <v>375</v>
      </c>
      <c r="E599" t="s">
        <v>392</v>
      </c>
      <c r="F599" s="20">
        <v>2039</v>
      </c>
      <c r="G599" s="20">
        <v>67</v>
      </c>
      <c r="H599" s="11">
        <v>27353.9538011533</v>
      </c>
      <c r="I599" s="10">
        <v>2804726.0942713502</v>
      </c>
      <c r="J599" s="34">
        <f t="shared" si="36"/>
        <v>9.7528075404666858E-3</v>
      </c>
      <c r="K599" s="34">
        <f t="shared" si="37"/>
        <v>9.7054031468164492E-3</v>
      </c>
      <c r="L599" s="34">
        <f t="shared" si="38"/>
        <v>0.90500660143734879</v>
      </c>
      <c r="M599" s="34">
        <f t="shared" si="39"/>
        <v>0.89622314751986909</v>
      </c>
    </row>
    <row r="600" spans="1:13" ht="69">
      <c r="A600" t="s">
        <v>164</v>
      </c>
      <c r="B600" t="s">
        <v>115</v>
      </c>
      <c r="C600" s="14" t="s">
        <v>291</v>
      </c>
      <c r="D600" t="s">
        <v>375</v>
      </c>
      <c r="E600" t="s">
        <v>392</v>
      </c>
      <c r="F600" s="20">
        <v>2039</v>
      </c>
      <c r="G600" s="20">
        <v>68</v>
      </c>
      <c r="H600" s="11">
        <v>28857.8951676631</v>
      </c>
      <c r="I600" s="10">
        <v>2688118.0601712</v>
      </c>
      <c r="J600" s="34">
        <f t="shared" si="36"/>
        <v>1.0735352585602289E-2</v>
      </c>
      <c r="K600" s="34">
        <f t="shared" si="37"/>
        <v>1.0677934340086792E-2</v>
      </c>
      <c r="L600" s="34">
        <f t="shared" si="38"/>
        <v>0.89622314751986909</v>
      </c>
      <c r="M600" s="34">
        <f t="shared" si="39"/>
        <v>0.88665333559658599</v>
      </c>
    </row>
    <row r="601" spans="1:13" ht="69">
      <c r="A601" t="s">
        <v>164</v>
      </c>
      <c r="B601" t="s">
        <v>115</v>
      </c>
      <c r="C601" s="14" t="s">
        <v>291</v>
      </c>
      <c r="D601" t="s">
        <v>375</v>
      </c>
      <c r="E601" t="s">
        <v>392</v>
      </c>
      <c r="F601" s="20">
        <v>2039</v>
      </c>
      <c r="G601" s="20">
        <v>69</v>
      </c>
      <c r="H601" s="11">
        <v>30431.522971196398</v>
      </c>
      <c r="I601" s="10">
        <v>2573846.0742658302</v>
      </c>
      <c r="J601" s="34">
        <f t="shared" si="36"/>
        <v>1.1823365536681037E-2</v>
      </c>
      <c r="K601" s="34">
        <f t="shared" si="37"/>
        <v>1.1753744206652761E-2</v>
      </c>
      <c r="L601" s="34">
        <f t="shared" si="38"/>
        <v>0.88665333559658599</v>
      </c>
      <c r="M601" s="34">
        <f t="shared" si="39"/>
        <v>0.87623183909000824</v>
      </c>
    </row>
    <row r="602" spans="1:13" ht="69">
      <c r="A602" t="s">
        <v>164</v>
      </c>
      <c r="B602" t="s">
        <v>115</v>
      </c>
      <c r="C602" s="14" t="s">
        <v>291</v>
      </c>
      <c r="D602" t="s">
        <v>375</v>
      </c>
      <c r="E602" t="s">
        <v>392</v>
      </c>
      <c r="F602" s="20">
        <v>2040</v>
      </c>
      <c r="G602" s="20">
        <v>30</v>
      </c>
      <c r="H602" s="11">
        <v>798.54986185930295</v>
      </c>
      <c r="I602" s="10">
        <v>4755786.9584633801</v>
      </c>
      <c r="J602" s="34">
        <f t="shared" si="36"/>
        <v>1.6791119300207648E-4</v>
      </c>
      <c r="K602" s="34">
        <f t="shared" si="37"/>
        <v>1.6789709670672615E-4</v>
      </c>
      <c r="L602" s="34">
        <f t="shared" si="38"/>
        <v>1</v>
      </c>
      <c r="M602" s="34">
        <f t="shared" si="39"/>
        <v>0.99983210290329327</v>
      </c>
    </row>
    <row r="603" spans="1:13" ht="69">
      <c r="A603" t="s">
        <v>164</v>
      </c>
      <c r="B603" t="s">
        <v>115</v>
      </c>
      <c r="C603" s="14" t="s">
        <v>291</v>
      </c>
      <c r="D603" t="s">
        <v>375</v>
      </c>
      <c r="E603" t="s">
        <v>392</v>
      </c>
      <c r="F603" s="20">
        <v>2040</v>
      </c>
      <c r="G603" s="20">
        <v>31</v>
      </c>
      <c r="H603" s="11">
        <v>1013.09901411981</v>
      </c>
      <c r="I603" s="10">
        <v>4684909.0481475703</v>
      </c>
      <c r="J603" s="34">
        <f t="shared" si="36"/>
        <v>2.1624731744160391E-4</v>
      </c>
      <c r="K603" s="34">
        <f t="shared" si="37"/>
        <v>2.1622393767573023E-4</v>
      </c>
      <c r="L603" s="34">
        <f t="shared" si="38"/>
        <v>0.99983210290329327</v>
      </c>
      <c r="M603" s="34">
        <f t="shared" si="39"/>
        <v>0.99961591526898896</v>
      </c>
    </row>
    <row r="604" spans="1:13" ht="69">
      <c r="A604" t="s">
        <v>164</v>
      </c>
      <c r="B604" t="s">
        <v>115</v>
      </c>
      <c r="C604" s="14" t="s">
        <v>291</v>
      </c>
      <c r="D604" t="s">
        <v>375</v>
      </c>
      <c r="E604" t="s">
        <v>392</v>
      </c>
      <c r="F604" s="20">
        <v>2040</v>
      </c>
      <c r="G604" s="20">
        <v>32</v>
      </c>
      <c r="H604" s="11">
        <v>1052.8027273398</v>
      </c>
      <c r="I604" s="10">
        <v>4642385.9463984398</v>
      </c>
      <c r="J604" s="34">
        <f t="shared" si="36"/>
        <v>2.2678052611213069E-4</v>
      </c>
      <c r="K604" s="34">
        <f t="shared" si="37"/>
        <v>2.2675481335232561E-4</v>
      </c>
      <c r="L604" s="34">
        <f t="shared" si="38"/>
        <v>0.99961591526898896</v>
      </c>
      <c r="M604" s="34">
        <f t="shared" si="39"/>
        <v>0.99938924754869818</v>
      </c>
    </row>
    <row r="605" spans="1:13" ht="69">
      <c r="A605" t="s">
        <v>164</v>
      </c>
      <c r="B605" t="s">
        <v>115</v>
      </c>
      <c r="C605" s="14" t="s">
        <v>291</v>
      </c>
      <c r="D605" t="s">
        <v>375</v>
      </c>
      <c r="E605" t="s">
        <v>392</v>
      </c>
      <c r="F605" s="20">
        <v>2040</v>
      </c>
      <c r="G605" s="20">
        <v>33</v>
      </c>
      <c r="H605" s="11">
        <v>1168.8561395552299</v>
      </c>
      <c r="I605" s="10">
        <v>4668424.9313693298</v>
      </c>
      <c r="J605" s="34">
        <f t="shared" si="36"/>
        <v>2.5037483878152117E-4</v>
      </c>
      <c r="K605" s="34">
        <f t="shared" si="37"/>
        <v>2.5034349761732244E-4</v>
      </c>
      <c r="L605" s="34">
        <f t="shared" si="38"/>
        <v>0.99938924754869818</v>
      </c>
      <c r="M605" s="34">
        <f t="shared" si="39"/>
        <v>0.99913905694898575</v>
      </c>
    </row>
    <row r="606" spans="1:13" ht="69">
      <c r="A606" t="s">
        <v>164</v>
      </c>
      <c r="B606" t="s">
        <v>115</v>
      </c>
      <c r="C606" s="14" t="s">
        <v>291</v>
      </c>
      <c r="D606" t="s">
        <v>375</v>
      </c>
      <c r="E606" t="s">
        <v>392</v>
      </c>
      <c r="F606" s="20">
        <v>2040</v>
      </c>
      <c r="G606" s="20">
        <v>34</v>
      </c>
      <c r="H606" s="11">
        <v>1218.3306261806099</v>
      </c>
      <c r="I606" s="10">
        <v>4585273.4327488504</v>
      </c>
      <c r="J606" s="34">
        <f t="shared" si="36"/>
        <v>2.6570511967270537E-4</v>
      </c>
      <c r="K606" s="34">
        <f t="shared" si="37"/>
        <v>2.6566982319364829E-4</v>
      </c>
      <c r="L606" s="34">
        <f t="shared" si="38"/>
        <v>0.99913905694898575</v>
      </c>
      <c r="M606" s="34">
        <f t="shared" si="39"/>
        <v>0.99887361585238021</v>
      </c>
    </row>
    <row r="607" spans="1:13" ht="69">
      <c r="A607" t="s">
        <v>164</v>
      </c>
      <c r="B607" t="s">
        <v>115</v>
      </c>
      <c r="C607" s="14" t="s">
        <v>291</v>
      </c>
      <c r="D607" t="s">
        <v>375</v>
      </c>
      <c r="E607" t="s">
        <v>392</v>
      </c>
      <c r="F607" s="20">
        <v>2040</v>
      </c>
      <c r="G607" s="20">
        <v>35</v>
      </c>
      <c r="H607" s="11">
        <v>1595.96655348627</v>
      </c>
      <c r="I607" s="10">
        <v>4523885.3372030603</v>
      </c>
      <c r="J607" s="34">
        <f t="shared" si="36"/>
        <v>3.527866942960568E-4</v>
      </c>
      <c r="K607" s="34">
        <f t="shared" si="37"/>
        <v>3.5272447238743343E-4</v>
      </c>
      <c r="L607" s="34">
        <f t="shared" si="38"/>
        <v>0.99887361585238021</v>
      </c>
      <c r="M607" s="34">
        <f t="shared" si="39"/>
        <v>0.99852128868324697</v>
      </c>
    </row>
    <row r="608" spans="1:13" ht="69">
      <c r="A608" t="s">
        <v>164</v>
      </c>
      <c r="B608" t="s">
        <v>115</v>
      </c>
      <c r="C608" s="14" t="s">
        <v>291</v>
      </c>
      <c r="D608" t="s">
        <v>375</v>
      </c>
      <c r="E608" t="s">
        <v>392</v>
      </c>
      <c r="F608" s="20">
        <v>2040</v>
      </c>
      <c r="G608" s="20">
        <v>36</v>
      </c>
      <c r="H608" s="11">
        <v>1722.4747798371</v>
      </c>
      <c r="I608" s="10">
        <v>4394561.2529298002</v>
      </c>
      <c r="J608" s="34">
        <f t="shared" si="36"/>
        <v>3.9195602944178945E-4</v>
      </c>
      <c r="K608" s="34">
        <f t="shared" si="37"/>
        <v>3.918792247122882E-4</v>
      </c>
      <c r="L608" s="34">
        <f t="shared" si="38"/>
        <v>0.99852128868324697</v>
      </c>
      <c r="M608" s="34">
        <f t="shared" si="39"/>
        <v>0.99812998893477911</v>
      </c>
    </row>
    <row r="609" spans="1:13" ht="69">
      <c r="A609" t="s">
        <v>164</v>
      </c>
      <c r="B609" t="s">
        <v>115</v>
      </c>
      <c r="C609" s="14" t="s">
        <v>291</v>
      </c>
      <c r="D609" t="s">
        <v>375</v>
      </c>
      <c r="E609" t="s">
        <v>392</v>
      </c>
      <c r="F609" s="20">
        <v>2040</v>
      </c>
      <c r="G609" s="20">
        <v>37</v>
      </c>
      <c r="H609" s="11">
        <v>1830.67231233233</v>
      </c>
      <c r="I609" s="10">
        <v>4328209.7142587705</v>
      </c>
      <c r="J609" s="34">
        <f t="shared" si="36"/>
        <v>4.2296294153709756E-4</v>
      </c>
      <c r="K609" s="34">
        <f t="shared" si="37"/>
        <v>4.2287350532199675E-4</v>
      </c>
      <c r="L609" s="34">
        <f t="shared" si="38"/>
        <v>0.99812998893477911</v>
      </c>
      <c r="M609" s="34">
        <f t="shared" si="39"/>
        <v>0.9977079062075912</v>
      </c>
    </row>
    <row r="610" spans="1:13" ht="69">
      <c r="A610" t="s">
        <v>164</v>
      </c>
      <c r="B610" t="s">
        <v>115</v>
      </c>
      <c r="C610" s="14" t="s">
        <v>291</v>
      </c>
      <c r="D610" t="s">
        <v>375</v>
      </c>
      <c r="E610" t="s">
        <v>392</v>
      </c>
      <c r="F610" s="20">
        <v>2040</v>
      </c>
      <c r="G610" s="20">
        <v>38</v>
      </c>
      <c r="H610" s="11">
        <v>2122.32363626195</v>
      </c>
      <c r="I610" s="10">
        <v>4304504.3875154397</v>
      </c>
      <c r="J610" s="34">
        <f t="shared" si="36"/>
        <v>4.9304715367869687E-4</v>
      </c>
      <c r="K610" s="34">
        <f t="shared" si="37"/>
        <v>4.9292562590463884E-4</v>
      </c>
      <c r="L610" s="34">
        <f t="shared" si="38"/>
        <v>0.9977079062075912</v>
      </c>
      <c r="M610" s="34">
        <f t="shared" si="39"/>
        <v>0.99721611041345382</v>
      </c>
    </row>
    <row r="611" spans="1:13" ht="69">
      <c r="A611" t="s">
        <v>164</v>
      </c>
      <c r="B611" t="s">
        <v>115</v>
      </c>
      <c r="C611" s="14" t="s">
        <v>291</v>
      </c>
      <c r="D611" t="s">
        <v>375</v>
      </c>
      <c r="E611" t="s">
        <v>392</v>
      </c>
      <c r="F611" s="20">
        <v>2040</v>
      </c>
      <c r="G611" s="20">
        <v>39</v>
      </c>
      <c r="H611" s="11">
        <v>2285.3910842356599</v>
      </c>
      <c r="I611" s="10">
        <v>4282535.7729618996</v>
      </c>
      <c r="J611" s="34">
        <f t="shared" si="36"/>
        <v>5.3365370551359832E-4</v>
      </c>
      <c r="K611" s="34">
        <f t="shared" si="37"/>
        <v>5.3351133770107584E-4</v>
      </c>
      <c r="L611" s="34">
        <f t="shared" si="38"/>
        <v>0.99721611041345382</v>
      </c>
      <c r="M611" s="34">
        <f t="shared" si="39"/>
        <v>0.99668408431241007</v>
      </c>
    </row>
    <row r="612" spans="1:13" ht="69">
      <c r="A612" t="s">
        <v>164</v>
      </c>
      <c r="B612" t="s">
        <v>115</v>
      </c>
      <c r="C612" s="14" t="s">
        <v>291</v>
      </c>
      <c r="D612" t="s">
        <v>375</v>
      </c>
      <c r="E612" t="s">
        <v>392</v>
      </c>
      <c r="F612" s="20">
        <v>2040</v>
      </c>
      <c r="G612" s="20">
        <v>40</v>
      </c>
      <c r="H612" s="11">
        <v>3057.3506915807102</v>
      </c>
      <c r="I612" s="10">
        <v>4259954.9162562704</v>
      </c>
      <c r="J612" s="34">
        <f t="shared" si="36"/>
        <v>7.1769555116972181E-4</v>
      </c>
      <c r="K612" s="34">
        <f t="shared" si="37"/>
        <v>7.1743806931923171E-4</v>
      </c>
      <c r="L612" s="34">
        <f t="shared" si="38"/>
        <v>0.99668408431241007</v>
      </c>
      <c r="M612" s="34">
        <f t="shared" si="39"/>
        <v>0.99596902520723973</v>
      </c>
    </row>
    <row r="613" spans="1:13" ht="69">
      <c r="A613" t="s">
        <v>164</v>
      </c>
      <c r="B613" t="s">
        <v>115</v>
      </c>
      <c r="C613" s="14" t="s">
        <v>291</v>
      </c>
      <c r="D613" t="s">
        <v>375</v>
      </c>
      <c r="E613" t="s">
        <v>392</v>
      </c>
      <c r="F613" s="20">
        <v>2040</v>
      </c>
      <c r="G613" s="20">
        <v>41</v>
      </c>
      <c r="H613" s="11">
        <v>3310.8861965869201</v>
      </c>
      <c r="I613" s="10">
        <v>4275555.1186472196</v>
      </c>
      <c r="J613" s="34">
        <f t="shared" si="36"/>
        <v>7.7437574881141522E-4</v>
      </c>
      <c r="K613" s="34">
        <f t="shared" si="37"/>
        <v>7.7407599728962495E-4</v>
      </c>
      <c r="L613" s="34">
        <f t="shared" si="38"/>
        <v>0.99596902520723973</v>
      </c>
      <c r="M613" s="34">
        <f t="shared" si="39"/>
        <v>0.99519806949078282</v>
      </c>
    </row>
    <row r="614" spans="1:13" ht="69">
      <c r="A614" t="s">
        <v>164</v>
      </c>
      <c r="B614" t="s">
        <v>115</v>
      </c>
      <c r="C614" s="14" t="s">
        <v>291</v>
      </c>
      <c r="D614" t="s">
        <v>375</v>
      </c>
      <c r="E614" t="s">
        <v>392</v>
      </c>
      <c r="F614" s="20">
        <v>2040</v>
      </c>
      <c r="G614" s="20">
        <v>42</v>
      </c>
      <c r="H614" s="11">
        <v>3660.2865423653602</v>
      </c>
      <c r="I614" s="10">
        <v>4330018.3336398602</v>
      </c>
      <c r="J614" s="34">
        <f t="shared" si="36"/>
        <v>8.4532818577894649E-4</v>
      </c>
      <c r="K614" s="34">
        <f t="shared" si="37"/>
        <v>8.4497099656255514E-4</v>
      </c>
      <c r="L614" s="34">
        <f t="shared" si="38"/>
        <v>0.99519806949078282</v>
      </c>
      <c r="M614" s="34">
        <f t="shared" si="39"/>
        <v>0.99435715598622809</v>
      </c>
    </row>
    <row r="615" spans="1:13" ht="69">
      <c r="A615" t="s">
        <v>164</v>
      </c>
      <c r="B615" t="s">
        <v>115</v>
      </c>
      <c r="C615" s="14" t="s">
        <v>291</v>
      </c>
      <c r="D615" t="s">
        <v>375</v>
      </c>
      <c r="E615" t="s">
        <v>392</v>
      </c>
      <c r="F615" s="20">
        <v>2040</v>
      </c>
      <c r="G615" s="20">
        <v>43</v>
      </c>
      <c r="H615" s="11">
        <v>4337.4091149665501</v>
      </c>
      <c r="I615" s="10">
        <v>4460431.6674671704</v>
      </c>
      <c r="J615" s="34">
        <f t="shared" si="36"/>
        <v>9.7241913750234E-4</v>
      </c>
      <c r="K615" s="34">
        <f t="shared" si="37"/>
        <v>9.7194649122867016E-4</v>
      </c>
      <c r="L615" s="34">
        <f t="shared" si="38"/>
        <v>0.99435715598622809</v>
      </c>
      <c r="M615" s="34">
        <f t="shared" si="39"/>
        <v>0.99339069403743918</v>
      </c>
    </row>
    <row r="616" spans="1:13" ht="69">
      <c r="A616" t="s">
        <v>164</v>
      </c>
      <c r="B616" t="s">
        <v>115</v>
      </c>
      <c r="C616" s="14" t="s">
        <v>291</v>
      </c>
      <c r="D616" t="s">
        <v>375</v>
      </c>
      <c r="E616" t="s">
        <v>392</v>
      </c>
      <c r="F616" s="20">
        <v>2040</v>
      </c>
      <c r="G616" s="20">
        <v>44</v>
      </c>
      <c r="H616" s="11">
        <v>4689.83244015738</v>
      </c>
      <c r="I616" s="10">
        <v>4412113.5008384502</v>
      </c>
      <c r="J616" s="34">
        <f t="shared" si="36"/>
        <v>1.062944649829646E-3</v>
      </c>
      <c r="K616" s="34">
        <f t="shared" si="37"/>
        <v>1.0623799242737153E-3</v>
      </c>
      <c r="L616" s="34">
        <f t="shared" si="38"/>
        <v>0.99339069403743918</v>
      </c>
      <c r="M616" s="34">
        <f t="shared" si="39"/>
        <v>0.9923353357071335</v>
      </c>
    </row>
    <row r="617" spans="1:13" ht="69">
      <c r="A617" t="s">
        <v>164</v>
      </c>
      <c r="B617" t="s">
        <v>115</v>
      </c>
      <c r="C617" s="14" t="s">
        <v>291</v>
      </c>
      <c r="D617" t="s">
        <v>375</v>
      </c>
      <c r="E617" t="s">
        <v>392</v>
      </c>
      <c r="F617" s="20">
        <v>2040</v>
      </c>
      <c r="G617" s="20">
        <v>45</v>
      </c>
      <c r="H617" s="11">
        <v>5926.5580309915404</v>
      </c>
      <c r="I617" s="10">
        <v>4333598.5919643901</v>
      </c>
      <c r="J617" s="34">
        <f t="shared" si="36"/>
        <v>1.3675835233057597E-3</v>
      </c>
      <c r="K617" s="34">
        <f t="shared" si="37"/>
        <v>1.3666488071085725E-3</v>
      </c>
      <c r="L617" s="34">
        <f t="shared" si="38"/>
        <v>0.9923353357071335</v>
      </c>
      <c r="M617" s="34">
        <f t="shared" si="39"/>
        <v>0.99097916180433765</v>
      </c>
    </row>
    <row r="618" spans="1:13" ht="69">
      <c r="A618" t="s">
        <v>164</v>
      </c>
      <c r="B618" t="s">
        <v>115</v>
      </c>
      <c r="C618" s="14" t="s">
        <v>291</v>
      </c>
      <c r="D618" t="s">
        <v>375</v>
      </c>
      <c r="E618" t="s">
        <v>392</v>
      </c>
      <c r="F618" s="20">
        <v>2040</v>
      </c>
      <c r="G618" s="20">
        <v>46</v>
      </c>
      <c r="H618" s="11">
        <v>6225.6978568597597</v>
      </c>
      <c r="I618" s="10">
        <v>4268992.3495789403</v>
      </c>
      <c r="J618" s="34">
        <f t="shared" si="36"/>
        <v>1.4583530133226435E-3</v>
      </c>
      <c r="K618" s="34">
        <f t="shared" si="37"/>
        <v>1.457290133314415E-3</v>
      </c>
      <c r="L618" s="34">
        <f t="shared" si="38"/>
        <v>0.99097916180433765</v>
      </c>
      <c r="M618" s="34">
        <f t="shared" si="39"/>
        <v>0.98953501764952001</v>
      </c>
    </row>
    <row r="619" spans="1:13" ht="69">
      <c r="A619" t="s">
        <v>164</v>
      </c>
      <c r="B619" t="s">
        <v>115</v>
      </c>
      <c r="C619" s="14" t="s">
        <v>291</v>
      </c>
      <c r="D619" t="s">
        <v>375</v>
      </c>
      <c r="E619" t="s">
        <v>392</v>
      </c>
      <c r="F619" s="20">
        <v>2040</v>
      </c>
      <c r="G619" s="20">
        <v>47</v>
      </c>
      <c r="H619" s="11">
        <v>6754.0825320122403</v>
      </c>
      <c r="I619" s="10">
        <v>4208222.58573745</v>
      </c>
      <c r="J619" s="34">
        <f t="shared" si="36"/>
        <v>1.6049727395369352E-3</v>
      </c>
      <c r="K619" s="34">
        <f t="shared" si="37"/>
        <v>1.6036854595647965E-3</v>
      </c>
      <c r="L619" s="34">
        <f t="shared" si="38"/>
        <v>0.98953501764952001</v>
      </c>
      <c r="M619" s="34">
        <f t="shared" si="39"/>
        <v>0.98794811472998523</v>
      </c>
    </row>
    <row r="620" spans="1:13" ht="69">
      <c r="A620" t="s">
        <v>164</v>
      </c>
      <c r="B620" t="s">
        <v>115</v>
      </c>
      <c r="C620" s="14" t="s">
        <v>291</v>
      </c>
      <c r="D620" t="s">
        <v>375</v>
      </c>
      <c r="E620" t="s">
        <v>392</v>
      </c>
      <c r="F620" s="20">
        <v>2040</v>
      </c>
      <c r="G620" s="20">
        <v>48</v>
      </c>
      <c r="H620" s="11">
        <v>7473.5204571246204</v>
      </c>
      <c r="I620" s="10">
        <v>4235522.4570147702</v>
      </c>
      <c r="J620" s="34">
        <f t="shared" si="36"/>
        <v>1.7644860894898942E-3</v>
      </c>
      <c r="K620" s="34">
        <f t="shared" si="37"/>
        <v>1.7629302991012397E-3</v>
      </c>
      <c r="L620" s="34">
        <f t="shared" si="38"/>
        <v>0.98794811472998523</v>
      </c>
      <c r="M620" s="34">
        <f t="shared" si="39"/>
        <v>0.98620643106458783</v>
      </c>
    </row>
    <row r="621" spans="1:13" ht="69">
      <c r="A621" t="s">
        <v>164</v>
      </c>
      <c r="B621" t="s">
        <v>115</v>
      </c>
      <c r="C621" s="14" t="s">
        <v>291</v>
      </c>
      <c r="D621" t="s">
        <v>375</v>
      </c>
      <c r="E621" t="s">
        <v>392</v>
      </c>
      <c r="F621" s="20">
        <v>2040</v>
      </c>
      <c r="G621" s="20">
        <v>49</v>
      </c>
      <c r="H621" s="11">
        <v>8236.4639258517509</v>
      </c>
      <c r="I621" s="10">
        <v>4242316.7275089296</v>
      </c>
      <c r="J621" s="34">
        <f t="shared" si="36"/>
        <v>1.9415014141785137E-3</v>
      </c>
      <c r="K621" s="34">
        <f t="shared" si="37"/>
        <v>1.9396179194409724E-3</v>
      </c>
      <c r="L621" s="34">
        <f t="shared" si="38"/>
        <v>0.98620643106458783</v>
      </c>
      <c r="M621" s="34">
        <f t="shared" si="39"/>
        <v>0.98429356739862706</v>
      </c>
    </row>
    <row r="622" spans="1:13" ht="69">
      <c r="A622" t="s">
        <v>164</v>
      </c>
      <c r="B622" t="s">
        <v>115</v>
      </c>
      <c r="C622" s="14" t="s">
        <v>291</v>
      </c>
      <c r="D622" t="s">
        <v>375</v>
      </c>
      <c r="E622" t="s">
        <v>392</v>
      </c>
      <c r="F622" s="20">
        <v>2040</v>
      </c>
      <c r="G622" s="20">
        <v>50</v>
      </c>
      <c r="H622" s="11">
        <v>12860.746404614199</v>
      </c>
      <c r="I622" s="10">
        <v>6239919.1733556204</v>
      </c>
      <c r="J622" s="34">
        <f t="shared" si="36"/>
        <v>2.061043748696206E-3</v>
      </c>
      <c r="K622" s="34">
        <f t="shared" si="37"/>
        <v>2.0589212564626758E-3</v>
      </c>
      <c r="L622" s="34">
        <f t="shared" si="38"/>
        <v>0.98429356739862706</v>
      </c>
      <c r="M622" s="34">
        <f t="shared" si="39"/>
        <v>0.98226698445011051</v>
      </c>
    </row>
    <row r="623" spans="1:13" ht="69">
      <c r="A623" t="s">
        <v>164</v>
      </c>
      <c r="B623" t="s">
        <v>115</v>
      </c>
      <c r="C623" s="14" t="s">
        <v>291</v>
      </c>
      <c r="D623" t="s">
        <v>375</v>
      </c>
      <c r="E623" t="s">
        <v>392</v>
      </c>
      <c r="F623" s="20">
        <v>2040</v>
      </c>
      <c r="G623" s="20">
        <v>51</v>
      </c>
      <c r="H623" s="11">
        <v>10018.6473397714</v>
      </c>
      <c r="I623" s="10">
        <v>4176568.10178898</v>
      </c>
      <c r="J623" s="34">
        <f t="shared" si="36"/>
        <v>2.3987750458277072E-3</v>
      </c>
      <c r="K623" s="34">
        <f t="shared" si="37"/>
        <v>2.3959002840624466E-3</v>
      </c>
      <c r="L623" s="34">
        <f t="shared" si="38"/>
        <v>0.98226698445011051</v>
      </c>
      <c r="M623" s="34">
        <f t="shared" si="39"/>
        <v>0.9799135707030413</v>
      </c>
    </row>
    <row r="624" spans="1:13" ht="69">
      <c r="A624" t="s">
        <v>164</v>
      </c>
      <c r="B624" t="s">
        <v>115</v>
      </c>
      <c r="C624" s="14" t="s">
        <v>291</v>
      </c>
      <c r="D624" t="s">
        <v>375</v>
      </c>
      <c r="E624" t="s">
        <v>392</v>
      </c>
      <c r="F624" s="20">
        <v>2040</v>
      </c>
      <c r="G624" s="20">
        <v>52</v>
      </c>
      <c r="H624" s="11">
        <v>10920.388658315</v>
      </c>
      <c r="I624" s="10">
        <v>4146226.36366755</v>
      </c>
      <c r="J624" s="34">
        <f t="shared" si="36"/>
        <v>2.6338139070283071E-3</v>
      </c>
      <c r="K624" s="34">
        <f t="shared" si="37"/>
        <v>2.6303484622930418E-3</v>
      </c>
      <c r="L624" s="34">
        <f t="shared" si="38"/>
        <v>0.9799135707030413</v>
      </c>
      <c r="M624" s="34">
        <f t="shared" si="39"/>
        <v>0.97733605654916245</v>
      </c>
    </row>
    <row r="625" spans="1:13" ht="69">
      <c r="A625" t="s">
        <v>164</v>
      </c>
      <c r="B625" t="s">
        <v>115</v>
      </c>
      <c r="C625" s="14" t="s">
        <v>291</v>
      </c>
      <c r="D625" t="s">
        <v>375</v>
      </c>
      <c r="E625" t="s">
        <v>392</v>
      </c>
      <c r="F625" s="20">
        <v>2040</v>
      </c>
      <c r="G625" s="20">
        <v>53</v>
      </c>
      <c r="H625" s="11">
        <v>11560.573321489201</v>
      </c>
      <c r="I625" s="10">
        <v>4003919.2953065801</v>
      </c>
      <c r="J625" s="34">
        <f t="shared" si="36"/>
        <v>2.8873142710545089E-3</v>
      </c>
      <c r="K625" s="34">
        <f t="shared" si="37"/>
        <v>2.8831499880332956E-3</v>
      </c>
      <c r="L625" s="34">
        <f t="shared" si="38"/>
        <v>0.97733605654916245</v>
      </c>
      <c r="M625" s="34">
        <f t="shared" si="39"/>
        <v>0.97451825010941817</v>
      </c>
    </row>
    <row r="626" spans="1:13" ht="69">
      <c r="A626" t="s">
        <v>164</v>
      </c>
      <c r="B626" t="s">
        <v>115</v>
      </c>
      <c r="C626" s="14" t="s">
        <v>291</v>
      </c>
      <c r="D626" t="s">
        <v>375</v>
      </c>
      <c r="E626" t="s">
        <v>392</v>
      </c>
      <c r="F626" s="20">
        <v>2040</v>
      </c>
      <c r="G626" s="20">
        <v>54</v>
      </c>
      <c r="H626" s="11">
        <v>12489.007822772501</v>
      </c>
      <c r="I626" s="10">
        <v>3954159.6914269999</v>
      </c>
      <c r="J626" s="34">
        <f t="shared" si="36"/>
        <v>3.1584480135817164E-3</v>
      </c>
      <c r="K626" s="34">
        <f t="shared" si="37"/>
        <v>3.1534653638483068E-3</v>
      </c>
      <c r="L626" s="34">
        <f t="shared" si="38"/>
        <v>0.97451825010941817</v>
      </c>
      <c r="M626" s="34">
        <f t="shared" si="39"/>
        <v>0.97144514056126008</v>
      </c>
    </row>
    <row r="627" spans="1:13" ht="69">
      <c r="A627" t="s">
        <v>164</v>
      </c>
      <c r="B627" t="s">
        <v>115</v>
      </c>
      <c r="C627" s="14" t="s">
        <v>291</v>
      </c>
      <c r="D627" t="s">
        <v>375</v>
      </c>
      <c r="E627" t="s">
        <v>392</v>
      </c>
      <c r="F627" s="20">
        <v>2040</v>
      </c>
      <c r="G627" s="20">
        <v>55</v>
      </c>
      <c r="H627" s="11">
        <v>13680.980280710301</v>
      </c>
      <c r="I627" s="10">
        <v>3991772.31703931</v>
      </c>
      <c r="J627" s="34">
        <f t="shared" si="36"/>
        <v>3.4272947438188203E-3</v>
      </c>
      <c r="K627" s="34">
        <f t="shared" si="37"/>
        <v>3.4214282731434009E-3</v>
      </c>
      <c r="L627" s="34">
        <f t="shared" si="38"/>
        <v>0.97144514056126008</v>
      </c>
      <c r="M627" s="34">
        <f t="shared" si="39"/>
        <v>0.96812141069153601</v>
      </c>
    </row>
    <row r="628" spans="1:13" ht="69">
      <c r="A628" t="s">
        <v>164</v>
      </c>
      <c r="B628" t="s">
        <v>115</v>
      </c>
      <c r="C628" s="14" t="s">
        <v>291</v>
      </c>
      <c r="D628" t="s">
        <v>375</v>
      </c>
      <c r="E628" t="s">
        <v>392</v>
      </c>
      <c r="F628" s="20">
        <v>2040</v>
      </c>
      <c r="G628" s="20">
        <v>56</v>
      </c>
      <c r="H628" s="11">
        <v>14879.658907298501</v>
      </c>
      <c r="I628" s="10">
        <v>4050830.9292606702</v>
      </c>
      <c r="J628" s="34">
        <f t="shared" si="36"/>
        <v>3.6732362241576528E-3</v>
      </c>
      <c r="K628" s="34">
        <f t="shared" si="37"/>
        <v>3.6664981446891121E-3</v>
      </c>
      <c r="L628" s="34">
        <f t="shared" si="38"/>
        <v>0.96812141069153601</v>
      </c>
      <c r="M628" s="34">
        <f t="shared" si="39"/>
        <v>0.96457179533540172</v>
      </c>
    </row>
    <row r="629" spans="1:13" ht="69">
      <c r="A629" t="s">
        <v>164</v>
      </c>
      <c r="B629" t="s">
        <v>115</v>
      </c>
      <c r="C629" s="14" t="s">
        <v>291</v>
      </c>
      <c r="D629" t="s">
        <v>375</v>
      </c>
      <c r="E629" t="s">
        <v>392</v>
      </c>
      <c r="F629" s="20">
        <v>2040</v>
      </c>
      <c r="G629" s="20">
        <v>57</v>
      </c>
      <c r="H629" s="11">
        <v>16113.967970228399</v>
      </c>
      <c r="I629" s="10">
        <v>4005579.6661638701</v>
      </c>
      <c r="J629" s="34">
        <f t="shared" si="36"/>
        <v>4.0228804101306746E-3</v>
      </c>
      <c r="K629" s="34">
        <f t="shared" si="37"/>
        <v>4.0147994665884479E-3</v>
      </c>
      <c r="L629" s="34">
        <f t="shared" si="38"/>
        <v>0.96457179533540172</v>
      </c>
      <c r="M629" s="34">
        <f t="shared" si="39"/>
        <v>0.96069923300600291</v>
      </c>
    </row>
    <row r="630" spans="1:13" ht="69">
      <c r="A630" t="s">
        <v>164</v>
      </c>
      <c r="B630" t="s">
        <v>115</v>
      </c>
      <c r="C630" s="14" t="s">
        <v>291</v>
      </c>
      <c r="D630" t="s">
        <v>375</v>
      </c>
      <c r="E630" t="s">
        <v>392</v>
      </c>
      <c r="F630" s="20">
        <v>2040</v>
      </c>
      <c r="G630" s="20">
        <v>58</v>
      </c>
      <c r="H630" s="11">
        <v>17004.5330031835</v>
      </c>
      <c r="I630" s="10">
        <v>3853694.97534802</v>
      </c>
      <c r="J630" s="34">
        <f t="shared" si="36"/>
        <v>4.4125269674847199E-3</v>
      </c>
      <c r="K630" s="34">
        <f t="shared" si="37"/>
        <v>4.402806073523502E-3</v>
      </c>
      <c r="L630" s="34">
        <f t="shared" si="38"/>
        <v>0.96069923300600291</v>
      </c>
      <c r="M630" s="34">
        <f t="shared" si="39"/>
        <v>0.95646946058809468</v>
      </c>
    </row>
    <row r="631" spans="1:13" ht="69">
      <c r="A631" t="s">
        <v>164</v>
      </c>
      <c r="B631" t="s">
        <v>115</v>
      </c>
      <c r="C631" s="14" t="s">
        <v>291</v>
      </c>
      <c r="D631" t="s">
        <v>375</v>
      </c>
      <c r="E631" t="s">
        <v>392</v>
      </c>
      <c r="F631" s="20">
        <v>2040</v>
      </c>
      <c r="G631" s="20">
        <v>59</v>
      </c>
      <c r="H631" s="11">
        <v>18187.7720610832</v>
      </c>
      <c r="I631" s="10">
        <v>3759153.8872646</v>
      </c>
      <c r="J631" s="34">
        <f t="shared" si="36"/>
        <v>4.8382621745548656E-3</v>
      </c>
      <c r="K631" s="34">
        <f t="shared" si="37"/>
        <v>4.8265766376131003E-3</v>
      </c>
      <c r="L631" s="34">
        <f t="shared" si="38"/>
        <v>0.95646946058809468</v>
      </c>
      <c r="M631" s="34">
        <f t="shared" si="39"/>
        <v>0.95185298743502977</v>
      </c>
    </row>
    <row r="632" spans="1:13" ht="69">
      <c r="A632" t="s">
        <v>164</v>
      </c>
      <c r="B632" t="s">
        <v>115</v>
      </c>
      <c r="C632" s="14" t="s">
        <v>291</v>
      </c>
      <c r="D632" t="s">
        <v>375</v>
      </c>
      <c r="E632" t="s">
        <v>392</v>
      </c>
      <c r="F632" s="20">
        <v>2040</v>
      </c>
      <c r="G632" s="20">
        <v>60</v>
      </c>
      <c r="H632" s="11">
        <v>19492.4400321299</v>
      </c>
      <c r="I632" s="10">
        <v>3677792.1632361901</v>
      </c>
      <c r="J632" s="34">
        <f t="shared" si="36"/>
        <v>5.300038492381246E-3</v>
      </c>
      <c r="K632" s="34">
        <f t="shared" si="37"/>
        <v>5.2860180689017211E-3</v>
      </c>
      <c r="L632" s="34">
        <f t="shared" si="38"/>
        <v>0.95185298743502977</v>
      </c>
      <c r="M632" s="34">
        <f t="shared" si="39"/>
        <v>0.94682147534451011</v>
      </c>
    </row>
    <row r="633" spans="1:13" ht="69">
      <c r="A633" t="s">
        <v>164</v>
      </c>
      <c r="B633" t="s">
        <v>115</v>
      </c>
      <c r="C633" s="14" t="s">
        <v>291</v>
      </c>
      <c r="D633" t="s">
        <v>375</v>
      </c>
      <c r="E633" t="s">
        <v>392</v>
      </c>
      <c r="F633" s="20">
        <v>2040</v>
      </c>
      <c r="G633" s="20">
        <v>61</v>
      </c>
      <c r="H633" s="11">
        <v>20515.918979461501</v>
      </c>
      <c r="I633" s="10">
        <v>3589792.7671197299</v>
      </c>
      <c r="J633" s="34">
        <f t="shared" si="36"/>
        <v>5.7150705654584197E-3</v>
      </c>
      <c r="K633" s="34">
        <f t="shared" si="37"/>
        <v>5.6987706162439089E-3</v>
      </c>
      <c r="L633" s="34">
        <f t="shared" si="38"/>
        <v>0.94682147534451011</v>
      </c>
      <c r="M633" s="34">
        <f t="shared" si="39"/>
        <v>0.94142575694198816</v>
      </c>
    </row>
    <row r="634" spans="1:13" ht="69">
      <c r="A634" t="s">
        <v>164</v>
      </c>
      <c r="B634" t="s">
        <v>115</v>
      </c>
      <c r="C634" s="14" t="s">
        <v>291</v>
      </c>
      <c r="D634" t="s">
        <v>375</v>
      </c>
      <c r="E634" t="s">
        <v>392</v>
      </c>
      <c r="F634" s="20">
        <v>2040</v>
      </c>
      <c r="G634" s="20">
        <v>62</v>
      </c>
      <c r="H634" s="11">
        <v>21897.5843583977</v>
      </c>
      <c r="I634" s="10">
        <v>3483110.57891224</v>
      </c>
      <c r="J634" s="34">
        <f t="shared" si="36"/>
        <v>6.2867898857337512E-3</v>
      </c>
      <c r="K634" s="34">
        <f t="shared" si="37"/>
        <v>6.2670693700879188E-3</v>
      </c>
      <c r="L634" s="34">
        <f t="shared" si="38"/>
        <v>0.94142575694198816</v>
      </c>
      <c r="M634" s="34">
        <f t="shared" si="39"/>
        <v>0.93552577641644519</v>
      </c>
    </row>
    <row r="635" spans="1:13" ht="69">
      <c r="A635" t="s">
        <v>164</v>
      </c>
      <c r="B635" t="s">
        <v>115</v>
      </c>
      <c r="C635" s="14" t="s">
        <v>291</v>
      </c>
      <c r="D635" t="s">
        <v>375</v>
      </c>
      <c r="E635" t="s">
        <v>392</v>
      </c>
      <c r="F635" s="20">
        <v>2040</v>
      </c>
      <c r="G635" s="20">
        <v>63</v>
      </c>
      <c r="H635" s="11">
        <v>23457.479987953098</v>
      </c>
      <c r="I635" s="10">
        <v>3389762.1206645598</v>
      </c>
      <c r="J635" s="34">
        <f t="shared" si="36"/>
        <v>6.9200962052624153E-3</v>
      </c>
      <c r="K635" s="34">
        <f t="shared" si="37"/>
        <v>6.8962074753828873E-3</v>
      </c>
      <c r="L635" s="34">
        <f t="shared" si="38"/>
        <v>0.93552577641644519</v>
      </c>
      <c r="M635" s="34">
        <f t="shared" si="39"/>
        <v>0.92907419656370871</v>
      </c>
    </row>
    <row r="636" spans="1:13" ht="69">
      <c r="A636" t="s">
        <v>164</v>
      </c>
      <c r="B636" t="s">
        <v>115</v>
      </c>
      <c r="C636" s="14" t="s">
        <v>291</v>
      </c>
      <c r="D636" t="s">
        <v>375</v>
      </c>
      <c r="E636" t="s">
        <v>392</v>
      </c>
      <c r="F636" s="20">
        <v>2040</v>
      </c>
      <c r="G636" s="20">
        <v>64</v>
      </c>
      <c r="H636" s="11">
        <v>24970.106966222</v>
      </c>
      <c r="I636" s="10">
        <v>3284476.4848977602</v>
      </c>
      <c r="J636" s="34">
        <f t="shared" si="36"/>
        <v>7.6024617868437182E-3</v>
      </c>
      <c r="K636" s="34">
        <f t="shared" si="37"/>
        <v>7.5736361690417198E-3</v>
      </c>
      <c r="L636" s="34">
        <f t="shared" si="38"/>
        <v>0.92907419656370871</v>
      </c>
      <c r="M636" s="34">
        <f t="shared" si="39"/>
        <v>0.92203772662489047</v>
      </c>
    </row>
    <row r="637" spans="1:13" ht="69">
      <c r="A637" t="s">
        <v>164</v>
      </c>
      <c r="B637" t="s">
        <v>115</v>
      </c>
      <c r="C637" s="14" t="s">
        <v>291</v>
      </c>
      <c r="D637" t="s">
        <v>375</v>
      </c>
      <c r="E637" t="s">
        <v>392</v>
      </c>
      <c r="F637" s="20">
        <v>2040</v>
      </c>
      <c r="G637" s="20">
        <v>65</v>
      </c>
      <c r="H637" s="11">
        <v>25433.8015534558</v>
      </c>
      <c r="I637" s="10">
        <v>3176867.0779123101</v>
      </c>
      <c r="J637" s="34">
        <f t="shared" si="36"/>
        <v>8.0059382182806702E-3</v>
      </c>
      <c r="K637" s="34">
        <f t="shared" si="37"/>
        <v>7.9739760475003862E-3</v>
      </c>
      <c r="L637" s="34">
        <f t="shared" si="38"/>
        <v>0.92203772662489047</v>
      </c>
      <c r="M637" s="34">
        <f t="shared" si="39"/>
        <v>0.91468541987789187</v>
      </c>
    </row>
    <row r="638" spans="1:13" ht="69">
      <c r="A638" t="s">
        <v>164</v>
      </c>
      <c r="B638" t="s">
        <v>115</v>
      </c>
      <c r="C638" s="14" t="s">
        <v>291</v>
      </c>
      <c r="D638" t="s">
        <v>375</v>
      </c>
      <c r="E638" t="s">
        <v>392</v>
      </c>
      <c r="F638" s="20">
        <v>2040</v>
      </c>
      <c r="G638" s="20">
        <v>66</v>
      </c>
      <c r="H638" s="11">
        <v>26365.953234659501</v>
      </c>
      <c r="I638" s="10">
        <v>3044751.4060766799</v>
      </c>
      <c r="J638" s="34">
        <f t="shared" si="36"/>
        <v>8.6594764952037245E-3</v>
      </c>
      <c r="K638" s="34">
        <f t="shared" si="37"/>
        <v>8.6220912187527921E-3</v>
      </c>
      <c r="L638" s="34">
        <f t="shared" si="38"/>
        <v>0.91468541987789187</v>
      </c>
      <c r="M638" s="34">
        <f t="shared" si="39"/>
        <v>0.90679891875124152</v>
      </c>
    </row>
    <row r="639" spans="1:13" ht="69">
      <c r="A639" t="s">
        <v>164</v>
      </c>
      <c r="B639" t="s">
        <v>115</v>
      </c>
      <c r="C639" s="14" t="s">
        <v>291</v>
      </c>
      <c r="D639" t="s">
        <v>375</v>
      </c>
      <c r="E639" t="s">
        <v>392</v>
      </c>
      <c r="F639" s="20">
        <v>2040</v>
      </c>
      <c r="G639" s="20">
        <v>67</v>
      </c>
      <c r="H639" s="11">
        <v>28225.6465411889</v>
      </c>
      <c r="I639" s="10">
        <v>2962376.51001128</v>
      </c>
      <c r="J639" s="34">
        <f t="shared" si="36"/>
        <v>9.5280415726363647E-3</v>
      </c>
      <c r="K639" s="34">
        <f t="shared" si="37"/>
        <v>9.482793606730433E-3</v>
      </c>
      <c r="L639" s="34">
        <f t="shared" si="38"/>
        <v>0.90679891875124152</v>
      </c>
      <c r="M639" s="34">
        <f t="shared" si="39"/>
        <v>0.89819993176191715</v>
      </c>
    </row>
    <row r="640" spans="1:13" ht="69">
      <c r="A640" t="s">
        <v>164</v>
      </c>
      <c r="B640" t="s">
        <v>115</v>
      </c>
      <c r="C640" s="14" t="s">
        <v>291</v>
      </c>
      <c r="D640" t="s">
        <v>375</v>
      </c>
      <c r="E640" t="s">
        <v>392</v>
      </c>
      <c r="F640" s="20">
        <v>2040</v>
      </c>
      <c r="G640" s="20">
        <v>68</v>
      </c>
      <c r="H640" s="11">
        <v>28769.180230543399</v>
      </c>
      <c r="I640" s="10">
        <v>2740442.4646258298</v>
      </c>
      <c r="J640" s="34">
        <f t="shared" si="36"/>
        <v>1.0498005560015082E-2</v>
      </c>
      <c r="K640" s="34">
        <f t="shared" si="37"/>
        <v>1.0443093822207872E-2</v>
      </c>
      <c r="L640" s="34">
        <f t="shared" si="38"/>
        <v>0.89819993176191715</v>
      </c>
      <c r="M640" s="34">
        <f t="shared" si="39"/>
        <v>0.8888199456034267</v>
      </c>
    </row>
    <row r="641" spans="1:13" ht="69">
      <c r="A641" t="s">
        <v>164</v>
      </c>
      <c r="B641" t="s">
        <v>115</v>
      </c>
      <c r="C641" s="14" t="s">
        <v>291</v>
      </c>
      <c r="D641" t="s">
        <v>375</v>
      </c>
      <c r="E641" t="s">
        <v>392</v>
      </c>
      <c r="F641" s="20">
        <v>2040</v>
      </c>
      <c r="G641" s="20">
        <v>69</v>
      </c>
      <c r="H641" s="11">
        <v>30296.4062037818</v>
      </c>
      <c r="I641" s="10">
        <v>2620459.2450810098</v>
      </c>
      <c r="J641" s="34">
        <f t="shared" si="36"/>
        <v>1.1561487270085441E-2</v>
      </c>
      <c r="K641" s="34">
        <f t="shared" si="37"/>
        <v>1.1494910100181666E-2</v>
      </c>
      <c r="L641" s="34">
        <f t="shared" si="38"/>
        <v>0.8888199456034267</v>
      </c>
      <c r="M641" s="34">
        <f t="shared" si="39"/>
        <v>0.87860304023346691</v>
      </c>
    </row>
    <row r="642" spans="1:13" ht="69">
      <c r="A642" t="s">
        <v>164</v>
      </c>
      <c r="B642" t="s">
        <v>115</v>
      </c>
      <c r="C642" s="14" t="s">
        <v>291</v>
      </c>
      <c r="D642" t="s">
        <v>375</v>
      </c>
      <c r="E642" t="s">
        <v>392</v>
      </c>
      <c r="F642" s="20">
        <v>2041</v>
      </c>
      <c r="G642" s="20">
        <v>30</v>
      </c>
      <c r="H642" s="11">
        <v>823.38598649528706</v>
      </c>
      <c r="I642" s="10">
        <v>4884143.3634923296</v>
      </c>
      <c r="J642" s="34">
        <f t="shared" ref="J642:J705" si="40">IF(I642&gt;0,H642/I642,0)</f>
        <v>1.6858350077310957E-4</v>
      </c>
      <c r="K642" s="34">
        <f t="shared" ref="K642:K705" si="41">1-EXP(-J642)</f>
        <v>1.6856929137321064E-4</v>
      </c>
      <c r="L642" s="34">
        <f t="shared" ref="L642:L705" si="42">IF(G642=30,1,M641)</f>
        <v>1</v>
      </c>
      <c r="M642" s="34">
        <f t="shared" ref="M642:M705" si="43">L642*(1-K642)</f>
        <v>0.99983143070862679</v>
      </c>
    </row>
    <row r="643" spans="1:13" ht="69">
      <c r="A643" t="s">
        <v>164</v>
      </c>
      <c r="B643" t="s">
        <v>115</v>
      </c>
      <c r="C643" s="14" t="s">
        <v>291</v>
      </c>
      <c r="D643" t="s">
        <v>375</v>
      </c>
      <c r="E643" t="s">
        <v>392</v>
      </c>
      <c r="F643" s="20">
        <v>2041</v>
      </c>
      <c r="G643" s="20">
        <v>31</v>
      </c>
      <c r="H643" s="11">
        <v>1030.9669512354801</v>
      </c>
      <c r="I643" s="10">
        <v>4750159.0046918299</v>
      </c>
      <c r="J643" s="34">
        <f t="shared" si="40"/>
        <v>2.1703840865477825E-4</v>
      </c>
      <c r="K643" s="34">
        <f t="shared" si="41"/>
        <v>2.1701485752323446E-4</v>
      </c>
      <c r="L643" s="34">
        <f t="shared" si="42"/>
        <v>0.99983143070862679</v>
      </c>
      <c r="M643" s="34">
        <f t="shared" si="43"/>
        <v>0.99961445243314428</v>
      </c>
    </row>
    <row r="644" spans="1:13" ht="69">
      <c r="A644" t="s">
        <v>164</v>
      </c>
      <c r="B644" t="s">
        <v>115</v>
      </c>
      <c r="C644" s="14" t="s">
        <v>291</v>
      </c>
      <c r="D644" t="s">
        <v>375</v>
      </c>
      <c r="E644" t="s">
        <v>392</v>
      </c>
      <c r="F644" s="20">
        <v>2041</v>
      </c>
      <c r="G644" s="20">
        <v>32</v>
      </c>
      <c r="H644" s="11">
        <v>1064.27246882642</v>
      </c>
      <c r="I644" s="10">
        <v>4679448.4507447695</v>
      </c>
      <c r="J644" s="34">
        <f t="shared" si="40"/>
        <v>2.2743545100000685E-4</v>
      </c>
      <c r="K644" s="34">
        <f t="shared" si="41"/>
        <v>2.2740958951850132E-4</v>
      </c>
      <c r="L644" s="34">
        <f t="shared" si="42"/>
        <v>0.99961445243314428</v>
      </c>
      <c r="M644" s="34">
        <f t="shared" si="43"/>
        <v>0.99938713052083972</v>
      </c>
    </row>
    <row r="645" spans="1:13" ht="69">
      <c r="A645" t="s">
        <v>164</v>
      </c>
      <c r="B645" t="s">
        <v>115</v>
      </c>
      <c r="C645" s="14" t="s">
        <v>291</v>
      </c>
      <c r="D645" t="s">
        <v>375</v>
      </c>
      <c r="E645" t="s">
        <v>392</v>
      </c>
      <c r="F645" s="20">
        <v>2041</v>
      </c>
      <c r="G645" s="20">
        <v>33</v>
      </c>
      <c r="H645" s="11">
        <v>1112.19935162299</v>
      </c>
      <c r="I645" s="10">
        <v>4636754.1518424498</v>
      </c>
      <c r="J645" s="34">
        <f t="shared" si="40"/>
        <v>2.3986593103735056E-4</v>
      </c>
      <c r="K645" s="34">
        <f t="shared" si="41"/>
        <v>2.3983716550490808E-4</v>
      </c>
      <c r="L645" s="34">
        <f t="shared" si="42"/>
        <v>0.99938713052083972</v>
      </c>
      <c r="M645" s="34">
        <f t="shared" si="43"/>
        <v>0.99914744034421354</v>
      </c>
    </row>
    <row r="646" spans="1:13" ht="69">
      <c r="A646" t="s">
        <v>164</v>
      </c>
      <c r="B646" t="s">
        <v>115</v>
      </c>
      <c r="C646" s="14" t="s">
        <v>291</v>
      </c>
      <c r="D646" t="s">
        <v>375</v>
      </c>
      <c r="E646" t="s">
        <v>392</v>
      </c>
      <c r="F646" s="20">
        <v>2041</v>
      </c>
      <c r="G646" s="20">
        <v>34</v>
      </c>
      <c r="H646" s="11">
        <v>1240.3000101832499</v>
      </c>
      <c r="I646" s="10">
        <v>4662447.4124982404</v>
      </c>
      <c r="J646" s="34">
        <f t="shared" si="40"/>
        <v>2.6601908835657416E-4</v>
      </c>
      <c r="K646" s="34">
        <f t="shared" si="41"/>
        <v>2.6598370841623975E-4</v>
      </c>
      <c r="L646" s="34">
        <f t="shared" si="42"/>
        <v>0.99914744034421354</v>
      </c>
      <c r="M646" s="34">
        <f t="shared" si="43"/>
        <v>0.99888168340277617</v>
      </c>
    </row>
    <row r="647" spans="1:13" ht="69">
      <c r="A647" t="s">
        <v>164</v>
      </c>
      <c r="B647" t="s">
        <v>115</v>
      </c>
      <c r="C647" s="14" t="s">
        <v>291</v>
      </c>
      <c r="D647" t="s">
        <v>375</v>
      </c>
      <c r="E647" t="s">
        <v>392</v>
      </c>
      <c r="F647" s="20">
        <v>2041</v>
      </c>
      <c r="G647" s="20">
        <v>35</v>
      </c>
      <c r="H647" s="11">
        <v>1611.45804603684</v>
      </c>
      <c r="I647" s="10">
        <v>4579095.1475468297</v>
      </c>
      <c r="J647" s="34">
        <f t="shared" si="40"/>
        <v>3.5191626164399545E-4</v>
      </c>
      <c r="K647" s="34">
        <f t="shared" si="41"/>
        <v>3.5185434637963198E-4</v>
      </c>
      <c r="L647" s="34">
        <f t="shared" si="42"/>
        <v>0.99888168340277617</v>
      </c>
      <c r="M647" s="34">
        <f t="shared" si="43"/>
        <v>0.99853022254095192</v>
      </c>
    </row>
    <row r="648" spans="1:13" ht="69">
      <c r="A648" t="s">
        <v>164</v>
      </c>
      <c r="B648" t="s">
        <v>115</v>
      </c>
      <c r="C648" s="14" t="s">
        <v>291</v>
      </c>
      <c r="D648" t="s">
        <v>375</v>
      </c>
      <c r="E648" t="s">
        <v>392</v>
      </c>
      <c r="F648" s="20">
        <v>2041</v>
      </c>
      <c r="G648" s="20">
        <v>36</v>
      </c>
      <c r="H648" s="11">
        <v>1757.26312432246</v>
      </c>
      <c r="I648" s="10">
        <v>4517088.8837624397</v>
      </c>
      <c r="J648" s="34">
        <f t="shared" si="40"/>
        <v>3.8902558031109072E-4</v>
      </c>
      <c r="K648" s="34">
        <f t="shared" si="41"/>
        <v>3.8894991967164394E-4</v>
      </c>
      <c r="L648" s="34">
        <f t="shared" si="42"/>
        <v>0.99853022254095192</v>
      </c>
      <c r="M648" s="34">
        <f t="shared" si="43"/>
        <v>0.99814184429110486</v>
      </c>
    </row>
    <row r="649" spans="1:13" ht="69">
      <c r="A649" t="s">
        <v>164</v>
      </c>
      <c r="B649" t="s">
        <v>115</v>
      </c>
      <c r="C649" s="14" t="s">
        <v>291</v>
      </c>
      <c r="D649" t="s">
        <v>375</v>
      </c>
      <c r="E649" t="s">
        <v>392</v>
      </c>
      <c r="F649" s="20">
        <v>2041</v>
      </c>
      <c r="G649" s="20">
        <v>37</v>
      </c>
      <c r="H649" s="11">
        <v>1841.14014929378</v>
      </c>
      <c r="I649" s="10">
        <v>4387888.48153535</v>
      </c>
      <c r="J649" s="34">
        <f t="shared" si="40"/>
        <v>4.1959593026155337E-4</v>
      </c>
      <c r="K649" s="34">
        <f t="shared" si="41"/>
        <v>4.1950791220035644E-4</v>
      </c>
      <c r="L649" s="34">
        <f t="shared" si="42"/>
        <v>0.99814184429110486</v>
      </c>
      <c r="M649" s="34">
        <f t="shared" si="43"/>
        <v>0.99772311588992646</v>
      </c>
    </row>
    <row r="650" spans="1:13" ht="69">
      <c r="A650" t="s">
        <v>164</v>
      </c>
      <c r="B650" t="s">
        <v>115</v>
      </c>
      <c r="C650" s="14" t="s">
        <v>291</v>
      </c>
      <c r="D650" t="s">
        <v>375</v>
      </c>
      <c r="E650" t="s">
        <v>392</v>
      </c>
      <c r="F650" s="20">
        <v>2041</v>
      </c>
      <c r="G650" s="20">
        <v>38</v>
      </c>
      <c r="H650" s="11">
        <v>1961.52945989156</v>
      </c>
      <c r="I650" s="10">
        <v>4321178.80224426</v>
      </c>
      <c r="J650" s="34">
        <f t="shared" si="40"/>
        <v>4.5393388000348757E-4</v>
      </c>
      <c r="K650" s="34">
        <f t="shared" si="41"/>
        <v>4.5383086760730773E-4</v>
      </c>
      <c r="L650" s="34">
        <f t="shared" si="42"/>
        <v>0.99772311588992646</v>
      </c>
      <c r="M650" s="34">
        <f t="shared" si="43"/>
        <v>0.99727031834261026</v>
      </c>
    </row>
    <row r="651" spans="1:13" ht="69">
      <c r="A651" t="s">
        <v>164</v>
      </c>
      <c r="B651" t="s">
        <v>115</v>
      </c>
      <c r="C651" s="14" t="s">
        <v>291</v>
      </c>
      <c r="D651" t="s">
        <v>375</v>
      </c>
      <c r="E651" t="s">
        <v>392</v>
      </c>
      <c r="F651" s="20">
        <v>2041</v>
      </c>
      <c r="G651" s="20">
        <v>39</v>
      </c>
      <c r="H651" s="11">
        <v>2272.165424624</v>
      </c>
      <c r="I651" s="10">
        <v>4296824.4174801297</v>
      </c>
      <c r="J651" s="34">
        <f t="shared" si="40"/>
        <v>5.2880108746833788E-4</v>
      </c>
      <c r="K651" s="34">
        <f t="shared" si="41"/>
        <v>5.2866129681483631E-4</v>
      </c>
      <c r="L651" s="34">
        <f t="shared" si="42"/>
        <v>0.99727031834261026</v>
      </c>
      <c r="M651" s="34">
        <f t="shared" si="43"/>
        <v>0.99674310012284029</v>
      </c>
    </row>
    <row r="652" spans="1:13" ht="69">
      <c r="A652" t="s">
        <v>164</v>
      </c>
      <c r="B652" t="s">
        <v>115</v>
      </c>
      <c r="C652" s="14" t="s">
        <v>291</v>
      </c>
      <c r="D652" t="s">
        <v>375</v>
      </c>
      <c r="E652" t="s">
        <v>392</v>
      </c>
      <c r="F652" s="20">
        <v>2041</v>
      </c>
      <c r="G652" s="20">
        <v>40</v>
      </c>
      <c r="H652" s="11">
        <v>3035.2778373731899</v>
      </c>
      <c r="I652" s="10">
        <v>4274315.8282700898</v>
      </c>
      <c r="J652" s="34">
        <f t="shared" si="40"/>
        <v>7.1012015941780183E-4</v>
      </c>
      <c r="K652" s="34">
        <f t="shared" si="41"/>
        <v>7.0986808376893862E-4</v>
      </c>
      <c r="L652" s="34">
        <f t="shared" si="42"/>
        <v>0.99674310012284029</v>
      </c>
      <c r="M652" s="34">
        <f t="shared" si="43"/>
        <v>0.99603554400834615</v>
      </c>
    </row>
    <row r="653" spans="1:13" ht="69">
      <c r="A653" t="s">
        <v>164</v>
      </c>
      <c r="B653" t="s">
        <v>115</v>
      </c>
      <c r="C653" s="14" t="s">
        <v>291</v>
      </c>
      <c r="D653" t="s">
        <v>375</v>
      </c>
      <c r="E653" t="s">
        <v>392</v>
      </c>
      <c r="F653" s="20">
        <v>2041</v>
      </c>
      <c r="G653" s="20">
        <v>41</v>
      </c>
      <c r="H653" s="11">
        <v>3249.7393233744501</v>
      </c>
      <c r="I653" s="10">
        <v>4250475.3473521397</v>
      </c>
      <c r="J653" s="34">
        <f t="shared" si="40"/>
        <v>7.6455903347349041E-4</v>
      </c>
      <c r="K653" s="34">
        <f t="shared" si="41"/>
        <v>7.6426683268859819E-4</v>
      </c>
      <c r="L653" s="34">
        <f t="shared" si="42"/>
        <v>0.99603554400834615</v>
      </c>
      <c r="M653" s="34">
        <f t="shared" si="43"/>
        <v>0.99527430707788167</v>
      </c>
    </row>
    <row r="654" spans="1:13" ht="69">
      <c r="A654" t="s">
        <v>164</v>
      </c>
      <c r="B654" t="s">
        <v>115</v>
      </c>
      <c r="C654" s="14" t="s">
        <v>291</v>
      </c>
      <c r="D654" t="s">
        <v>375</v>
      </c>
      <c r="E654" t="s">
        <v>392</v>
      </c>
      <c r="F654" s="20">
        <v>2041</v>
      </c>
      <c r="G654" s="20">
        <v>42</v>
      </c>
      <c r="H654" s="11">
        <v>3559.3021915209201</v>
      </c>
      <c r="I654" s="10">
        <v>4266041.0740780598</v>
      </c>
      <c r="J654" s="34">
        <f t="shared" si="40"/>
        <v>8.3433378387950149E-4</v>
      </c>
      <c r="K654" s="34">
        <f t="shared" si="41"/>
        <v>8.3398582422622436E-4</v>
      </c>
      <c r="L654" s="34">
        <f t="shared" si="42"/>
        <v>0.99527430707788167</v>
      </c>
      <c r="M654" s="34">
        <f t="shared" si="43"/>
        <v>0.99444426241456219</v>
      </c>
    </row>
    <row r="655" spans="1:13" ht="69">
      <c r="A655" t="s">
        <v>164</v>
      </c>
      <c r="B655" t="s">
        <v>115</v>
      </c>
      <c r="C655" s="14" t="s">
        <v>291</v>
      </c>
      <c r="D655" t="s">
        <v>375</v>
      </c>
      <c r="E655" t="s">
        <v>392</v>
      </c>
      <c r="F655" s="20">
        <v>2041</v>
      </c>
      <c r="G655" s="20">
        <v>43</v>
      </c>
      <c r="H655" s="11">
        <v>3941.3305997675502</v>
      </c>
      <c r="I655" s="10">
        <v>4319573.2308942098</v>
      </c>
      <c r="J655" s="34">
        <f t="shared" si="40"/>
        <v>9.1243518493414727E-4</v>
      </c>
      <c r="K655" s="34">
        <f t="shared" si="41"/>
        <v>9.1201904252802279E-4</v>
      </c>
      <c r="L655" s="34">
        <f t="shared" si="42"/>
        <v>0.99444426241456219</v>
      </c>
      <c r="M655" s="34">
        <f t="shared" si="43"/>
        <v>0.9935373103105074</v>
      </c>
    </row>
    <row r="656" spans="1:13" ht="69">
      <c r="A656" t="s">
        <v>164</v>
      </c>
      <c r="B656" t="s">
        <v>115</v>
      </c>
      <c r="C656" s="14" t="s">
        <v>291</v>
      </c>
      <c r="D656" t="s">
        <v>375</v>
      </c>
      <c r="E656" t="s">
        <v>392</v>
      </c>
      <c r="F656" s="20">
        <v>2041</v>
      </c>
      <c r="G656" s="20">
        <v>44</v>
      </c>
      <c r="H656" s="11">
        <v>4667.48317487653</v>
      </c>
      <c r="I656" s="10">
        <v>4448492.1153135402</v>
      </c>
      <c r="J656" s="34">
        <f t="shared" si="40"/>
        <v>1.049228155043623E-3</v>
      </c>
      <c r="K656" s="34">
        <f t="shared" si="41"/>
        <v>1.048677907644846E-3</v>
      </c>
      <c r="L656" s="34">
        <f t="shared" si="42"/>
        <v>0.9935373103105074</v>
      </c>
      <c r="M656" s="34">
        <f t="shared" si="43"/>
        <v>0.99249540968276384</v>
      </c>
    </row>
    <row r="657" spans="1:13" ht="69">
      <c r="A657" t="s">
        <v>164</v>
      </c>
      <c r="B657" t="s">
        <v>115</v>
      </c>
      <c r="C657" s="14" t="s">
        <v>291</v>
      </c>
      <c r="D657" t="s">
        <v>375</v>
      </c>
      <c r="E657" t="s">
        <v>392</v>
      </c>
      <c r="F657" s="20">
        <v>2041</v>
      </c>
      <c r="G657" s="20">
        <v>45</v>
      </c>
      <c r="H657" s="11">
        <v>5932.1223218841296</v>
      </c>
      <c r="I657" s="10">
        <v>4399263.54880876</v>
      </c>
      <c r="J657" s="34">
        <f t="shared" si="40"/>
        <v>1.3484353133356695E-3</v>
      </c>
      <c r="K657" s="34">
        <f t="shared" si="41"/>
        <v>1.3475265829391292E-3</v>
      </c>
      <c r="L657" s="34">
        <f t="shared" si="42"/>
        <v>0.99249540968276384</v>
      </c>
      <c r="M657" s="34">
        <f t="shared" si="43"/>
        <v>0.99115799573477126</v>
      </c>
    </row>
    <row r="658" spans="1:13" ht="69">
      <c r="A658" t="s">
        <v>164</v>
      </c>
      <c r="B658" t="s">
        <v>115</v>
      </c>
      <c r="C658" s="14" t="s">
        <v>291</v>
      </c>
      <c r="D658" t="s">
        <v>375</v>
      </c>
      <c r="E658" t="s">
        <v>392</v>
      </c>
      <c r="F658" s="20">
        <v>2041</v>
      </c>
      <c r="G658" s="20">
        <v>46</v>
      </c>
      <c r="H658" s="11">
        <v>6205.15850328544</v>
      </c>
      <c r="I658" s="10">
        <v>4318908.1939695003</v>
      </c>
      <c r="J658" s="34">
        <f t="shared" si="40"/>
        <v>1.4367423952075932E-3</v>
      </c>
      <c r="K658" s="34">
        <f t="shared" si="41"/>
        <v>1.4357107749691789E-3</v>
      </c>
      <c r="L658" s="34">
        <f t="shared" si="42"/>
        <v>0.99115799573477126</v>
      </c>
      <c r="M658" s="34">
        <f t="shared" si="43"/>
        <v>0.98973497952059797</v>
      </c>
    </row>
    <row r="659" spans="1:13" ht="69">
      <c r="A659" t="s">
        <v>164</v>
      </c>
      <c r="B659" t="s">
        <v>115</v>
      </c>
      <c r="C659" s="14" t="s">
        <v>291</v>
      </c>
      <c r="D659" t="s">
        <v>375</v>
      </c>
      <c r="E659" t="s">
        <v>392</v>
      </c>
      <c r="F659" s="20">
        <v>2041</v>
      </c>
      <c r="G659" s="20">
        <v>47</v>
      </c>
      <c r="H659" s="11">
        <v>6725.1974165762203</v>
      </c>
      <c r="I659" s="10">
        <v>4254312.8259296101</v>
      </c>
      <c r="J659" s="34">
        <f t="shared" si="40"/>
        <v>1.5807952286881247E-3</v>
      </c>
      <c r="K659" s="34">
        <f t="shared" si="41"/>
        <v>1.5795464300288886E-3</v>
      </c>
      <c r="L659" s="34">
        <f t="shared" si="42"/>
        <v>0.98973497952059797</v>
      </c>
      <c r="M659" s="34">
        <f t="shared" si="43"/>
        <v>0.98817164716702144</v>
      </c>
    </row>
    <row r="660" spans="1:13" ht="69">
      <c r="A660" t="s">
        <v>164</v>
      </c>
      <c r="B660" t="s">
        <v>115</v>
      </c>
      <c r="C660" s="14" t="s">
        <v>291</v>
      </c>
      <c r="D660" t="s">
        <v>375</v>
      </c>
      <c r="E660" t="s">
        <v>392</v>
      </c>
      <c r="F660" s="20">
        <v>2041</v>
      </c>
      <c r="G660" s="20">
        <v>48</v>
      </c>
      <c r="H660" s="11">
        <v>7294.8914931611798</v>
      </c>
      <c r="I660" s="10">
        <v>4192366.6852757498</v>
      </c>
      <c r="J660" s="34">
        <f t="shared" si="40"/>
        <v>1.7400413753839768E-3</v>
      </c>
      <c r="K660" s="34">
        <f t="shared" si="41"/>
        <v>1.7385283810747998E-3</v>
      </c>
      <c r="L660" s="34">
        <f t="shared" si="42"/>
        <v>0.98817164716702144</v>
      </c>
      <c r="M660" s="34">
        <f t="shared" si="43"/>
        <v>0.98645368271304812</v>
      </c>
    </row>
    <row r="661" spans="1:13" ht="69">
      <c r="A661" t="s">
        <v>164</v>
      </c>
      <c r="B661" t="s">
        <v>115</v>
      </c>
      <c r="C661" s="14" t="s">
        <v>291</v>
      </c>
      <c r="D661" t="s">
        <v>375</v>
      </c>
      <c r="E661" t="s">
        <v>392</v>
      </c>
      <c r="F661" s="20">
        <v>2041</v>
      </c>
      <c r="G661" s="20">
        <v>49</v>
      </c>
      <c r="H661" s="11">
        <v>8065.2653809801304</v>
      </c>
      <c r="I661" s="10">
        <v>4218036.5817821296</v>
      </c>
      <c r="J661" s="34">
        <f t="shared" si="40"/>
        <v>1.9120899557425219E-3</v>
      </c>
      <c r="K661" s="34">
        <f t="shared" si="41"/>
        <v>1.9102630763145889E-3</v>
      </c>
      <c r="L661" s="34">
        <f t="shared" si="42"/>
        <v>0.98645368271304812</v>
      </c>
      <c r="M661" s="34">
        <f t="shared" si="43"/>
        <v>0.98456929666646686</v>
      </c>
    </row>
    <row r="662" spans="1:13" ht="69">
      <c r="A662" t="s">
        <v>164</v>
      </c>
      <c r="B662" t="s">
        <v>115</v>
      </c>
      <c r="C662" s="14" t="s">
        <v>291</v>
      </c>
      <c r="D662" t="s">
        <v>375</v>
      </c>
      <c r="E662" t="s">
        <v>392</v>
      </c>
      <c r="F662" s="20">
        <v>2041</v>
      </c>
      <c r="G662" s="20">
        <v>50</v>
      </c>
      <c r="H662" s="11">
        <v>9298.2178871752694</v>
      </c>
      <c r="I662" s="10">
        <v>4223104.8621976897</v>
      </c>
      <c r="J662" s="34">
        <f t="shared" si="40"/>
        <v>2.2017492320416852E-3</v>
      </c>
      <c r="K662" s="34">
        <f t="shared" si="41"/>
        <v>2.1993271601257192E-3</v>
      </c>
      <c r="L662" s="34">
        <f t="shared" si="42"/>
        <v>0.98456929666646686</v>
      </c>
      <c r="M662" s="34">
        <f t="shared" si="43"/>
        <v>0.98240390667128241</v>
      </c>
    </row>
    <row r="663" spans="1:13" ht="69">
      <c r="A663" t="s">
        <v>164</v>
      </c>
      <c r="B663" t="s">
        <v>115</v>
      </c>
      <c r="C663" s="14" t="s">
        <v>291</v>
      </c>
      <c r="D663" t="s">
        <v>375</v>
      </c>
      <c r="E663" t="s">
        <v>392</v>
      </c>
      <c r="F663" s="20">
        <v>2041</v>
      </c>
      <c r="G663" s="20">
        <v>51</v>
      </c>
      <c r="H663" s="11">
        <v>13440.5479912106</v>
      </c>
      <c r="I663" s="10">
        <v>6209863.4651761102</v>
      </c>
      <c r="J663" s="34">
        <f t="shared" si="40"/>
        <v>2.1643870379088005E-3</v>
      </c>
      <c r="K663" s="34">
        <f t="shared" si="41"/>
        <v>2.1620464412407392E-3</v>
      </c>
      <c r="L663" s="34">
        <f t="shared" si="42"/>
        <v>0.98240390667128241</v>
      </c>
      <c r="M663" s="34">
        <f t="shared" si="43"/>
        <v>0.98027990380100272</v>
      </c>
    </row>
    <row r="664" spans="1:13" ht="69">
      <c r="A664" t="s">
        <v>164</v>
      </c>
      <c r="B664" t="s">
        <v>115</v>
      </c>
      <c r="C664" s="14" t="s">
        <v>291</v>
      </c>
      <c r="D664" t="s">
        <v>375</v>
      </c>
      <c r="E664" t="s">
        <v>392</v>
      </c>
      <c r="F664" s="20">
        <v>2041</v>
      </c>
      <c r="G664" s="20">
        <v>52</v>
      </c>
      <c r="H664" s="11">
        <v>10758.215557510701</v>
      </c>
      <c r="I664" s="10">
        <v>4154066.8792372602</v>
      </c>
      <c r="J664" s="34">
        <f t="shared" si="40"/>
        <v>2.5898031664540861E-3</v>
      </c>
      <c r="K664" s="34">
        <f t="shared" si="41"/>
        <v>2.5864525193631804E-3</v>
      </c>
      <c r="L664" s="34">
        <f t="shared" si="42"/>
        <v>0.98027990380100272</v>
      </c>
      <c r="M664" s="34">
        <f t="shared" si="43"/>
        <v>0.97774445637413554</v>
      </c>
    </row>
    <row r="665" spans="1:13" ht="69">
      <c r="A665" t="s">
        <v>164</v>
      </c>
      <c r="B665" t="s">
        <v>115</v>
      </c>
      <c r="C665" s="14" t="s">
        <v>291</v>
      </c>
      <c r="D665" t="s">
        <v>375</v>
      </c>
      <c r="E665" t="s">
        <v>392</v>
      </c>
      <c r="F665" s="20">
        <v>2041</v>
      </c>
      <c r="G665" s="20">
        <v>53</v>
      </c>
      <c r="H665" s="11">
        <v>11695.6245635013</v>
      </c>
      <c r="I665" s="10">
        <v>4121762.2923218799</v>
      </c>
      <c r="J665" s="34">
        <f t="shared" si="40"/>
        <v>2.8375300985426055E-3</v>
      </c>
      <c r="K665" s="34">
        <f t="shared" si="41"/>
        <v>2.8335081150783203E-3</v>
      </c>
      <c r="L665" s="34">
        <f t="shared" si="42"/>
        <v>0.97774445637413554</v>
      </c>
      <c r="M665" s="34">
        <f t="shared" si="43"/>
        <v>0.97497400952252655</v>
      </c>
    </row>
    <row r="666" spans="1:13" ht="69">
      <c r="A666" t="s">
        <v>164</v>
      </c>
      <c r="B666" t="s">
        <v>115</v>
      </c>
      <c r="C666" s="14" t="s">
        <v>291</v>
      </c>
      <c r="D666" t="s">
        <v>375</v>
      </c>
      <c r="E666" t="s">
        <v>392</v>
      </c>
      <c r="F666" s="20">
        <v>2041</v>
      </c>
      <c r="G666" s="20">
        <v>54</v>
      </c>
      <c r="H666" s="11">
        <v>12350.5268412188</v>
      </c>
      <c r="I666" s="10">
        <v>3978077.18837571</v>
      </c>
      <c r="J666" s="34">
        <f t="shared" si="40"/>
        <v>3.104647360113605E-3</v>
      </c>
      <c r="K666" s="34">
        <f t="shared" si="41"/>
        <v>3.0998329261602287E-3</v>
      </c>
      <c r="L666" s="34">
        <f t="shared" si="42"/>
        <v>0.97497400952252655</v>
      </c>
      <c r="M666" s="34">
        <f t="shared" si="43"/>
        <v>0.97195175298565817</v>
      </c>
    </row>
    <row r="667" spans="1:13" ht="69">
      <c r="A667" t="s">
        <v>164</v>
      </c>
      <c r="B667" t="s">
        <v>115</v>
      </c>
      <c r="C667" s="14" t="s">
        <v>291</v>
      </c>
      <c r="D667" t="s">
        <v>375</v>
      </c>
      <c r="E667" t="s">
        <v>392</v>
      </c>
      <c r="F667" s="20">
        <v>2041</v>
      </c>
      <c r="G667" s="20">
        <v>55</v>
      </c>
      <c r="H667" s="11">
        <v>13199.060841352901</v>
      </c>
      <c r="I667" s="10">
        <v>3926292.36794416</v>
      </c>
      <c r="J667" s="34">
        <f t="shared" si="40"/>
        <v>3.361711152515125E-3</v>
      </c>
      <c r="K667" s="34">
        <f t="shared" si="41"/>
        <v>3.3560669281007538E-3</v>
      </c>
      <c r="L667" s="34">
        <f t="shared" si="42"/>
        <v>0.97195175298565817</v>
      </c>
      <c r="M667" s="34">
        <f t="shared" si="43"/>
        <v>0.96868981785175345</v>
      </c>
    </row>
    <row r="668" spans="1:13" ht="69">
      <c r="A668" t="s">
        <v>164</v>
      </c>
      <c r="B668" t="s">
        <v>115</v>
      </c>
      <c r="C668" s="14" t="s">
        <v>291</v>
      </c>
      <c r="D668" t="s">
        <v>375</v>
      </c>
      <c r="E668" t="s">
        <v>392</v>
      </c>
      <c r="F668" s="20">
        <v>2041</v>
      </c>
      <c r="G668" s="20">
        <v>56</v>
      </c>
      <c r="H668" s="11">
        <v>14268.899321265801</v>
      </c>
      <c r="I668" s="10">
        <v>3960893.6714713899</v>
      </c>
      <c r="J668" s="34">
        <f t="shared" si="40"/>
        <v>3.6024444241052299E-3</v>
      </c>
      <c r="K668" s="34">
        <f t="shared" si="41"/>
        <v>3.595963406029079E-3</v>
      </c>
      <c r="L668" s="34">
        <f t="shared" si="42"/>
        <v>0.96868981785175345</v>
      </c>
      <c r="M668" s="34">
        <f t="shared" si="43"/>
        <v>0.96520644471496553</v>
      </c>
    </row>
    <row r="669" spans="1:13" ht="69">
      <c r="A669" t="s">
        <v>164</v>
      </c>
      <c r="B669" t="s">
        <v>115</v>
      </c>
      <c r="C669" s="14" t="s">
        <v>291</v>
      </c>
      <c r="D669" t="s">
        <v>375</v>
      </c>
      <c r="E669" t="s">
        <v>392</v>
      </c>
      <c r="F669" s="20">
        <v>2041</v>
      </c>
      <c r="G669" s="20">
        <v>57</v>
      </c>
      <c r="H669" s="11">
        <v>15845.901280668</v>
      </c>
      <c r="I669" s="10">
        <v>4017135.8193283002</v>
      </c>
      <c r="J669" s="34">
        <f t="shared" si="40"/>
        <v>3.9445769307639624E-3</v>
      </c>
      <c r="K669" s="34">
        <f t="shared" si="41"/>
        <v>3.9368073065000342E-3</v>
      </c>
      <c r="L669" s="34">
        <f t="shared" si="42"/>
        <v>0.96520644471496553</v>
      </c>
      <c r="M669" s="34">
        <f t="shared" si="43"/>
        <v>0.96140661293113072</v>
      </c>
    </row>
    <row r="670" spans="1:13" ht="69">
      <c r="A670" t="s">
        <v>164</v>
      </c>
      <c r="B670" t="s">
        <v>115</v>
      </c>
      <c r="C670" s="14" t="s">
        <v>291</v>
      </c>
      <c r="D670" t="s">
        <v>375</v>
      </c>
      <c r="E670" t="s">
        <v>392</v>
      </c>
      <c r="F670" s="20">
        <v>2041</v>
      </c>
      <c r="G670" s="20">
        <v>58</v>
      </c>
      <c r="H670" s="11">
        <v>17154.808500539501</v>
      </c>
      <c r="I670" s="10">
        <v>3969190.39560147</v>
      </c>
      <c r="J670" s="34">
        <f t="shared" si="40"/>
        <v>4.3219918398346201E-3</v>
      </c>
      <c r="K670" s="34">
        <f t="shared" si="41"/>
        <v>4.3126654740995862E-3</v>
      </c>
      <c r="L670" s="34">
        <f t="shared" si="42"/>
        <v>0.96140661293113072</v>
      </c>
      <c r="M670" s="34">
        <f t="shared" si="43"/>
        <v>0.95726038782497158</v>
      </c>
    </row>
    <row r="671" spans="1:13" ht="69">
      <c r="A671" t="s">
        <v>164</v>
      </c>
      <c r="B671" t="s">
        <v>115</v>
      </c>
      <c r="C671" s="14" t="s">
        <v>291</v>
      </c>
      <c r="D671" t="s">
        <v>375</v>
      </c>
      <c r="E671" t="s">
        <v>392</v>
      </c>
      <c r="F671" s="20">
        <v>2041</v>
      </c>
      <c r="G671" s="20">
        <v>59</v>
      </c>
      <c r="H671" s="11">
        <v>18097.119174262501</v>
      </c>
      <c r="I671" s="10">
        <v>3815394.2438288499</v>
      </c>
      <c r="J671" s="34">
        <f t="shared" si="40"/>
        <v>4.7431845879448518E-3</v>
      </c>
      <c r="K671" s="34">
        <f t="shared" si="41"/>
        <v>4.7319534520606776E-3</v>
      </c>
      <c r="L671" s="34">
        <f t="shared" si="42"/>
        <v>0.95726038782497158</v>
      </c>
      <c r="M671" s="34">
        <f t="shared" si="43"/>
        <v>0.95273067622828223</v>
      </c>
    </row>
    <row r="672" spans="1:13" ht="69">
      <c r="A672" t="s">
        <v>164</v>
      </c>
      <c r="B672" t="s">
        <v>115</v>
      </c>
      <c r="C672" s="14" t="s">
        <v>291</v>
      </c>
      <c r="D672" t="s">
        <v>375</v>
      </c>
      <c r="E672" t="s">
        <v>392</v>
      </c>
      <c r="F672" s="20">
        <v>2041</v>
      </c>
      <c r="G672" s="20">
        <v>60</v>
      </c>
      <c r="H672" s="11">
        <v>19283.980464656201</v>
      </c>
      <c r="I672" s="10">
        <v>3718275.7907164898</v>
      </c>
      <c r="J672" s="34">
        <f t="shared" si="40"/>
        <v>5.1862695372954818E-3</v>
      </c>
      <c r="K672" s="34">
        <f t="shared" si="41"/>
        <v>5.1728440608459492E-3</v>
      </c>
      <c r="L672" s="34">
        <f t="shared" si="42"/>
        <v>0.95273067622828223</v>
      </c>
      <c r="M672" s="34">
        <f t="shared" si="43"/>
        <v>0.94780234900816906</v>
      </c>
    </row>
    <row r="673" spans="1:13" ht="69">
      <c r="A673" t="s">
        <v>164</v>
      </c>
      <c r="B673" t="s">
        <v>115</v>
      </c>
      <c r="C673" s="14" t="s">
        <v>291</v>
      </c>
      <c r="D673" t="s">
        <v>375</v>
      </c>
      <c r="E673" t="s">
        <v>392</v>
      </c>
      <c r="F673" s="20">
        <v>2041</v>
      </c>
      <c r="G673" s="20">
        <v>61</v>
      </c>
      <c r="H673" s="11">
        <v>20324.483761973301</v>
      </c>
      <c r="I673" s="10">
        <v>3633740.8004155802</v>
      </c>
      <c r="J673" s="34">
        <f t="shared" si="40"/>
        <v>5.5932673457745937E-3</v>
      </c>
      <c r="K673" s="34">
        <f t="shared" si="41"/>
        <v>5.5776541491313614E-3</v>
      </c>
      <c r="L673" s="34">
        <f t="shared" si="42"/>
        <v>0.94780234900816906</v>
      </c>
      <c r="M673" s="34">
        <f t="shared" si="43"/>
        <v>0.94251583530366723</v>
      </c>
    </row>
    <row r="674" spans="1:13" ht="69">
      <c r="A674" t="s">
        <v>164</v>
      </c>
      <c r="B674" t="s">
        <v>115</v>
      </c>
      <c r="C674" s="14" t="s">
        <v>291</v>
      </c>
      <c r="D674" t="s">
        <v>375</v>
      </c>
      <c r="E674" t="s">
        <v>392</v>
      </c>
      <c r="F674" s="20">
        <v>2041</v>
      </c>
      <c r="G674" s="20">
        <v>62</v>
      </c>
      <c r="H674" s="11">
        <v>21802.971493781999</v>
      </c>
      <c r="I674" s="10">
        <v>3543272.3882862702</v>
      </c>
      <c r="J674" s="34">
        <f t="shared" si="40"/>
        <v>6.1533433234940106E-3</v>
      </c>
      <c r="K674" s="34">
        <f t="shared" si="41"/>
        <v>6.1344502781267574E-3</v>
      </c>
      <c r="L674" s="34">
        <f t="shared" si="42"/>
        <v>0.94251583530366723</v>
      </c>
      <c r="M674" s="34">
        <f t="shared" si="43"/>
        <v>0.93673401877564977</v>
      </c>
    </row>
    <row r="675" spans="1:13" ht="69">
      <c r="A675" t="s">
        <v>164</v>
      </c>
      <c r="B675" t="s">
        <v>115</v>
      </c>
      <c r="C675" s="14" t="s">
        <v>291</v>
      </c>
      <c r="D675" t="s">
        <v>375</v>
      </c>
      <c r="E675" t="s">
        <v>392</v>
      </c>
      <c r="F675" s="20">
        <v>2041</v>
      </c>
      <c r="G675" s="20">
        <v>63</v>
      </c>
      <c r="H675" s="11">
        <v>23232.6166692511</v>
      </c>
      <c r="I675" s="10">
        <v>3433568.3960950701</v>
      </c>
      <c r="J675" s="34">
        <f t="shared" si="40"/>
        <v>6.7663182989664917E-3</v>
      </c>
      <c r="K675" s="34">
        <f t="shared" si="41"/>
        <v>6.7434783105492224E-3</v>
      </c>
      <c r="L675" s="34">
        <f t="shared" si="42"/>
        <v>0.93673401877564977</v>
      </c>
      <c r="M675" s="34">
        <f t="shared" si="43"/>
        <v>0.93041717323728257</v>
      </c>
    </row>
    <row r="676" spans="1:13" ht="69">
      <c r="A676" t="s">
        <v>164</v>
      </c>
      <c r="B676" t="s">
        <v>115</v>
      </c>
      <c r="C676" s="14" t="s">
        <v>291</v>
      </c>
      <c r="D676" t="s">
        <v>375</v>
      </c>
      <c r="E676" t="s">
        <v>392</v>
      </c>
      <c r="F676" s="20">
        <v>2041</v>
      </c>
      <c r="G676" s="20">
        <v>64</v>
      </c>
      <c r="H676" s="11">
        <v>24837.193492354101</v>
      </c>
      <c r="I676" s="10">
        <v>3336781.5082433601</v>
      </c>
      <c r="J676" s="34">
        <f t="shared" si="40"/>
        <v>7.4434581440214155E-3</v>
      </c>
      <c r="K676" s="34">
        <f t="shared" si="41"/>
        <v>7.4158242159544363E-3</v>
      </c>
      <c r="L676" s="34">
        <f t="shared" si="42"/>
        <v>0.93041717323728257</v>
      </c>
      <c r="M676" s="34">
        <f t="shared" si="43"/>
        <v>0.92351736303304965</v>
      </c>
    </row>
    <row r="677" spans="1:13" ht="69">
      <c r="A677" t="s">
        <v>164</v>
      </c>
      <c r="B677" t="s">
        <v>115</v>
      </c>
      <c r="C677" s="14" t="s">
        <v>291</v>
      </c>
      <c r="D677" t="s">
        <v>375</v>
      </c>
      <c r="E677" t="s">
        <v>392</v>
      </c>
      <c r="F677" s="20">
        <v>2041</v>
      </c>
      <c r="G677" s="20">
        <v>65</v>
      </c>
      <c r="H677" s="11">
        <v>25274.205024991599</v>
      </c>
      <c r="I677" s="10">
        <v>3228156.17814337</v>
      </c>
      <c r="J677" s="34">
        <f t="shared" si="40"/>
        <v>7.8293005760110765E-3</v>
      </c>
      <c r="K677" s="34">
        <f t="shared" si="41"/>
        <v>7.798731432617223E-3</v>
      </c>
      <c r="L677" s="34">
        <f t="shared" si="42"/>
        <v>0.92351736303304965</v>
      </c>
      <c r="M677" s="34">
        <f t="shared" si="43"/>
        <v>0.91631509914539599</v>
      </c>
    </row>
    <row r="678" spans="1:13" ht="69">
      <c r="A678" t="s">
        <v>164</v>
      </c>
      <c r="B678" t="s">
        <v>115</v>
      </c>
      <c r="C678" s="14" t="s">
        <v>291</v>
      </c>
      <c r="D678" t="s">
        <v>375</v>
      </c>
      <c r="E678" t="s">
        <v>392</v>
      </c>
      <c r="F678" s="20">
        <v>2041</v>
      </c>
      <c r="G678" s="20">
        <v>66</v>
      </c>
      <c r="H678" s="11">
        <v>26403.150361492</v>
      </c>
      <c r="I678" s="10">
        <v>3117655.1927290601</v>
      </c>
      <c r="J678" s="34">
        <f t="shared" si="40"/>
        <v>8.4689129263136459E-3</v>
      </c>
      <c r="K678" s="34">
        <f t="shared" si="41"/>
        <v>8.4331527045096166E-3</v>
      </c>
      <c r="L678" s="34">
        <f t="shared" si="42"/>
        <v>0.91631509914539599</v>
      </c>
      <c r="M678" s="34">
        <f t="shared" si="43"/>
        <v>0.90858767398885498</v>
      </c>
    </row>
    <row r="679" spans="1:13" ht="69">
      <c r="A679" t="s">
        <v>164</v>
      </c>
      <c r="B679" t="s">
        <v>115</v>
      </c>
      <c r="C679" s="14" t="s">
        <v>291</v>
      </c>
      <c r="D679" t="s">
        <v>375</v>
      </c>
      <c r="E679" t="s">
        <v>392</v>
      </c>
      <c r="F679" s="20">
        <v>2041</v>
      </c>
      <c r="G679" s="20">
        <v>67</v>
      </c>
      <c r="H679" s="11">
        <v>27791.093142924801</v>
      </c>
      <c r="I679" s="10">
        <v>2982362.0064243199</v>
      </c>
      <c r="J679" s="34">
        <f t="shared" si="40"/>
        <v>9.3184841689439041E-3</v>
      </c>
      <c r="K679" s="34">
        <f t="shared" si="41"/>
        <v>9.2752016421890904E-3</v>
      </c>
      <c r="L679" s="34">
        <f t="shared" si="42"/>
        <v>0.90858767398885498</v>
      </c>
      <c r="M679" s="34">
        <f t="shared" si="43"/>
        <v>0.90016034010300083</v>
      </c>
    </row>
    <row r="680" spans="1:13" ht="69">
      <c r="A680" t="s">
        <v>164</v>
      </c>
      <c r="B680" t="s">
        <v>115</v>
      </c>
      <c r="C680" s="14" t="s">
        <v>291</v>
      </c>
      <c r="D680" t="s">
        <v>375</v>
      </c>
      <c r="E680" t="s">
        <v>392</v>
      </c>
      <c r="F680" s="20">
        <v>2041</v>
      </c>
      <c r="G680" s="20">
        <v>68</v>
      </c>
      <c r="H680" s="11">
        <v>29701.1408464454</v>
      </c>
      <c r="I680" s="10">
        <v>2895741.6125626098</v>
      </c>
      <c r="J680" s="34">
        <f t="shared" si="40"/>
        <v>1.0256833937666536E-2</v>
      </c>
      <c r="K680" s="34">
        <f t="shared" si="41"/>
        <v>1.0204411997254192E-2</v>
      </c>
      <c r="L680" s="34">
        <f t="shared" si="42"/>
        <v>0.90016034010300083</v>
      </c>
      <c r="M680" s="34">
        <f t="shared" si="43"/>
        <v>0.89097473312900133</v>
      </c>
    </row>
    <row r="681" spans="1:13" ht="69">
      <c r="A681" t="s">
        <v>164</v>
      </c>
      <c r="B681" t="s">
        <v>115</v>
      </c>
      <c r="C681" s="14" t="s">
        <v>291</v>
      </c>
      <c r="D681" t="s">
        <v>375</v>
      </c>
      <c r="E681" t="s">
        <v>392</v>
      </c>
      <c r="F681" s="20">
        <v>2041</v>
      </c>
      <c r="G681" s="20">
        <v>69</v>
      </c>
      <c r="H681" s="11">
        <v>30218.503813608801</v>
      </c>
      <c r="I681" s="10">
        <v>2672664.57165627</v>
      </c>
      <c r="J681" s="34">
        <f t="shared" si="40"/>
        <v>1.1306508169441619E-2</v>
      </c>
      <c r="K681" s="34">
        <f t="shared" si="41"/>
        <v>1.124282982514202E-2</v>
      </c>
      <c r="L681" s="34">
        <f t="shared" si="42"/>
        <v>0.89097473312900133</v>
      </c>
      <c r="M681" s="34">
        <f t="shared" si="43"/>
        <v>0.88095765582593066</v>
      </c>
    </row>
    <row r="682" spans="1:13" ht="69">
      <c r="A682" t="s">
        <v>164</v>
      </c>
      <c r="B682" t="s">
        <v>115</v>
      </c>
      <c r="C682" s="14" t="s">
        <v>291</v>
      </c>
      <c r="D682" t="s">
        <v>375</v>
      </c>
      <c r="E682" t="s">
        <v>392</v>
      </c>
      <c r="F682" s="20">
        <v>2042</v>
      </c>
      <c r="G682" s="20">
        <v>30</v>
      </c>
      <c r="H682" s="11">
        <v>829.75958164646704</v>
      </c>
      <c r="I682" s="10">
        <v>4906558.6851370698</v>
      </c>
      <c r="J682" s="34">
        <f t="shared" si="40"/>
        <v>1.6911233206279012E-4</v>
      </c>
      <c r="K682" s="34">
        <f t="shared" si="41"/>
        <v>1.690980333783898E-4</v>
      </c>
      <c r="L682" s="34">
        <f t="shared" si="42"/>
        <v>1</v>
      </c>
      <c r="M682" s="34">
        <f t="shared" si="43"/>
        <v>0.99983090196662161</v>
      </c>
    </row>
    <row r="683" spans="1:13" ht="69">
      <c r="A683" t="s">
        <v>164</v>
      </c>
      <c r="B683" t="s">
        <v>115</v>
      </c>
      <c r="C683" s="14" t="s">
        <v>291</v>
      </c>
      <c r="D683" t="s">
        <v>375</v>
      </c>
      <c r="E683" t="s">
        <v>392</v>
      </c>
      <c r="F683" s="20">
        <v>2042</v>
      </c>
      <c r="G683" s="20">
        <v>31</v>
      </c>
      <c r="H683" s="11">
        <v>1061.84517009299</v>
      </c>
      <c r="I683" s="10">
        <v>4878409.1680584699</v>
      </c>
      <c r="J683" s="34">
        <f t="shared" si="40"/>
        <v>2.176621791065524E-4</v>
      </c>
      <c r="K683" s="34">
        <f t="shared" si="41"/>
        <v>2.1763849241307476E-4</v>
      </c>
      <c r="L683" s="34">
        <f t="shared" si="42"/>
        <v>0.99983090196662161</v>
      </c>
      <c r="M683" s="34">
        <f t="shared" si="43"/>
        <v>0.99961330027644957</v>
      </c>
    </row>
    <row r="684" spans="1:13" ht="69">
      <c r="A684" t="s">
        <v>164</v>
      </c>
      <c r="B684" t="s">
        <v>115</v>
      </c>
      <c r="C684" s="14" t="s">
        <v>291</v>
      </c>
      <c r="D684" t="s">
        <v>375</v>
      </c>
      <c r="E684" t="s">
        <v>392</v>
      </c>
      <c r="F684" s="20">
        <v>2042</v>
      </c>
      <c r="G684" s="20">
        <v>32</v>
      </c>
      <c r="H684" s="11">
        <v>1081.93969227311</v>
      </c>
      <c r="I684" s="10">
        <v>4744668.5503900796</v>
      </c>
      <c r="J684" s="34">
        <f t="shared" si="40"/>
        <v>2.2803272363127643E-4</v>
      </c>
      <c r="K684" s="34">
        <f t="shared" si="41"/>
        <v>2.2800672614586848E-4</v>
      </c>
      <c r="L684" s="34">
        <f t="shared" si="42"/>
        <v>0.99961330027644957</v>
      </c>
      <c r="M684" s="34">
        <f t="shared" si="43"/>
        <v>0.99938538172044167</v>
      </c>
    </row>
    <row r="685" spans="1:13" ht="69">
      <c r="A685" t="s">
        <v>164</v>
      </c>
      <c r="B685" t="s">
        <v>115</v>
      </c>
      <c r="C685" s="14" t="s">
        <v>291</v>
      </c>
      <c r="D685" t="s">
        <v>375</v>
      </c>
      <c r="E685" t="s">
        <v>392</v>
      </c>
      <c r="F685" s="20">
        <v>2042</v>
      </c>
      <c r="G685" s="20">
        <v>33</v>
      </c>
      <c r="H685" s="11">
        <v>1123.1314416262101</v>
      </c>
      <c r="I685" s="10">
        <v>4673820.72369109</v>
      </c>
      <c r="J685" s="34">
        <f t="shared" si="40"/>
        <v>2.4030263632774331E-4</v>
      </c>
      <c r="K685" s="34">
        <f t="shared" si="41"/>
        <v>2.4027376596180705E-4</v>
      </c>
      <c r="L685" s="34">
        <f t="shared" si="42"/>
        <v>0.99938538172044167</v>
      </c>
      <c r="M685" s="34">
        <f t="shared" si="43"/>
        <v>0.99914525563112855</v>
      </c>
    </row>
    <row r="686" spans="1:13" ht="69">
      <c r="A686" t="s">
        <v>164</v>
      </c>
      <c r="B686" t="s">
        <v>115</v>
      </c>
      <c r="C686" s="14" t="s">
        <v>291</v>
      </c>
      <c r="D686" t="s">
        <v>375</v>
      </c>
      <c r="E686" t="s">
        <v>392</v>
      </c>
      <c r="F686" s="20">
        <v>2042</v>
      </c>
      <c r="G686" s="20">
        <v>34</v>
      </c>
      <c r="H686" s="11">
        <v>1180.5179647300599</v>
      </c>
      <c r="I686" s="10">
        <v>4630921.5081451396</v>
      </c>
      <c r="J686" s="34">
        <f t="shared" si="40"/>
        <v>2.5492074582859908E-4</v>
      </c>
      <c r="K686" s="34">
        <f t="shared" si="41"/>
        <v>2.5488825629604861E-4</v>
      </c>
      <c r="L686" s="34">
        <f t="shared" si="42"/>
        <v>0.99914525563112855</v>
      </c>
      <c r="M686" s="34">
        <f t="shared" si="43"/>
        <v>0.99889058523913421</v>
      </c>
    </row>
    <row r="687" spans="1:13" ht="69">
      <c r="A687" t="s">
        <v>164</v>
      </c>
      <c r="B687" t="s">
        <v>115</v>
      </c>
      <c r="C687" s="14" t="s">
        <v>291</v>
      </c>
      <c r="D687" t="s">
        <v>375</v>
      </c>
      <c r="E687" t="s">
        <v>392</v>
      </c>
      <c r="F687" s="20">
        <v>2042</v>
      </c>
      <c r="G687" s="20">
        <v>35</v>
      </c>
      <c r="H687" s="11">
        <v>1634.2882956091601</v>
      </c>
      <c r="I687" s="10">
        <v>4656223.2670741798</v>
      </c>
      <c r="J687" s="34">
        <f t="shared" si="40"/>
        <v>3.5099010547148742E-4</v>
      </c>
      <c r="K687" s="34">
        <f t="shared" si="41"/>
        <v>3.5092851565043937E-4</v>
      </c>
      <c r="L687" s="34">
        <f t="shared" si="42"/>
        <v>0.99889058523913421</v>
      </c>
      <c r="M687" s="34">
        <f t="shared" si="43"/>
        <v>0.99854004604875901</v>
      </c>
    </row>
    <row r="688" spans="1:13" ht="69">
      <c r="A688" t="s">
        <v>164</v>
      </c>
      <c r="B688" t="s">
        <v>115</v>
      </c>
      <c r="C688" s="14" t="s">
        <v>291</v>
      </c>
      <c r="D688" t="s">
        <v>375</v>
      </c>
      <c r="E688" t="s">
        <v>392</v>
      </c>
      <c r="F688" s="20">
        <v>2042</v>
      </c>
      <c r="G688" s="20">
        <v>36</v>
      </c>
      <c r="H688" s="11">
        <v>1773.5530553123201</v>
      </c>
      <c r="I688" s="10">
        <v>4572283.2695812704</v>
      </c>
      <c r="J688" s="34">
        <f t="shared" si="40"/>
        <v>3.8789220849712184E-4</v>
      </c>
      <c r="K688" s="34">
        <f t="shared" si="41"/>
        <v>3.8781698804057907E-4</v>
      </c>
      <c r="L688" s="34">
        <f t="shared" si="42"/>
        <v>0.99854004604875901</v>
      </c>
      <c r="M688" s="34">
        <f t="shared" si="43"/>
        <v>0.99815279525566247</v>
      </c>
    </row>
    <row r="689" spans="1:13" ht="69">
      <c r="A689" t="s">
        <v>164</v>
      </c>
      <c r="B689" t="s">
        <v>115</v>
      </c>
      <c r="C689" s="14" t="s">
        <v>291</v>
      </c>
      <c r="D689" t="s">
        <v>375</v>
      </c>
      <c r="E689" t="s">
        <v>392</v>
      </c>
      <c r="F689" s="20">
        <v>2042</v>
      </c>
      <c r="G689" s="20">
        <v>37</v>
      </c>
      <c r="H689" s="11">
        <v>1877.05824633836</v>
      </c>
      <c r="I689" s="10">
        <v>4510306.0485301996</v>
      </c>
      <c r="J689" s="34">
        <f t="shared" si="40"/>
        <v>4.1617092634989777E-4</v>
      </c>
      <c r="K689" s="34">
        <f t="shared" si="41"/>
        <v>4.1608433924200661E-4</v>
      </c>
      <c r="L689" s="34">
        <f t="shared" si="42"/>
        <v>0.99815279525566247</v>
      </c>
      <c r="M689" s="34">
        <f t="shared" si="43"/>
        <v>0.99773747950938596</v>
      </c>
    </row>
    <row r="690" spans="1:13" ht="69">
      <c r="A690" t="s">
        <v>164</v>
      </c>
      <c r="B690" t="s">
        <v>115</v>
      </c>
      <c r="C690" s="14" t="s">
        <v>291</v>
      </c>
      <c r="D690" t="s">
        <v>375</v>
      </c>
      <c r="E690" t="s">
        <v>392</v>
      </c>
      <c r="F690" s="20">
        <v>2042</v>
      </c>
      <c r="G690" s="20">
        <v>38</v>
      </c>
      <c r="H690" s="11">
        <v>1971.6521170178501</v>
      </c>
      <c r="I690" s="10">
        <v>4380842.1160583496</v>
      </c>
      <c r="J690" s="34">
        <f t="shared" si="40"/>
        <v>4.5006235440227152E-4</v>
      </c>
      <c r="K690" s="34">
        <f t="shared" si="41"/>
        <v>4.4996109153294661E-4</v>
      </c>
      <c r="L690" s="34">
        <f t="shared" si="42"/>
        <v>0.99773747950938596</v>
      </c>
      <c r="M690" s="34">
        <f t="shared" si="43"/>
        <v>0.99728853646404259</v>
      </c>
    </row>
    <row r="691" spans="1:13" ht="69">
      <c r="A691" t="s">
        <v>164</v>
      </c>
      <c r="B691" t="s">
        <v>115</v>
      </c>
      <c r="C691" s="14" t="s">
        <v>291</v>
      </c>
      <c r="D691" t="s">
        <v>375</v>
      </c>
      <c r="E691" t="s">
        <v>392</v>
      </c>
      <c r="F691" s="20">
        <v>2042</v>
      </c>
      <c r="G691" s="20">
        <v>39</v>
      </c>
      <c r="H691" s="11">
        <v>2104.7288921385298</v>
      </c>
      <c r="I691" s="10">
        <v>4313731.9996259399</v>
      </c>
      <c r="J691" s="34">
        <f t="shared" si="40"/>
        <v>4.8791368873194694E-4</v>
      </c>
      <c r="K691" s="34">
        <f t="shared" si="41"/>
        <v>4.8779467820447842E-4</v>
      </c>
      <c r="L691" s="34">
        <f t="shared" si="42"/>
        <v>0.99728853646404259</v>
      </c>
      <c r="M691" s="34">
        <f t="shared" si="43"/>
        <v>0.99680206442332109</v>
      </c>
    </row>
    <row r="692" spans="1:13" ht="69">
      <c r="A692" t="s">
        <v>164</v>
      </c>
      <c r="B692" t="s">
        <v>115</v>
      </c>
      <c r="C692" s="14" t="s">
        <v>291</v>
      </c>
      <c r="D692" t="s">
        <v>375</v>
      </c>
      <c r="E692" t="s">
        <v>392</v>
      </c>
      <c r="F692" s="20">
        <v>2042</v>
      </c>
      <c r="G692" s="20">
        <v>40</v>
      </c>
      <c r="H692" s="11">
        <v>3014.2828016077901</v>
      </c>
      <c r="I692" s="10">
        <v>4288675.5806800798</v>
      </c>
      <c r="J692" s="34">
        <f t="shared" si="40"/>
        <v>7.0284700833673185E-4</v>
      </c>
      <c r="K692" s="34">
        <f t="shared" si="41"/>
        <v>7.026000692350598E-4</v>
      </c>
      <c r="L692" s="34">
        <f t="shared" si="42"/>
        <v>0.99680206442332109</v>
      </c>
      <c r="M692" s="34">
        <f t="shared" si="43"/>
        <v>0.99610171122384361</v>
      </c>
    </row>
    <row r="693" spans="1:13" ht="69">
      <c r="A693" t="s">
        <v>164</v>
      </c>
      <c r="B693" t="s">
        <v>115</v>
      </c>
      <c r="C693" s="14" t="s">
        <v>291</v>
      </c>
      <c r="D693" t="s">
        <v>375</v>
      </c>
      <c r="E693" t="s">
        <v>392</v>
      </c>
      <c r="F693" s="20">
        <v>2042</v>
      </c>
      <c r="G693" s="20">
        <v>41</v>
      </c>
      <c r="H693" s="11">
        <v>3231.9493570417198</v>
      </c>
      <c r="I693" s="10">
        <v>4264921.3694967702</v>
      </c>
      <c r="J693" s="34">
        <f t="shared" si="40"/>
        <v>7.5779811092345332E-4</v>
      </c>
      <c r="K693" s="34">
        <f t="shared" si="41"/>
        <v>7.5751105444987754E-4</v>
      </c>
      <c r="L693" s="34">
        <f t="shared" si="42"/>
        <v>0.99610171122384361</v>
      </c>
      <c r="M693" s="34">
        <f t="shared" si="43"/>
        <v>0.99534715316623512</v>
      </c>
    </row>
    <row r="694" spans="1:13" ht="69">
      <c r="A694" t="s">
        <v>164</v>
      </c>
      <c r="B694" t="s">
        <v>115</v>
      </c>
      <c r="C694" s="14" t="s">
        <v>291</v>
      </c>
      <c r="D694" t="s">
        <v>375</v>
      </c>
      <c r="E694" t="s">
        <v>392</v>
      </c>
      <c r="F694" s="20">
        <v>2042</v>
      </c>
      <c r="G694" s="20">
        <v>42</v>
      </c>
      <c r="H694" s="11">
        <v>3492.22482366552</v>
      </c>
      <c r="I694" s="10">
        <v>4241146.1616214998</v>
      </c>
      <c r="J694" s="34">
        <f t="shared" si="40"/>
        <v>8.234153435377837E-4</v>
      </c>
      <c r="K694" s="34">
        <f t="shared" si="41"/>
        <v>8.2307643015233634E-4</v>
      </c>
      <c r="L694" s="34">
        <f t="shared" si="42"/>
        <v>0.99534715316623512</v>
      </c>
      <c r="M694" s="34">
        <f t="shared" si="43"/>
        <v>0.99452790638464472</v>
      </c>
    </row>
    <row r="695" spans="1:13" ht="69">
      <c r="A695" t="s">
        <v>164</v>
      </c>
      <c r="B695" t="s">
        <v>115</v>
      </c>
      <c r="C695" s="14" t="s">
        <v>291</v>
      </c>
      <c r="D695" t="s">
        <v>375</v>
      </c>
      <c r="E695" t="s">
        <v>392</v>
      </c>
      <c r="F695" s="20">
        <v>2042</v>
      </c>
      <c r="G695" s="20">
        <v>43</v>
      </c>
      <c r="H695" s="11">
        <v>3830.9847723860098</v>
      </c>
      <c r="I695" s="10">
        <v>4255893.1549469205</v>
      </c>
      <c r="J695" s="34">
        <f t="shared" si="40"/>
        <v>9.0015999765712866E-4</v>
      </c>
      <c r="K695" s="34">
        <f t="shared" si="41"/>
        <v>8.9975497518390846E-4</v>
      </c>
      <c r="L695" s="34">
        <f t="shared" si="42"/>
        <v>0.99452790638464472</v>
      </c>
      <c r="M695" s="34">
        <f t="shared" si="43"/>
        <v>0.99363307495291586</v>
      </c>
    </row>
    <row r="696" spans="1:13" ht="69">
      <c r="A696" t="s">
        <v>164</v>
      </c>
      <c r="B696" t="s">
        <v>115</v>
      </c>
      <c r="C696" s="14" t="s">
        <v>291</v>
      </c>
      <c r="D696" t="s">
        <v>375</v>
      </c>
      <c r="E696" t="s">
        <v>392</v>
      </c>
      <c r="F696" s="20">
        <v>2042</v>
      </c>
      <c r="G696" s="20">
        <v>44</v>
      </c>
      <c r="H696" s="11">
        <v>4248.7038654134803</v>
      </c>
      <c r="I696" s="10">
        <v>4308411.7953775497</v>
      </c>
      <c r="J696" s="34">
        <f t="shared" si="40"/>
        <v>9.8614154523759103E-4</v>
      </c>
      <c r="K696" s="34">
        <f t="shared" si="41"/>
        <v>9.8565546745754684E-4</v>
      </c>
      <c r="L696" s="34">
        <f t="shared" si="42"/>
        <v>0.99363307495291586</v>
      </c>
      <c r="M696" s="34">
        <f t="shared" si="43"/>
        <v>0.99265369507994183</v>
      </c>
    </row>
    <row r="697" spans="1:13" ht="69">
      <c r="A697" t="s">
        <v>164</v>
      </c>
      <c r="B697" t="s">
        <v>115</v>
      </c>
      <c r="C697" s="14" t="s">
        <v>291</v>
      </c>
      <c r="D697" t="s">
        <v>375</v>
      </c>
      <c r="E697" t="s">
        <v>392</v>
      </c>
      <c r="F697" s="20">
        <v>2042</v>
      </c>
      <c r="G697" s="20">
        <v>45</v>
      </c>
      <c r="H697" s="11">
        <v>5898.0651042373001</v>
      </c>
      <c r="I697" s="10">
        <v>4435718.8519221796</v>
      </c>
      <c r="J697" s="34">
        <f t="shared" si="40"/>
        <v>1.3296751442399073E-3</v>
      </c>
      <c r="K697" s="34">
        <f t="shared" si="41"/>
        <v>1.3287915179339693E-3</v>
      </c>
      <c r="L697" s="34">
        <f t="shared" si="42"/>
        <v>0.99265369507994183</v>
      </c>
      <c r="M697" s="34">
        <f t="shared" si="43"/>
        <v>0.99133466526967384</v>
      </c>
    </row>
    <row r="698" spans="1:13" ht="69">
      <c r="A698" t="s">
        <v>164</v>
      </c>
      <c r="B698" t="s">
        <v>115</v>
      </c>
      <c r="C698" s="14" t="s">
        <v>291</v>
      </c>
      <c r="D698" t="s">
        <v>375</v>
      </c>
      <c r="E698" t="s">
        <v>392</v>
      </c>
      <c r="F698" s="20">
        <v>2042</v>
      </c>
      <c r="G698" s="20">
        <v>46</v>
      </c>
      <c r="H698" s="11">
        <v>6224.7959298035103</v>
      </c>
      <c r="I698" s="10">
        <v>4384570.6191099398</v>
      </c>
      <c r="J698" s="34">
        <f t="shared" si="40"/>
        <v>1.4197047945066815E-3</v>
      </c>
      <c r="K698" s="34">
        <f t="shared" si="41"/>
        <v>1.4186974904027982E-3</v>
      </c>
      <c r="L698" s="34">
        <f t="shared" si="42"/>
        <v>0.99133466526967384</v>
      </c>
      <c r="M698" s="34">
        <f t="shared" si="43"/>
        <v>0.98992826126790645</v>
      </c>
    </row>
    <row r="699" spans="1:13" ht="69">
      <c r="A699" t="s">
        <v>164</v>
      </c>
      <c r="B699" t="s">
        <v>115</v>
      </c>
      <c r="C699" s="14" t="s">
        <v>291</v>
      </c>
      <c r="D699" t="s">
        <v>375</v>
      </c>
      <c r="E699" t="s">
        <v>392</v>
      </c>
      <c r="F699" s="20">
        <v>2042</v>
      </c>
      <c r="G699" s="20">
        <v>47</v>
      </c>
      <c r="H699" s="11">
        <v>6702.2893303415303</v>
      </c>
      <c r="I699" s="10">
        <v>4304290.3084793501</v>
      </c>
      <c r="J699" s="34">
        <f t="shared" si="40"/>
        <v>1.5571183284589748E-3</v>
      </c>
      <c r="K699" s="34">
        <f t="shared" si="41"/>
        <v>1.5559066487057516E-3</v>
      </c>
      <c r="L699" s="34">
        <f t="shared" si="42"/>
        <v>0.98992826126790645</v>
      </c>
      <c r="M699" s="34">
        <f t="shared" si="43"/>
        <v>0.98838802530445802</v>
      </c>
    </row>
    <row r="700" spans="1:13" ht="69">
      <c r="A700" t="s">
        <v>164</v>
      </c>
      <c r="B700" t="s">
        <v>115</v>
      </c>
      <c r="C700" s="14" t="s">
        <v>291</v>
      </c>
      <c r="D700" t="s">
        <v>375</v>
      </c>
      <c r="E700" t="s">
        <v>392</v>
      </c>
      <c r="F700" s="20">
        <v>2042</v>
      </c>
      <c r="G700" s="20">
        <v>48</v>
      </c>
      <c r="H700" s="11">
        <v>7264.2892171773301</v>
      </c>
      <c r="I700" s="10">
        <v>4238539.6087888004</v>
      </c>
      <c r="J700" s="34">
        <f t="shared" si="40"/>
        <v>1.7138660688965849E-3</v>
      </c>
      <c r="K700" s="34">
        <f t="shared" si="41"/>
        <v>1.7123982391198389E-3</v>
      </c>
      <c r="L700" s="34">
        <f t="shared" si="42"/>
        <v>0.98838802530445802</v>
      </c>
      <c r="M700" s="34">
        <f t="shared" si="43"/>
        <v>0.98669551139035949</v>
      </c>
    </row>
    <row r="701" spans="1:13" ht="69">
      <c r="A701" t="s">
        <v>164</v>
      </c>
      <c r="B701" t="s">
        <v>115</v>
      </c>
      <c r="C701" s="14" t="s">
        <v>291</v>
      </c>
      <c r="D701" t="s">
        <v>375</v>
      </c>
      <c r="E701" t="s">
        <v>392</v>
      </c>
      <c r="F701" s="20">
        <v>2042</v>
      </c>
      <c r="G701" s="20">
        <v>49</v>
      </c>
      <c r="H701" s="11">
        <v>7874.9921513605595</v>
      </c>
      <c r="I701" s="10">
        <v>4175322.1808767598</v>
      </c>
      <c r="J701" s="34">
        <f t="shared" si="40"/>
        <v>1.8860801179435979E-3</v>
      </c>
      <c r="K701" s="34">
        <f t="shared" si="41"/>
        <v>1.8843025865358243E-3</v>
      </c>
      <c r="L701" s="34">
        <f t="shared" si="42"/>
        <v>0.98669551139035949</v>
      </c>
      <c r="M701" s="34">
        <f t="shared" si="43"/>
        <v>0.98483627848612332</v>
      </c>
    </row>
    <row r="702" spans="1:13" ht="69">
      <c r="A702" t="s">
        <v>164</v>
      </c>
      <c r="B702" t="s">
        <v>115</v>
      </c>
      <c r="C702" s="14" t="s">
        <v>291</v>
      </c>
      <c r="D702" t="s">
        <v>375</v>
      </c>
      <c r="E702" t="s">
        <v>392</v>
      </c>
      <c r="F702" s="20">
        <v>2042</v>
      </c>
      <c r="G702" s="20">
        <v>50</v>
      </c>
      <c r="H702" s="11">
        <v>9096.8095305207098</v>
      </c>
      <c r="I702" s="10">
        <v>4199243.5582598001</v>
      </c>
      <c r="J702" s="34">
        <f t="shared" si="40"/>
        <v>2.1662971924139834E-3</v>
      </c>
      <c r="K702" s="34">
        <f t="shared" si="41"/>
        <v>2.1639524640827412E-3</v>
      </c>
      <c r="L702" s="34">
        <f t="shared" si="42"/>
        <v>0.98483627848612332</v>
      </c>
      <c r="M702" s="34">
        <f t="shared" si="43"/>
        <v>0.98270513959457517</v>
      </c>
    </row>
    <row r="703" spans="1:13" ht="69">
      <c r="A703" t="s">
        <v>164</v>
      </c>
      <c r="B703" t="s">
        <v>115</v>
      </c>
      <c r="C703" s="14" t="s">
        <v>291</v>
      </c>
      <c r="D703" t="s">
        <v>375</v>
      </c>
      <c r="E703" t="s">
        <v>392</v>
      </c>
      <c r="F703" s="20">
        <v>2042</v>
      </c>
      <c r="G703" s="20">
        <v>51</v>
      </c>
      <c r="H703" s="11">
        <v>9775.5452850804504</v>
      </c>
      <c r="I703" s="10">
        <v>4201812.3342374898</v>
      </c>
      <c r="J703" s="34">
        <f t="shared" si="40"/>
        <v>2.3265068754800625E-3</v>
      </c>
      <c r="K703" s="34">
        <f t="shared" si="41"/>
        <v>2.3238026558942693E-3</v>
      </c>
      <c r="L703" s="34">
        <f t="shared" si="42"/>
        <v>0.98270513959457517</v>
      </c>
      <c r="M703" s="34">
        <f t="shared" si="43"/>
        <v>0.9804215267812243</v>
      </c>
    </row>
    <row r="704" spans="1:13" ht="69">
      <c r="A704" t="s">
        <v>164</v>
      </c>
      <c r="B704" t="s">
        <v>115</v>
      </c>
      <c r="C704" s="14" t="s">
        <v>291</v>
      </c>
      <c r="D704" t="s">
        <v>375</v>
      </c>
      <c r="E704" t="s">
        <v>392</v>
      </c>
      <c r="F704" s="20">
        <v>2042</v>
      </c>
      <c r="G704" s="20">
        <v>52</v>
      </c>
      <c r="H704" s="11">
        <v>14388.130822020899</v>
      </c>
      <c r="I704" s="10">
        <v>6179109.7819650499</v>
      </c>
      <c r="J704" s="34">
        <f t="shared" si="40"/>
        <v>2.3285119264291913E-3</v>
      </c>
      <c r="K704" s="34">
        <f t="shared" si="41"/>
        <v>2.3258030454952339E-3</v>
      </c>
      <c r="L704" s="34">
        <f t="shared" si="42"/>
        <v>0.9804215267812243</v>
      </c>
      <c r="M704" s="34">
        <f t="shared" si="43"/>
        <v>0.97814125940836749</v>
      </c>
    </row>
    <row r="705" spans="1:13" ht="69">
      <c r="A705" t="s">
        <v>164</v>
      </c>
      <c r="B705" t="s">
        <v>115</v>
      </c>
      <c r="C705" s="14" t="s">
        <v>291</v>
      </c>
      <c r="D705" t="s">
        <v>375</v>
      </c>
      <c r="E705" t="s">
        <v>392</v>
      </c>
      <c r="F705" s="20">
        <v>2042</v>
      </c>
      <c r="G705" s="20">
        <v>53</v>
      </c>
      <c r="H705" s="11">
        <v>11525.980972129801</v>
      </c>
      <c r="I705" s="10">
        <v>4129960.3011151599</v>
      </c>
      <c r="J705" s="34">
        <f t="shared" si="40"/>
        <v>2.7908212505136161E-3</v>
      </c>
      <c r="K705" s="34">
        <f t="shared" si="41"/>
        <v>2.7869305291650104E-3</v>
      </c>
      <c r="L705" s="34">
        <f t="shared" si="42"/>
        <v>0.97814125940836749</v>
      </c>
      <c r="M705" s="34">
        <f t="shared" si="43"/>
        <v>0.97541524767068644</v>
      </c>
    </row>
    <row r="706" spans="1:13" ht="69">
      <c r="A706" t="s">
        <v>164</v>
      </c>
      <c r="B706" t="s">
        <v>115</v>
      </c>
      <c r="C706" s="14" t="s">
        <v>291</v>
      </c>
      <c r="D706" t="s">
        <v>375</v>
      </c>
      <c r="E706" t="s">
        <v>392</v>
      </c>
      <c r="F706" s="20">
        <v>2042</v>
      </c>
      <c r="G706" s="20">
        <v>54</v>
      </c>
      <c r="H706" s="11">
        <v>12498.949757948099</v>
      </c>
      <c r="I706" s="10">
        <v>4095608.08577361</v>
      </c>
      <c r="J706" s="34">
        <f t="shared" ref="J706:J769" si="44">IF(I706&gt;0,H706/I706,0)</f>
        <v>3.0517934080079834E-3</v>
      </c>
      <c r="K706" s="34">
        <f t="shared" ref="K706:K769" si="45">1-EXP(-J706)</f>
        <v>3.0471414200107239E-3</v>
      </c>
      <c r="L706" s="34">
        <f t="shared" ref="L706:L769" si="46">IF(G706=30,1,M705)</f>
        <v>0.97541524767068644</v>
      </c>
      <c r="M706" s="34">
        <f t="shared" ref="M706:M769" si="47">L706*(1-K706)</f>
        <v>0.9724430194677991</v>
      </c>
    </row>
    <row r="707" spans="1:13" ht="69">
      <c r="A707" t="s">
        <v>164</v>
      </c>
      <c r="B707" t="s">
        <v>115</v>
      </c>
      <c r="C707" s="14" t="s">
        <v>291</v>
      </c>
      <c r="D707" t="s">
        <v>375</v>
      </c>
      <c r="E707" t="s">
        <v>392</v>
      </c>
      <c r="F707" s="20">
        <v>2042</v>
      </c>
      <c r="G707" s="20">
        <v>55</v>
      </c>
      <c r="H707" s="11">
        <v>13037.6496464673</v>
      </c>
      <c r="I707" s="10">
        <v>3950508.50379356</v>
      </c>
      <c r="J707" s="34">
        <f t="shared" si="44"/>
        <v>3.3002459389589009E-3</v>
      </c>
      <c r="K707" s="34">
        <f t="shared" si="45"/>
        <v>3.2948061132297424E-3</v>
      </c>
      <c r="L707" s="34">
        <f t="shared" si="46"/>
        <v>0.9724430194677991</v>
      </c>
      <c r="M707" s="34">
        <f t="shared" si="47"/>
        <v>0.96923900826248899</v>
      </c>
    </row>
    <row r="708" spans="1:13" ht="69">
      <c r="A708" t="s">
        <v>164</v>
      </c>
      <c r="B708" t="s">
        <v>115</v>
      </c>
      <c r="C708" s="14" t="s">
        <v>291</v>
      </c>
      <c r="D708" t="s">
        <v>375</v>
      </c>
      <c r="E708" t="s">
        <v>392</v>
      </c>
      <c r="F708" s="20">
        <v>2042</v>
      </c>
      <c r="G708" s="20">
        <v>56</v>
      </c>
      <c r="H708" s="11">
        <v>13799.2503108045</v>
      </c>
      <c r="I708" s="10">
        <v>3896458.5353929</v>
      </c>
      <c r="J708" s="34">
        <f t="shared" si="44"/>
        <v>3.5414852193244371E-3</v>
      </c>
      <c r="K708" s="34">
        <f t="shared" si="45"/>
        <v>3.5352215569494083E-3</v>
      </c>
      <c r="L708" s="34">
        <f t="shared" si="46"/>
        <v>0.96923900826248899</v>
      </c>
      <c r="M708" s="34">
        <f t="shared" si="47"/>
        <v>0.96581253362664321</v>
      </c>
    </row>
    <row r="709" spans="1:13" ht="69">
      <c r="A709" t="s">
        <v>164</v>
      </c>
      <c r="B709" t="s">
        <v>115</v>
      </c>
      <c r="C709" s="14" t="s">
        <v>291</v>
      </c>
      <c r="D709" t="s">
        <v>375</v>
      </c>
      <c r="E709" t="s">
        <v>392</v>
      </c>
      <c r="F709" s="20">
        <v>2042</v>
      </c>
      <c r="G709" s="20">
        <v>57</v>
      </c>
      <c r="H709" s="11">
        <v>15204.357847072801</v>
      </c>
      <c r="I709" s="10">
        <v>3928516.0865483899</v>
      </c>
      <c r="J709" s="34">
        <f t="shared" si="44"/>
        <v>3.8702546997666518E-3</v>
      </c>
      <c r="K709" s="34">
        <f t="shared" si="45"/>
        <v>3.862774916712719E-3</v>
      </c>
      <c r="L709" s="34">
        <f t="shared" si="46"/>
        <v>0.96581253362664321</v>
      </c>
      <c r="M709" s="34">
        <f t="shared" si="47"/>
        <v>0.96208181719750341</v>
      </c>
    </row>
    <row r="710" spans="1:13" ht="69">
      <c r="A710" t="s">
        <v>164</v>
      </c>
      <c r="B710" t="s">
        <v>115</v>
      </c>
      <c r="C710" s="14" t="s">
        <v>291</v>
      </c>
      <c r="D710" t="s">
        <v>375</v>
      </c>
      <c r="E710" t="s">
        <v>392</v>
      </c>
      <c r="F710" s="20">
        <v>2042</v>
      </c>
      <c r="G710" s="20">
        <v>58</v>
      </c>
      <c r="H710" s="11">
        <v>16883.051655344399</v>
      </c>
      <c r="I710" s="10">
        <v>3981279.63262509</v>
      </c>
      <c r="J710" s="34">
        <f t="shared" si="44"/>
        <v>4.2406093550912969E-3</v>
      </c>
      <c r="K710" s="34">
        <f t="shared" si="45"/>
        <v>4.2316306674261561E-3</v>
      </c>
      <c r="L710" s="34">
        <f t="shared" si="46"/>
        <v>0.96208181719750341</v>
      </c>
      <c r="M710" s="34">
        <f t="shared" si="47"/>
        <v>0.95801064227527732</v>
      </c>
    </row>
    <row r="711" spans="1:13" ht="69">
      <c r="A711" t="s">
        <v>164</v>
      </c>
      <c r="B711" t="s">
        <v>115</v>
      </c>
      <c r="C711" s="14" t="s">
        <v>291</v>
      </c>
      <c r="D711" t="s">
        <v>375</v>
      </c>
      <c r="E711" t="s">
        <v>392</v>
      </c>
      <c r="F711" s="20">
        <v>2042</v>
      </c>
      <c r="G711" s="20">
        <v>59</v>
      </c>
      <c r="H711" s="11">
        <v>18275.8723653497</v>
      </c>
      <c r="I711" s="10">
        <v>3930471.0958075002</v>
      </c>
      <c r="J711" s="34">
        <f t="shared" si="44"/>
        <v>4.6497918238971279E-3</v>
      </c>
      <c r="K711" s="34">
        <f t="shared" si="45"/>
        <v>4.6389982776223748E-3</v>
      </c>
      <c r="L711" s="34">
        <f t="shared" si="46"/>
        <v>0.95801064227527732</v>
      </c>
      <c r="M711" s="34">
        <f t="shared" si="47"/>
        <v>0.95356643255581841</v>
      </c>
    </row>
    <row r="712" spans="1:13" ht="69">
      <c r="A712" t="s">
        <v>164</v>
      </c>
      <c r="B712" t="s">
        <v>115</v>
      </c>
      <c r="C712" s="14" t="s">
        <v>291</v>
      </c>
      <c r="D712" t="s">
        <v>375</v>
      </c>
      <c r="E712" t="s">
        <v>392</v>
      </c>
      <c r="F712" s="20">
        <v>2042</v>
      </c>
      <c r="G712" s="20">
        <v>60</v>
      </c>
      <c r="H712" s="11">
        <v>19176.793837778001</v>
      </c>
      <c r="I712" s="10">
        <v>3774639.10001043</v>
      </c>
      <c r="J712" s="34">
        <f t="shared" si="44"/>
        <v>5.0804310901471379E-3</v>
      </c>
      <c r="K712" s="34">
        <f t="shared" si="45"/>
        <v>5.0675475273678217E-3</v>
      </c>
      <c r="L712" s="34">
        <f t="shared" si="46"/>
        <v>0.95356643255581841</v>
      </c>
      <c r="M712" s="34">
        <f t="shared" si="47"/>
        <v>0.9487341893383392</v>
      </c>
    </row>
    <row r="713" spans="1:13" ht="69">
      <c r="A713" t="s">
        <v>164</v>
      </c>
      <c r="B713" t="s">
        <v>115</v>
      </c>
      <c r="C713" s="14" t="s">
        <v>291</v>
      </c>
      <c r="D713" t="s">
        <v>375</v>
      </c>
      <c r="E713" t="s">
        <v>392</v>
      </c>
      <c r="F713" s="20">
        <v>2042</v>
      </c>
      <c r="G713" s="20">
        <v>61</v>
      </c>
      <c r="H713" s="11">
        <v>20173.390017977199</v>
      </c>
      <c r="I713" s="10">
        <v>3674556.2719873898</v>
      </c>
      <c r="J713" s="34">
        <f t="shared" si="44"/>
        <v>5.4900207058378751E-3</v>
      </c>
      <c r="K713" s="34">
        <f t="shared" si="45"/>
        <v>5.4749780828560191E-3</v>
      </c>
      <c r="L713" s="34">
        <f t="shared" si="46"/>
        <v>0.9487341893383392</v>
      </c>
      <c r="M713" s="34">
        <f t="shared" si="47"/>
        <v>0.94353989044525566</v>
      </c>
    </row>
    <row r="714" spans="1:13" ht="69">
      <c r="A714" t="s">
        <v>164</v>
      </c>
      <c r="B714" t="s">
        <v>115</v>
      </c>
      <c r="C714" s="14" t="s">
        <v>291</v>
      </c>
      <c r="D714" t="s">
        <v>375</v>
      </c>
      <c r="E714" t="s">
        <v>392</v>
      </c>
      <c r="F714" s="20">
        <v>2042</v>
      </c>
      <c r="G714" s="20">
        <v>62</v>
      </c>
      <c r="H714" s="11">
        <v>21629.559154103401</v>
      </c>
      <c r="I714" s="10">
        <v>3587477.27369144</v>
      </c>
      <c r="J714" s="34">
        <f t="shared" si="44"/>
        <v>6.029183602840508E-3</v>
      </c>
      <c r="K714" s="34">
        <f t="shared" si="45"/>
        <v>6.0110445482541852E-3</v>
      </c>
      <c r="L714" s="34">
        <f t="shared" si="46"/>
        <v>0.94353989044525566</v>
      </c>
      <c r="M714" s="34">
        <f t="shared" si="47"/>
        <v>0.93786823013073439</v>
      </c>
    </row>
    <row r="715" spans="1:13" ht="69">
      <c r="A715" t="s">
        <v>164</v>
      </c>
      <c r="B715" t="s">
        <v>115</v>
      </c>
      <c r="C715" s="14" t="s">
        <v>291</v>
      </c>
      <c r="D715" t="s">
        <v>375</v>
      </c>
      <c r="E715" t="s">
        <v>392</v>
      </c>
      <c r="F715" s="20">
        <v>2042</v>
      </c>
      <c r="G715" s="20">
        <v>63</v>
      </c>
      <c r="H715" s="11">
        <v>23167.815506903498</v>
      </c>
      <c r="I715" s="10">
        <v>3493753.06772106</v>
      </c>
      <c r="J715" s="34">
        <f t="shared" si="44"/>
        <v>6.6312114960132632E-3</v>
      </c>
      <c r="K715" s="34">
        <f t="shared" si="45"/>
        <v>6.6092735316061191E-3</v>
      </c>
      <c r="L715" s="34">
        <f t="shared" si="46"/>
        <v>0.93786823013073439</v>
      </c>
      <c r="M715" s="34">
        <f t="shared" si="47"/>
        <v>0.93166960246119701</v>
      </c>
    </row>
    <row r="716" spans="1:13" ht="69">
      <c r="A716" t="s">
        <v>164</v>
      </c>
      <c r="B716" t="s">
        <v>115</v>
      </c>
      <c r="C716" s="14" t="s">
        <v>291</v>
      </c>
      <c r="D716" t="s">
        <v>375</v>
      </c>
      <c r="E716" t="s">
        <v>392</v>
      </c>
      <c r="F716" s="20">
        <v>2042</v>
      </c>
      <c r="G716" s="20">
        <v>64</v>
      </c>
      <c r="H716" s="11">
        <v>24641.011883002098</v>
      </c>
      <c r="I716" s="10">
        <v>3380892.6491175001</v>
      </c>
      <c r="J716" s="34">
        <f t="shared" si="44"/>
        <v>7.2883153771339162E-3</v>
      </c>
      <c r="K716" s="34">
        <f t="shared" si="45"/>
        <v>7.2618200145445622E-3</v>
      </c>
      <c r="L716" s="34">
        <f t="shared" si="46"/>
        <v>0.93166960246119701</v>
      </c>
      <c r="M716" s="34">
        <f t="shared" si="47"/>
        <v>0.92490398549510155</v>
      </c>
    </row>
    <row r="717" spans="1:13" ht="69">
      <c r="A717" t="s">
        <v>164</v>
      </c>
      <c r="B717" t="s">
        <v>115</v>
      </c>
      <c r="C717" s="14" t="s">
        <v>291</v>
      </c>
      <c r="D717" t="s">
        <v>375</v>
      </c>
      <c r="E717" t="s">
        <v>392</v>
      </c>
      <c r="F717" s="20">
        <v>2042</v>
      </c>
      <c r="G717" s="20">
        <v>65</v>
      </c>
      <c r="H717" s="11">
        <v>25156.7537126159</v>
      </c>
      <c r="I717" s="10">
        <v>3280536.9914398501</v>
      </c>
      <c r="J717" s="34">
        <f t="shared" si="44"/>
        <v>7.6684865246937602E-3</v>
      </c>
      <c r="K717" s="34">
        <f t="shared" si="45"/>
        <v>7.6391586964714708E-3</v>
      </c>
      <c r="L717" s="34">
        <f t="shared" si="46"/>
        <v>0.92490398549510155</v>
      </c>
      <c r="M717" s="34">
        <f t="shared" si="47"/>
        <v>0.91783849717090549</v>
      </c>
    </row>
    <row r="718" spans="1:13" ht="69">
      <c r="A718" t="s">
        <v>164</v>
      </c>
      <c r="B718" t="s">
        <v>115</v>
      </c>
      <c r="C718" s="14" t="s">
        <v>291</v>
      </c>
      <c r="D718" t="s">
        <v>375</v>
      </c>
      <c r="E718" t="s">
        <v>392</v>
      </c>
      <c r="F718" s="20">
        <v>2042</v>
      </c>
      <c r="G718" s="20">
        <v>66</v>
      </c>
      <c r="H718" s="11">
        <v>26335.7005713859</v>
      </c>
      <c r="I718" s="10">
        <v>3169022.6054164302</v>
      </c>
      <c r="J718" s="34">
        <f t="shared" si="44"/>
        <v>8.3103542796991881E-3</v>
      </c>
      <c r="K718" s="34">
        <f t="shared" si="45"/>
        <v>8.2759187421019842E-3</v>
      </c>
      <c r="L718" s="34">
        <f t="shared" si="46"/>
        <v>0.91783849717090549</v>
      </c>
      <c r="M718" s="34">
        <f t="shared" si="47"/>
        <v>0.91024254034994612</v>
      </c>
    </row>
    <row r="719" spans="1:13" ht="69">
      <c r="A719" t="s">
        <v>164</v>
      </c>
      <c r="B719" t="s">
        <v>115</v>
      </c>
      <c r="C719" s="14" t="s">
        <v>291</v>
      </c>
      <c r="D719" t="s">
        <v>375</v>
      </c>
      <c r="E719" t="s">
        <v>392</v>
      </c>
      <c r="F719" s="20">
        <v>2042</v>
      </c>
      <c r="G719" s="20">
        <v>67</v>
      </c>
      <c r="H719" s="11">
        <v>27888.601558005001</v>
      </c>
      <c r="I719" s="10">
        <v>3054836.7399861999</v>
      </c>
      <c r="J719" s="34">
        <f t="shared" si="44"/>
        <v>9.1293263541576321E-3</v>
      </c>
      <c r="K719" s="34">
        <f t="shared" si="45"/>
        <v>9.087780578756588E-3</v>
      </c>
      <c r="L719" s="34">
        <f t="shared" si="46"/>
        <v>0.91024254034994612</v>
      </c>
      <c r="M719" s="34">
        <f t="shared" si="47"/>
        <v>0.90197045586979585</v>
      </c>
    </row>
    <row r="720" spans="1:13" ht="69">
      <c r="A720" t="s">
        <v>164</v>
      </c>
      <c r="B720" t="s">
        <v>115</v>
      </c>
      <c r="C720" s="14" t="s">
        <v>291</v>
      </c>
      <c r="D720" t="s">
        <v>375</v>
      </c>
      <c r="E720" t="s">
        <v>392</v>
      </c>
      <c r="F720" s="20">
        <v>2042</v>
      </c>
      <c r="G720" s="20">
        <v>68</v>
      </c>
      <c r="H720" s="11">
        <v>29312.7348090142</v>
      </c>
      <c r="I720" s="10">
        <v>2916391.7176059401</v>
      </c>
      <c r="J720" s="34">
        <f t="shared" si="44"/>
        <v>1.005102799876176E-2</v>
      </c>
      <c r="K720" s="34">
        <f t="shared" si="45"/>
        <v>1.000068522357056E-2</v>
      </c>
      <c r="L720" s="34">
        <f t="shared" si="46"/>
        <v>0.90197045586979585</v>
      </c>
      <c r="M720" s="34">
        <f t="shared" si="47"/>
        <v>0.89295013325968153</v>
      </c>
    </row>
    <row r="721" spans="1:13" ht="69">
      <c r="A721" t="s">
        <v>164</v>
      </c>
      <c r="B721" t="s">
        <v>115</v>
      </c>
      <c r="C721" s="14" t="s">
        <v>291</v>
      </c>
      <c r="D721" t="s">
        <v>375</v>
      </c>
      <c r="E721" t="s">
        <v>392</v>
      </c>
      <c r="F721" s="20">
        <v>2042</v>
      </c>
      <c r="G721" s="20">
        <v>69</v>
      </c>
      <c r="H721" s="11">
        <v>31282.143235426702</v>
      </c>
      <c r="I721" s="10">
        <v>2825400.3679504199</v>
      </c>
      <c r="J721" s="34">
        <f t="shared" si="44"/>
        <v>1.1071755914762322E-2</v>
      </c>
      <c r="K721" s="34">
        <f t="shared" si="45"/>
        <v>1.1010689603458967E-2</v>
      </c>
      <c r="L721" s="34">
        <f t="shared" si="46"/>
        <v>0.89295013325968153</v>
      </c>
      <c r="M721" s="34">
        <f t="shared" si="47"/>
        <v>0.88311813651099191</v>
      </c>
    </row>
    <row r="722" spans="1:13" ht="69">
      <c r="A722" t="s">
        <v>164</v>
      </c>
      <c r="B722" t="s">
        <v>115</v>
      </c>
      <c r="C722" s="14" t="s">
        <v>291</v>
      </c>
      <c r="D722" t="s">
        <v>375</v>
      </c>
      <c r="E722" t="s">
        <v>392</v>
      </c>
      <c r="F722" s="20">
        <v>2043</v>
      </c>
      <c r="G722" s="20">
        <v>30</v>
      </c>
      <c r="H722" s="11">
        <v>758.110752472635</v>
      </c>
      <c r="I722" s="10">
        <v>4787847.9073725101</v>
      </c>
      <c r="J722" s="34">
        <f t="shared" si="44"/>
        <v>1.5834060879529345E-4</v>
      </c>
      <c r="K722" s="34">
        <f t="shared" si="45"/>
        <v>1.5832807358273637E-4</v>
      </c>
      <c r="L722" s="34">
        <f t="shared" si="46"/>
        <v>1</v>
      </c>
      <c r="M722" s="34">
        <f t="shared" si="47"/>
        <v>0.99984167192641726</v>
      </c>
    </row>
    <row r="723" spans="1:13" ht="69">
      <c r="A723" t="s">
        <v>164</v>
      </c>
      <c r="B723" t="s">
        <v>115</v>
      </c>
      <c r="C723" s="14" t="s">
        <v>291</v>
      </c>
      <c r="D723" t="s">
        <v>375</v>
      </c>
      <c r="E723" t="s">
        <v>392</v>
      </c>
      <c r="F723" s="20">
        <v>2043</v>
      </c>
      <c r="G723" s="20">
        <v>31</v>
      </c>
      <c r="H723" s="11">
        <v>1069.05409496728</v>
      </c>
      <c r="I723" s="10">
        <v>4900847.5032027401</v>
      </c>
      <c r="J723" s="34">
        <f t="shared" si="44"/>
        <v>2.1813657622863091E-4</v>
      </c>
      <c r="K723" s="34">
        <f t="shared" si="45"/>
        <v>2.1811278617556162E-4</v>
      </c>
      <c r="L723" s="34">
        <f t="shared" si="46"/>
        <v>0.99984167192641726</v>
      </c>
      <c r="M723" s="34">
        <f t="shared" si="47"/>
        <v>0.99962359367361897</v>
      </c>
    </row>
    <row r="724" spans="1:13" ht="69">
      <c r="A724" t="s">
        <v>164</v>
      </c>
      <c r="B724" t="s">
        <v>115</v>
      </c>
      <c r="C724" s="14" t="s">
        <v>291</v>
      </c>
      <c r="D724" t="s">
        <v>375</v>
      </c>
      <c r="E724" t="s">
        <v>392</v>
      </c>
      <c r="F724" s="20">
        <v>2043</v>
      </c>
      <c r="G724" s="20">
        <v>32</v>
      </c>
      <c r="H724" s="11">
        <v>1113.4091147137699</v>
      </c>
      <c r="I724" s="10">
        <v>4872820.6116086897</v>
      </c>
      <c r="J724" s="34">
        <f t="shared" si="44"/>
        <v>2.2849376233166816E-4</v>
      </c>
      <c r="K724" s="34">
        <f t="shared" si="45"/>
        <v>2.2846765962014626E-4</v>
      </c>
      <c r="L724" s="34">
        <f t="shared" si="46"/>
        <v>0.99962359367361897</v>
      </c>
      <c r="M724" s="34">
        <f t="shared" si="47"/>
        <v>0.99939521201067127</v>
      </c>
    </row>
    <row r="725" spans="1:13" ht="69">
      <c r="A725" t="s">
        <v>164</v>
      </c>
      <c r="B725" t="s">
        <v>115</v>
      </c>
      <c r="C725" s="14" t="s">
        <v>291</v>
      </c>
      <c r="D725" t="s">
        <v>375</v>
      </c>
      <c r="E725" t="s">
        <v>392</v>
      </c>
      <c r="F725" s="20">
        <v>2043</v>
      </c>
      <c r="G725" s="20">
        <v>33</v>
      </c>
      <c r="H725" s="11">
        <v>1140.7354347948101</v>
      </c>
      <c r="I725" s="10">
        <v>4739014.1002971297</v>
      </c>
      <c r="J725" s="34">
        <f t="shared" si="44"/>
        <v>2.4071155110580648E-4</v>
      </c>
      <c r="K725" s="34">
        <f t="shared" si="45"/>
        <v>2.4068258240483864E-4</v>
      </c>
      <c r="L725" s="34">
        <f t="shared" si="46"/>
        <v>0.99939521201067127</v>
      </c>
      <c r="M725" s="34">
        <f t="shared" si="47"/>
        <v>0.9991546749902015</v>
      </c>
    </row>
    <row r="726" spans="1:13" ht="69">
      <c r="A726" t="s">
        <v>164</v>
      </c>
      <c r="B726" t="s">
        <v>115</v>
      </c>
      <c r="C726" s="14" t="s">
        <v>291</v>
      </c>
      <c r="D726" t="s">
        <v>375</v>
      </c>
      <c r="E726" t="s">
        <v>392</v>
      </c>
      <c r="F726" s="20">
        <v>2043</v>
      </c>
      <c r="G726" s="20">
        <v>34</v>
      </c>
      <c r="H726" s="11">
        <v>1191.00515730808</v>
      </c>
      <c r="I726" s="10">
        <v>4667996.7092781002</v>
      </c>
      <c r="J726" s="34">
        <f t="shared" si="44"/>
        <v>2.5514267286025306E-4</v>
      </c>
      <c r="K726" s="34">
        <f t="shared" si="45"/>
        <v>2.5511012673651301E-4</v>
      </c>
      <c r="L726" s="34">
        <f t="shared" si="46"/>
        <v>0.9991546749902015</v>
      </c>
      <c r="M726" s="34">
        <f t="shared" si="47"/>
        <v>0.9988997805144354</v>
      </c>
    </row>
    <row r="727" spans="1:13" ht="69">
      <c r="A727" t="s">
        <v>164</v>
      </c>
      <c r="B727" t="s">
        <v>115</v>
      </c>
      <c r="C727" s="14" t="s">
        <v>291</v>
      </c>
      <c r="D727" t="s">
        <v>375</v>
      </c>
      <c r="E727" t="s">
        <v>392</v>
      </c>
      <c r="F727" s="20">
        <v>2043</v>
      </c>
      <c r="G727" s="20">
        <v>35</v>
      </c>
      <c r="H727" s="11">
        <v>1547.4425202949001</v>
      </c>
      <c r="I727" s="10">
        <v>4624852.4180999799</v>
      </c>
      <c r="J727" s="34">
        <f t="shared" si="44"/>
        <v>3.3459284327404183E-4</v>
      </c>
      <c r="K727" s="34">
        <f t="shared" si="45"/>
        <v>3.3453687333118154E-4</v>
      </c>
      <c r="L727" s="34">
        <f t="shared" si="46"/>
        <v>0.9988997805144354</v>
      </c>
      <c r="M727" s="34">
        <f t="shared" si="47"/>
        <v>0.99856561170509095</v>
      </c>
    </row>
    <row r="728" spans="1:13" ht="69">
      <c r="A728" t="s">
        <v>164</v>
      </c>
      <c r="B728" t="s">
        <v>115</v>
      </c>
      <c r="C728" s="14" t="s">
        <v>291</v>
      </c>
      <c r="D728" t="s">
        <v>375</v>
      </c>
      <c r="E728" t="s">
        <v>392</v>
      </c>
      <c r="F728" s="20">
        <v>2043</v>
      </c>
      <c r="G728" s="20">
        <v>36</v>
      </c>
      <c r="H728" s="11">
        <v>1797.77180390696</v>
      </c>
      <c r="I728" s="10">
        <v>4649367.4531899802</v>
      </c>
      <c r="J728" s="34">
        <f t="shared" si="44"/>
        <v>3.8667019159208203E-4</v>
      </c>
      <c r="K728" s="34">
        <f t="shared" si="45"/>
        <v>3.8659544430807991E-4</v>
      </c>
      <c r="L728" s="34">
        <f t="shared" si="46"/>
        <v>0.99856561170509095</v>
      </c>
      <c r="M728" s="34">
        <f t="shared" si="47"/>
        <v>0.99817957078876307</v>
      </c>
    </row>
    <row r="729" spans="1:13" ht="69">
      <c r="A729" t="s">
        <v>164</v>
      </c>
      <c r="B729" t="s">
        <v>115</v>
      </c>
      <c r="C729" s="14" t="s">
        <v>291</v>
      </c>
      <c r="D729" t="s">
        <v>375</v>
      </c>
      <c r="E729" t="s">
        <v>392</v>
      </c>
      <c r="F729" s="20">
        <v>2043</v>
      </c>
      <c r="G729" s="20">
        <v>37</v>
      </c>
      <c r="H729" s="11">
        <v>1893.0374270673799</v>
      </c>
      <c r="I729" s="10">
        <v>4565487.7432477102</v>
      </c>
      <c r="J729" s="34">
        <f t="shared" si="44"/>
        <v>4.1464078616072395E-4</v>
      </c>
      <c r="K729" s="34">
        <f t="shared" si="45"/>
        <v>4.1455483454999609E-4</v>
      </c>
      <c r="L729" s="34">
        <f t="shared" si="46"/>
        <v>0.99817957078876307</v>
      </c>
      <c r="M729" s="34">
        <f t="shared" si="47"/>
        <v>0.9977657706219436</v>
      </c>
    </row>
    <row r="730" spans="1:13" ht="69">
      <c r="A730" t="s">
        <v>164</v>
      </c>
      <c r="B730" t="s">
        <v>115</v>
      </c>
      <c r="C730" s="14" t="s">
        <v>291</v>
      </c>
      <c r="D730" t="s">
        <v>375</v>
      </c>
      <c r="E730" t="s">
        <v>392</v>
      </c>
      <c r="F730" s="20">
        <v>2043</v>
      </c>
      <c r="G730" s="20">
        <v>38</v>
      </c>
      <c r="H730" s="11">
        <v>2009.1229900732301</v>
      </c>
      <c r="I730" s="10">
        <v>4503148.7312094402</v>
      </c>
      <c r="J730" s="34">
        <f t="shared" si="44"/>
        <v>4.4615958965530918E-4</v>
      </c>
      <c r="K730" s="34">
        <f t="shared" si="45"/>
        <v>4.460600752659305E-4</v>
      </c>
      <c r="L730" s="34">
        <f t="shared" si="46"/>
        <v>0.9977657706219436</v>
      </c>
      <c r="M730" s="34">
        <f t="shared" si="47"/>
        <v>0.99732070714720222</v>
      </c>
    </row>
    <row r="731" spans="1:13" ht="69">
      <c r="A731" t="s">
        <v>164</v>
      </c>
      <c r="B731" t="s">
        <v>115</v>
      </c>
      <c r="C731" s="14" t="s">
        <v>291</v>
      </c>
      <c r="D731" t="s">
        <v>375</v>
      </c>
      <c r="E731" t="s">
        <v>392</v>
      </c>
      <c r="F731" s="20">
        <v>2043</v>
      </c>
      <c r="G731" s="20">
        <v>39</v>
      </c>
      <c r="H731" s="11">
        <v>2114.7219810963002</v>
      </c>
      <c r="I731" s="10">
        <v>4373383.6877592504</v>
      </c>
      <c r="J731" s="34">
        <f t="shared" si="44"/>
        <v>4.8354366597544072E-4</v>
      </c>
      <c r="K731" s="34">
        <f t="shared" si="45"/>
        <v>4.8342677757795549E-4</v>
      </c>
      <c r="L731" s="34">
        <f t="shared" si="46"/>
        <v>0.99732070714720222</v>
      </c>
      <c r="M731" s="34">
        <f t="shared" si="47"/>
        <v>0.99683857561153433</v>
      </c>
    </row>
    <row r="732" spans="1:13" ht="69">
      <c r="A732" t="s">
        <v>164</v>
      </c>
      <c r="B732" t="s">
        <v>115</v>
      </c>
      <c r="C732" s="14" t="s">
        <v>291</v>
      </c>
      <c r="D732" t="s">
        <v>375</v>
      </c>
      <c r="E732" t="s">
        <v>392</v>
      </c>
      <c r="F732" s="20">
        <v>2043</v>
      </c>
      <c r="G732" s="20">
        <v>40</v>
      </c>
      <c r="H732" s="11">
        <v>2803.6204040168</v>
      </c>
      <c r="I732" s="10">
        <v>4305830.4026335701</v>
      </c>
      <c r="J732" s="34">
        <f t="shared" si="44"/>
        <v>6.5112188401615276E-4</v>
      </c>
      <c r="K732" s="34">
        <f t="shared" si="45"/>
        <v>6.5090995016303665E-4</v>
      </c>
      <c r="L732" s="34">
        <f t="shared" si="46"/>
        <v>0.99683857561153433</v>
      </c>
      <c r="M732" s="34">
        <f t="shared" si="47"/>
        <v>0.9961897234639624</v>
      </c>
    </row>
    <row r="733" spans="1:13" ht="69">
      <c r="A733" t="s">
        <v>164</v>
      </c>
      <c r="B733" t="s">
        <v>115</v>
      </c>
      <c r="C733" s="14" t="s">
        <v>291</v>
      </c>
      <c r="D733" t="s">
        <v>375</v>
      </c>
      <c r="E733" t="s">
        <v>392</v>
      </c>
      <c r="F733" s="20">
        <v>2043</v>
      </c>
      <c r="G733" s="20">
        <v>41</v>
      </c>
      <c r="H733" s="11">
        <v>3214.4894821249</v>
      </c>
      <c r="I733" s="10">
        <v>4279367.1083442401</v>
      </c>
      <c r="J733" s="34">
        <f t="shared" si="44"/>
        <v>7.5116001986766693E-4</v>
      </c>
      <c r="K733" s="34">
        <f t="shared" si="45"/>
        <v>7.5087796980588539E-4</v>
      </c>
      <c r="L733" s="34">
        <f t="shared" si="46"/>
        <v>0.9961897234639624</v>
      </c>
      <c r="M733" s="34">
        <f t="shared" si="47"/>
        <v>0.99544170654686626</v>
      </c>
    </row>
    <row r="734" spans="1:13" ht="69">
      <c r="A734" t="s">
        <v>164</v>
      </c>
      <c r="B734" t="s">
        <v>115</v>
      </c>
      <c r="C734" s="14" t="s">
        <v>291</v>
      </c>
      <c r="D734" t="s">
        <v>375</v>
      </c>
      <c r="E734" t="s">
        <v>392</v>
      </c>
      <c r="F734" s="20">
        <v>2043</v>
      </c>
      <c r="G734" s="20">
        <v>42</v>
      </c>
      <c r="H734" s="11">
        <v>3471.32301119882</v>
      </c>
      <c r="I734" s="10">
        <v>4255677.6945985695</v>
      </c>
      <c r="J734" s="34">
        <f t="shared" si="44"/>
        <v>8.1569217885196635E-4</v>
      </c>
      <c r="K734" s="34">
        <f t="shared" si="45"/>
        <v>8.1535959242218237E-4</v>
      </c>
      <c r="L734" s="34">
        <f t="shared" si="46"/>
        <v>0.99544170654686626</v>
      </c>
      <c r="M734" s="34">
        <f t="shared" si="47"/>
        <v>0.9946300636027362</v>
      </c>
    </row>
    <row r="735" spans="1:13" ht="69">
      <c r="A735" t="s">
        <v>164</v>
      </c>
      <c r="B735" t="s">
        <v>115</v>
      </c>
      <c r="C735" s="14" t="s">
        <v>291</v>
      </c>
      <c r="D735" t="s">
        <v>375</v>
      </c>
      <c r="E735" t="s">
        <v>392</v>
      </c>
      <c r="F735" s="20">
        <v>2043</v>
      </c>
      <c r="G735" s="20">
        <v>43</v>
      </c>
      <c r="H735" s="11">
        <v>3757.2639576297302</v>
      </c>
      <c r="I735" s="10">
        <v>4231200.1878856001</v>
      </c>
      <c r="J735" s="34">
        <f t="shared" si="44"/>
        <v>8.8799011882897852E-4</v>
      </c>
      <c r="K735" s="34">
        <f t="shared" si="45"/>
        <v>8.8759597227816567E-4</v>
      </c>
      <c r="L735" s="34">
        <f t="shared" si="46"/>
        <v>0.9946300636027362</v>
      </c>
      <c r="M735" s="34">
        <f t="shared" si="47"/>
        <v>0.99374723396437559</v>
      </c>
    </row>
    <row r="736" spans="1:13" ht="69">
      <c r="A736" t="s">
        <v>164</v>
      </c>
      <c r="B736" t="s">
        <v>115</v>
      </c>
      <c r="C736" s="14" t="s">
        <v>291</v>
      </c>
      <c r="D736" t="s">
        <v>375</v>
      </c>
      <c r="E736" t="s">
        <v>392</v>
      </c>
      <c r="F736" s="20">
        <v>2043</v>
      </c>
      <c r="G736" s="20">
        <v>44</v>
      </c>
      <c r="H736" s="11">
        <v>4128.0113879405799</v>
      </c>
      <c r="I736" s="10">
        <v>4245055.000554</v>
      </c>
      <c r="J736" s="34">
        <f t="shared" si="44"/>
        <v>9.724282459006667E-4</v>
      </c>
      <c r="K736" s="34">
        <f t="shared" si="45"/>
        <v>9.7195559077412064E-4</v>
      </c>
      <c r="L736" s="34">
        <f t="shared" si="46"/>
        <v>0.99374723396437559</v>
      </c>
      <c r="M736" s="34">
        <f t="shared" si="47"/>
        <v>0.99278135578450755</v>
      </c>
    </row>
    <row r="737" spans="1:13" ht="69">
      <c r="A737" t="s">
        <v>164</v>
      </c>
      <c r="B737" t="s">
        <v>115</v>
      </c>
      <c r="C737" s="14" t="s">
        <v>291</v>
      </c>
      <c r="D737" t="s">
        <v>375</v>
      </c>
      <c r="E737" t="s">
        <v>392</v>
      </c>
      <c r="F737" s="20">
        <v>2043</v>
      </c>
      <c r="G737" s="20">
        <v>45</v>
      </c>
      <c r="H737" s="11">
        <v>5386.4875738953997</v>
      </c>
      <c r="I737" s="10">
        <v>4296469.3135811398</v>
      </c>
      <c r="J737" s="34">
        <f t="shared" si="44"/>
        <v>1.2537009299400119E-3</v>
      </c>
      <c r="K737" s="34">
        <f t="shared" si="45"/>
        <v>1.2529153752469657E-3</v>
      </c>
      <c r="L737" s="34">
        <f t="shared" si="46"/>
        <v>0.99278135578450755</v>
      </c>
      <c r="M737" s="34">
        <f t="shared" si="47"/>
        <v>0.99153748475958658</v>
      </c>
    </row>
    <row r="738" spans="1:13" ht="69">
      <c r="A738" t="s">
        <v>164</v>
      </c>
      <c r="B738" t="s">
        <v>115</v>
      </c>
      <c r="C738" s="14" t="s">
        <v>291</v>
      </c>
      <c r="D738" t="s">
        <v>375</v>
      </c>
      <c r="E738" t="s">
        <v>392</v>
      </c>
      <c r="F738" s="20">
        <v>2043</v>
      </c>
      <c r="G738" s="20">
        <v>46</v>
      </c>
      <c r="H738" s="11">
        <v>6201.7539463945895</v>
      </c>
      <c r="I738" s="10">
        <v>4421125.0980926603</v>
      </c>
      <c r="J738" s="34">
        <f t="shared" si="44"/>
        <v>1.4027546854691172E-3</v>
      </c>
      <c r="K738" s="34">
        <f t="shared" si="45"/>
        <v>1.4017712849923036E-3</v>
      </c>
      <c r="L738" s="34">
        <f t="shared" si="46"/>
        <v>0.99153748475958658</v>
      </c>
      <c r="M738" s="34">
        <f t="shared" si="47"/>
        <v>0.99014757598545711</v>
      </c>
    </row>
    <row r="739" spans="1:13" ht="69">
      <c r="A739" t="s">
        <v>164</v>
      </c>
      <c r="B739" t="s">
        <v>115</v>
      </c>
      <c r="C739" s="14" t="s">
        <v>291</v>
      </c>
      <c r="D739" t="s">
        <v>375</v>
      </c>
      <c r="E739" t="s">
        <v>392</v>
      </c>
      <c r="F739" s="20">
        <v>2043</v>
      </c>
      <c r="G739" s="20">
        <v>47</v>
      </c>
      <c r="H739" s="11">
        <v>6721.4647374490296</v>
      </c>
      <c r="I739" s="10">
        <v>4369947.7492000796</v>
      </c>
      <c r="J739" s="34">
        <f t="shared" si="44"/>
        <v>1.5381110080044768E-3</v>
      </c>
      <c r="K739" s="34">
        <f t="shared" si="45"/>
        <v>1.536928721508346E-3</v>
      </c>
      <c r="L739" s="34">
        <f t="shared" si="46"/>
        <v>0.99014757598545711</v>
      </c>
      <c r="M739" s="34">
        <f t="shared" si="47"/>
        <v>0.98862578973739323</v>
      </c>
    </row>
    <row r="740" spans="1:13" ht="69">
      <c r="A740" t="s">
        <v>164</v>
      </c>
      <c r="B740" t="s">
        <v>115</v>
      </c>
      <c r="C740" s="14" t="s">
        <v>291</v>
      </c>
      <c r="D740" t="s">
        <v>375</v>
      </c>
      <c r="E740" t="s">
        <v>392</v>
      </c>
      <c r="F740" s="20">
        <v>2043</v>
      </c>
      <c r="G740" s="20">
        <v>48</v>
      </c>
      <c r="H740" s="11">
        <v>7239.6542633093104</v>
      </c>
      <c r="I740" s="10">
        <v>4288589.3106263103</v>
      </c>
      <c r="J740" s="34">
        <f t="shared" si="44"/>
        <v>1.6881202043223915E-3</v>
      </c>
      <c r="K740" s="34">
        <f t="shared" si="45"/>
        <v>1.6866961308587003E-3</v>
      </c>
      <c r="L740" s="34">
        <f t="shared" si="46"/>
        <v>0.98862578973739323</v>
      </c>
      <c r="M740" s="34">
        <f t="shared" si="47"/>
        <v>0.98695827844297601</v>
      </c>
    </row>
    <row r="741" spans="1:13" ht="69">
      <c r="A741" t="s">
        <v>164</v>
      </c>
      <c r="B741" t="s">
        <v>115</v>
      </c>
      <c r="C741" s="14" t="s">
        <v>291</v>
      </c>
      <c r="D741" t="s">
        <v>375</v>
      </c>
      <c r="E741" t="s">
        <v>392</v>
      </c>
      <c r="F741" s="20">
        <v>2043</v>
      </c>
      <c r="G741" s="20">
        <v>49</v>
      </c>
      <c r="H741" s="11">
        <v>7843.3267987366498</v>
      </c>
      <c r="I741" s="10">
        <v>4221587.9284758</v>
      </c>
      <c r="J741" s="34">
        <f t="shared" si="44"/>
        <v>1.857909140262412E-3</v>
      </c>
      <c r="K741" s="34">
        <f t="shared" si="45"/>
        <v>1.8561842954426533E-3</v>
      </c>
      <c r="L741" s="34">
        <f t="shared" si="46"/>
        <v>0.98695827844297601</v>
      </c>
      <c r="M741" s="34">
        <f t="shared" si="47"/>
        <v>0.98512630198627305</v>
      </c>
    </row>
    <row r="742" spans="1:13" ht="69">
      <c r="A742" t="s">
        <v>164</v>
      </c>
      <c r="B742" t="s">
        <v>115</v>
      </c>
      <c r="C742" s="14" t="s">
        <v>291</v>
      </c>
      <c r="D742" t="s">
        <v>375</v>
      </c>
      <c r="E742" t="s">
        <v>392</v>
      </c>
      <c r="F742" s="20">
        <v>2043</v>
      </c>
      <c r="G742" s="20">
        <v>50</v>
      </c>
      <c r="H742" s="11">
        <v>8873.24379780239</v>
      </c>
      <c r="I742" s="10">
        <v>4157004.1670639198</v>
      </c>
      <c r="J742" s="34">
        <f t="shared" si="44"/>
        <v>2.1345284828207271E-3</v>
      </c>
      <c r="K742" s="34">
        <f t="shared" si="45"/>
        <v>2.1322519969281251E-3</v>
      </c>
      <c r="L742" s="34">
        <f t="shared" si="46"/>
        <v>0.98512630198627305</v>
      </c>
      <c r="M742" s="34">
        <f t="shared" si="47"/>
        <v>0.98302576446163636</v>
      </c>
    </row>
    <row r="743" spans="1:13" ht="69">
      <c r="A743" t="s">
        <v>164</v>
      </c>
      <c r="B743" t="s">
        <v>115</v>
      </c>
      <c r="C743" s="14" t="s">
        <v>291</v>
      </c>
      <c r="D743" t="s">
        <v>375</v>
      </c>
      <c r="E743" t="s">
        <v>392</v>
      </c>
      <c r="F743" s="20">
        <v>2043</v>
      </c>
      <c r="G743" s="20">
        <v>51</v>
      </c>
      <c r="H743" s="11">
        <v>9587.5141501671405</v>
      </c>
      <c r="I743" s="10">
        <v>4178423.6020981302</v>
      </c>
      <c r="J743" s="34">
        <f t="shared" si="44"/>
        <v>2.2945290049943526E-3</v>
      </c>
      <c r="K743" s="34">
        <f t="shared" si="45"/>
        <v>2.2918985855594487E-3</v>
      </c>
      <c r="L743" s="34">
        <f t="shared" si="46"/>
        <v>0.98302576446163636</v>
      </c>
      <c r="M743" s="34">
        <f t="shared" si="47"/>
        <v>0.98077276910249822</v>
      </c>
    </row>
    <row r="744" spans="1:13" ht="69">
      <c r="A744" t="s">
        <v>164</v>
      </c>
      <c r="B744" t="s">
        <v>115</v>
      </c>
      <c r="C744" s="14" t="s">
        <v>291</v>
      </c>
      <c r="D744" t="s">
        <v>375</v>
      </c>
      <c r="E744" t="s">
        <v>392</v>
      </c>
      <c r="F744" s="20">
        <v>2043</v>
      </c>
      <c r="G744" s="20">
        <v>52</v>
      </c>
      <c r="H744" s="11">
        <v>10502.355968928399</v>
      </c>
      <c r="I744" s="10">
        <v>4179887.6038063602</v>
      </c>
      <c r="J744" s="34">
        <f t="shared" si="44"/>
        <v>2.5125929126334798E-3</v>
      </c>
      <c r="K744" s="34">
        <f t="shared" si="45"/>
        <v>2.509438993119395E-3</v>
      </c>
      <c r="L744" s="34">
        <f t="shared" si="46"/>
        <v>0.98077276910249822</v>
      </c>
      <c r="M744" s="34">
        <f t="shared" si="47"/>
        <v>0.97831157967232274</v>
      </c>
    </row>
    <row r="745" spans="1:13" ht="69">
      <c r="A745" t="s">
        <v>164</v>
      </c>
      <c r="B745" t="s">
        <v>115</v>
      </c>
      <c r="C745" s="14" t="s">
        <v>291</v>
      </c>
      <c r="D745" t="s">
        <v>375</v>
      </c>
      <c r="E745" t="s">
        <v>392</v>
      </c>
      <c r="F745" s="20">
        <v>2043</v>
      </c>
      <c r="G745" s="20">
        <v>53</v>
      </c>
      <c r="H745" s="11">
        <v>15369.4553407531</v>
      </c>
      <c r="I745" s="10">
        <v>6146262.7478072401</v>
      </c>
      <c r="J745" s="34">
        <f t="shared" si="44"/>
        <v>2.5006180131554503E-3</v>
      </c>
      <c r="K745" s="34">
        <f t="shared" si="45"/>
        <v>2.4974940724016292E-3</v>
      </c>
      <c r="L745" s="34">
        <f t="shared" si="46"/>
        <v>0.97831157967232274</v>
      </c>
      <c r="M745" s="34">
        <f t="shared" si="47"/>
        <v>0.97586825230112928</v>
      </c>
    </row>
    <row r="746" spans="1:13" ht="69">
      <c r="A746" t="s">
        <v>164</v>
      </c>
      <c r="B746" t="s">
        <v>115</v>
      </c>
      <c r="C746" s="14" t="s">
        <v>291</v>
      </c>
      <c r="D746" t="s">
        <v>375</v>
      </c>
      <c r="E746" t="s">
        <v>392</v>
      </c>
      <c r="F746" s="20">
        <v>2043</v>
      </c>
      <c r="G746" s="20">
        <v>54</v>
      </c>
      <c r="H746" s="11">
        <v>12319.6101899397</v>
      </c>
      <c r="I746" s="10">
        <v>4104187.5509433299</v>
      </c>
      <c r="J746" s="34">
        <f t="shared" si="44"/>
        <v>3.0017171576645152E-3</v>
      </c>
      <c r="K746" s="34">
        <f t="shared" si="45"/>
        <v>2.9972165090681457E-3</v>
      </c>
      <c r="L746" s="34">
        <f t="shared" si="46"/>
        <v>0.97586825230112928</v>
      </c>
      <c r="M746" s="34">
        <f t="shared" si="47"/>
        <v>0.97294336386465685</v>
      </c>
    </row>
    <row r="747" spans="1:13" ht="69">
      <c r="A747" t="s">
        <v>164</v>
      </c>
      <c r="B747" t="s">
        <v>115</v>
      </c>
      <c r="C747" s="14" t="s">
        <v>291</v>
      </c>
      <c r="D747" t="s">
        <v>375</v>
      </c>
      <c r="E747" t="s">
        <v>392</v>
      </c>
      <c r="F747" s="20">
        <v>2043</v>
      </c>
      <c r="G747" s="20">
        <v>55</v>
      </c>
      <c r="H747" s="11">
        <v>13177.156658191099</v>
      </c>
      <c r="I747" s="10">
        <v>4067707.6039809198</v>
      </c>
      <c r="J747" s="34">
        <f t="shared" si="44"/>
        <v>3.2394552266478268E-3</v>
      </c>
      <c r="K747" s="34">
        <f t="shared" si="45"/>
        <v>3.23421385282463E-3</v>
      </c>
      <c r="L747" s="34">
        <f t="shared" si="46"/>
        <v>0.97294336386465685</v>
      </c>
      <c r="M747" s="34">
        <f t="shared" si="47"/>
        <v>0.96979665695923201</v>
      </c>
    </row>
    <row r="748" spans="1:13" ht="69">
      <c r="A748" t="s">
        <v>164</v>
      </c>
      <c r="B748" t="s">
        <v>115</v>
      </c>
      <c r="C748" s="14" t="s">
        <v>291</v>
      </c>
      <c r="D748" t="s">
        <v>375</v>
      </c>
      <c r="E748" t="s">
        <v>392</v>
      </c>
      <c r="F748" s="20">
        <v>2043</v>
      </c>
      <c r="G748" s="20">
        <v>56</v>
      </c>
      <c r="H748" s="11">
        <v>13658.381603334499</v>
      </c>
      <c r="I748" s="10">
        <v>3921013.4803372701</v>
      </c>
      <c r="J748" s="34">
        <f t="shared" si="44"/>
        <v>3.4833804249404569E-3</v>
      </c>
      <c r="K748" s="34">
        <f t="shared" si="45"/>
        <v>3.4773204937386115E-3</v>
      </c>
      <c r="L748" s="34">
        <f t="shared" si="46"/>
        <v>0.96979665695923201</v>
      </c>
      <c r="M748" s="34">
        <f t="shared" si="47"/>
        <v>0.96642436316922853</v>
      </c>
    </row>
    <row r="749" spans="1:13" ht="69">
      <c r="A749" t="s">
        <v>164</v>
      </c>
      <c r="B749" t="s">
        <v>115</v>
      </c>
      <c r="C749" s="14" t="s">
        <v>291</v>
      </c>
      <c r="D749" t="s">
        <v>375</v>
      </c>
      <c r="E749" t="s">
        <v>392</v>
      </c>
      <c r="F749" s="20">
        <v>2043</v>
      </c>
      <c r="G749" s="20">
        <v>57</v>
      </c>
      <c r="H749" s="11">
        <v>14707.3372393133</v>
      </c>
      <c r="I749" s="10">
        <v>3865131.3980498202</v>
      </c>
      <c r="J749" s="34">
        <f t="shared" si="44"/>
        <v>3.8051325361756114E-3</v>
      </c>
      <c r="K749" s="34">
        <f t="shared" si="45"/>
        <v>3.7979021930785173E-3</v>
      </c>
      <c r="L749" s="34">
        <f t="shared" si="46"/>
        <v>0.96642436316922853</v>
      </c>
      <c r="M749" s="34">
        <f t="shared" si="47"/>
        <v>0.96275397796090356</v>
      </c>
    </row>
    <row r="750" spans="1:13" ht="69">
      <c r="A750" t="s">
        <v>164</v>
      </c>
      <c r="B750" t="s">
        <v>115</v>
      </c>
      <c r="C750" s="14" t="s">
        <v>291</v>
      </c>
      <c r="D750" t="s">
        <v>375</v>
      </c>
      <c r="E750" t="s">
        <v>392</v>
      </c>
      <c r="F750" s="20">
        <v>2043</v>
      </c>
      <c r="G750" s="20">
        <v>58</v>
      </c>
      <c r="H750" s="11">
        <v>16208.0060771382</v>
      </c>
      <c r="I750" s="10">
        <v>3894060.3685321398</v>
      </c>
      <c r="J750" s="34">
        <f t="shared" si="44"/>
        <v>4.1622380094861709E-3</v>
      </c>
      <c r="K750" s="34">
        <f t="shared" si="45"/>
        <v>4.1535879022922551E-3</v>
      </c>
      <c r="L750" s="34">
        <f t="shared" si="46"/>
        <v>0.96275397796090356</v>
      </c>
      <c r="M750" s="34">
        <f t="shared" si="47"/>
        <v>0.9587550946851614</v>
      </c>
    </row>
    <row r="751" spans="1:13" ht="69">
      <c r="A751" t="s">
        <v>164</v>
      </c>
      <c r="B751" t="s">
        <v>115</v>
      </c>
      <c r="C751" s="14" t="s">
        <v>291</v>
      </c>
      <c r="D751" t="s">
        <v>375</v>
      </c>
      <c r="E751" t="s">
        <v>392</v>
      </c>
      <c r="F751" s="20">
        <v>2043</v>
      </c>
      <c r="G751" s="20">
        <v>59</v>
      </c>
      <c r="H751" s="11">
        <v>17999.335095248502</v>
      </c>
      <c r="I751" s="10">
        <v>3943120.1022334201</v>
      </c>
      <c r="J751" s="34">
        <f t="shared" si="44"/>
        <v>4.564744321395006E-3</v>
      </c>
      <c r="K751" s="34">
        <f t="shared" si="45"/>
        <v>4.5543417104740858E-3</v>
      </c>
      <c r="L751" s="34">
        <f t="shared" si="46"/>
        <v>0.9587550946851614</v>
      </c>
      <c r="M751" s="34">
        <f t="shared" si="47"/>
        <v>0.95438859636730722</v>
      </c>
    </row>
    <row r="752" spans="1:13" ht="69">
      <c r="A752" t="s">
        <v>164</v>
      </c>
      <c r="B752" t="s">
        <v>115</v>
      </c>
      <c r="C752" s="14" t="s">
        <v>291</v>
      </c>
      <c r="D752" t="s">
        <v>375</v>
      </c>
      <c r="E752" t="s">
        <v>392</v>
      </c>
      <c r="F752" s="20">
        <v>2043</v>
      </c>
      <c r="G752" s="20">
        <v>60</v>
      </c>
      <c r="H752" s="11">
        <v>19349.736438449501</v>
      </c>
      <c r="I752" s="10">
        <v>3889256.0724867298</v>
      </c>
      <c r="J752" s="34">
        <f t="shared" si="44"/>
        <v>4.9751767633231673E-3</v>
      </c>
      <c r="K752" s="34">
        <f t="shared" si="45"/>
        <v>4.9628210704878439E-3</v>
      </c>
      <c r="L752" s="34">
        <f t="shared" si="46"/>
        <v>0.95438859636730722</v>
      </c>
      <c r="M752" s="34">
        <f t="shared" si="47"/>
        <v>0.94965213653182223</v>
      </c>
    </row>
    <row r="753" spans="1:13" ht="69">
      <c r="A753" t="s">
        <v>164</v>
      </c>
      <c r="B753" t="s">
        <v>115</v>
      </c>
      <c r="C753" s="14" t="s">
        <v>291</v>
      </c>
      <c r="D753" t="s">
        <v>375</v>
      </c>
      <c r="E753" t="s">
        <v>392</v>
      </c>
      <c r="F753" s="20">
        <v>2043</v>
      </c>
      <c r="G753" s="20">
        <v>61</v>
      </c>
      <c r="H753" s="11">
        <v>20116.199823382201</v>
      </c>
      <c r="I753" s="10">
        <v>3731055.5780018098</v>
      </c>
      <c r="J753" s="34">
        <f t="shared" si="44"/>
        <v>5.3915572692046464E-3</v>
      </c>
      <c r="K753" s="34">
        <f t="shared" si="45"/>
        <v>5.377048910238047E-3</v>
      </c>
      <c r="L753" s="34">
        <f t="shared" si="46"/>
        <v>0.94965213653182223</v>
      </c>
      <c r="M753" s="34">
        <f t="shared" si="47"/>
        <v>0.94454581054597853</v>
      </c>
    </row>
    <row r="754" spans="1:13" ht="69">
      <c r="A754" t="s">
        <v>164</v>
      </c>
      <c r="B754" t="s">
        <v>115</v>
      </c>
      <c r="C754" s="14" t="s">
        <v>291</v>
      </c>
      <c r="D754" t="s">
        <v>375</v>
      </c>
      <c r="E754" t="s">
        <v>392</v>
      </c>
      <c r="F754" s="20">
        <v>2043</v>
      </c>
      <c r="G754" s="20">
        <v>62</v>
      </c>
      <c r="H754" s="11">
        <v>21487.605819894601</v>
      </c>
      <c r="I754" s="10">
        <v>3628541.4660185701</v>
      </c>
      <c r="J754" s="34">
        <f t="shared" si="44"/>
        <v>5.9218300303653278E-3</v>
      </c>
      <c r="K754" s="34">
        <f t="shared" si="45"/>
        <v>5.9043305549238978E-3</v>
      </c>
      <c r="L754" s="34">
        <f t="shared" si="46"/>
        <v>0.94454581054597853</v>
      </c>
      <c r="M754" s="34">
        <f t="shared" si="47"/>
        <v>0.93896889985624654</v>
      </c>
    </row>
    <row r="755" spans="1:13" ht="69">
      <c r="A755" t="s">
        <v>164</v>
      </c>
      <c r="B755" t="s">
        <v>115</v>
      </c>
      <c r="C755" s="14" t="s">
        <v>291</v>
      </c>
      <c r="D755" t="s">
        <v>375</v>
      </c>
      <c r="E755" t="s">
        <v>392</v>
      </c>
      <c r="F755" s="20">
        <v>2043</v>
      </c>
      <c r="G755" s="20">
        <v>63</v>
      </c>
      <c r="H755" s="11">
        <v>23008.934630352502</v>
      </c>
      <c r="I755" s="10">
        <v>3538196.8748261598</v>
      </c>
      <c r="J755" s="34">
        <f t="shared" si="44"/>
        <v>6.5030114050629211E-3</v>
      </c>
      <c r="K755" s="34">
        <f t="shared" si="45"/>
        <v>6.4819125864556959E-3</v>
      </c>
      <c r="L755" s="34">
        <f t="shared" si="46"/>
        <v>0.93896889985624654</v>
      </c>
      <c r="M755" s="34">
        <f t="shared" si="47"/>
        <v>0.93288258552597791</v>
      </c>
    </row>
    <row r="756" spans="1:13" ht="69">
      <c r="A756" t="s">
        <v>164</v>
      </c>
      <c r="B756" t="s">
        <v>115</v>
      </c>
      <c r="C756" s="14" t="s">
        <v>291</v>
      </c>
      <c r="D756" t="s">
        <v>375</v>
      </c>
      <c r="E756" t="s">
        <v>392</v>
      </c>
      <c r="F756" s="20">
        <v>2043</v>
      </c>
      <c r="G756" s="20">
        <v>64</v>
      </c>
      <c r="H756" s="11">
        <v>24601.2296223952</v>
      </c>
      <c r="I756" s="10">
        <v>3441060.4092272301</v>
      </c>
      <c r="J756" s="34">
        <f t="shared" si="44"/>
        <v>7.1493164015449459E-3</v>
      </c>
      <c r="K756" s="34">
        <f t="shared" si="45"/>
        <v>7.1238208338483267E-3</v>
      </c>
      <c r="L756" s="34">
        <f t="shared" si="46"/>
        <v>0.93288258552597791</v>
      </c>
      <c r="M756" s="34">
        <f t="shared" si="47"/>
        <v>0.92623689712767365</v>
      </c>
    </row>
    <row r="757" spans="1:13" ht="69">
      <c r="A757" t="s">
        <v>164</v>
      </c>
      <c r="B757" t="s">
        <v>115</v>
      </c>
      <c r="C757" s="14" t="s">
        <v>291</v>
      </c>
      <c r="D757" t="s">
        <v>375</v>
      </c>
      <c r="E757" t="s">
        <v>392</v>
      </c>
      <c r="F757" s="20">
        <v>2043</v>
      </c>
      <c r="G757" s="20">
        <v>65</v>
      </c>
      <c r="H757" s="11">
        <v>24966.583995031298</v>
      </c>
      <c r="I757" s="10">
        <v>3324923.6008002399</v>
      </c>
      <c r="J757" s="34">
        <f t="shared" si="44"/>
        <v>7.5089196001443042E-3</v>
      </c>
      <c r="K757" s="34">
        <f t="shared" si="45"/>
        <v>7.4807980947603214E-3</v>
      </c>
      <c r="L757" s="34">
        <f t="shared" si="46"/>
        <v>0.92623689712767365</v>
      </c>
      <c r="M757" s="34">
        <f t="shared" si="47"/>
        <v>0.91930790591234424</v>
      </c>
    </row>
    <row r="758" spans="1:13" ht="69">
      <c r="A758" t="s">
        <v>164</v>
      </c>
      <c r="B758" t="s">
        <v>115</v>
      </c>
      <c r="C758" s="14" t="s">
        <v>291</v>
      </c>
      <c r="D758" t="s">
        <v>375</v>
      </c>
      <c r="E758" t="s">
        <v>392</v>
      </c>
      <c r="F758" s="20">
        <v>2043</v>
      </c>
      <c r="G758" s="20">
        <v>66</v>
      </c>
      <c r="H758" s="11">
        <v>26290.408730910702</v>
      </c>
      <c r="I758" s="10">
        <v>3221445.7766539901</v>
      </c>
      <c r="J758" s="34">
        <f t="shared" si="44"/>
        <v>8.1610589013910665E-3</v>
      </c>
      <c r="K758" s="34">
        <f t="shared" si="45"/>
        <v>8.1278478673397769E-3</v>
      </c>
      <c r="L758" s="34">
        <f t="shared" si="46"/>
        <v>0.91930790591234424</v>
      </c>
      <c r="M758" s="34">
        <f t="shared" si="47"/>
        <v>0.91183591110984596</v>
      </c>
    </row>
    <row r="759" spans="1:13" ht="69">
      <c r="A759" t="s">
        <v>164</v>
      </c>
      <c r="B759" t="s">
        <v>115</v>
      </c>
      <c r="C759" s="14" t="s">
        <v>291</v>
      </c>
      <c r="D759" t="s">
        <v>375</v>
      </c>
      <c r="E759" t="s">
        <v>392</v>
      </c>
      <c r="F759" s="20">
        <v>2043</v>
      </c>
      <c r="G759" s="20">
        <v>67</v>
      </c>
      <c r="H759" s="11">
        <v>27853.0147583547</v>
      </c>
      <c r="I759" s="10">
        <v>3106150.7351590302</v>
      </c>
      <c r="J759" s="34">
        <f t="shared" si="44"/>
        <v>8.9670518700466963E-3</v>
      </c>
      <c r="K759" s="34">
        <f t="shared" si="45"/>
        <v>8.926967761995197E-3</v>
      </c>
      <c r="L759" s="34">
        <f t="shared" si="46"/>
        <v>0.91183591110984596</v>
      </c>
      <c r="M759" s="34">
        <f t="shared" si="47"/>
        <v>0.9036959813271388</v>
      </c>
    </row>
    <row r="760" spans="1:13" ht="69">
      <c r="A760" t="s">
        <v>164</v>
      </c>
      <c r="B760" t="s">
        <v>115</v>
      </c>
      <c r="C760" s="14" t="s">
        <v>291</v>
      </c>
      <c r="D760" t="s">
        <v>375</v>
      </c>
      <c r="E760" t="s">
        <v>392</v>
      </c>
      <c r="F760" s="20">
        <v>2043</v>
      </c>
      <c r="G760" s="20">
        <v>68</v>
      </c>
      <c r="H760" s="11">
        <v>29458.324354456101</v>
      </c>
      <c r="I760" s="10">
        <v>2988345.5612465302</v>
      </c>
      <c r="J760" s="34">
        <f t="shared" si="44"/>
        <v>9.8577369151940167E-3</v>
      </c>
      <c r="K760" s="34">
        <f t="shared" si="45"/>
        <v>9.8093086881929636E-3</v>
      </c>
      <c r="L760" s="34">
        <f t="shared" si="46"/>
        <v>0.9036959813271388</v>
      </c>
      <c r="M760" s="34">
        <f t="shared" si="47"/>
        <v>0.89483134848602142</v>
      </c>
    </row>
    <row r="761" spans="1:13" ht="69">
      <c r="A761" t="s">
        <v>164</v>
      </c>
      <c r="B761" t="s">
        <v>115</v>
      </c>
      <c r="C761" s="14" t="s">
        <v>291</v>
      </c>
      <c r="D761" t="s">
        <v>375</v>
      </c>
      <c r="E761" t="s">
        <v>392</v>
      </c>
      <c r="F761" s="20">
        <v>2043</v>
      </c>
      <c r="G761" s="20">
        <v>69</v>
      </c>
      <c r="H761" s="11">
        <v>30921.766436734601</v>
      </c>
      <c r="I761" s="10">
        <v>2846672.8162851799</v>
      </c>
      <c r="J761" s="34">
        <f t="shared" si="44"/>
        <v>1.0862423760060544E-2</v>
      </c>
      <c r="K761" s="34">
        <f t="shared" si="45"/>
        <v>1.0803640669893033E-2</v>
      </c>
      <c r="L761" s="34">
        <f t="shared" si="46"/>
        <v>0.89483134848602142</v>
      </c>
      <c r="M761" s="34">
        <f t="shared" si="47"/>
        <v>0.88516391213682266</v>
      </c>
    </row>
    <row r="762" spans="1:13" ht="69">
      <c r="A762" t="s">
        <v>164</v>
      </c>
      <c r="B762" t="s">
        <v>115</v>
      </c>
      <c r="C762" s="14" t="s">
        <v>291</v>
      </c>
      <c r="D762" t="s">
        <v>375</v>
      </c>
      <c r="E762" t="s">
        <v>392</v>
      </c>
      <c r="F762" s="20">
        <v>2044</v>
      </c>
      <c r="G762" s="20">
        <v>30</v>
      </c>
      <c r="H762" s="11">
        <v>748.28240447168196</v>
      </c>
      <c r="I762" s="10">
        <v>4714210.17151797</v>
      </c>
      <c r="J762" s="34">
        <f t="shared" si="44"/>
        <v>1.5872911415630328E-4</v>
      </c>
      <c r="K762" s="34">
        <f t="shared" si="45"/>
        <v>1.5871651735699377E-4</v>
      </c>
      <c r="L762" s="34">
        <f t="shared" si="46"/>
        <v>1</v>
      </c>
      <c r="M762" s="34">
        <f t="shared" si="47"/>
        <v>0.99984128348264301</v>
      </c>
    </row>
    <row r="763" spans="1:13" ht="69">
      <c r="A763" t="s">
        <v>164</v>
      </c>
      <c r="B763" t="s">
        <v>115</v>
      </c>
      <c r="C763" s="14" t="s">
        <v>291</v>
      </c>
      <c r="D763" t="s">
        <v>375</v>
      </c>
      <c r="E763" t="s">
        <v>392</v>
      </c>
      <c r="F763" s="20">
        <v>2044</v>
      </c>
      <c r="G763" s="20">
        <v>31</v>
      </c>
      <c r="H763" s="11">
        <v>1004.53158110103</v>
      </c>
      <c r="I763" s="10">
        <v>4782379.0156160798</v>
      </c>
      <c r="J763" s="34">
        <f t="shared" si="44"/>
        <v>2.1004850887411803E-4</v>
      </c>
      <c r="K763" s="34">
        <f t="shared" si="45"/>
        <v>2.1002645023060484E-4</v>
      </c>
      <c r="L763" s="34">
        <f t="shared" si="46"/>
        <v>0.99984128348264301</v>
      </c>
      <c r="M763" s="34">
        <f t="shared" si="47"/>
        <v>0.9996312903670791</v>
      </c>
    </row>
    <row r="764" spans="1:13" ht="69">
      <c r="A764" t="s">
        <v>164</v>
      </c>
      <c r="B764" t="s">
        <v>115</v>
      </c>
      <c r="C764" s="14" t="s">
        <v>291</v>
      </c>
      <c r="D764" t="s">
        <v>375</v>
      </c>
      <c r="E764" t="s">
        <v>392</v>
      </c>
      <c r="F764" s="20">
        <v>2044</v>
      </c>
      <c r="G764" s="20">
        <v>32</v>
      </c>
      <c r="H764" s="11">
        <v>1120.6593352852501</v>
      </c>
      <c r="I764" s="10">
        <v>4895285.6865109596</v>
      </c>
      <c r="J764" s="34">
        <f t="shared" si="44"/>
        <v>2.289262378237179E-4</v>
      </c>
      <c r="K764" s="34">
        <f t="shared" si="45"/>
        <v>2.2890003621200972E-4</v>
      </c>
      <c r="L764" s="34">
        <f t="shared" si="46"/>
        <v>0.9996312903670791</v>
      </c>
      <c r="M764" s="34">
        <f t="shared" si="47"/>
        <v>0.9994024747285154</v>
      </c>
    </row>
    <row r="765" spans="1:13" ht="69">
      <c r="A765" t="s">
        <v>164</v>
      </c>
      <c r="B765" t="s">
        <v>115</v>
      </c>
      <c r="C765" s="14" t="s">
        <v>291</v>
      </c>
      <c r="D765" t="s">
        <v>375</v>
      </c>
      <c r="E765" t="s">
        <v>392</v>
      </c>
      <c r="F765" s="20">
        <v>2044</v>
      </c>
      <c r="G765" s="20">
        <v>33</v>
      </c>
      <c r="H765" s="11">
        <v>1173.47152300061</v>
      </c>
      <c r="I765" s="10">
        <v>4867068.1556979101</v>
      </c>
      <c r="J765" s="34">
        <f t="shared" si="44"/>
        <v>2.4110439497889891E-4</v>
      </c>
      <c r="K765" s="34">
        <f t="shared" si="45"/>
        <v>2.4107533165007577E-4</v>
      </c>
      <c r="L765" s="34">
        <f t="shared" si="46"/>
        <v>0.9994024747285154</v>
      </c>
      <c r="M765" s="34">
        <f t="shared" si="47"/>
        <v>0.99916154344546837</v>
      </c>
    </row>
    <row r="766" spans="1:13" ht="69">
      <c r="A766" t="s">
        <v>164</v>
      </c>
      <c r="B766" t="s">
        <v>115</v>
      </c>
      <c r="C766" s="14" t="s">
        <v>291</v>
      </c>
      <c r="D766" t="s">
        <v>375</v>
      </c>
      <c r="E766" t="s">
        <v>392</v>
      </c>
      <c r="F766" s="20">
        <v>2044</v>
      </c>
      <c r="G766" s="20">
        <v>34</v>
      </c>
      <c r="H766" s="11">
        <v>1209.14767344912</v>
      </c>
      <c r="I766" s="10">
        <v>4733165.8402792504</v>
      </c>
      <c r="J766" s="34">
        <f t="shared" si="44"/>
        <v>2.5546277359632554E-4</v>
      </c>
      <c r="K766" s="34">
        <f t="shared" si="45"/>
        <v>2.5543014576046019E-4</v>
      </c>
      <c r="L766" s="34">
        <f t="shared" si="46"/>
        <v>0.99916154344546837</v>
      </c>
      <c r="M766" s="34">
        <f t="shared" si="47"/>
        <v>0.99890632746678787</v>
      </c>
    </row>
    <row r="767" spans="1:13" ht="69">
      <c r="A767" t="s">
        <v>164</v>
      </c>
      <c r="B767" t="s">
        <v>115</v>
      </c>
      <c r="C767" s="14" t="s">
        <v>291</v>
      </c>
      <c r="D767" t="s">
        <v>375</v>
      </c>
      <c r="E767" t="s">
        <v>392</v>
      </c>
      <c r="F767" s="20">
        <v>2044</v>
      </c>
      <c r="G767" s="20">
        <v>35</v>
      </c>
      <c r="H767" s="11">
        <v>1556.5208353365299</v>
      </c>
      <c r="I767" s="10">
        <v>4661940.4546129899</v>
      </c>
      <c r="J767" s="34">
        <f t="shared" si="44"/>
        <v>3.3387831751397693E-4</v>
      </c>
      <c r="K767" s="34">
        <f t="shared" si="45"/>
        <v>3.3382258635117346E-4</v>
      </c>
      <c r="L767" s="34">
        <f t="shared" si="46"/>
        <v>0.99890632746678787</v>
      </c>
      <c r="M767" s="34">
        <f t="shared" si="47"/>
        <v>0.99857286997303041</v>
      </c>
    </row>
    <row r="768" spans="1:13" ht="69">
      <c r="A768" t="s">
        <v>164</v>
      </c>
      <c r="B768" t="s">
        <v>115</v>
      </c>
      <c r="C768" s="14" t="s">
        <v>291</v>
      </c>
      <c r="D768" t="s">
        <v>375</v>
      </c>
      <c r="E768" t="s">
        <v>392</v>
      </c>
      <c r="F768" s="20">
        <v>2044</v>
      </c>
      <c r="G768" s="20">
        <v>36</v>
      </c>
      <c r="H768" s="11">
        <v>1724.89269745103</v>
      </c>
      <c r="I768" s="10">
        <v>4618186.47816425</v>
      </c>
      <c r="J768" s="34">
        <f t="shared" si="44"/>
        <v>3.7350001036265705E-4</v>
      </c>
      <c r="K768" s="34">
        <f t="shared" si="45"/>
        <v>3.7343026791702982E-4</v>
      </c>
      <c r="L768" s="34">
        <f t="shared" si="46"/>
        <v>0.99857286997303041</v>
      </c>
      <c r="M768" s="34">
        <f t="shared" si="47"/>
        <v>0.99819997263866167</v>
      </c>
    </row>
    <row r="769" spans="1:13" ht="69">
      <c r="A769" t="s">
        <v>164</v>
      </c>
      <c r="B769" t="s">
        <v>115</v>
      </c>
      <c r="C769" s="14" t="s">
        <v>291</v>
      </c>
      <c r="D769" t="s">
        <v>375</v>
      </c>
      <c r="E769" t="s">
        <v>392</v>
      </c>
      <c r="F769" s="20">
        <v>2044</v>
      </c>
      <c r="G769" s="20">
        <v>37</v>
      </c>
      <c r="H769" s="11">
        <v>1918.34865549652</v>
      </c>
      <c r="I769" s="10">
        <v>4642530.1863439996</v>
      </c>
      <c r="J769" s="34">
        <f t="shared" si="44"/>
        <v>4.1321188629841153E-4</v>
      </c>
      <c r="K769" s="34">
        <f t="shared" si="45"/>
        <v>4.1312652602465416E-4</v>
      </c>
      <c r="L769" s="34">
        <f t="shared" si="46"/>
        <v>0.99819997263866167</v>
      </c>
      <c r="M769" s="34">
        <f t="shared" si="47"/>
        <v>0.99778758975168758</v>
      </c>
    </row>
    <row r="770" spans="1:13" ht="69">
      <c r="A770" t="s">
        <v>164</v>
      </c>
      <c r="B770" t="s">
        <v>115</v>
      </c>
      <c r="C770" s="14" t="s">
        <v>291</v>
      </c>
      <c r="D770" t="s">
        <v>375</v>
      </c>
      <c r="E770" t="s">
        <v>392</v>
      </c>
      <c r="F770" s="20">
        <v>2044</v>
      </c>
      <c r="G770" s="20">
        <v>38</v>
      </c>
      <c r="H770" s="11">
        <v>2025.81167765947</v>
      </c>
      <c r="I770" s="10">
        <v>4558321.78550441</v>
      </c>
      <c r="J770" s="34">
        <f t="shared" ref="J770:J833" si="48">IF(I770&gt;0,H770/I770,0)</f>
        <v>4.4442050670964202E-4</v>
      </c>
      <c r="K770" s="34">
        <f t="shared" ref="K770:K833" si="49">1-EXP(-J770)</f>
        <v>4.4432176654418676E-4</v>
      </c>
      <c r="L770" s="34">
        <f t="shared" ref="L770:L833" si="50">IF(G770=30,1,M769)</f>
        <v>0.99778758975168758</v>
      </c>
      <c r="M770" s="34">
        <f t="shared" ref="M770:M833" si="51">L770*(1-K770)</f>
        <v>0.99734425100717328</v>
      </c>
    </row>
    <row r="771" spans="1:13" ht="69">
      <c r="A771" t="s">
        <v>164</v>
      </c>
      <c r="B771" t="s">
        <v>115</v>
      </c>
      <c r="C771" s="14" t="s">
        <v>291</v>
      </c>
      <c r="D771" t="s">
        <v>375</v>
      </c>
      <c r="E771" t="s">
        <v>392</v>
      </c>
      <c r="F771" s="20">
        <v>2044</v>
      </c>
      <c r="G771" s="20">
        <v>39</v>
      </c>
      <c r="H771" s="11">
        <v>2154.9667426032001</v>
      </c>
      <c r="I771" s="10">
        <v>4495577.0573781803</v>
      </c>
      <c r="J771" s="34">
        <f t="shared" si="48"/>
        <v>4.7935264263048274E-4</v>
      </c>
      <c r="K771" s="34">
        <f t="shared" si="49"/>
        <v>4.7923777150782332E-4</v>
      </c>
      <c r="L771" s="34">
        <f t="shared" si="50"/>
        <v>0.99734425100717328</v>
      </c>
      <c r="M771" s="34">
        <f t="shared" si="51"/>
        <v>0.99686628597089444</v>
      </c>
    </row>
    <row r="772" spans="1:13" ht="69">
      <c r="A772" t="s">
        <v>164</v>
      </c>
      <c r="B772" t="s">
        <v>115</v>
      </c>
      <c r="C772" s="14" t="s">
        <v>291</v>
      </c>
      <c r="D772" t="s">
        <v>375</v>
      </c>
      <c r="E772" t="s">
        <v>392</v>
      </c>
      <c r="F772" s="20">
        <v>2044</v>
      </c>
      <c r="G772" s="20">
        <v>40</v>
      </c>
      <c r="H772" s="11">
        <v>2815.2121933213498</v>
      </c>
      <c r="I772" s="10">
        <v>4365473.5163633302</v>
      </c>
      <c r="J772" s="34">
        <f t="shared" si="48"/>
        <v>6.4488129014388573E-4</v>
      </c>
      <c r="K772" s="34">
        <f t="shared" si="49"/>
        <v>6.4467339889551223E-4</v>
      </c>
      <c r="L772" s="34">
        <f t="shared" si="50"/>
        <v>0.99686628597089444</v>
      </c>
      <c r="M772" s="34">
        <f t="shared" si="51"/>
        <v>0.99622363279407322</v>
      </c>
    </row>
    <row r="773" spans="1:13" ht="69">
      <c r="A773" t="s">
        <v>164</v>
      </c>
      <c r="B773" t="s">
        <v>115</v>
      </c>
      <c r="C773" s="14" t="s">
        <v>291</v>
      </c>
      <c r="D773" t="s">
        <v>375</v>
      </c>
      <c r="E773" t="s">
        <v>392</v>
      </c>
      <c r="F773" s="20">
        <v>2044</v>
      </c>
      <c r="G773" s="20">
        <v>41</v>
      </c>
      <c r="H773" s="11">
        <v>3055.75887731803</v>
      </c>
      <c r="I773" s="10">
        <v>4296827.8438302996</v>
      </c>
      <c r="J773" s="34">
        <f t="shared" si="48"/>
        <v>7.1116623434325222E-4</v>
      </c>
      <c r="K773" s="34">
        <f t="shared" si="49"/>
        <v>7.1091341557238952E-4</v>
      </c>
      <c r="L773" s="34">
        <f t="shared" si="50"/>
        <v>0.99622363279407322</v>
      </c>
      <c r="M773" s="34">
        <f t="shared" si="51"/>
        <v>0.99551540404860961</v>
      </c>
    </row>
    <row r="774" spans="1:13" ht="69">
      <c r="A774" t="s">
        <v>164</v>
      </c>
      <c r="B774" t="s">
        <v>115</v>
      </c>
      <c r="C774" s="14" t="s">
        <v>291</v>
      </c>
      <c r="D774" t="s">
        <v>375</v>
      </c>
      <c r="E774" t="s">
        <v>392</v>
      </c>
      <c r="F774" s="20">
        <v>2044</v>
      </c>
      <c r="G774" s="20">
        <v>42</v>
      </c>
      <c r="H774" s="11">
        <v>3452.1804186337099</v>
      </c>
      <c r="I774" s="10">
        <v>4270210.0149077503</v>
      </c>
      <c r="J774" s="34">
        <f t="shared" si="48"/>
        <v>8.0843340411403336E-4</v>
      </c>
      <c r="K774" s="34">
        <f t="shared" si="49"/>
        <v>8.0810670987241373E-4</v>
      </c>
      <c r="L774" s="34">
        <f t="shared" si="50"/>
        <v>0.99551540404860961</v>
      </c>
      <c r="M774" s="34">
        <f t="shared" si="51"/>
        <v>0.99471092137081663</v>
      </c>
    </row>
    <row r="775" spans="1:13" ht="69">
      <c r="A775" t="s">
        <v>164</v>
      </c>
      <c r="B775" t="s">
        <v>115</v>
      </c>
      <c r="C775" s="14" t="s">
        <v>291</v>
      </c>
      <c r="D775" t="s">
        <v>375</v>
      </c>
      <c r="E775" t="s">
        <v>392</v>
      </c>
      <c r="F775" s="20">
        <v>2044</v>
      </c>
      <c r="G775" s="20">
        <v>43</v>
      </c>
      <c r="H775" s="11">
        <v>3734.15312974174</v>
      </c>
      <c r="I775" s="10">
        <v>4245827.7167026298</v>
      </c>
      <c r="J775" s="34">
        <f t="shared" si="48"/>
        <v>8.7948767093209718E-4</v>
      </c>
      <c r="K775" s="34">
        <f t="shared" si="49"/>
        <v>8.7910103500588033E-4</v>
      </c>
      <c r="L775" s="34">
        <f t="shared" si="50"/>
        <v>0.99471092137081663</v>
      </c>
      <c r="M775" s="34">
        <f t="shared" si="51"/>
        <v>0.99383646997030783</v>
      </c>
    </row>
    <row r="776" spans="1:13" ht="69">
      <c r="A776" t="s">
        <v>164</v>
      </c>
      <c r="B776" t="s">
        <v>115</v>
      </c>
      <c r="C776" s="14" t="s">
        <v>291</v>
      </c>
      <c r="D776" t="s">
        <v>375</v>
      </c>
      <c r="E776" t="s">
        <v>392</v>
      </c>
      <c r="F776" s="20">
        <v>2044</v>
      </c>
      <c r="G776" s="20">
        <v>44</v>
      </c>
      <c r="H776" s="11">
        <v>4048.4182271131699</v>
      </c>
      <c r="I776" s="10">
        <v>4220583.09483092</v>
      </c>
      <c r="J776" s="34">
        <f t="shared" si="48"/>
        <v>9.5920827434280208E-4</v>
      </c>
      <c r="K776" s="34">
        <f t="shared" si="49"/>
        <v>9.5874838114218264E-4</v>
      </c>
      <c r="L776" s="34">
        <f t="shared" si="50"/>
        <v>0.99383646997030783</v>
      </c>
      <c r="M776" s="34">
        <f t="shared" si="51"/>
        <v>0.99288363086360376</v>
      </c>
    </row>
    <row r="777" spans="1:13" ht="69">
      <c r="A777" t="s">
        <v>164</v>
      </c>
      <c r="B777" t="s">
        <v>115</v>
      </c>
      <c r="C777" s="14" t="s">
        <v>291</v>
      </c>
      <c r="D777" t="s">
        <v>375</v>
      </c>
      <c r="E777" t="s">
        <v>392</v>
      </c>
      <c r="F777" s="20">
        <v>2044</v>
      </c>
      <c r="G777" s="20">
        <v>45</v>
      </c>
      <c r="H777" s="11">
        <v>5230.9202557607596</v>
      </c>
      <c r="I777" s="10">
        <v>4233464.9200644298</v>
      </c>
      <c r="J777" s="34">
        <f t="shared" si="48"/>
        <v>1.2356120469946281E-3</v>
      </c>
      <c r="K777" s="34">
        <f t="shared" si="49"/>
        <v>1.2348489927412887E-3</v>
      </c>
      <c r="L777" s="34">
        <f t="shared" si="50"/>
        <v>0.99288363086360376</v>
      </c>
      <c r="M777" s="34">
        <f t="shared" si="51"/>
        <v>0.99165756951212247</v>
      </c>
    </row>
    <row r="778" spans="1:13" ht="69">
      <c r="A778" t="s">
        <v>164</v>
      </c>
      <c r="B778" t="s">
        <v>115</v>
      </c>
      <c r="C778" s="14" t="s">
        <v>291</v>
      </c>
      <c r="D778" t="s">
        <v>375</v>
      </c>
      <c r="E778" t="s">
        <v>392</v>
      </c>
      <c r="F778" s="20">
        <v>2044</v>
      </c>
      <c r="G778" s="20">
        <v>46</v>
      </c>
      <c r="H778" s="11">
        <v>5758.2923872002502</v>
      </c>
      <c r="I778" s="10">
        <v>4282838.88940123</v>
      </c>
      <c r="J778" s="34">
        <f t="shared" si="48"/>
        <v>1.3445036191882759E-3</v>
      </c>
      <c r="K778" s="34">
        <f t="shared" si="49"/>
        <v>1.3436001791354846E-3</v>
      </c>
      <c r="L778" s="34">
        <f t="shared" si="50"/>
        <v>0.99165756951212247</v>
      </c>
      <c r="M778" s="34">
        <f t="shared" si="51"/>
        <v>0.99032517822408495</v>
      </c>
    </row>
    <row r="779" spans="1:13" ht="69">
      <c r="A779" t="s">
        <v>164</v>
      </c>
      <c r="B779" t="s">
        <v>115</v>
      </c>
      <c r="C779" s="14" t="s">
        <v>291</v>
      </c>
      <c r="D779" t="s">
        <v>375</v>
      </c>
      <c r="E779" t="s">
        <v>392</v>
      </c>
      <c r="F779" s="20">
        <v>2044</v>
      </c>
      <c r="G779" s="20">
        <v>47</v>
      </c>
      <c r="H779" s="11">
        <v>6696.8258798434899</v>
      </c>
      <c r="I779" s="10">
        <v>4406599.4665919803</v>
      </c>
      <c r="J779" s="34">
        <f t="shared" si="48"/>
        <v>1.5197264763032224E-3</v>
      </c>
      <c r="K779" s="34">
        <f t="shared" si="49"/>
        <v>1.5185722767850907E-3</v>
      </c>
      <c r="L779" s="34">
        <f t="shared" si="50"/>
        <v>0.99032517822408495</v>
      </c>
      <c r="M779" s="34">
        <f t="shared" si="51"/>
        <v>0.98882129786343165</v>
      </c>
    </row>
    <row r="780" spans="1:13" ht="69">
      <c r="A780" t="s">
        <v>164</v>
      </c>
      <c r="B780" t="s">
        <v>115</v>
      </c>
      <c r="C780" s="14" t="s">
        <v>291</v>
      </c>
      <c r="D780" t="s">
        <v>375</v>
      </c>
      <c r="E780" t="s">
        <v>392</v>
      </c>
      <c r="F780" s="20">
        <v>2044</v>
      </c>
      <c r="G780" s="20">
        <v>48</v>
      </c>
      <c r="H780" s="11">
        <v>7261.7043778751604</v>
      </c>
      <c r="I780" s="10">
        <v>4354248.8321589101</v>
      </c>
      <c r="J780" s="34">
        <f t="shared" si="48"/>
        <v>1.6677283861783077E-3</v>
      </c>
      <c r="K780" s="34">
        <f t="shared" si="49"/>
        <v>1.6663384999515696E-3</v>
      </c>
      <c r="L780" s="34">
        <f t="shared" si="50"/>
        <v>0.98882129786343165</v>
      </c>
      <c r="M780" s="34">
        <f t="shared" si="51"/>
        <v>0.98717358686522971</v>
      </c>
    </row>
    <row r="781" spans="1:13" ht="69">
      <c r="A781" t="s">
        <v>164</v>
      </c>
      <c r="B781" t="s">
        <v>115</v>
      </c>
      <c r="C781" s="14" t="s">
        <v>291</v>
      </c>
      <c r="D781" t="s">
        <v>375</v>
      </c>
      <c r="E781" t="s">
        <v>392</v>
      </c>
      <c r="F781" s="20">
        <v>2044</v>
      </c>
      <c r="G781" s="20">
        <v>49</v>
      </c>
      <c r="H781" s="11">
        <v>7820.4645133846698</v>
      </c>
      <c r="I781" s="10">
        <v>4271719.9716067202</v>
      </c>
      <c r="J781" s="34">
        <f t="shared" si="48"/>
        <v>1.8307530843233533E-3</v>
      </c>
      <c r="K781" s="34">
        <f t="shared" si="49"/>
        <v>1.8290782781036352E-3</v>
      </c>
      <c r="L781" s="34">
        <f t="shared" si="50"/>
        <v>0.98717358686522971</v>
      </c>
      <c r="M781" s="34">
        <f t="shared" si="51"/>
        <v>0.98536796910077684</v>
      </c>
    </row>
    <row r="782" spans="1:13" ht="69">
      <c r="A782" t="s">
        <v>164</v>
      </c>
      <c r="B782" t="s">
        <v>115</v>
      </c>
      <c r="C782" s="14" t="s">
        <v>291</v>
      </c>
      <c r="D782" t="s">
        <v>375</v>
      </c>
      <c r="E782" t="s">
        <v>392</v>
      </c>
      <c r="F782" s="20">
        <v>2044</v>
      </c>
      <c r="G782" s="20">
        <v>50</v>
      </c>
      <c r="H782" s="11">
        <v>8831.8703960560506</v>
      </c>
      <c r="I782" s="10">
        <v>4203372.2901247498</v>
      </c>
      <c r="J782" s="34">
        <f t="shared" si="48"/>
        <v>2.1011392249992529E-3</v>
      </c>
      <c r="K782" s="34">
        <f t="shared" si="49"/>
        <v>2.0989333771794794E-3</v>
      </c>
      <c r="L782" s="34">
        <f t="shared" si="50"/>
        <v>0.98536796910077684</v>
      </c>
      <c r="M782" s="34">
        <f t="shared" si="51"/>
        <v>0.98329974738162762</v>
      </c>
    </row>
    <row r="783" spans="1:13" ht="69">
      <c r="A783" t="s">
        <v>164</v>
      </c>
      <c r="B783" t="s">
        <v>115</v>
      </c>
      <c r="C783" s="14" t="s">
        <v>291</v>
      </c>
      <c r="D783" t="s">
        <v>375</v>
      </c>
      <c r="E783" t="s">
        <v>392</v>
      </c>
      <c r="F783" s="20">
        <v>2044</v>
      </c>
      <c r="G783" s="20">
        <v>51</v>
      </c>
      <c r="H783" s="11">
        <v>9377.0867861071893</v>
      </c>
      <c r="I783" s="10">
        <v>4136719.4482080699</v>
      </c>
      <c r="J783" s="34">
        <f t="shared" si="48"/>
        <v>2.2667930236770404E-3</v>
      </c>
      <c r="K783" s="34">
        <f t="shared" si="49"/>
        <v>2.2642257885342465E-3</v>
      </c>
      <c r="L783" s="34">
        <f t="shared" si="50"/>
        <v>0.98329974738162762</v>
      </c>
      <c r="M783" s="34">
        <f t="shared" si="51"/>
        <v>0.98107333473574698</v>
      </c>
    </row>
    <row r="784" spans="1:13" ht="69">
      <c r="A784" t="s">
        <v>164</v>
      </c>
      <c r="B784" t="s">
        <v>115</v>
      </c>
      <c r="C784" s="14" t="s">
        <v>291</v>
      </c>
      <c r="D784" t="s">
        <v>375</v>
      </c>
      <c r="E784" t="s">
        <v>392</v>
      </c>
      <c r="F784" s="20">
        <v>2044</v>
      </c>
      <c r="G784" s="20">
        <v>52</v>
      </c>
      <c r="H784" s="11">
        <v>10304.300814059799</v>
      </c>
      <c r="I784" s="10">
        <v>4156959.0743331099</v>
      </c>
      <c r="J784" s="34">
        <f t="shared" si="48"/>
        <v>2.4788073757288291E-3</v>
      </c>
      <c r="K784" s="34">
        <f t="shared" si="49"/>
        <v>2.4757376696530331E-3</v>
      </c>
      <c r="L784" s="34">
        <f t="shared" si="50"/>
        <v>0.98107333473574698</v>
      </c>
      <c r="M784" s="34">
        <f t="shared" si="51"/>
        <v>0.97864445452424953</v>
      </c>
    </row>
    <row r="785" spans="1:13" ht="69">
      <c r="A785" t="s">
        <v>164</v>
      </c>
      <c r="B785" t="s">
        <v>115</v>
      </c>
      <c r="C785" s="14" t="s">
        <v>291</v>
      </c>
      <c r="D785" t="s">
        <v>375</v>
      </c>
      <c r="E785" t="s">
        <v>392</v>
      </c>
      <c r="F785" s="20">
        <v>2044</v>
      </c>
      <c r="G785" s="20">
        <v>53</v>
      </c>
      <c r="H785" s="11">
        <v>11257.520806496599</v>
      </c>
      <c r="I785" s="10">
        <v>4156398.3103664001</v>
      </c>
      <c r="J785" s="34">
        <f t="shared" si="48"/>
        <v>2.7084797860732969E-3</v>
      </c>
      <c r="K785" s="34">
        <f t="shared" si="49"/>
        <v>2.7048151639624818E-3</v>
      </c>
      <c r="L785" s="34">
        <f t="shared" si="50"/>
        <v>0.97864445452424953</v>
      </c>
      <c r="M785" s="34">
        <f t="shared" si="51"/>
        <v>0.9759974021635246</v>
      </c>
    </row>
    <row r="786" spans="1:13" ht="69">
      <c r="A786" t="s">
        <v>164</v>
      </c>
      <c r="B786" t="s">
        <v>115</v>
      </c>
      <c r="C786" s="14" t="s">
        <v>291</v>
      </c>
      <c r="D786" t="s">
        <v>375</v>
      </c>
      <c r="E786" t="s">
        <v>392</v>
      </c>
      <c r="F786" s="20">
        <v>2044</v>
      </c>
      <c r="G786" s="20">
        <v>54</v>
      </c>
      <c r="H786" s="11">
        <v>16389.543204191999</v>
      </c>
      <c r="I786" s="10">
        <v>6111249.2883469798</v>
      </c>
      <c r="J786" s="34">
        <f t="shared" si="48"/>
        <v>2.6818646124359257E-3</v>
      </c>
      <c r="K786" s="34">
        <f t="shared" si="49"/>
        <v>2.6782716262214734E-3</v>
      </c>
      <c r="L786" s="34">
        <f t="shared" si="50"/>
        <v>0.9759974021635246</v>
      </c>
      <c r="M786" s="34">
        <f t="shared" si="51"/>
        <v>0.97338341601404421</v>
      </c>
    </row>
    <row r="787" spans="1:13" ht="69">
      <c r="A787" t="s">
        <v>164</v>
      </c>
      <c r="B787" t="s">
        <v>115</v>
      </c>
      <c r="C787" s="14" t="s">
        <v>291</v>
      </c>
      <c r="D787" t="s">
        <v>375</v>
      </c>
      <c r="E787" t="s">
        <v>392</v>
      </c>
      <c r="F787" s="20">
        <v>2044</v>
      </c>
      <c r="G787" s="20">
        <v>55</v>
      </c>
      <c r="H787" s="11">
        <v>12973.776795186601</v>
      </c>
      <c r="I787" s="10">
        <v>4076698.27911878</v>
      </c>
      <c r="J787" s="34">
        <f t="shared" si="48"/>
        <v>3.1824226143100823E-3</v>
      </c>
      <c r="K787" s="34">
        <f t="shared" si="49"/>
        <v>3.1773640750214494E-3</v>
      </c>
      <c r="L787" s="34">
        <f t="shared" si="50"/>
        <v>0.97338341601404421</v>
      </c>
      <c r="M787" s="34">
        <f t="shared" si="51"/>
        <v>0.97029062251677956</v>
      </c>
    </row>
    <row r="788" spans="1:13" ht="69">
      <c r="A788" t="s">
        <v>164</v>
      </c>
      <c r="B788" t="s">
        <v>115</v>
      </c>
      <c r="C788" s="14" t="s">
        <v>291</v>
      </c>
      <c r="D788" t="s">
        <v>375</v>
      </c>
      <c r="E788" t="s">
        <v>392</v>
      </c>
      <c r="F788" s="20">
        <v>2044</v>
      </c>
      <c r="G788" s="20">
        <v>56</v>
      </c>
      <c r="H788" s="11">
        <v>13833.9697804719</v>
      </c>
      <c r="I788" s="10">
        <v>4037880.53472884</v>
      </c>
      <c r="J788" s="34">
        <f t="shared" si="48"/>
        <v>3.4260473190054165E-3</v>
      </c>
      <c r="K788" s="34">
        <f t="shared" si="49"/>
        <v>3.4201851155291063E-3</v>
      </c>
      <c r="L788" s="34">
        <f t="shared" si="50"/>
        <v>0.97029062251677956</v>
      </c>
      <c r="M788" s="34">
        <f t="shared" si="51"/>
        <v>0.96697204897191025</v>
      </c>
    </row>
    <row r="789" spans="1:13" ht="69">
      <c r="A789" t="s">
        <v>164</v>
      </c>
      <c r="B789" t="s">
        <v>115</v>
      </c>
      <c r="C789" s="14" t="s">
        <v>291</v>
      </c>
      <c r="D789" t="s">
        <v>375</v>
      </c>
      <c r="E789" t="s">
        <v>392</v>
      </c>
      <c r="F789" s="20">
        <v>2044</v>
      </c>
      <c r="G789" s="20">
        <v>57</v>
      </c>
      <c r="H789" s="11">
        <v>14563.244943965399</v>
      </c>
      <c r="I789" s="10">
        <v>3890003.5585852801</v>
      </c>
      <c r="J789" s="34">
        <f t="shared" si="48"/>
        <v>3.7437613422805641E-3</v>
      </c>
      <c r="K789" s="34">
        <f t="shared" si="49"/>
        <v>3.7367622048775084E-3</v>
      </c>
      <c r="L789" s="34">
        <f t="shared" si="50"/>
        <v>0.96697204897191025</v>
      </c>
      <c r="M789" s="34">
        <f t="shared" si="51"/>
        <v>0.96335870436613902</v>
      </c>
    </row>
    <row r="790" spans="1:13" ht="69">
      <c r="A790" t="s">
        <v>164</v>
      </c>
      <c r="B790" t="s">
        <v>115</v>
      </c>
      <c r="C790" s="14" t="s">
        <v>291</v>
      </c>
      <c r="D790" t="s">
        <v>375</v>
      </c>
      <c r="E790" t="s">
        <v>392</v>
      </c>
      <c r="F790" s="20">
        <v>2044</v>
      </c>
      <c r="G790" s="20">
        <v>58</v>
      </c>
      <c r="H790" s="11">
        <v>15687.248690640899</v>
      </c>
      <c r="I790" s="10">
        <v>3831799.0909956498</v>
      </c>
      <c r="J790" s="34">
        <f t="shared" si="48"/>
        <v>4.0939643019135283E-3</v>
      </c>
      <c r="K790" s="34">
        <f t="shared" si="49"/>
        <v>4.0855954545435669E-3</v>
      </c>
      <c r="L790" s="34">
        <f t="shared" si="50"/>
        <v>0.96335870436613902</v>
      </c>
      <c r="M790" s="34">
        <f t="shared" si="51"/>
        <v>0.95942281042248578</v>
      </c>
    </row>
    <row r="791" spans="1:13" ht="69">
      <c r="A791" t="s">
        <v>164</v>
      </c>
      <c r="B791" t="s">
        <v>115</v>
      </c>
      <c r="C791" s="14" t="s">
        <v>291</v>
      </c>
      <c r="D791" t="s">
        <v>375</v>
      </c>
      <c r="E791" t="s">
        <v>392</v>
      </c>
      <c r="F791" s="20">
        <v>2044</v>
      </c>
      <c r="G791" s="20">
        <v>59</v>
      </c>
      <c r="H791" s="11">
        <v>17294.350824814399</v>
      </c>
      <c r="I791" s="10">
        <v>3857390.8341919901</v>
      </c>
      <c r="J791" s="34">
        <f t="shared" si="48"/>
        <v>4.4834323427942338E-3</v>
      </c>
      <c r="K791" s="34">
        <f t="shared" si="49"/>
        <v>4.4733967635567362E-3</v>
      </c>
      <c r="L791" s="34">
        <f t="shared" si="50"/>
        <v>0.95942281042248578</v>
      </c>
      <c r="M791" s="34">
        <f t="shared" si="51"/>
        <v>0.95513093152745931</v>
      </c>
    </row>
    <row r="792" spans="1:13" ht="69">
      <c r="A792" t="s">
        <v>164</v>
      </c>
      <c r="B792" t="s">
        <v>115</v>
      </c>
      <c r="C792" s="14" t="s">
        <v>291</v>
      </c>
      <c r="D792" t="s">
        <v>375</v>
      </c>
      <c r="E792" t="s">
        <v>392</v>
      </c>
      <c r="F792" s="20">
        <v>2044</v>
      </c>
      <c r="G792" s="20">
        <v>60</v>
      </c>
      <c r="H792" s="11">
        <v>19041.026544847999</v>
      </c>
      <c r="I792" s="10">
        <v>3902494.31231821</v>
      </c>
      <c r="J792" s="34">
        <f t="shared" si="48"/>
        <v>4.879193925983457E-3</v>
      </c>
      <c r="K792" s="34">
        <f t="shared" si="49"/>
        <v>4.8673099951570542E-3</v>
      </c>
      <c r="L792" s="34">
        <f t="shared" si="50"/>
        <v>0.95513093152745931</v>
      </c>
      <c r="M792" s="34">
        <f t="shared" si="51"/>
        <v>0.95048201319775205</v>
      </c>
    </row>
    <row r="793" spans="1:13" ht="69">
      <c r="A793" t="s">
        <v>164</v>
      </c>
      <c r="B793" t="s">
        <v>115</v>
      </c>
      <c r="C793" s="14" t="s">
        <v>291</v>
      </c>
      <c r="D793" t="s">
        <v>375</v>
      </c>
      <c r="E793" t="s">
        <v>392</v>
      </c>
      <c r="F793" s="20">
        <v>2044</v>
      </c>
      <c r="G793" s="20">
        <v>61</v>
      </c>
      <c r="H793" s="11">
        <v>20352.743475086401</v>
      </c>
      <c r="I793" s="10">
        <v>3845193.6749095502</v>
      </c>
      <c r="J793" s="34">
        <f t="shared" si="48"/>
        <v>5.2930346806432721E-3</v>
      </c>
      <c r="K793" s="34">
        <f t="shared" si="49"/>
        <v>5.2790512550420221E-3</v>
      </c>
      <c r="L793" s="34">
        <f t="shared" si="50"/>
        <v>0.95048201319775205</v>
      </c>
      <c r="M793" s="34">
        <f t="shared" si="51"/>
        <v>0.94546436993308558</v>
      </c>
    </row>
    <row r="794" spans="1:13" ht="69">
      <c r="A794" t="s">
        <v>164</v>
      </c>
      <c r="B794" t="s">
        <v>115</v>
      </c>
      <c r="C794" s="14" t="s">
        <v>291</v>
      </c>
      <c r="D794" t="s">
        <v>375</v>
      </c>
      <c r="E794" t="s">
        <v>392</v>
      </c>
      <c r="F794" s="20">
        <v>2044</v>
      </c>
      <c r="G794" s="20">
        <v>62</v>
      </c>
      <c r="H794" s="11">
        <v>21447.678168153401</v>
      </c>
      <c r="I794" s="10">
        <v>3685098.5991415102</v>
      </c>
      <c r="J794" s="34">
        <f t="shared" si="48"/>
        <v>5.8201097178647828E-3</v>
      </c>
      <c r="K794" s="34">
        <f t="shared" si="49"/>
        <v>5.8032056896332174E-3</v>
      </c>
      <c r="L794" s="34">
        <f t="shared" si="50"/>
        <v>0.94546436993308558</v>
      </c>
      <c r="M794" s="34">
        <f t="shared" si="51"/>
        <v>0.93997764572214437</v>
      </c>
    </row>
    <row r="795" spans="1:13" ht="69">
      <c r="A795" t="s">
        <v>164</v>
      </c>
      <c r="B795" t="s">
        <v>115</v>
      </c>
      <c r="C795" s="14" t="s">
        <v>291</v>
      </c>
      <c r="D795" t="s">
        <v>375</v>
      </c>
      <c r="E795" t="s">
        <v>392</v>
      </c>
      <c r="F795" s="20">
        <v>2044</v>
      </c>
      <c r="G795" s="20">
        <v>63</v>
      </c>
      <c r="H795" s="11">
        <v>22881.690473451399</v>
      </c>
      <c r="I795" s="10">
        <v>3579506.18454966</v>
      </c>
      <c r="J795" s="34">
        <f t="shared" si="48"/>
        <v>6.3924154041740148E-3</v>
      </c>
      <c r="K795" s="34">
        <f t="shared" si="49"/>
        <v>6.3720273828570262E-3</v>
      </c>
      <c r="L795" s="34">
        <f t="shared" si="50"/>
        <v>0.93997764572214437</v>
      </c>
      <c r="M795" s="34">
        <f t="shared" si="51"/>
        <v>0.9339880824243294</v>
      </c>
    </row>
    <row r="796" spans="1:13" ht="69">
      <c r="A796" t="s">
        <v>164</v>
      </c>
      <c r="B796" t="s">
        <v>115</v>
      </c>
      <c r="C796" s="14" t="s">
        <v>291</v>
      </c>
      <c r="D796" t="s">
        <v>375</v>
      </c>
      <c r="E796" t="s">
        <v>392</v>
      </c>
      <c r="F796" s="20">
        <v>2044</v>
      </c>
      <c r="G796" s="20">
        <v>64</v>
      </c>
      <c r="H796" s="11">
        <v>24462.021266750999</v>
      </c>
      <c r="I796" s="10">
        <v>3485730.9362697699</v>
      </c>
      <c r="J796" s="34">
        <f t="shared" si="48"/>
        <v>7.0177594639386758E-3</v>
      </c>
      <c r="K796" s="34">
        <f t="shared" si="49"/>
        <v>6.9931924919510724E-3</v>
      </c>
      <c r="L796" s="34">
        <f t="shared" si="50"/>
        <v>0.9339880824243294</v>
      </c>
      <c r="M796" s="34">
        <f t="shared" si="51"/>
        <v>0.92745652397874778</v>
      </c>
    </row>
    <row r="797" spans="1:13" ht="69">
      <c r="A797" t="s">
        <v>164</v>
      </c>
      <c r="B797" t="s">
        <v>115</v>
      </c>
      <c r="C797" s="14" t="s">
        <v>291</v>
      </c>
      <c r="D797" t="s">
        <v>375</v>
      </c>
      <c r="E797" t="s">
        <v>392</v>
      </c>
      <c r="F797" s="20">
        <v>2044</v>
      </c>
      <c r="G797" s="20">
        <v>65</v>
      </c>
      <c r="H797" s="11">
        <v>24930.331897370001</v>
      </c>
      <c r="I797" s="10">
        <v>3385042.3026376399</v>
      </c>
      <c r="J797" s="34">
        <f t="shared" si="48"/>
        <v>7.3648509142542106E-3</v>
      </c>
      <c r="K797" s="34">
        <f t="shared" si="49"/>
        <v>7.3377968568681951E-3</v>
      </c>
      <c r="L797" s="34">
        <f t="shared" si="50"/>
        <v>0.92745652397874778</v>
      </c>
      <c r="M797" s="34">
        <f t="shared" si="51"/>
        <v>0.92065103641221457</v>
      </c>
    </row>
    <row r="798" spans="1:13" ht="69">
      <c r="A798" t="s">
        <v>164</v>
      </c>
      <c r="B798" t="s">
        <v>115</v>
      </c>
      <c r="C798" s="14" t="s">
        <v>291</v>
      </c>
      <c r="D798" t="s">
        <v>375</v>
      </c>
      <c r="E798" t="s">
        <v>392</v>
      </c>
      <c r="F798" s="20">
        <v>2044</v>
      </c>
      <c r="G798" s="20">
        <v>66</v>
      </c>
      <c r="H798" s="11">
        <v>26165.930490245599</v>
      </c>
      <c r="I798" s="10">
        <v>3266099.1475176802</v>
      </c>
      <c r="J798" s="34">
        <f t="shared" si="48"/>
        <v>8.0113705397254643E-3</v>
      </c>
      <c r="K798" s="34">
        <f t="shared" si="49"/>
        <v>7.9793650371067226E-3</v>
      </c>
      <c r="L798" s="34">
        <f t="shared" si="50"/>
        <v>0.92065103641221457</v>
      </c>
      <c r="M798" s="34">
        <f t="shared" si="51"/>
        <v>0.91330482572089089</v>
      </c>
    </row>
    <row r="799" spans="1:13" ht="69">
      <c r="A799" t="s">
        <v>164</v>
      </c>
      <c r="B799" t="s">
        <v>115</v>
      </c>
      <c r="C799" s="14" t="s">
        <v>291</v>
      </c>
      <c r="D799" t="s">
        <v>375</v>
      </c>
      <c r="E799" t="s">
        <v>392</v>
      </c>
      <c r="F799" s="20">
        <v>2044</v>
      </c>
      <c r="G799" s="20">
        <v>67</v>
      </c>
      <c r="H799" s="11">
        <v>27838.570630002501</v>
      </c>
      <c r="I799" s="10">
        <v>3158509.8615858699</v>
      </c>
      <c r="J799" s="34">
        <f t="shared" si="48"/>
        <v>8.8138305245071841E-3</v>
      </c>
      <c r="K799" s="34">
        <f t="shared" si="49"/>
        <v>8.7751025842714991E-3</v>
      </c>
      <c r="L799" s="34">
        <f t="shared" si="50"/>
        <v>0.91330482572089089</v>
      </c>
      <c r="M799" s="34">
        <f t="shared" si="51"/>
        <v>0.90529048218447983</v>
      </c>
    </row>
    <row r="800" spans="1:13" ht="69">
      <c r="A800" t="s">
        <v>164</v>
      </c>
      <c r="B800" t="s">
        <v>115</v>
      </c>
      <c r="C800" s="14" t="s">
        <v>291</v>
      </c>
      <c r="D800" t="s">
        <v>375</v>
      </c>
      <c r="E800" t="s">
        <v>392</v>
      </c>
      <c r="F800" s="20">
        <v>2044</v>
      </c>
      <c r="G800" s="20">
        <v>68</v>
      </c>
      <c r="H800" s="11">
        <v>29457.7898456845</v>
      </c>
      <c r="I800" s="10">
        <v>3039564.6445158301</v>
      </c>
      <c r="J800" s="34">
        <f t="shared" si="48"/>
        <v>9.6914503525477105E-3</v>
      </c>
      <c r="K800" s="34">
        <f t="shared" si="49"/>
        <v>9.6446395910207983E-3</v>
      </c>
      <c r="L800" s="34">
        <f t="shared" si="50"/>
        <v>0.90529048218447983</v>
      </c>
      <c r="M800" s="34">
        <f t="shared" si="51"/>
        <v>0.89655928175862909</v>
      </c>
    </row>
    <row r="801" spans="1:13" ht="69">
      <c r="A801" t="s">
        <v>164</v>
      </c>
      <c r="B801" t="s">
        <v>115</v>
      </c>
      <c r="C801" s="14" t="s">
        <v>291</v>
      </c>
      <c r="D801" t="s">
        <v>375</v>
      </c>
      <c r="E801" t="s">
        <v>392</v>
      </c>
      <c r="F801" s="20">
        <v>2044</v>
      </c>
      <c r="G801" s="20">
        <v>69</v>
      </c>
      <c r="H801" s="11">
        <v>31118.900843494601</v>
      </c>
      <c r="I801" s="10">
        <v>2918029.1122996402</v>
      </c>
      <c r="J801" s="34">
        <f t="shared" si="48"/>
        <v>1.0664355853177359E-2</v>
      </c>
      <c r="K801" s="34">
        <f t="shared" si="49"/>
        <v>1.0607693212693281E-2</v>
      </c>
      <c r="L801" s="34">
        <f t="shared" si="50"/>
        <v>0.89655928175862909</v>
      </c>
      <c r="M801" s="34">
        <f t="shared" si="51"/>
        <v>0.8870488559507409</v>
      </c>
    </row>
    <row r="802" spans="1:13" ht="69">
      <c r="A802" t="s">
        <v>164</v>
      </c>
      <c r="B802" t="s">
        <v>115</v>
      </c>
      <c r="C802" s="14" t="s">
        <v>291</v>
      </c>
      <c r="D802" t="s">
        <v>375</v>
      </c>
      <c r="E802" t="s">
        <v>392</v>
      </c>
      <c r="F802" s="20">
        <v>2045</v>
      </c>
      <c r="G802" s="20">
        <v>30</v>
      </c>
      <c r="H802" s="11">
        <v>738.29098738003995</v>
      </c>
      <c r="I802" s="10">
        <v>4642354.3428514795</v>
      </c>
      <c r="J802" s="34">
        <f t="shared" si="48"/>
        <v>1.590337429793346E-4</v>
      </c>
      <c r="K802" s="34">
        <f t="shared" si="49"/>
        <v>1.5902109778398454E-4</v>
      </c>
      <c r="L802" s="34">
        <f t="shared" si="50"/>
        <v>1</v>
      </c>
      <c r="M802" s="34">
        <f t="shared" si="51"/>
        <v>0.99984097890221602</v>
      </c>
    </row>
    <row r="803" spans="1:13" ht="69">
      <c r="A803" t="s">
        <v>164</v>
      </c>
      <c r="B803" t="s">
        <v>115</v>
      </c>
      <c r="C803" s="14" t="s">
        <v>291</v>
      </c>
      <c r="D803" t="s">
        <v>375</v>
      </c>
      <c r="E803" t="s">
        <v>392</v>
      </c>
      <c r="F803" s="20">
        <v>2045</v>
      </c>
      <c r="G803" s="20">
        <v>31</v>
      </c>
      <c r="H803" s="11">
        <v>990.74972112024295</v>
      </c>
      <c r="I803" s="10">
        <v>4708873.2978436695</v>
      </c>
      <c r="J803" s="34">
        <f t="shared" si="48"/>
        <v>2.1040059021633394E-4</v>
      </c>
      <c r="K803" s="34">
        <f t="shared" si="49"/>
        <v>2.1037845756444185E-4</v>
      </c>
      <c r="L803" s="34">
        <f t="shared" si="50"/>
        <v>0.99984097890221602</v>
      </c>
      <c r="M803" s="34">
        <f t="shared" si="51"/>
        <v>0.99963063389926488</v>
      </c>
    </row>
    <row r="804" spans="1:13" ht="69">
      <c r="A804" t="s">
        <v>164</v>
      </c>
      <c r="B804" t="s">
        <v>115</v>
      </c>
      <c r="C804" s="14" t="s">
        <v>291</v>
      </c>
      <c r="D804" t="s">
        <v>375</v>
      </c>
      <c r="E804" t="s">
        <v>392</v>
      </c>
      <c r="F804" s="20">
        <v>2045</v>
      </c>
      <c r="G804" s="20">
        <v>32</v>
      </c>
      <c r="H804" s="11">
        <v>1053.79335586394</v>
      </c>
      <c r="I804" s="10">
        <v>4777042.6711529698</v>
      </c>
      <c r="J804" s="34">
        <f t="shared" si="48"/>
        <v>2.2059534075913963E-4</v>
      </c>
      <c r="K804" s="34">
        <f t="shared" si="49"/>
        <v>2.2057101139594248E-4</v>
      </c>
      <c r="L804" s="34">
        <f t="shared" si="50"/>
        <v>0.99963063389926488</v>
      </c>
      <c r="M804" s="34">
        <f t="shared" si="51"/>
        <v>0.99941014435932329</v>
      </c>
    </row>
    <row r="805" spans="1:13" ht="69">
      <c r="A805" t="s">
        <v>164</v>
      </c>
      <c r="B805" t="s">
        <v>115</v>
      </c>
      <c r="C805" s="14" t="s">
        <v>291</v>
      </c>
      <c r="D805" t="s">
        <v>375</v>
      </c>
      <c r="E805" t="s">
        <v>392</v>
      </c>
      <c r="F805" s="20">
        <v>2045</v>
      </c>
      <c r="G805" s="20">
        <v>33</v>
      </c>
      <c r="H805" s="11">
        <v>1180.33084922393</v>
      </c>
      <c r="I805" s="10">
        <v>4889560.4378039297</v>
      </c>
      <c r="J805" s="34">
        <f t="shared" si="48"/>
        <v>2.413981510685769E-4</v>
      </c>
      <c r="K805" s="34">
        <f t="shared" si="49"/>
        <v>2.4136901687932255E-4</v>
      </c>
      <c r="L805" s="34">
        <f t="shared" si="50"/>
        <v>0.99941014435932329</v>
      </c>
      <c r="M805" s="34">
        <f t="shared" si="51"/>
        <v>0.99916891771532002</v>
      </c>
    </row>
    <row r="806" spans="1:13" ht="69">
      <c r="A806" t="s">
        <v>164</v>
      </c>
      <c r="B806" t="s">
        <v>115</v>
      </c>
      <c r="C806" s="14" t="s">
        <v>291</v>
      </c>
      <c r="D806" t="s">
        <v>375</v>
      </c>
      <c r="E806" t="s">
        <v>392</v>
      </c>
      <c r="F806" s="20">
        <v>2045</v>
      </c>
      <c r="G806" s="20">
        <v>34</v>
      </c>
      <c r="H806" s="11">
        <v>1243.05190712538</v>
      </c>
      <c r="I806" s="10">
        <v>4861118.6840513097</v>
      </c>
      <c r="J806" s="34">
        <f t="shared" si="48"/>
        <v>2.5571313681430362E-4</v>
      </c>
      <c r="K806" s="34">
        <f t="shared" si="49"/>
        <v>2.5568044499679754E-4</v>
      </c>
      <c r="L806" s="34">
        <f t="shared" si="50"/>
        <v>0.99916891771532002</v>
      </c>
      <c r="M806" s="34">
        <f t="shared" si="51"/>
        <v>0.99891344976181162</v>
      </c>
    </row>
    <row r="807" spans="1:13" ht="69">
      <c r="A807" t="s">
        <v>164</v>
      </c>
      <c r="B807" t="s">
        <v>115</v>
      </c>
      <c r="C807" s="14" t="s">
        <v>291</v>
      </c>
      <c r="D807" t="s">
        <v>375</v>
      </c>
      <c r="E807" t="s">
        <v>392</v>
      </c>
      <c r="F807" s="20">
        <v>2045</v>
      </c>
      <c r="G807" s="20">
        <v>35</v>
      </c>
      <c r="H807" s="11">
        <v>1575.28814212099</v>
      </c>
      <c r="I807" s="10">
        <v>4727084.96468357</v>
      </c>
      <c r="J807" s="34">
        <f t="shared" si="48"/>
        <v>3.3324726631530716E-4</v>
      </c>
      <c r="K807" s="34">
        <f t="shared" si="49"/>
        <v>3.3319174561263765E-4</v>
      </c>
      <c r="L807" s="34">
        <f t="shared" si="50"/>
        <v>0.99891344976181162</v>
      </c>
      <c r="M807" s="34">
        <f t="shared" si="51"/>
        <v>0.99858062004576953</v>
      </c>
    </row>
    <row r="808" spans="1:13" ht="69">
      <c r="A808" t="s">
        <v>164</v>
      </c>
      <c r="B808" t="s">
        <v>115</v>
      </c>
      <c r="C808" s="14" t="s">
        <v>291</v>
      </c>
      <c r="D808" t="s">
        <v>375</v>
      </c>
      <c r="E808" t="s">
        <v>392</v>
      </c>
      <c r="F808" s="20">
        <v>2045</v>
      </c>
      <c r="G808" s="20">
        <v>36</v>
      </c>
      <c r="H808" s="11">
        <v>1734.02939553239</v>
      </c>
      <c r="I808" s="10">
        <v>4655290.2331916299</v>
      </c>
      <c r="J808" s="34">
        <f t="shared" si="48"/>
        <v>3.7248577611101024E-4</v>
      </c>
      <c r="K808" s="34">
        <f t="shared" si="49"/>
        <v>3.7241641189700303E-4</v>
      </c>
      <c r="L808" s="34">
        <f t="shared" si="50"/>
        <v>0.99858062004576953</v>
      </c>
      <c r="M808" s="34">
        <f t="shared" si="51"/>
        <v>0.99820873223426221</v>
      </c>
    </row>
    <row r="809" spans="1:13" ht="69">
      <c r="A809" t="s">
        <v>164</v>
      </c>
      <c r="B809" t="s">
        <v>115</v>
      </c>
      <c r="C809" s="14" t="s">
        <v>291</v>
      </c>
      <c r="D809" t="s">
        <v>375</v>
      </c>
      <c r="E809" t="s">
        <v>392</v>
      </c>
      <c r="F809" s="20">
        <v>2045</v>
      </c>
      <c r="G809" s="20">
        <v>37</v>
      </c>
      <c r="H809" s="11">
        <v>1842.05826542215</v>
      </c>
      <c r="I809" s="10">
        <v>4611521.5781097002</v>
      </c>
      <c r="J809" s="34">
        <f t="shared" si="48"/>
        <v>3.9944695784709404E-4</v>
      </c>
      <c r="K809" s="34">
        <f t="shared" si="49"/>
        <v>3.9936718953248462E-4</v>
      </c>
      <c r="L809" s="34">
        <f t="shared" si="50"/>
        <v>0.99820873223426221</v>
      </c>
      <c r="M809" s="34">
        <f t="shared" si="51"/>
        <v>0.99781008041830299</v>
      </c>
    </row>
    <row r="810" spans="1:13" ht="69">
      <c r="A810" t="s">
        <v>164</v>
      </c>
      <c r="B810" t="s">
        <v>115</v>
      </c>
      <c r="C810" s="14" t="s">
        <v>291</v>
      </c>
      <c r="D810" t="s">
        <v>375</v>
      </c>
      <c r="E810" t="s">
        <v>392</v>
      </c>
      <c r="F810" s="20">
        <v>2045</v>
      </c>
      <c r="G810" s="20">
        <v>38</v>
      </c>
      <c r="H810" s="11">
        <v>2052.2707478594202</v>
      </c>
      <c r="I810" s="10">
        <v>4635321.5016262904</v>
      </c>
      <c r="J810" s="34">
        <f t="shared" si="48"/>
        <v>4.4274614978473154E-4</v>
      </c>
      <c r="K810" s="34">
        <f t="shared" si="49"/>
        <v>4.4264815217143205E-4</v>
      </c>
      <c r="L810" s="34">
        <f t="shared" si="50"/>
        <v>0.99781008041830299</v>
      </c>
      <c r="M810" s="34">
        <f t="shared" si="51"/>
        <v>0.99736840162998786</v>
      </c>
    </row>
    <row r="811" spans="1:13" ht="69">
      <c r="A811" t="s">
        <v>164</v>
      </c>
      <c r="B811" t="s">
        <v>115</v>
      </c>
      <c r="C811" s="14" t="s">
        <v>291</v>
      </c>
      <c r="D811" t="s">
        <v>375</v>
      </c>
      <c r="E811" t="s">
        <v>392</v>
      </c>
      <c r="F811" s="20">
        <v>2045</v>
      </c>
      <c r="G811" s="20">
        <v>39</v>
      </c>
      <c r="H811" s="11">
        <v>2172.40799160815</v>
      </c>
      <c r="I811" s="10">
        <v>4550741.8035162501</v>
      </c>
      <c r="J811" s="34">
        <f t="shared" si="48"/>
        <v>4.773744777015435E-4</v>
      </c>
      <c r="K811" s="34">
        <f t="shared" si="49"/>
        <v>4.7726055263463962E-4</v>
      </c>
      <c r="L811" s="34">
        <f t="shared" si="50"/>
        <v>0.99736840162998786</v>
      </c>
      <c r="M811" s="34">
        <f t="shared" si="51"/>
        <v>0.99689239703544563</v>
      </c>
    </row>
    <row r="812" spans="1:13" ht="69">
      <c r="A812" t="s">
        <v>164</v>
      </c>
      <c r="B812" t="s">
        <v>115</v>
      </c>
      <c r="C812" s="14" t="s">
        <v>291</v>
      </c>
      <c r="D812" t="s">
        <v>375</v>
      </c>
      <c r="E812" t="s">
        <v>392</v>
      </c>
      <c r="F812" s="20">
        <v>2045</v>
      </c>
      <c r="G812" s="20">
        <v>40</v>
      </c>
      <c r="H812" s="11">
        <v>2866.96691178541</v>
      </c>
      <c r="I812" s="10">
        <v>4487546.8795277998</v>
      </c>
      <c r="J812" s="34">
        <f t="shared" si="48"/>
        <v>6.3887174635757465E-4</v>
      </c>
      <c r="K812" s="34">
        <f t="shared" si="49"/>
        <v>6.3866771125653532E-4</v>
      </c>
      <c r="L812" s="34">
        <f t="shared" si="50"/>
        <v>0.99689239703544563</v>
      </c>
      <c r="M812" s="34">
        <f t="shared" si="51"/>
        <v>0.99625571404986202</v>
      </c>
    </row>
    <row r="813" spans="1:13" ht="69">
      <c r="A813" t="s">
        <v>164</v>
      </c>
      <c r="B813" t="s">
        <v>115</v>
      </c>
      <c r="C813" s="14" t="s">
        <v>291</v>
      </c>
      <c r="D813" t="s">
        <v>375</v>
      </c>
      <c r="E813" t="s">
        <v>392</v>
      </c>
      <c r="F813" s="20">
        <v>2045</v>
      </c>
      <c r="G813" s="20">
        <v>41</v>
      </c>
      <c r="H813" s="11">
        <v>3073.62478487717</v>
      </c>
      <c r="I813" s="10">
        <v>4356460.6574681299</v>
      </c>
      <c r="J813" s="34">
        <f t="shared" si="48"/>
        <v>7.0553254730033226E-4</v>
      </c>
      <c r="K813" s="34">
        <f t="shared" si="49"/>
        <v>7.0528371773526111E-4</v>
      </c>
      <c r="L813" s="34">
        <f t="shared" si="50"/>
        <v>0.99625571404986202</v>
      </c>
      <c r="M813" s="34">
        <f t="shared" si="51"/>
        <v>0.99555307111604197</v>
      </c>
    </row>
    <row r="814" spans="1:13" ht="69">
      <c r="A814" t="s">
        <v>164</v>
      </c>
      <c r="B814" t="s">
        <v>115</v>
      </c>
      <c r="C814" s="14" t="s">
        <v>291</v>
      </c>
      <c r="D814" t="s">
        <v>375</v>
      </c>
      <c r="E814" t="s">
        <v>392</v>
      </c>
      <c r="F814" s="20">
        <v>2045</v>
      </c>
      <c r="G814" s="20">
        <v>42</v>
      </c>
      <c r="H814" s="11">
        <v>3287.5488384605101</v>
      </c>
      <c r="I814" s="10">
        <v>4287918.7433379898</v>
      </c>
      <c r="J814" s="34">
        <f t="shared" si="48"/>
        <v>7.6670035866894062E-4</v>
      </c>
      <c r="K814" s="34">
        <f t="shared" si="49"/>
        <v>7.6640651904935631E-4</v>
      </c>
      <c r="L814" s="34">
        <f t="shared" si="50"/>
        <v>0.99555307111604197</v>
      </c>
      <c r="M814" s="34">
        <f t="shared" si="51"/>
        <v>0.99479007275227904</v>
      </c>
    </row>
    <row r="815" spans="1:13" ht="69">
      <c r="A815" t="s">
        <v>164</v>
      </c>
      <c r="B815" t="s">
        <v>115</v>
      </c>
      <c r="C815" s="14" t="s">
        <v>291</v>
      </c>
      <c r="D815" t="s">
        <v>375</v>
      </c>
      <c r="E815" t="s">
        <v>392</v>
      </c>
      <c r="F815" s="20">
        <v>2045</v>
      </c>
      <c r="G815" s="20">
        <v>43</v>
      </c>
      <c r="H815" s="11">
        <v>3713.1454317844</v>
      </c>
      <c r="I815" s="10">
        <v>4260452.9132616296</v>
      </c>
      <c r="J815" s="34">
        <f t="shared" si="48"/>
        <v>8.7153772319050621E-4</v>
      </c>
      <c r="K815" s="34">
        <f t="shared" si="49"/>
        <v>8.7115804449844347E-4</v>
      </c>
      <c r="L815" s="34">
        <f t="shared" si="50"/>
        <v>0.99479007275227904</v>
      </c>
      <c r="M815" s="34">
        <f t="shared" si="51"/>
        <v>0.99392345337781374</v>
      </c>
    </row>
    <row r="816" spans="1:13" ht="69">
      <c r="A816" t="s">
        <v>164</v>
      </c>
      <c r="B816" t="s">
        <v>115</v>
      </c>
      <c r="C816" s="14" t="s">
        <v>291</v>
      </c>
      <c r="D816" t="s">
        <v>375</v>
      </c>
      <c r="E816" t="s">
        <v>392</v>
      </c>
      <c r="F816" s="20">
        <v>2045</v>
      </c>
      <c r="G816" s="20">
        <v>44</v>
      </c>
      <c r="H816" s="11">
        <v>4023.1378964852802</v>
      </c>
      <c r="I816" s="10">
        <v>4235314.4922916703</v>
      </c>
      <c r="J816" s="34">
        <f t="shared" si="48"/>
        <v>9.499029892130669E-4</v>
      </c>
      <c r="K816" s="34">
        <f t="shared" si="49"/>
        <v>9.4945197418672134E-4</v>
      </c>
      <c r="L816" s="34">
        <f t="shared" si="50"/>
        <v>0.99392345337781374</v>
      </c>
      <c r="M816" s="34">
        <f t="shared" si="51"/>
        <v>0.99297977079281374</v>
      </c>
    </row>
    <row r="817" spans="1:13" ht="69">
      <c r="A817" t="s">
        <v>164</v>
      </c>
      <c r="B817" t="s">
        <v>115</v>
      </c>
      <c r="C817" s="14" t="s">
        <v>291</v>
      </c>
      <c r="D817" t="s">
        <v>375</v>
      </c>
      <c r="E817" t="s">
        <v>392</v>
      </c>
      <c r="F817" s="20">
        <v>2045</v>
      </c>
      <c r="G817" s="20">
        <v>45</v>
      </c>
      <c r="H817" s="11">
        <v>5128.1767370973903</v>
      </c>
      <c r="I817" s="10">
        <v>4209231.1278342204</v>
      </c>
      <c r="J817" s="34">
        <f t="shared" si="48"/>
        <v>1.2183167379872524E-3</v>
      </c>
      <c r="K817" s="34">
        <f t="shared" si="49"/>
        <v>1.2175748914488027E-3</v>
      </c>
      <c r="L817" s="34">
        <f t="shared" si="50"/>
        <v>0.99297977079281374</v>
      </c>
      <c r="M817" s="34">
        <f t="shared" si="51"/>
        <v>0.99177074355617978</v>
      </c>
    </row>
    <row r="818" spans="1:13" ht="69">
      <c r="A818" t="s">
        <v>164</v>
      </c>
      <c r="B818" t="s">
        <v>115</v>
      </c>
      <c r="C818" s="14" t="s">
        <v>291</v>
      </c>
      <c r="D818" t="s">
        <v>375</v>
      </c>
      <c r="E818" t="s">
        <v>392</v>
      </c>
      <c r="F818" s="20">
        <v>2045</v>
      </c>
      <c r="G818" s="20">
        <v>46</v>
      </c>
      <c r="H818" s="11">
        <v>5607.3448384056601</v>
      </c>
      <c r="I818" s="10">
        <v>4220241.2606772603</v>
      </c>
      <c r="J818" s="34">
        <f t="shared" si="48"/>
        <v>1.3286787394486065E-3</v>
      </c>
      <c r="K818" s="34">
        <f t="shared" si="49"/>
        <v>1.3277964366611439E-3</v>
      </c>
      <c r="L818" s="34">
        <f t="shared" si="50"/>
        <v>0.99177074355617978</v>
      </c>
      <c r="M818" s="34">
        <f t="shared" si="51"/>
        <v>0.99045387389690109</v>
      </c>
    </row>
    <row r="819" spans="1:13" ht="69">
      <c r="A819" t="s">
        <v>164</v>
      </c>
      <c r="B819" t="s">
        <v>115</v>
      </c>
      <c r="C819" s="14" t="s">
        <v>291</v>
      </c>
      <c r="D819" t="s">
        <v>375</v>
      </c>
      <c r="E819" t="s">
        <v>392</v>
      </c>
      <c r="F819" s="20">
        <v>2045</v>
      </c>
      <c r="G819" s="20">
        <v>47</v>
      </c>
      <c r="H819" s="11">
        <v>6229.3511689749103</v>
      </c>
      <c r="I819" s="10">
        <v>4269189.99518116</v>
      </c>
      <c r="J819" s="34">
        <f t="shared" si="48"/>
        <v>1.4591412366294961E-3</v>
      </c>
      <c r="K819" s="34">
        <f t="shared" si="49"/>
        <v>1.4580772076410176E-3</v>
      </c>
      <c r="L819" s="34">
        <f t="shared" si="50"/>
        <v>0.99045387389690109</v>
      </c>
      <c r="M819" s="34">
        <f t="shared" si="51"/>
        <v>0.98900971567815232</v>
      </c>
    </row>
    <row r="820" spans="1:13" ht="69">
      <c r="A820" t="s">
        <v>164</v>
      </c>
      <c r="B820" t="s">
        <v>115</v>
      </c>
      <c r="C820" s="14" t="s">
        <v>291</v>
      </c>
      <c r="D820" t="s">
        <v>375</v>
      </c>
      <c r="E820" t="s">
        <v>392</v>
      </c>
      <c r="F820" s="20">
        <v>2045</v>
      </c>
      <c r="G820" s="20">
        <v>48</v>
      </c>
      <c r="H820" s="11">
        <v>7238.2014491173504</v>
      </c>
      <c r="I820" s="10">
        <v>4391006.399437</v>
      </c>
      <c r="J820" s="34">
        <f t="shared" si="48"/>
        <v>1.6484151446569078E-3</v>
      </c>
      <c r="K820" s="34">
        <f t="shared" si="49"/>
        <v>1.6470572546369855E-3</v>
      </c>
      <c r="L820" s="34">
        <f t="shared" si="50"/>
        <v>0.98900971567815232</v>
      </c>
      <c r="M820" s="34">
        <f t="shared" si="51"/>
        <v>0.98738076005103814</v>
      </c>
    </row>
    <row r="821" spans="1:13" ht="69">
      <c r="A821" t="s">
        <v>164</v>
      </c>
      <c r="B821" t="s">
        <v>115</v>
      </c>
      <c r="C821" s="14" t="s">
        <v>291</v>
      </c>
      <c r="D821" t="s">
        <v>375</v>
      </c>
      <c r="E821" t="s">
        <v>392</v>
      </c>
      <c r="F821" s="20">
        <v>2045</v>
      </c>
      <c r="G821" s="20">
        <v>49</v>
      </c>
      <c r="H821" s="11">
        <v>7848.8460130917301</v>
      </c>
      <c r="I821" s="10">
        <v>4337381.2718903599</v>
      </c>
      <c r="J821" s="34">
        <f t="shared" si="48"/>
        <v>1.8095817547695017E-3</v>
      </c>
      <c r="K821" s="34">
        <f t="shared" si="49"/>
        <v>1.8079454488645341E-3</v>
      </c>
      <c r="L821" s="34">
        <f t="shared" si="50"/>
        <v>0.98738076005103814</v>
      </c>
      <c r="M821" s="34">
        <f t="shared" si="51"/>
        <v>0.98559562949960744</v>
      </c>
    </row>
    <row r="822" spans="1:13" ht="69">
      <c r="A822" t="s">
        <v>164</v>
      </c>
      <c r="B822" t="s">
        <v>115</v>
      </c>
      <c r="C822" s="14" t="s">
        <v>291</v>
      </c>
      <c r="D822" t="s">
        <v>375</v>
      </c>
      <c r="E822" t="s">
        <v>392</v>
      </c>
      <c r="F822" s="20">
        <v>2045</v>
      </c>
      <c r="G822" s="20">
        <v>50</v>
      </c>
      <c r="H822" s="11">
        <v>8803.1533571784203</v>
      </c>
      <c r="I822" s="10">
        <v>4253588.9130716501</v>
      </c>
      <c r="J822" s="34">
        <f t="shared" si="48"/>
        <v>2.0695825424327115E-3</v>
      </c>
      <c r="K822" s="34">
        <f t="shared" si="49"/>
        <v>2.0674424331149632E-3</v>
      </c>
      <c r="L822" s="34">
        <f t="shared" si="50"/>
        <v>0.98559562949960744</v>
      </c>
      <c r="M822" s="34">
        <f t="shared" si="51"/>
        <v>0.98355796727328726</v>
      </c>
    </row>
    <row r="823" spans="1:13" ht="69">
      <c r="A823" t="s">
        <v>164</v>
      </c>
      <c r="B823" t="s">
        <v>115</v>
      </c>
      <c r="C823" s="14" t="s">
        <v>291</v>
      </c>
      <c r="D823" t="s">
        <v>375</v>
      </c>
      <c r="E823" t="s">
        <v>392</v>
      </c>
      <c r="F823" s="20">
        <v>2045</v>
      </c>
      <c r="G823" s="20">
        <v>51</v>
      </c>
      <c r="H823" s="11">
        <v>9359.7233416846593</v>
      </c>
      <c r="I823" s="10">
        <v>4183202.8818171802</v>
      </c>
      <c r="J823" s="34">
        <f t="shared" si="48"/>
        <v>2.2374538376725354E-3</v>
      </c>
      <c r="K823" s="34">
        <f t="shared" si="49"/>
        <v>2.2349526036476997E-3</v>
      </c>
      <c r="L823" s="34">
        <f t="shared" si="50"/>
        <v>0.98355796727328726</v>
      </c>
      <c r="M823" s="34">
        <f t="shared" si="51"/>
        <v>0.98135976183349138</v>
      </c>
    </row>
    <row r="824" spans="1:13" ht="69">
      <c r="A824" t="s">
        <v>164</v>
      </c>
      <c r="B824" t="s">
        <v>115</v>
      </c>
      <c r="C824" s="14" t="s">
        <v>291</v>
      </c>
      <c r="D824" t="s">
        <v>375</v>
      </c>
      <c r="E824" t="s">
        <v>392</v>
      </c>
      <c r="F824" s="20">
        <v>2045</v>
      </c>
      <c r="G824" s="20">
        <v>52</v>
      </c>
      <c r="H824" s="11">
        <v>10085.5862496765</v>
      </c>
      <c r="I824" s="10">
        <v>4115773.1257372098</v>
      </c>
      <c r="J824" s="34">
        <f t="shared" si="48"/>
        <v>2.450471865567174E-3</v>
      </c>
      <c r="K824" s="34">
        <f t="shared" si="49"/>
        <v>2.4474719103207976E-3</v>
      </c>
      <c r="L824" s="34">
        <f t="shared" si="50"/>
        <v>0.98135976183349138</v>
      </c>
      <c r="M824" s="34">
        <f t="shared" si="51"/>
        <v>0.97895791138248478</v>
      </c>
    </row>
    <row r="825" spans="1:13" ht="69">
      <c r="A825" t="s">
        <v>164</v>
      </c>
      <c r="B825" t="s">
        <v>115</v>
      </c>
      <c r="C825" s="14" t="s">
        <v>291</v>
      </c>
      <c r="D825" t="s">
        <v>375</v>
      </c>
      <c r="E825" t="s">
        <v>392</v>
      </c>
      <c r="F825" s="20">
        <v>2045</v>
      </c>
      <c r="G825" s="20">
        <v>53</v>
      </c>
      <c r="H825" s="11">
        <v>11052.118429763599</v>
      </c>
      <c r="I825" s="10">
        <v>4133956.8025861601</v>
      </c>
      <c r="J825" s="34">
        <f t="shared" si="48"/>
        <v>2.6734963516913167E-3</v>
      </c>
      <c r="K825" s="34">
        <f t="shared" si="49"/>
        <v>2.6699257430319312E-3</v>
      </c>
      <c r="L825" s="34">
        <f t="shared" si="50"/>
        <v>0.97895791138248478</v>
      </c>
      <c r="M825" s="34">
        <f t="shared" si="51"/>
        <v>0.97634416645353994</v>
      </c>
    </row>
    <row r="826" spans="1:13" ht="69">
      <c r="A826" t="s">
        <v>164</v>
      </c>
      <c r="B826" t="s">
        <v>115</v>
      </c>
      <c r="C826" s="14" t="s">
        <v>291</v>
      </c>
      <c r="D826" t="s">
        <v>375</v>
      </c>
      <c r="E826" t="s">
        <v>392</v>
      </c>
      <c r="F826" s="20">
        <v>2045</v>
      </c>
      <c r="G826" s="20">
        <v>54</v>
      </c>
      <c r="H826" s="11">
        <v>12044.149881451</v>
      </c>
      <c r="I826" s="10">
        <v>4131282.9806929701</v>
      </c>
      <c r="J826" s="34">
        <f t="shared" si="48"/>
        <v>2.9153533993526502E-3</v>
      </c>
      <c r="K826" s="34">
        <f t="shared" si="49"/>
        <v>2.9111078833596871E-3</v>
      </c>
      <c r="L826" s="34">
        <f t="shared" si="50"/>
        <v>0.97634416645353994</v>
      </c>
      <c r="M826" s="34">
        <f t="shared" si="51"/>
        <v>0.97350192325370477</v>
      </c>
    </row>
    <row r="827" spans="1:13" ht="69">
      <c r="A827" t="s">
        <v>164</v>
      </c>
      <c r="B827" t="s">
        <v>115</v>
      </c>
      <c r="C827" s="14" t="s">
        <v>291</v>
      </c>
      <c r="D827" t="s">
        <v>375</v>
      </c>
      <c r="E827" t="s">
        <v>392</v>
      </c>
      <c r="F827" s="20">
        <v>2045</v>
      </c>
      <c r="G827" s="20">
        <v>55</v>
      </c>
      <c r="H827" s="11">
        <v>17412.947508930501</v>
      </c>
      <c r="I827" s="10">
        <v>6073988.97122359</v>
      </c>
      <c r="J827" s="34">
        <f t="shared" si="48"/>
        <v>2.8668059147665373E-3</v>
      </c>
      <c r="K827" s="34">
        <f t="shared" si="49"/>
        <v>2.8627005507211312E-3</v>
      </c>
      <c r="L827" s="34">
        <f t="shared" si="50"/>
        <v>0.97350192325370477</v>
      </c>
      <c r="M827" s="34">
        <f t="shared" si="51"/>
        <v>0.97071507876187835</v>
      </c>
    </row>
    <row r="828" spans="1:13" ht="69">
      <c r="A828" t="s">
        <v>164</v>
      </c>
      <c r="B828" t="s">
        <v>115</v>
      </c>
      <c r="C828" s="14" t="s">
        <v>291</v>
      </c>
      <c r="D828" t="s">
        <v>375</v>
      </c>
      <c r="E828" t="s">
        <v>392</v>
      </c>
      <c r="F828" s="20">
        <v>2045</v>
      </c>
      <c r="G828" s="20">
        <v>56</v>
      </c>
      <c r="H828" s="11">
        <v>13653.4529925836</v>
      </c>
      <c r="I828" s="10">
        <v>4047325.1165068699</v>
      </c>
      <c r="J828" s="34">
        <f t="shared" si="48"/>
        <v>3.3734510076540388E-3</v>
      </c>
      <c r="K828" s="34">
        <f t="shared" si="49"/>
        <v>3.3677673148195808E-3</v>
      </c>
      <c r="L828" s="34">
        <f t="shared" si="50"/>
        <v>0.97071507876187835</v>
      </c>
      <c r="M828" s="34">
        <f t="shared" si="51"/>
        <v>0.96744593624762154</v>
      </c>
    </row>
    <row r="829" spans="1:13" ht="69">
      <c r="A829" t="s">
        <v>164</v>
      </c>
      <c r="B829" t="s">
        <v>115</v>
      </c>
      <c r="C829" s="14" t="s">
        <v>291</v>
      </c>
      <c r="D829" t="s">
        <v>375</v>
      </c>
      <c r="E829" t="s">
        <v>392</v>
      </c>
      <c r="F829" s="20">
        <v>2045</v>
      </c>
      <c r="G829" s="20">
        <v>57</v>
      </c>
      <c r="H829" s="11">
        <v>14762.0368447614</v>
      </c>
      <c r="I829" s="10">
        <v>4006476.6721462701</v>
      </c>
      <c r="J829" s="34">
        <f t="shared" si="48"/>
        <v>3.6845433164230494E-3</v>
      </c>
      <c r="K829" s="34">
        <f t="shared" si="49"/>
        <v>3.6777637158310617E-3</v>
      </c>
      <c r="L829" s="34">
        <f t="shared" si="50"/>
        <v>0.96744593624762154</v>
      </c>
      <c r="M829" s="34">
        <f t="shared" si="51"/>
        <v>0.96388789868626179</v>
      </c>
    </row>
    <row r="830" spans="1:13" ht="69">
      <c r="A830" t="s">
        <v>164</v>
      </c>
      <c r="B830" t="s">
        <v>115</v>
      </c>
      <c r="C830" s="14" t="s">
        <v>291</v>
      </c>
      <c r="D830" t="s">
        <v>375</v>
      </c>
      <c r="E830" t="s">
        <v>392</v>
      </c>
      <c r="F830" s="20">
        <v>2045</v>
      </c>
      <c r="G830" s="20">
        <v>58</v>
      </c>
      <c r="H830" s="11">
        <v>15548.493073391801</v>
      </c>
      <c r="I830" s="10">
        <v>3857005.6013361099</v>
      </c>
      <c r="J830" s="34">
        <f t="shared" si="48"/>
        <v>4.0312342476260931E-3</v>
      </c>
      <c r="K830" s="34">
        <f t="shared" si="49"/>
        <v>4.0231197303485233E-3</v>
      </c>
      <c r="L830" s="34">
        <f t="shared" si="50"/>
        <v>0.96388789868626179</v>
      </c>
      <c r="M830" s="34">
        <f t="shared" si="51"/>
        <v>0.96001006226321295</v>
      </c>
    </row>
    <row r="831" spans="1:13" ht="69">
      <c r="A831" t="s">
        <v>164</v>
      </c>
      <c r="B831" t="s">
        <v>115</v>
      </c>
      <c r="C831" s="14" t="s">
        <v>291</v>
      </c>
      <c r="D831" t="s">
        <v>375</v>
      </c>
      <c r="E831" t="s">
        <v>392</v>
      </c>
      <c r="F831" s="20">
        <v>2045</v>
      </c>
      <c r="G831" s="20">
        <v>59</v>
      </c>
      <c r="H831" s="11">
        <v>16757.588482425901</v>
      </c>
      <c r="I831" s="10">
        <v>3796317.7485818001</v>
      </c>
      <c r="J831" s="34">
        <f t="shared" si="48"/>
        <v>4.4141690954836634E-3</v>
      </c>
      <c r="K831" s="34">
        <f t="shared" si="49"/>
        <v>4.4044409702089782E-3</v>
      </c>
      <c r="L831" s="34">
        <f t="shared" si="50"/>
        <v>0.96001006226321295</v>
      </c>
      <c r="M831" s="34">
        <f t="shared" si="51"/>
        <v>0.95578175461316794</v>
      </c>
    </row>
    <row r="832" spans="1:13" ht="69">
      <c r="A832" t="s">
        <v>164</v>
      </c>
      <c r="B832" t="s">
        <v>115</v>
      </c>
      <c r="C832" s="14" t="s">
        <v>291</v>
      </c>
      <c r="D832" t="s">
        <v>375</v>
      </c>
      <c r="E832" t="s">
        <v>392</v>
      </c>
      <c r="F832" s="20">
        <v>2045</v>
      </c>
      <c r="G832" s="20">
        <v>60</v>
      </c>
      <c r="H832" s="11">
        <v>18287.274353596302</v>
      </c>
      <c r="I832" s="10">
        <v>3818336.0036713099</v>
      </c>
      <c r="J832" s="34">
        <f t="shared" si="48"/>
        <v>4.7893308331202868E-3</v>
      </c>
      <c r="K832" s="34">
        <f t="shared" si="49"/>
        <v>4.7778802756685002E-3</v>
      </c>
      <c r="L832" s="34">
        <f t="shared" si="50"/>
        <v>0.95578175461316794</v>
      </c>
      <c r="M832" s="34">
        <f t="shared" si="51"/>
        <v>0.95121514381995786</v>
      </c>
    </row>
    <row r="833" spans="1:13" ht="69">
      <c r="A833" t="s">
        <v>164</v>
      </c>
      <c r="B833" t="s">
        <v>115</v>
      </c>
      <c r="C833" s="14" t="s">
        <v>291</v>
      </c>
      <c r="D833" t="s">
        <v>375</v>
      </c>
      <c r="E833" t="s">
        <v>392</v>
      </c>
      <c r="F833" s="20">
        <v>2045</v>
      </c>
      <c r="G833" s="20">
        <v>61</v>
      </c>
      <c r="H833" s="11">
        <v>20088.180977770899</v>
      </c>
      <c r="I833" s="10">
        <v>3859066.7919455301</v>
      </c>
      <c r="J833" s="34">
        <f t="shared" si="48"/>
        <v>5.2054504523471948E-3</v>
      </c>
      <c r="K833" s="34">
        <f t="shared" si="49"/>
        <v>5.1919255730141778E-3</v>
      </c>
      <c r="L833" s="34">
        <f t="shared" si="50"/>
        <v>0.95121514381995786</v>
      </c>
      <c r="M833" s="34">
        <f t="shared" si="51"/>
        <v>0.94627650558932064</v>
      </c>
    </row>
    <row r="834" spans="1:13" ht="69">
      <c r="A834" t="s">
        <v>164</v>
      </c>
      <c r="B834" t="s">
        <v>115</v>
      </c>
      <c r="C834" s="14" t="s">
        <v>291</v>
      </c>
      <c r="D834" t="s">
        <v>375</v>
      </c>
      <c r="E834" t="s">
        <v>392</v>
      </c>
      <c r="F834" s="20">
        <v>2045</v>
      </c>
      <c r="G834" s="20">
        <v>62</v>
      </c>
      <c r="H834" s="11">
        <v>21729.489207283299</v>
      </c>
      <c r="I834" s="10">
        <v>3798641.67396648</v>
      </c>
      <c r="J834" s="34">
        <f t="shared" ref="J834:J897" si="52">IF(I834&gt;0,H834/I834,0)</f>
        <v>5.7203313900870568E-3</v>
      </c>
      <c r="K834" s="34">
        <f t="shared" ref="K834:K897" si="53">1-EXP(-J834)</f>
        <v>5.7040014468805467E-3</v>
      </c>
      <c r="L834" s="34">
        <f t="shared" ref="L834:L897" si="54">IF(G834=30,1,M833)</f>
        <v>0.94627650558932064</v>
      </c>
      <c r="M834" s="34">
        <f t="shared" ref="M834:M897" si="55">L834*(1-K834)</f>
        <v>0.94087894303229014</v>
      </c>
    </row>
    <row r="835" spans="1:13" ht="69">
      <c r="A835" t="s">
        <v>164</v>
      </c>
      <c r="B835" t="s">
        <v>115</v>
      </c>
      <c r="C835" s="14" t="s">
        <v>291</v>
      </c>
      <c r="D835" t="s">
        <v>375</v>
      </c>
      <c r="E835" t="s">
        <v>392</v>
      </c>
      <c r="F835" s="20">
        <v>2045</v>
      </c>
      <c r="G835" s="20">
        <v>63</v>
      </c>
      <c r="H835" s="11">
        <v>22871.270269122801</v>
      </c>
      <c r="I835" s="10">
        <v>3636095.2669276702</v>
      </c>
      <c r="J835" s="34">
        <f t="shared" si="52"/>
        <v>6.29006354073004E-3</v>
      </c>
      <c r="K835" s="34">
        <f t="shared" si="53"/>
        <v>6.2703225035364296E-3</v>
      </c>
      <c r="L835" s="34">
        <f t="shared" si="54"/>
        <v>0.94087894303229014</v>
      </c>
      <c r="M835" s="34">
        <f t="shared" si="55"/>
        <v>0.93497932862269117</v>
      </c>
    </row>
    <row r="836" spans="1:13" ht="69">
      <c r="A836" t="s">
        <v>164</v>
      </c>
      <c r="B836" t="s">
        <v>115</v>
      </c>
      <c r="C836" s="14" t="s">
        <v>291</v>
      </c>
      <c r="D836" t="s">
        <v>375</v>
      </c>
      <c r="E836" t="s">
        <v>392</v>
      </c>
      <c r="F836" s="20">
        <v>2045</v>
      </c>
      <c r="G836" s="20">
        <v>64</v>
      </c>
      <c r="H836" s="11">
        <v>24361.566152183699</v>
      </c>
      <c r="I836" s="10">
        <v>3527267.68175554</v>
      </c>
      <c r="J836" s="34">
        <f t="shared" si="52"/>
        <v>6.9066394586925189E-3</v>
      </c>
      <c r="K836" s="34">
        <f t="shared" si="53"/>
        <v>6.882843439411257E-3</v>
      </c>
      <c r="L836" s="34">
        <f t="shared" si="54"/>
        <v>0.93497932862269117</v>
      </c>
      <c r="M836" s="34">
        <f t="shared" si="55"/>
        <v>0.9285440122846953</v>
      </c>
    </row>
    <row r="837" spans="1:13" ht="69">
      <c r="A837" t="s">
        <v>164</v>
      </c>
      <c r="B837" t="s">
        <v>115</v>
      </c>
      <c r="C837" s="14" t="s">
        <v>291</v>
      </c>
      <c r="D837" t="s">
        <v>375</v>
      </c>
      <c r="E837" t="s">
        <v>392</v>
      </c>
      <c r="F837" s="20">
        <v>2045</v>
      </c>
      <c r="G837" s="20">
        <v>65</v>
      </c>
      <c r="H837" s="11">
        <v>24802.257304073501</v>
      </c>
      <c r="I837" s="10">
        <v>3429913.8817669</v>
      </c>
      <c r="J837" s="34">
        <f t="shared" si="52"/>
        <v>7.2311603611740719E-3</v>
      </c>
      <c r="K837" s="34">
        <f t="shared" si="53"/>
        <v>7.205078426505751E-3</v>
      </c>
      <c r="L837" s="34">
        <f t="shared" si="54"/>
        <v>0.9285440122846953</v>
      </c>
      <c r="M837" s="34">
        <f t="shared" si="55"/>
        <v>0.92185377985372174</v>
      </c>
    </row>
    <row r="838" spans="1:13" ht="69">
      <c r="A838" t="s">
        <v>164</v>
      </c>
      <c r="B838" t="s">
        <v>115</v>
      </c>
      <c r="C838" s="14" t="s">
        <v>291</v>
      </c>
      <c r="D838" t="s">
        <v>375</v>
      </c>
      <c r="E838" t="s">
        <v>392</v>
      </c>
      <c r="F838" s="20">
        <v>2045</v>
      </c>
      <c r="G838" s="20">
        <v>66</v>
      </c>
      <c r="H838" s="11">
        <v>26207.455700902901</v>
      </c>
      <c r="I838" s="10">
        <v>3326140.1334426599</v>
      </c>
      <c r="J838" s="34">
        <f t="shared" si="52"/>
        <v>7.8792397943189957E-3</v>
      </c>
      <c r="K838" s="34">
        <f t="shared" si="53"/>
        <v>7.8482799511561119E-3</v>
      </c>
      <c r="L838" s="34">
        <f t="shared" si="54"/>
        <v>0.92185377985372174</v>
      </c>
      <c r="M838" s="34">
        <f t="shared" si="55"/>
        <v>0.91461881331539829</v>
      </c>
    </row>
    <row r="839" spans="1:13" ht="69">
      <c r="A839" t="s">
        <v>164</v>
      </c>
      <c r="B839" t="s">
        <v>115</v>
      </c>
      <c r="C839" s="14" t="s">
        <v>291</v>
      </c>
      <c r="D839" t="s">
        <v>375</v>
      </c>
      <c r="E839" t="s">
        <v>392</v>
      </c>
      <c r="F839" s="20">
        <v>2045</v>
      </c>
      <c r="G839" s="20">
        <v>67</v>
      </c>
      <c r="H839" s="11">
        <v>27749.791846644301</v>
      </c>
      <c r="I839" s="10">
        <v>3203337.18830609</v>
      </c>
      <c r="J839" s="34">
        <f t="shared" si="52"/>
        <v>8.6627757914296451E-3</v>
      </c>
      <c r="K839" s="34">
        <f t="shared" si="53"/>
        <v>8.6253620627499972E-3</v>
      </c>
      <c r="L839" s="34">
        <f t="shared" si="54"/>
        <v>0.91461881331539829</v>
      </c>
      <c r="M839" s="34">
        <f t="shared" si="55"/>
        <v>0.90672989490115019</v>
      </c>
    </row>
    <row r="840" spans="1:13" ht="69">
      <c r="A840" t="s">
        <v>164</v>
      </c>
      <c r="B840" t="s">
        <v>115</v>
      </c>
      <c r="C840" s="14" t="s">
        <v>291</v>
      </c>
      <c r="D840" t="s">
        <v>375</v>
      </c>
      <c r="E840" t="s">
        <v>392</v>
      </c>
      <c r="F840" s="20">
        <v>2045</v>
      </c>
      <c r="G840" s="20">
        <v>68</v>
      </c>
      <c r="H840" s="11">
        <v>29487.631588273201</v>
      </c>
      <c r="I840" s="10">
        <v>3091810.4330506702</v>
      </c>
      <c r="J840" s="34">
        <f t="shared" si="52"/>
        <v>9.5373349132462613E-3</v>
      </c>
      <c r="K840" s="34">
        <f t="shared" si="53"/>
        <v>9.4919987777358772E-3</v>
      </c>
      <c r="L840" s="34">
        <f t="shared" si="54"/>
        <v>0.90672989490115019</v>
      </c>
      <c r="M840" s="34">
        <f t="shared" si="55"/>
        <v>0.89812321584701194</v>
      </c>
    </row>
    <row r="841" spans="1:13" ht="69">
      <c r="A841" t="s">
        <v>164</v>
      </c>
      <c r="B841" t="s">
        <v>115</v>
      </c>
      <c r="C841" s="14" t="s">
        <v>291</v>
      </c>
      <c r="D841" t="s">
        <v>375</v>
      </c>
      <c r="E841" t="s">
        <v>392</v>
      </c>
      <c r="F841" s="20">
        <v>2045</v>
      </c>
      <c r="G841" s="20">
        <v>69</v>
      </c>
      <c r="H841" s="11">
        <v>31167.0860048047</v>
      </c>
      <c r="I841" s="10">
        <v>2969097.41546334</v>
      </c>
      <c r="J841" s="34">
        <f t="shared" si="52"/>
        <v>1.0497158443668291E-2</v>
      </c>
      <c r="K841" s="34">
        <f t="shared" si="53"/>
        <v>1.0442255552021495E-2</v>
      </c>
      <c r="L841" s="34">
        <f t="shared" si="54"/>
        <v>0.89812321584701194</v>
      </c>
      <c r="M841" s="34">
        <f t="shared" si="55"/>
        <v>0.88874478370993404</v>
      </c>
    </row>
    <row r="842" spans="1:13" ht="69">
      <c r="A842" t="s">
        <v>164</v>
      </c>
      <c r="B842" t="s">
        <v>115</v>
      </c>
      <c r="C842" s="14" t="s">
        <v>291</v>
      </c>
      <c r="D842" t="s">
        <v>375</v>
      </c>
      <c r="E842" t="s">
        <v>392</v>
      </c>
      <c r="F842" s="20">
        <v>2046</v>
      </c>
      <c r="G842" s="20">
        <v>30</v>
      </c>
      <c r="H842" s="11">
        <v>691.85518315873196</v>
      </c>
      <c r="I842" s="10">
        <v>4588342.4157470996</v>
      </c>
      <c r="J842" s="34">
        <f t="shared" si="52"/>
        <v>1.5078542978490419E-4</v>
      </c>
      <c r="K842" s="34">
        <f t="shared" si="53"/>
        <v>1.5077406223329426E-4</v>
      </c>
      <c r="L842" s="34">
        <f t="shared" si="54"/>
        <v>1</v>
      </c>
      <c r="M842" s="34">
        <f t="shared" si="55"/>
        <v>0.99984922593776671</v>
      </c>
    </row>
    <row r="843" spans="1:13" ht="69">
      <c r="A843" t="s">
        <v>164</v>
      </c>
      <c r="B843" t="s">
        <v>115</v>
      </c>
      <c r="C843" s="14" t="s">
        <v>291</v>
      </c>
      <c r="D843" t="s">
        <v>375</v>
      </c>
      <c r="E843" t="s">
        <v>392</v>
      </c>
      <c r="F843" s="20">
        <v>2046</v>
      </c>
      <c r="G843" s="20">
        <v>31</v>
      </c>
      <c r="H843" s="11">
        <v>977.39653967286404</v>
      </c>
      <c r="I843" s="10">
        <v>4637146.9197164504</v>
      </c>
      <c r="J843" s="34">
        <f t="shared" si="52"/>
        <v>2.1077540923215547E-4</v>
      </c>
      <c r="K843" s="34">
        <f t="shared" si="53"/>
        <v>2.1075319765617717E-4</v>
      </c>
      <c r="L843" s="34">
        <f t="shared" si="54"/>
        <v>0.99984922593776671</v>
      </c>
      <c r="M843" s="34">
        <f t="shared" si="55"/>
        <v>0.99963850451622627</v>
      </c>
    </row>
    <row r="844" spans="1:13" ht="69">
      <c r="A844" t="s">
        <v>164</v>
      </c>
      <c r="B844" t="s">
        <v>115</v>
      </c>
      <c r="C844" s="14" t="s">
        <v>291</v>
      </c>
      <c r="D844" t="s">
        <v>375</v>
      </c>
      <c r="E844" t="s">
        <v>392</v>
      </c>
      <c r="F844" s="20">
        <v>2046</v>
      </c>
      <c r="G844" s="20">
        <v>32</v>
      </c>
      <c r="H844" s="11">
        <v>1039.30659747305</v>
      </c>
      <c r="I844" s="10">
        <v>4703668.6767023904</v>
      </c>
      <c r="J844" s="34">
        <f t="shared" si="52"/>
        <v>2.209565913136719E-4</v>
      </c>
      <c r="K844" s="34">
        <f t="shared" si="53"/>
        <v>2.2093218220387012E-4</v>
      </c>
      <c r="L844" s="34">
        <f t="shared" si="54"/>
        <v>0.99963850451622627</v>
      </c>
      <c r="M844" s="34">
        <f t="shared" si="55"/>
        <v>0.99941765220000844</v>
      </c>
    </row>
    <row r="845" spans="1:13" ht="69">
      <c r="A845" t="s">
        <v>164</v>
      </c>
      <c r="B845" t="s">
        <v>115</v>
      </c>
      <c r="C845" s="14" t="s">
        <v>291</v>
      </c>
      <c r="D845" t="s">
        <v>375</v>
      </c>
      <c r="E845" t="s">
        <v>392</v>
      </c>
      <c r="F845" s="20">
        <v>2046</v>
      </c>
      <c r="G845" s="20">
        <v>33</v>
      </c>
      <c r="H845" s="11">
        <v>1111.23637419538</v>
      </c>
      <c r="I845" s="10">
        <v>4771550.5255559999</v>
      </c>
      <c r="J845" s="34">
        <f t="shared" si="52"/>
        <v>2.3288789843965748E-4</v>
      </c>
      <c r="K845" s="34">
        <f t="shared" si="53"/>
        <v>2.3286078215811745E-4</v>
      </c>
      <c r="L845" s="34">
        <f t="shared" si="54"/>
        <v>0.99941765220000844</v>
      </c>
      <c r="M845" s="34">
        <f t="shared" si="55"/>
        <v>0.99918492702381456</v>
      </c>
    </row>
    <row r="846" spans="1:13" ht="69">
      <c r="A846" t="s">
        <v>164</v>
      </c>
      <c r="B846" t="s">
        <v>115</v>
      </c>
      <c r="C846" s="14" t="s">
        <v>291</v>
      </c>
      <c r="D846" t="s">
        <v>375</v>
      </c>
      <c r="E846" t="s">
        <v>392</v>
      </c>
      <c r="F846" s="20">
        <v>2046</v>
      </c>
      <c r="G846" s="20">
        <v>34</v>
      </c>
      <c r="H846" s="11">
        <v>1250.1337011738001</v>
      </c>
      <c r="I846" s="10">
        <v>4883641.1678208802</v>
      </c>
      <c r="J846" s="34">
        <f t="shared" si="52"/>
        <v>2.5598393866673456E-4</v>
      </c>
      <c r="K846" s="34">
        <f t="shared" si="53"/>
        <v>2.5595117757382102E-4</v>
      </c>
      <c r="L846" s="34">
        <f t="shared" si="54"/>
        <v>0.99918492702381456</v>
      </c>
      <c r="M846" s="34">
        <f t="shared" si="55"/>
        <v>0.99892918446512879</v>
      </c>
    </row>
    <row r="847" spans="1:13" ht="69">
      <c r="A847" t="s">
        <v>164</v>
      </c>
      <c r="B847" t="s">
        <v>115</v>
      </c>
      <c r="C847" s="14" t="s">
        <v>291</v>
      </c>
      <c r="D847" t="s">
        <v>375</v>
      </c>
      <c r="E847" t="s">
        <v>392</v>
      </c>
      <c r="F847" s="20">
        <v>2046</v>
      </c>
      <c r="G847" s="20">
        <v>35</v>
      </c>
      <c r="H847" s="11">
        <v>1615.17380517793</v>
      </c>
      <c r="I847" s="10">
        <v>4854934.8661956703</v>
      </c>
      <c r="J847" s="34">
        <f t="shared" si="52"/>
        <v>3.3268701840352005E-4</v>
      </c>
      <c r="K847" s="34">
        <f t="shared" si="53"/>
        <v>3.3263168421393541E-4</v>
      </c>
      <c r="L847" s="34">
        <f t="shared" si="54"/>
        <v>0.99892918446512879</v>
      </c>
      <c r="M847" s="34">
        <f t="shared" si="55"/>
        <v>0.99859690896808972</v>
      </c>
    </row>
    <row r="848" spans="1:13" ht="69">
      <c r="A848" t="s">
        <v>164</v>
      </c>
      <c r="B848" t="s">
        <v>115</v>
      </c>
      <c r="C848" s="14" t="s">
        <v>291</v>
      </c>
      <c r="D848" t="s">
        <v>375</v>
      </c>
      <c r="E848" t="s">
        <v>392</v>
      </c>
      <c r="F848" s="20">
        <v>2046</v>
      </c>
      <c r="G848" s="20">
        <v>36</v>
      </c>
      <c r="H848" s="11">
        <v>1754.3698190754501</v>
      </c>
      <c r="I848" s="10">
        <v>4720410.8391336296</v>
      </c>
      <c r="J848" s="34">
        <f t="shared" si="52"/>
        <v>3.7165617122374075E-4</v>
      </c>
      <c r="K848" s="34">
        <f t="shared" si="53"/>
        <v>3.7158711562412794E-4</v>
      </c>
      <c r="L848" s="34">
        <f t="shared" si="54"/>
        <v>0.99859690896808972</v>
      </c>
      <c r="M848" s="34">
        <f t="shared" si="55"/>
        <v>0.99822584322301511</v>
      </c>
    </row>
    <row r="849" spans="1:13" ht="69">
      <c r="A849" t="s">
        <v>164</v>
      </c>
      <c r="B849" t="s">
        <v>115</v>
      </c>
      <c r="C849" s="14" t="s">
        <v>291</v>
      </c>
      <c r="D849" t="s">
        <v>375</v>
      </c>
      <c r="E849" t="s">
        <v>392</v>
      </c>
      <c r="F849" s="20">
        <v>2046</v>
      </c>
      <c r="G849" s="20">
        <v>37</v>
      </c>
      <c r="H849" s="11">
        <v>1851.67582572077</v>
      </c>
      <c r="I849" s="10">
        <v>4648641.34611056</v>
      </c>
      <c r="J849" s="34">
        <f t="shared" si="52"/>
        <v>3.9832623940111792E-4</v>
      </c>
      <c r="K849" s="34">
        <f t="shared" si="53"/>
        <v>3.9824691803691525E-4</v>
      </c>
      <c r="L849" s="34">
        <f t="shared" si="54"/>
        <v>0.99822584322301511</v>
      </c>
      <c r="M849" s="34">
        <f t="shared" si="55"/>
        <v>0.99782830285744673</v>
      </c>
    </row>
    <row r="850" spans="1:13" ht="69">
      <c r="A850" t="s">
        <v>164</v>
      </c>
      <c r="B850" t="s">
        <v>115</v>
      </c>
      <c r="C850" s="14" t="s">
        <v>291</v>
      </c>
      <c r="D850" t="s">
        <v>375</v>
      </c>
      <c r="E850" t="s">
        <v>392</v>
      </c>
      <c r="F850" s="20">
        <v>2046</v>
      </c>
      <c r="G850" s="20">
        <v>38</v>
      </c>
      <c r="H850" s="11">
        <v>1973.1439401581199</v>
      </c>
      <c r="I850" s="10">
        <v>4604495.2048358498</v>
      </c>
      <c r="J850" s="34">
        <f t="shared" si="52"/>
        <v>4.2852557172517731E-4</v>
      </c>
      <c r="K850" s="34">
        <f t="shared" si="53"/>
        <v>4.284337677562533E-4</v>
      </c>
      <c r="L850" s="34">
        <f t="shared" si="54"/>
        <v>0.99782830285744673</v>
      </c>
      <c r="M850" s="34">
        <f t="shared" si="55"/>
        <v>0.99740079951807969</v>
      </c>
    </row>
    <row r="851" spans="1:13" ht="69">
      <c r="A851" t="s">
        <v>164</v>
      </c>
      <c r="B851" t="s">
        <v>115</v>
      </c>
      <c r="C851" s="14" t="s">
        <v>291</v>
      </c>
      <c r="D851" t="s">
        <v>375</v>
      </c>
      <c r="E851" t="s">
        <v>392</v>
      </c>
      <c r="F851" s="20">
        <v>2046</v>
      </c>
      <c r="G851" s="20">
        <v>39</v>
      </c>
      <c r="H851" s="11">
        <v>2200.9541961702298</v>
      </c>
      <c r="I851" s="10">
        <v>4627697.8841486303</v>
      </c>
      <c r="J851" s="34">
        <f t="shared" si="52"/>
        <v>4.7560455571423827E-4</v>
      </c>
      <c r="K851" s="34">
        <f t="shared" si="53"/>
        <v>4.7549147379566392E-4</v>
      </c>
      <c r="L851" s="34">
        <f t="shared" si="54"/>
        <v>0.99740079951807969</v>
      </c>
      <c r="M851" s="34">
        <f t="shared" si="55"/>
        <v>0.9969265439419519</v>
      </c>
    </row>
    <row r="852" spans="1:13" ht="69">
      <c r="A852" t="s">
        <v>164</v>
      </c>
      <c r="B852" t="s">
        <v>115</v>
      </c>
      <c r="C852" s="14" t="s">
        <v>291</v>
      </c>
      <c r="D852" t="s">
        <v>375</v>
      </c>
      <c r="E852" t="s">
        <v>392</v>
      </c>
      <c r="F852" s="20">
        <v>2046</v>
      </c>
      <c r="G852" s="20">
        <v>40</v>
      </c>
      <c r="H852" s="11">
        <v>2888.85571107849</v>
      </c>
      <c r="I852" s="10">
        <v>4542703.6879632501</v>
      </c>
      <c r="J852" s="34">
        <f t="shared" si="52"/>
        <v>6.3593311593997603E-4</v>
      </c>
      <c r="K852" s="34">
        <f t="shared" si="53"/>
        <v>6.3573095333224749E-4</v>
      </c>
      <c r="L852" s="34">
        <f t="shared" si="54"/>
        <v>0.9969265439419519</v>
      </c>
      <c r="M852" s="34">
        <f t="shared" si="55"/>
        <v>0.99629276687976942</v>
      </c>
    </row>
    <row r="853" spans="1:13" ht="69">
      <c r="A853" t="s">
        <v>164</v>
      </c>
      <c r="B853" t="s">
        <v>115</v>
      </c>
      <c r="C853" s="14" t="s">
        <v>291</v>
      </c>
      <c r="D853" t="s">
        <v>375</v>
      </c>
      <c r="E853" t="s">
        <v>392</v>
      </c>
      <c r="F853" s="20">
        <v>2046</v>
      </c>
      <c r="G853" s="20">
        <v>41</v>
      </c>
      <c r="H853" s="11">
        <v>3135.8735296077898</v>
      </c>
      <c r="I853" s="10">
        <v>4478396.9353190605</v>
      </c>
      <c r="J853" s="34">
        <f t="shared" si="52"/>
        <v>7.0022232841323087E-4</v>
      </c>
      <c r="K853" s="34">
        <f t="shared" si="53"/>
        <v>6.9997722996972822E-4</v>
      </c>
      <c r="L853" s="34">
        <f t="shared" si="54"/>
        <v>0.99629276687976942</v>
      </c>
      <c r="M853" s="34">
        <f t="shared" si="55"/>
        <v>0.99559538462857</v>
      </c>
    </row>
    <row r="854" spans="1:13" ht="69">
      <c r="A854" t="s">
        <v>164</v>
      </c>
      <c r="B854" t="s">
        <v>115</v>
      </c>
      <c r="C854" s="14" t="s">
        <v>291</v>
      </c>
      <c r="D854" t="s">
        <v>375</v>
      </c>
      <c r="E854" t="s">
        <v>392</v>
      </c>
      <c r="F854" s="20">
        <v>2046</v>
      </c>
      <c r="G854" s="20">
        <v>42</v>
      </c>
      <c r="H854" s="11">
        <v>3307.0994602931501</v>
      </c>
      <c r="I854" s="10">
        <v>4347539.7000001799</v>
      </c>
      <c r="J854" s="34">
        <f t="shared" si="52"/>
        <v>7.6068298129468791E-4</v>
      </c>
      <c r="K854" s="34">
        <f t="shared" si="53"/>
        <v>7.603937353417578E-4</v>
      </c>
      <c r="L854" s="34">
        <f t="shared" si="54"/>
        <v>0.99559538462857</v>
      </c>
      <c r="M854" s="34">
        <f t="shared" si="55"/>
        <v>0.99483834013516326</v>
      </c>
    </row>
    <row r="855" spans="1:13" ht="69">
      <c r="A855" t="s">
        <v>164</v>
      </c>
      <c r="B855" t="s">
        <v>115</v>
      </c>
      <c r="C855" s="14" t="s">
        <v>291</v>
      </c>
      <c r="D855" t="s">
        <v>375</v>
      </c>
      <c r="E855" t="s">
        <v>392</v>
      </c>
      <c r="F855" s="20">
        <v>2046</v>
      </c>
      <c r="G855" s="20">
        <v>43</v>
      </c>
      <c r="H855" s="11">
        <v>3543.0506758451802</v>
      </c>
      <c r="I855" s="10">
        <v>4278420.9645330599</v>
      </c>
      <c r="J855" s="34">
        <f t="shared" si="52"/>
        <v>8.2812110010120599E-4</v>
      </c>
      <c r="K855" s="34">
        <f t="shared" si="53"/>
        <v>8.2777830245550632E-4</v>
      </c>
      <c r="L855" s="34">
        <f t="shared" si="54"/>
        <v>0.99483834013516326</v>
      </c>
      <c r="M855" s="34">
        <f t="shared" si="55"/>
        <v>0.99401483454274853</v>
      </c>
    </row>
    <row r="856" spans="1:13" ht="69">
      <c r="A856" t="s">
        <v>164</v>
      </c>
      <c r="B856" t="s">
        <v>115</v>
      </c>
      <c r="C856" s="14" t="s">
        <v>291</v>
      </c>
      <c r="D856" t="s">
        <v>375</v>
      </c>
      <c r="E856" t="s">
        <v>392</v>
      </c>
      <c r="F856" s="20">
        <v>2046</v>
      </c>
      <c r="G856" s="20">
        <v>44</v>
      </c>
      <c r="H856" s="11">
        <v>4000.4930024527198</v>
      </c>
      <c r="I856" s="10">
        <v>4250039.4962801496</v>
      </c>
      <c r="J856" s="34">
        <f t="shared" si="52"/>
        <v>9.4128372358754655E-4</v>
      </c>
      <c r="K856" s="34">
        <f t="shared" si="53"/>
        <v>9.4084085502932346E-4</v>
      </c>
      <c r="L856" s="34">
        <f t="shared" si="54"/>
        <v>0.99401483454274853</v>
      </c>
      <c r="M856" s="34">
        <f t="shared" si="55"/>
        <v>0.9930796247759055</v>
      </c>
    </row>
    <row r="857" spans="1:13" ht="69">
      <c r="A857" t="s">
        <v>164</v>
      </c>
      <c r="B857" t="s">
        <v>115</v>
      </c>
      <c r="C857" s="14" t="s">
        <v>291</v>
      </c>
      <c r="D857" t="s">
        <v>375</v>
      </c>
      <c r="E857" t="s">
        <v>392</v>
      </c>
      <c r="F857" s="20">
        <v>2046</v>
      </c>
      <c r="G857" s="20">
        <v>45</v>
      </c>
      <c r="H857" s="11">
        <v>5093.8386816552702</v>
      </c>
      <c r="I857" s="10">
        <v>4224074.6052647103</v>
      </c>
      <c r="J857" s="34">
        <f t="shared" si="52"/>
        <v>1.2059064191968869E-3</v>
      </c>
      <c r="K857" s="34">
        <f t="shared" si="53"/>
        <v>1.2051796062364506E-3</v>
      </c>
      <c r="L857" s="34">
        <f t="shared" si="54"/>
        <v>0.9930796247759055</v>
      </c>
      <c r="M857" s="34">
        <f t="shared" si="55"/>
        <v>0.99188278546475661</v>
      </c>
    </row>
    <row r="858" spans="1:13" ht="69">
      <c r="A858" t="s">
        <v>164</v>
      </c>
      <c r="B858" t="s">
        <v>115</v>
      </c>
      <c r="C858" s="14" t="s">
        <v>291</v>
      </c>
      <c r="D858" t="s">
        <v>375</v>
      </c>
      <c r="E858" t="s">
        <v>392</v>
      </c>
      <c r="F858" s="20">
        <v>2046</v>
      </c>
      <c r="G858" s="20">
        <v>46</v>
      </c>
      <c r="H858" s="11">
        <v>5511.4747766556802</v>
      </c>
      <c r="I858" s="10">
        <v>4196281.6218516696</v>
      </c>
      <c r="J858" s="34">
        <f t="shared" si="52"/>
        <v>1.3134187057311142E-3</v>
      </c>
      <c r="K858" s="34">
        <f t="shared" si="53"/>
        <v>1.3125565488817381E-3</v>
      </c>
      <c r="L858" s="34">
        <f t="shared" si="54"/>
        <v>0.99188278546475661</v>
      </c>
      <c r="M858" s="34">
        <f t="shared" si="55"/>
        <v>0.99058088321897175</v>
      </c>
    </row>
    <row r="859" spans="1:13" ht="69">
      <c r="A859" t="s">
        <v>164</v>
      </c>
      <c r="B859" t="s">
        <v>115</v>
      </c>
      <c r="C859" s="14" t="s">
        <v>291</v>
      </c>
      <c r="D859" t="s">
        <v>375</v>
      </c>
      <c r="E859" t="s">
        <v>392</v>
      </c>
      <c r="F859" s="20">
        <v>2046</v>
      </c>
      <c r="G859" s="20">
        <v>47</v>
      </c>
      <c r="H859" s="11">
        <v>6067.3765896999903</v>
      </c>
      <c r="I859" s="10">
        <v>4206989.7221214501</v>
      </c>
      <c r="J859" s="34">
        <f t="shared" si="52"/>
        <v>1.4422133141414966E-3</v>
      </c>
      <c r="K859" s="34">
        <f t="shared" si="53"/>
        <v>1.4411738243018668E-3</v>
      </c>
      <c r="L859" s="34">
        <f t="shared" si="54"/>
        <v>0.99058088321897175</v>
      </c>
      <c r="M859" s="34">
        <f t="shared" si="55"/>
        <v>0.98915328397922275</v>
      </c>
    </row>
    <row r="860" spans="1:13" ht="69">
      <c r="A860" t="s">
        <v>164</v>
      </c>
      <c r="B860" t="s">
        <v>115</v>
      </c>
      <c r="C860" s="14" t="s">
        <v>291</v>
      </c>
      <c r="D860" t="s">
        <v>375</v>
      </c>
      <c r="E860" t="s">
        <v>392</v>
      </c>
      <c r="F860" s="20">
        <v>2046</v>
      </c>
      <c r="G860" s="20">
        <v>48</v>
      </c>
      <c r="H860" s="11">
        <v>6746.2359793035603</v>
      </c>
      <c r="I860" s="10">
        <v>4254526.7600749396</v>
      </c>
      <c r="J860" s="34">
        <f t="shared" si="52"/>
        <v>1.5856607232116061E-3</v>
      </c>
      <c r="K860" s="34">
        <f t="shared" si="53"/>
        <v>1.58440422746009E-3</v>
      </c>
      <c r="L860" s="34">
        <f t="shared" si="54"/>
        <v>0.98915328397922275</v>
      </c>
      <c r="M860" s="34">
        <f t="shared" si="55"/>
        <v>0.98758606533448001</v>
      </c>
    </row>
    <row r="861" spans="1:13" ht="69">
      <c r="A861" t="s">
        <v>164</v>
      </c>
      <c r="B861" t="s">
        <v>115</v>
      </c>
      <c r="C861" s="14" t="s">
        <v>291</v>
      </c>
      <c r="D861" t="s">
        <v>375</v>
      </c>
      <c r="E861" t="s">
        <v>392</v>
      </c>
      <c r="F861" s="20">
        <v>2046</v>
      </c>
      <c r="G861" s="20">
        <v>49</v>
      </c>
      <c r="H861" s="11">
        <v>7827.1283427914605</v>
      </c>
      <c r="I861" s="10">
        <v>4374247.8113852097</v>
      </c>
      <c r="J861" s="34">
        <f t="shared" si="52"/>
        <v>1.7893655504425602E-3</v>
      </c>
      <c r="K861" s="34">
        <f t="shared" si="53"/>
        <v>1.7877655903527634E-3</v>
      </c>
      <c r="L861" s="34">
        <f t="shared" si="54"/>
        <v>0.98758606533448001</v>
      </c>
      <c r="M861" s="34">
        <f t="shared" si="55"/>
        <v>0.98582049294936314</v>
      </c>
    </row>
    <row r="862" spans="1:13" ht="69">
      <c r="A862" t="s">
        <v>164</v>
      </c>
      <c r="B862" t="s">
        <v>115</v>
      </c>
      <c r="C862" s="14" t="s">
        <v>291</v>
      </c>
      <c r="D862" t="s">
        <v>375</v>
      </c>
      <c r="E862" t="s">
        <v>392</v>
      </c>
      <c r="F862" s="20">
        <v>2046</v>
      </c>
      <c r="G862" s="20">
        <v>50</v>
      </c>
      <c r="H862" s="11">
        <v>8829.7786375053201</v>
      </c>
      <c r="I862" s="10">
        <v>4319244.3665398601</v>
      </c>
      <c r="J862" s="34">
        <f t="shared" si="52"/>
        <v>2.0442878170791809E-3</v>
      </c>
      <c r="K862" s="34">
        <f t="shared" si="53"/>
        <v>2.0421996838970724E-3</v>
      </c>
      <c r="L862" s="34">
        <f t="shared" si="54"/>
        <v>0.98582049294936314</v>
      </c>
      <c r="M862" s="34">
        <f t="shared" si="55"/>
        <v>0.98380725065028274</v>
      </c>
    </row>
    <row r="863" spans="1:13" ht="69">
      <c r="A863" t="s">
        <v>164</v>
      </c>
      <c r="B863" t="s">
        <v>115</v>
      </c>
      <c r="C863" s="14" t="s">
        <v>291</v>
      </c>
      <c r="D863" t="s">
        <v>375</v>
      </c>
      <c r="E863" t="s">
        <v>392</v>
      </c>
      <c r="F863" s="20">
        <v>2046</v>
      </c>
      <c r="G863" s="20">
        <v>51</v>
      </c>
      <c r="H863" s="11">
        <v>9353.3682201281608</v>
      </c>
      <c r="I863" s="10">
        <v>4233508.9258970805</v>
      </c>
      <c r="J863" s="34">
        <f t="shared" si="52"/>
        <v>2.2093654185803288E-3</v>
      </c>
      <c r="K863" s="34">
        <f t="shared" si="53"/>
        <v>2.206926567239198E-3</v>
      </c>
      <c r="L863" s="34">
        <f t="shared" si="54"/>
        <v>0.98380725065028274</v>
      </c>
      <c r="M863" s="34">
        <f t="shared" si="55"/>
        <v>0.98163606029178008</v>
      </c>
    </row>
    <row r="864" spans="1:13" ht="69">
      <c r="A864" t="s">
        <v>164</v>
      </c>
      <c r="B864" t="s">
        <v>115</v>
      </c>
      <c r="C864" s="14" t="s">
        <v>291</v>
      </c>
      <c r="D864" t="s">
        <v>375</v>
      </c>
      <c r="E864" t="s">
        <v>392</v>
      </c>
      <c r="F864" s="20">
        <v>2046</v>
      </c>
      <c r="G864" s="20">
        <v>52</v>
      </c>
      <c r="H864" s="11">
        <v>10072.0255824216</v>
      </c>
      <c r="I864" s="10">
        <v>4162338.3930071099</v>
      </c>
      <c r="J864" s="34">
        <f t="shared" si="52"/>
        <v>2.419799793150647E-3</v>
      </c>
      <c r="K864" s="34">
        <f t="shared" si="53"/>
        <v>2.4168744376984463E-3</v>
      </c>
      <c r="L864" s="34">
        <f t="shared" si="54"/>
        <v>0.98163606029178008</v>
      </c>
      <c r="M864" s="34">
        <f t="shared" si="55"/>
        <v>0.97926356919053781</v>
      </c>
    </row>
    <row r="865" spans="1:13" ht="69">
      <c r="A865" t="s">
        <v>164</v>
      </c>
      <c r="B865" t="s">
        <v>115</v>
      </c>
      <c r="C865" s="14" t="s">
        <v>291</v>
      </c>
      <c r="D865" t="s">
        <v>375</v>
      </c>
      <c r="E865" t="s">
        <v>392</v>
      </c>
      <c r="F865" s="20">
        <v>2046</v>
      </c>
      <c r="G865" s="20">
        <v>53</v>
      </c>
      <c r="H865" s="11">
        <v>10822.4489692887</v>
      </c>
      <c r="I865" s="10">
        <v>4093312.0339381299</v>
      </c>
      <c r="J865" s="34">
        <f t="shared" si="52"/>
        <v>2.6439345155117684E-3</v>
      </c>
      <c r="K865" s="34">
        <f t="shared" si="53"/>
        <v>2.640442398971099E-3</v>
      </c>
      <c r="L865" s="34">
        <f t="shared" si="54"/>
        <v>0.97926356919053781</v>
      </c>
      <c r="M865" s="34">
        <f t="shared" si="55"/>
        <v>0.97667788014267931</v>
      </c>
    </row>
    <row r="866" spans="1:13" ht="69">
      <c r="A866" t="s">
        <v>164</v>
      </c>
      <c r="B866" t="s">
        <v>115</v>
      </c>
      <c r="C866" s="14" t="s">
        <v>291</v>
      </c>
      <c r="D866" t="s">
        <v>375</v>
      </c>
      <c r="E866" t="s">
        <v>392</v>
      </c>
      <c r="F866" s="20">
        <v>2046</v>
      </c>
      <c r="G866" s="20">
        <v>54</v>
      </c>
      <c r="H866" s="11">
        <v>11828.1301305698</v>
      </c>
      <c r="I866" s="10">
        <v>4109349.5362829799</v>
      </c>
      <c r="J866" s="34">
        <f t="shared" si="52"/>
        <v>2.8783460803552549E-3</v>
      </c>
      <c r="K866" s="34">
        <f t="shared" si="53"/>
        <v>2.8742076138745798E-3</v>
      </c>
      <c r="L866" s="34">
        <f t="shared" si="54"/>
        <v>0.97667788014267931</v>
      </c>
      <c r="M866" s="34">
        <f t="shared" si="55"/>
        <v>0.97387070514327034</v>
      </c>
    </row>
    <row r="867" spans="1:13" ht="69">
      <c r="A867" t="s">
        <v>164</v>
      </c>
      <c r="B867" t="s">
        <v>115</v>
      </c>
      <c r="C867" s="14" t="s">
        <v>291</v>
      </c>
      <c r="D867" t="s">
        <v>375</v>
      </c>
      <c r="E867" t="s">
        <v>392</v>
      </c>
      <c r="F867" s="20">
        <v>2046</v>
      </c>
      <c r="G867" s="20">
        <v>55</v>
      </c>
      <c r="H867" s="11">
        <v>12659.973882206399</v>
      </c>
      <c r="I867" s="10">
        <v>4104479.3563669599</v>
      </c>
      <c r="J867" s="34">
        <f t="shared" si="52"/>
        <v>3.0844286894921194E-3</v>
      </c>
      <c r="K867" s="34">
        <f t="shared" si="53"/>
        <v>3.0796767262746272E-3</v>
      </c>
      <c r="L867" s="34">
        <f t="shared" si="54"/>
        <v>0.97387070514327034</v>
      </c>
      <c r="M867" s="34">
        <f t="shared" si="55"/>
        <v>0.97087149819823992</v>
      </c>
    </row>
    <row r="868" spans="1:13" ht="69">
      <c r="A868" t="s">
        <v>164</v>
      </c>
      <c r="B868" t="s">
        <v>115</v>
      </c>
      <c r="C868" s="14" t="s">
        <v>291</v>
      </c>
      <c r="D868" t="s">
        <v>375</v>
      </c>
      <c r="E868" t="s">
        <v>392</v>
      </c>
      <c r="F868" s="20">
        <v>2046</v>
      </c>
      <c r="G868" s="20">
        <v>56</v>
      </c>
      <c r="H868" s="11">
        <v>18326.645576650801</v>
      </c>
      <c r="I868" s="10">
        <v>6034040.0869349204</v>
      </c>
      <c r="J868" s="34">
        <f t="shared" si="52"/>
        <v>3.0372097819390009E-3</v>
      </c>
      <c r="K868" s="34">
        <f t="shared" si="53"/>
        <v>3.0326021262953029E-3</v>
      </c>
      <c r="L868" s="34">
        <f t="shared" si="54"/>
        <v>0.97087149819823992</v>
      </c>
      <c r="M868" s="34">
        <f t="shared" si="55"/>
        <v>0.96792723122844448</v>
      </c>
    </row>
    <row r="869" spans="1:13" ht="69">
      <c r="A869" t="s">
        <v>164</v>
      </c>
      <c r="B869" t="s">
        <v>115</v>
      </c>
      <c r="C869" s="14" t="s">
        <v>291</v>
      </c>
      <c r="D869" t="s">
        <v>375</v>
      </c>
      <c r="E869" t="s">
        <v>392</v>
      </c>
      <c r="F869" s="20">
        <v>2046</v>
      </c>
      <c r="G869" s="20">
        <v>57</v>
      </c>
      <c r="H869" s="11">
        <v>14575.4137393495</v>
      </c>
      <c r="I869" s="10">
        <v>4016343.1932186699</v>
      </c>
      <c r="J869" s="34">
        <f t="shared" si="52"/>
        <v>3.6290259666950583E-3</v>
      </c>
      <c r="K869" s="34">
        <f t="shared" si="53"/>
        <v>3.622449010348805E-3</v>
      </c>
      <c r="L869" s="34">
        <f t="shared" si="54"/>
        <v>0.96792723122844448</v>
      </c>
      <c r="M869" s="34">
        <f t="shared" si="55"/>
        <v>0.96442096418759138</v>
      </c>
    </row>
    <row r="870" spans="1:13" ht="69">
      <c r="A870" t="s">
        <v>164</v>
      </c>
      <c r="B870" t="s">
        <v>115</v>
      </c>
      <c r="C870" s="14" t="s">
        <v>291</v>
      </c>
      <c r="D870" t="s">
        <v>375</v>
      </c>
      <c r="E870" t="s">
        <v>392</v>
      </c>
      <c r="F870" s="20">
        <v>2046</v>
      </c>
      <c r="G870" s="20">
        <v>58</v>
      </c>
      <c r="H870" s="11">
        <v>15769.294006886001</v>
      </c>
      <c r="I870" s="10">
        <v>3973042.7063896698</v>
      </c>
      <c r="J870" s="34">
        <f t="shared" si="52"/>
        <v>3.9690723639906863E-3</v>
      </c>
      <c r="K870" s="34">
        <f t="shared" si="53"/>
        <v>3.961206007096707E-3</v>
      </c>
      <c r="L870" s="34">
        <f t="shared" si="54"/>
        <v>0.96442096418759138</v>
      </c>
      <c r="M870" s="34">
        <f t="shared" si="55"/>
        <v>0.96060069407088144</v>
      </c>
    </row>
    <row r="871" spans="1:13" ht="69">
      <c r="A871" t="s">
        <v>164</v>
      </c>
      <c r="B871" t="s">
        <v>115</v>
      </c>
      <c r="C871" s="14" t="s">
        <v>291</v>
      </c>
      <c r="D871" t="s">
        <v>375</v>
      </c>
      <c r="E871" t="s">
        <v>392</v>
      </c>
      <c r="F871" s="20">
        <v>2046</v>
      </c>
      <c r="G871" s="20">
        <v>59</v>
      </c>
      <c r="H871" s="11">
        <v>16621.003090787501</v>
      </c>
      <c r="I871" s="10">
        <v>3821857.6642064</v>
      </c>
      <c r="J871" s="34">
        <f t="shared" si="52"/>
        <v>4.3489330454274814E-3</v>
      </c>
      <c r="K871" s="34">
        <f t="shared" si="53"/>
        <v>4.339490129939283E-3</v>
      </c>
      <c r="L871" s="34">
        <f t="shared" si="54"/>
        <v>0.96060069407088144</v>
      </c>
      <c r="M871" s="34">
        <f t="shared" si="55"/>
        <v>0.95643217684014803</v>
      </c>
    </row>
    <row r="872" spans="1:13" ht="69">
      <c r="A872" t="s">
        <v>164</v>
      </c>
      <c r="B872" t="s">
        <v>115</v>
      </c>
      <c r="C872" s="14" t="s">
        <v>291</v>
      </c>
      <c r="D872" t="s">
        <v>375</v>
      </c>
      <c r="E872" t="s">
        <v>392</v>
      </c>
      <c r="F872" s="20">
        <v>2046</v>
      </c>
      <c r="G872" s="20">
        <v>60</v>
      </c>
      <c r="H872" s="11">
        <v>17703.6181729618</v>
      </c>
      <c r="I872" s="10">
        <v>3758498.86290253</v>
      </c>
      <c r="J872" s="34">
        <f t="shared" si="52"/>
        <v>4.7102896179380621E-3</v>
      </c>
      <c r="K872" s="34">
        <f t="shared" si="53"/>
        <v>4.6992136010354235E-3</v>
      </c>
      <c r="L872" s="34">
        <f t="shared" si="54"/>
        <v>0.95643217684014803</v>
      </c>
      <c r="M872" s="34">
        <f t="shared" si="55"/>
        <v>0.9519376977462729</v>
      </c>
    </row>
    <row r="873" spans="1:13" ht="69">
      <c r="A873" t="s">
        <v>164</v>
      </c>
      <c r="B873" t="s">
        <v>115</v>
      </c>
      <c r="C873" s="14" t="s">
        <v>291</v>
      </c>
      <c r="D873" t="s">
        <v>375</v>
      </c>
      <c r="E873" t="s">
        <v>392</v>
      </c>
      <c r="F873" s="20">
        <v>2046</v>
      </c>
      <c r="G873" s="20">
        <v>61</v>
      </c>
      <c r="H873" s="11">
        <v>19340.831957062201</v>
      </c>
      <c r="I873" s="10">
        <v>3776573.7250351598</v>
      </c>
      <c r="J873" s="34">
        <f t="shared" si="52"/>
        <v>5.1212642371709924E-3</v>
      </c>
      <c r="K873" s="34">
        <f t="shared" si="53"/>
        <v>5.1081729210414872E-3</v>
      </c>
      <c r="L873" s="34">
        <f t="shared" si="54"/>
        <v>0.9519376977462729</v>
      </c>
      <c r="M873" s="34">
        <f t="shared" si="55"/>
        <v>0.94707503537612681</v>
      </c>
    </row>
    <row r="874" spans="1:13" ht="69">
      <c r="A874" t="s">
        <v>164</v>
      </c>
      <c r="B874" t="s">
        <v>115</v>
      </c>
      <c r="C874" s="14" t="s">
        <v>291</v>
      </c>
      <c r="D874" t="s">
        <v>375</v>
      </c>
      <c r="E874" t="s">
        <v>392</v>
      </c>
      <c r="F874" s="20">
        <v>2046</v>
      </c>
      <c r="G874" s="20">
        <v>62</v>
      </c>
      <c r="H874" s="11">
        <v>21466.990225297399</v>
      </c>
      <c r="I874" s="10">
        <v>3813075.3859508499</v>
      </c>
      <c r="J874" s="34">
        <f t="shared" si="52"/>
        <v>5.6298363007434406E-3</v>
      </c>
      <c r="K874" s="34">
        <f t="shared" si="53"/>
        <v>5.614018470210147E-3</v>
      </c>
      <c r="L874" s="34">
        <f t="shared" si="54"/>
        <v>0.94707503537612681</v>
      </c>
      <c r="M874" s="34">
        <f t="shared" si="55"/>
        <v>0.94175813863485025</v>
      </c>
    </row>
    <row r="875" spans="1:13" ht="69">
      <c r="A875" t="s">
        <v>164</v>
      </c>
      <c r="B875" t="s">
        <v>115</v>
      </c>
      <c r="C875" s="14" t="s">
        <v>291</v>
      </c>
      <c r="D875" t="s">
        <v>375</v>
      </c>
      <c r="E875" t="s">
        <v>392</v>
      </c>
      <c r="F875" s="20">
        <v>2046</v>
      </c>
      <c r="G875" s="20">
        <v>63</v>
      </c>
      <c r="H875" s="11">
        <v>23194.2157475085</v>
      </c>
      <c r="I875" s="10">
        <v>3748951.1852439102</v>
      </c>
      <c r="J875" s="34">
        <f t="shared" si="52"/>
        <v>6.1868545631648345E-3</v>
      </c>
      <c r="K875" s="34">
        <f t="shared" si="53"/>
        <v>6.167755386713214E-3</v>
      </c>
      <c r="L875" s="34">
        <f t="shared" si="54"/>
        <v>0.94175813863485025</v>
      </c>
      <c r="M875" s="34">
        <f t="shared" si="55"/>
        <v>0.93594960480230416</v>
      </c>
    </row>
    <row r="876" spans="1:13" ht="69">
      <c r="A876" t="s">
        <v>164</v>
      </c>
      <c r="B876" t="s">
        <v>115</v>
      </c>
      <c r="C876" s="14" t="s">
        <v>291</v>
      </c>
      <c r="D876" t="s">
        <v>375</v>
      </c>
      <c r="E876" t="s">
        <v>392</v>
      </c>
      <c r="F876" s="20">
        <v>2046</v>
      </c>
      <c r="G876" s="20">
        <v>64</v>
      </c>
      <c r="H876" s="11">
        <v>24374.084163082502</v>
      </c>
      <c r="I876" s="10">
        <v>3583833.56745716</v>
      </c>
      <c r="J876" s="34">
        <f t="shared" si="52"/>
        <v>6.8011205610690965E-3</v>
      </c>
      <c r="K876" s="34">
        <f t="shared" si="53"/>
        <v>6.7780452828443138E-3</v>
      </c>
      <c r="L876" s="34">
        <f t="shared" si="54"/>
        <v>0.93594960480230416</v>
      </c>
      <c r="M876" s="34">
        <f t="shared" si="55"/>
        <v>0.92960569599849385</v>
      </c>
    </row>
    <row r="877" spans="1:13" ht="69">
      <c r="A877" t="s">
        <v>164</v>
      </c>
      <c r="B877" t="s">
        <v>115</v>
      </c>
      <c r="C877" s="14" t="s">
        <v>291</v>
      </c>
      <c r="D877" t="s">
        <v>375</v>
      </c>
      <c r="E877" t="s">
        <v>392</v>
      </c>
      <c r="F877" s="20">
        <v>2046</v>
      </c>
      <c r="G877" s="20">
        <v>65</v>
      </c>
      <c r="H877" s="11">
        <v>24698.668963632899</v>
      </c>
      <c r="I877" s="10">
        <v>3471631.1887452998</v>
      </c>
      <c r="J877" s="34">
        <f t="shared" si="52"/>
        <v>7.1144276626225874E-3</v>
      </c>
      <c r="K877" s="34">
        <f t="shared" si="53"/>
        <v>7.0891800317677278E-3</v>
      </c>
      <c r="L877" s="34">
        <f t="shared" si="54"/>
        <v>0.92960569599849385</v>
      </c>
      <c r="M877" s="34">
        <f t="shared" si="55"/>
        <v>0.92301555386100376</v>
      </c>
    </row>
    <row r="878" spans="1:13" ht="69">
      <c r="A878" t="s">
        <v>164</v>
      </c>
      <c r="B878" t="s">
        <v>115</v>
      </c>
      <c r="C878" s="14" t="s">
        <v>291</v>
      </c>
      <c r="D878" t="s">
        <v>375</v>
      </c>
      <c r="E878" t="s">
        <v>392</v>
      </c>
      <c r="F878" s="20">
        <v>2046</v>
      </c>
      <c r="G878" s="20">
        <v>66</v>
      </c>
      <c r="H878" s="11">
        <v>26137.643606080201</v>
      </c>
      <c r="I878" s="10">
        <v>3371170.65198668</v>
      </c>
      <c r="J878" s="34">
        <f t="shared" si="52"/>
        <v>7.7532840381951311E-3</v>
      </c>
      <c r="K878" s="34">
        <f t="shared" si="53"/>
        <v>7.7233048605669374E-3</v>
      </c>
      <c r="L878" s="34">
        <f t="shared" si="54"/>
        <v>0.92301555386100376</v>
      </c>
      <c r="M878" s="34">
        <f t="shared" si="55"/>
        <v>0.91588682334749016</v>
      </c>
    </row>
    <row r="879" spans="1:13" ht="69">
      <c r="A879" t="s">
        <v>164</v>
      </c>
      <c r="B879" t="s">
        <v>115</v>
      </c>
      <c r="C879" s="14" t="s">
        <v>291</v>
      </c>
      <c r="D879" t="s">
        <v>375</v>
      </c>
      <c r="E879" t="s">
        <v>392</v>
      </c>
      <c r="F879" s="20">
        <v>2046</v>
      </c>
      <c r="G879" s="20">
        <v>67</v>
      </c>
      <c r="H879" s="11">
        <v>27822.290613142599</v>
      </c>
      <c r="I879" s="10">
        <v>3263157.4388471502</v>
      </c>
      <c r="J879" s="34">
        <f t="shared" si="52"/>
        <v>8.5261870242374863E-3</v>
      </c>
      <c r="K879" s="34">
        <f t="shared" si="53"/>
        <v>8.4899421749212722E-3</v>
      </c>
      <c r="L879" s="34">
        <f t="shared" si="54"/>
        <v>0.91588682334749016</v>
      </c>
      <c r="M879" s="34">
        <f t="shared" si="55"/>
        <v>0.90811099717849764</v>
      </c>
    </row>
    <row r="880" spans="1:13" ht="69">
      <c r="A880" t="s">
        <v>164</v>
      </c>
      <c r="B880" t="s">
        <v>115</v>
      </c>
      <c r="C880" s="14" t="s">
        <v>291</v>
      </c>
      <c r="D880" t="s">
        <v>375</v>
      </c>
      <c r="E880" t="s">
        <v>392</v>
      </c>
      <c r="F880" s="20">
        <v>2046</v>
      </c>
      <c r="G880" s="20">
        <v>68</v>
      </c>
      <c r="H880" s="11">
        <v>29426.087799269899</v>
      </c>
      <c r="I880" s="10">
        <v>3136744.3859480298</v>
      </c>
      <c r="J880" s="34">
        <f t="shared" si="52"/>
        <v>9.3810920427857374E-3</v>
      </c>
      <c r="K880" s="34">
        <f t="shared" si="53"/>
        <v>9.337226873722404E-3</v>
      </c>
      <c r="L880" s="34">
        <f t="shared" si="54"/>
        <v>0.90811099717849764</v>
      </c>
      <c r="M880" s="34">
        <f t="shared" si="55"/>
        <v>0.89963175877131973</v>
      </c>
    </row>
    <row r="881" spans="1:13" ht="69">
      <c r="A881" t="s">
        <v>164</v>
      </c>
      <c r="B881" t="s">
        <v>115</v>
      </c>
      <c r="C881" s="14" t="s">
        <v>291</v>
      </c>
      <c r="D881" t="s">
        <v>375</v>
      </c>
      <c r="E881" t="s">
        <v>392</v>
      </c>
      <c r="F881" s="20">
        <v>2046</v>
      </c>
      <c r="G881" s="20">
        <v>69</v>
      </c>
      <c r="H881" s="11">
        <v>31232.396305111401</v>
      </c>
      <c r="I881" s="10">
        <v>3021142.3317027399</v>
      </c>
      <c r="J881" s="34">
        <f t="shared" si="52"/>
        <v>1.0337942697161366E-2</v>
      </c>
      <c r="K881" s="34">
        <f t="shared" si="53"/>
        <v>1.0284689833888638E-2</v>
      </c>
      <c r="L881" s="34">
        <f t="shared" si="54"/>
        <v>0.89963175877131973</v>
      </c>
      <c r="M881" s="34">
        <f t="shared" si="55"/>
        <v>0.89037932516764096</v>
      </c>
    </row>
    <row r="882" spans="1:13" ht="69">
      <c r="A882" t="s">
        <v>164</v>
      </c>
      <c r="B882" t="s">
        <v>115</v>
      </c>
      <c r="C882" s="14" t="s">
        <v>291</v>
      </c>
      <c r="D882" t="s">
        <v>375</v>
      </c>
      <c r="E882" t="s">
        <v>392</v>
      </c>
      <c r="F882" s="20">
        <v>2047</v>
      </c>
      <c r="G882" s="20">
        <v>30</v>
      </c>
      <c r="H882" s="11">
        <v>617.71735847123603</v>
      </c>
      <c r="I882" s="10">
        <v>4320521.4046662897</v>
      </c>
      <c r="J882" s="34">
        <f t="shared" si="52"/>
        <v>1.4297287308982735E-4</v>
      </c>
      <c r="K882" s="34">
        <f t="shared" si="53"/>
        <v>1.4296265295565824E-4</v>
      </c>
      <c r="L882" s="34">
        <f t="shared" si="54"/>
        <v>1</v>
      </c>
      <c r="M882" s="34">
        <f t="shared" si="55"/>
        <v>0.99985703734704434</v>
      </c>
    </row>
    <row r="883" spans="1:13" ht="69">
      <c r="A883" t="s">
        <v>164</v>
      </c>
      <c r="B883" t="s">
        <v>115</v>
      </c>
      <c r="C883" s="14" t="s">
        <v>291</v>
      </c>
      <c r="D883" t="s">
        <v>375</v>
      </c>
      <c r="E883" t="s">
        <v>392</v>
      </c>
      <c r="F883" s="20">
        <v>2047</v>
      </c>
      <c r="G883" s="20">
        <v>31</v>
      </c>
      <c r="H883" s="11">
        <v>935.28219295934605</v>
      </c>
      <c r="I883" s="10">
        <v>4583279.6607510801</v>
      </c>
      <c r="J883" s="34">
        <f t="shared" si="52"/>
        <v>2.0406395903977583E-4</v>
      </c>
      <c r="K883" s="34">
        <f t="shared" si="53"/>
        <v>2.0404313940625141E-4</v>
      </c>
      <c r="L883" s="34">
        <f t="shared" si="54"/>
        <v>0.99985703734704434</v>
      </c>
      <c r="M883" s="34">
        <f t="shared" si="55"/>
        <v>0.99965302337818662</v>
      </c>
    </row>
    <row r="884" spans="1:13" ht="69">
      <c r="A884" t="s">
        <v>164</v>
      </c>
      <c r="B884" t="s">
        <v>115</v>
      </c>
      <c r="C884" s="14" t="s">
        <v>291</v>
      </c>
      <c r="D884" t="s">
        <v>375</v>
      </c>
      <c r="E884" t="s">
        <v>392</v>
      </c>
      <c r="F884" s="20">
        <v>2047</v>
      </c>
      <c r="G884" s="20">
        <v>32</v>
      </c>
      <c r="H884" s="11">
        <v>1024.4083046672299</v>
      </c>
      <c r="I884" s="10">
        <v>4632068.1463269005</v>
      </c>
      <c r="J884" s="34">
        <f t="shared" si="52"/>
        <v>2.211557067612567E-4</v>
      </c>
      <c r="K884" s="34">
        <f t="shared" si="53"/>
        <v>2.2113125364064956E-4</v>
      </c>
      <c r="L884" s="34">
        <f t="shared" si="54"/>
        <v>0.99965302337818662</v>
      </c>
      <c r="M884" s="34">
        <f t="shared" si="55"/>
        <v>0.99943196885192132</v>
      </c>
    </row>
    <row r="885" spans="1:13" ht="69">
      <c r="A885" t="s">
        <v>164</v>
      </c>
      <c r="B885" t="s">
        <v>115</v>
      </c>
      <c r="C885" s="14" t="s">
        <v>291</v>
      </c>
      <c r="D885" t="s">
        <v>375</v>
      </c>
      <c r="E885" t="s">
        <v>392</v>
      </c>
      <c r="F885" s="20">
        <v>2047</v>
      </c>
      <c r="G885" s="20">
        <v>33</v>
      </c>
      <c r="H885" s="11">
        <v>1094.9548202465301</v>
      </c>
      <c r="I885" s="10">
        <v>4698310.5387471896</v>
      </c>
      <c r="J885" s="34">
        <f t="shared" si="52"/>
        <v>2.3305288384332747E-4</v>
      </c>
      <c r="K885" s="34">
        <f t="shared" si="53"/>
        <v>2.3302572912953234E-4</v>
      </c>
      <c r="L885" s="34">
        <f t="shared" si="54"/>
        <v>0.99943196885192132</v>
      </c>
      <c r="M885" s="34">
        <f t="shared" si="55"/>
        <v>0.99919907548866427</v>
      </c>
    </row>
    <row r="886" spans="1:13" ht="69">
      <c r="A886" t="s">
        <v>164</v>
      </c>
      <c r="B886" t="s">
        <v>115</v>
      </c>
      <c r="C886" s="14" t="s">
        <v>291</v>
      </c>
      <c r="D886" t="s">
        <v>375</v>
      </c>
      <c r="E886" t="s">
        <v>392</v>
      </c>
      <c r="F886" s="20">
        <v>2047</v>
      </c>
      <c r="G886" s="20">
        <v>34</v>
      </c>
      <c r="H886" s="11">
        <v>1177.1038248656901</v>
      </c>
      <c r="I886" s="10">
        <v>4765870.3232419398</v>
      </c>
      <c r="J886" s="34">
        <f t="shared" si="52"/>
        <v>2.4698612111312673E-4</v>
      </c>
      <c r="K886" s="34">
        <f t="shared" si="53"/>
        <v>2.4695562255205861E-4</v>
      </c>
      <c r="L886" s="34">
        <f t="shared" si="54"/>
        <v>0.99919907548866427</v>
      </c>
      <c r="M886" s="34">
        <f t="shared" si="55"/>
        <v>0.99895231765892356</v>
      </c>
    </row>
    <row r="887" spans="1:13" ht="69">
      <c r="A887" t="s">
        <v>164</v>
      </c>
      <c r="B887" t="s">
        <v>115</v>
      </c>
      <c r="C887" s="14" t="s">
        <v>291</v>
      </c>
      <c r="D887" t="s">
        <v>375</v>
      </c>
      <c r="E887" t="s">
        <v>392</v>
      </c>
      <c r="F887" s="20">
        <v>2047</v>
      </c>
      <c r="G887" s="20">
        <v>35</v>
      </c>
      <c r="H887" s="11">
        <v>1618.9753199648601</v>
      </c>
      <c r="I887" s="10">
        <v>4877487.8447438898</v>
      </c>
      <c r="J887" s="34">
        <f t="shared" si="52"/>
        <v>3.3192810961272016E-4</v>
      </c>
      <c r="K887" s="34">
        <f t="shared" si="53"/>
        <v>3.3187302757231585E-4</v>
      </c>
      <c r="L887" s="34">
        <f t="shared" si="54"/>
        <v>0.99895231765892356</v>
      </c>
      <c r="M887" s="34">
        <f t="shared" si="55"/>
        <v>0.99862079232886169</v>
      </c>
    </row>
    <row r="888" spans="1:13" ht="69">
      <c r="A888" t="s">
        <v>164</v>
      </c>
      <c r="B888" t="s">
        <v>115</v>
      </c>
      <c r="C888" s="14" t="s">
        <v>291</v>
      </c>
      <c r="D888" t="s">
        <v>375</v>
      </c>
      <c r="E888" t="s">
        <v>392</v>
      </c>
      <c r="F888" s="20">
        <v>2047</v>
      </c>
      <c r="G888" s="20">
        <v>36</v>
      </c>
      <c r="H888" s="11">
        <v>1796.98481146323</v>
      </c>
      <c r="I888" s="10">
        <v>4848147.7417960102</v>
      </c>
      <c r="J888" s="34">
        <f t="shared" si="52"/>
        <v>3.7065388828219409E-4</v>
      </c>
      <c r="K888" s="34">
        <f t="shared" si="53"/>
        <v>3.7058520461596967E-4</v>
      </c>
      <c r="L888" s="34">
        <f t="shared" si="54"/>
        <v>0.99862079232886169</v>
      </c>
      <c r="M888" s="34">
        <f t="shared" si="55"/>
        <v>0.99825071823820277</v>
      </c>
    </row>
    <row r="889" spans="1:13" ht="69">
      <c r="A889" t="s">
        <v>164</v>
      </c>
      <c r="B889" t="s">
        <v>115</v>
      </c>
      <c r="C889" s="14" t="s">
        <v>291</v>
      </c>
      <c r="D889" t="s">
        <v>375</v>
      </c>
      <c r="E889" t="s">
        <v>392</v>
      </c>
      <c r="F889" s="20">
        <v>2047</v>
      </c>
      <c r="G889" s="20">
        <v>37</v>
      </c>
      <c r="H889" s="11">
        <v>1872.0263751392999</v>
      </c>
      <c r="I889" s="10">
        <v>4713735.7207498001</v>
      </c>
      <c r="J889" s="34">
        <f t="shared" si="52"/>
        <v>3.9714283660381412E-4</v>
      </c>
      <c r="K889" s="34">
        <f t="shared" si="53"/>
        <v>3.9706398582617375E-4</v>
      </c>
      <c r="L889" s="34">
        <f t="shared" si="54"/>
        <v>0.99825071823820277</v>
      </c>
      <c r="M889" s="34">
        <f t="shared" si="55"/>
        <v>0.99785434882916524</v>
      </c>
    </row>
    <row r="890" spans="1:13" ht="69">
      <c r="A890" t="s">
        <v>164</v>
      </c>
      <c r="B890" t="s">
        <v>115</v>
      </c>
      <c r="C890" s="14" t="s">
        <v>291</v>
      </c>
      <c r="D890" t="s">
        <v>375</v>
      </c>
      <c r="E890" t="s">
        <v>392</v>
      </c>
      <c r="F890" s="20">
        <v>2047</v>
      </c>
      <c r="G890" s="20">
        <v>38</v>
      </c>
      <c r="H890" s="11">
        <v>1982.19570013464</v>
      </c>
      <c r="I890" s="10">
        <v>4641631.4461343698</v>
      </c>
      <c r="J890" s="34">
        <f t="shared" si="52"/>
        <v>4.2704719733520558E-4</v>
      </c>
      <c r="K890" s="34">
        <f t="shared" si="53"/>
        <v>4.269560256594529E-4</v>
      </c>
      <c r="L890" s="34">
        <f t="shared" si="54"/>
        <v>0.99785434882916524</v>
      </c>
      <c r="M890" s="34">
        <f t="shared" si="55"/>
        <v>0.99742830890220213</v>
      </c>
    </row>
    <row r="891" spans="1:13" ht="69">
      <c r="A891" t="s">
        <v>164</v>
      </c>
      <c r="B891" t="s">
        <v>115</v>
      </c>
      <c r="C891" s="14" t="s">
        <v>291</v>
      </c>
      <c r="D891" t="s">
        <v>375</v>
      </c>
      <c r="E891" t="s">
        <v>392</v>
      </c>
      <c r="F891" s="20">
        <v>2047</v>
      </c>
      <c r="G891" s="20">
        <v>39</v>
      </c>
      <c r="H891" s="11">
        <v>2117.6480790094402</v>
      </c>
      <c r="I891" s="10">
        <v>4597061.6497630198</v>
      </c>
      <c r="J891" s="34">
        <f t="shared" si="52"/>
        <v>4.6065252988691281E-4</v>
      </c>
      <c r="K891" s="34">
        <f t="shared" si="53"/>
        <v>4.6054644580018067E-4</v>
      </c>
      <c r="L891" s="34">
        <f t="shared" si="54"/>
        <v>0.99742830890220213</v>
      </c>
      <c r="M891" s="34">
        <f t="shared" si="55"/>
        <v>0.99696894683959669</v>
      </c>
    </row>
    <row r="892" spans="1:13" ht="69">
      <c r="A892" t="s">
        <v>164</v>
      </c>
      <c r="B892" t="s">
        <v>115</v>
      </c>
      <c r="C892" s="14" t="s">
        <v>291</v>
      </c>
      <c r="D892" t="s">
        <v>375</v>
      </c>
      <c r="E892" t="s">
        <v>392</v>
      </c>
      <c r="F892" s="20">
        <v>2047</v>
      </c>
      <c r="G892" s="20">
        <v>40</v>
      </c>
      <c r="H892" s="11">
        <v>2923.7306217575301</v>
      </c>
      <c r="I892" s="10">
        <v>4619611.9448670298</v>
      </c>
      <c r="J892" s="34">
        <f t="shared" si="52"/>
        <v>6.3289528571900126E-4</v>
      </c>
      <c r="K892" s="34">
        <f t="shared" si="53"/>
        <v>6.3269504974272639E-4</v>
      </c>
      <c r="L892" s="34">
        <f t="shared" si="54"/>
        <v>0.99696894683959669</v>
      </c>
      <c r="M892" s="34">
        <f t="shared" si="55"/>
        <v>0.99633816952218401</v>
      </c>
    </row>
    <row r="893" spans="1:13" ht="69">
      <c r="A893" t="s">
        <v>164</v>
      </c>
      <c r="B893" t="s">
        <v>115</v>
      </c>
      <c r="C893" s="14" t="s">
        <v>291</v>
      </c>
      <c r="D893" t="s">
        <v>375</v>
      </c>
      <c r="E893" t="s">
        <v>392</v>
      </c>
      <c r="F893" s="20">
        <v>2047</v>
      </c>
      <c r="G893" s="20">
        <v>41</v>
      </c>
      <c r="H893" s="11">
        <v>3158.77408634741</v>
      </c>
      <c r="I893" s="10">
        <v>4533540.2523423703</v>
      </c>
      <c r="J893" s="34">
        <f t="shared" si="52"/>
        <v>6.9675659871230834E-4</v>
      </c>
      <c r="K893" s="34">
        <f t="shared" si="53"/>
        <v>6.9651392019931535E-4</v>
      </c>
      <c r="L893" s="34">
        <f t="shared" si="54"/>
        <v>0.99633816952218401</v>
      </c>
      <c r="M893" s="34">
        <f t="shared" si="55"/>
        <v>0.99564420611788595</v>
      </c>
    </row>
    <row r="894" spans="1:13" ht="69">
      <c r="A894" t="s">
        <v>164</v>
      </c>
      <c r="B894" t="s">
        <v>115</v>
      </c>
      <c r="C894" s="14" t="s">
        <v>291</v>
      </c>
      <c r="D894" t="s">
        <v>375</v>
      </c>
      <c r="E894" t="s">
        <v>392</v>
      </c>
      <c r="F894" s="20">
        <v>2047</v>
      </c>
      <c r="G894" s="20">
        <v>42</v>
      </c>
      <c r="H894" s="11">
        <v>3372.45898792871</v>
      </c>
      <c r="I894" s="10">
        <v>4469336.5223724497</v>
      </c>
      <c r="J894" s="34">
        <f t="shared" si="52"/>
        <v>7.5457709909445658E-4</v>
      </c>
      <c r="K894" s="34">
        <f t="shared" si="53"/>
        <v>7.5429247738934002E-4</v>
      </c>
      <c r="L894" s="34">
        <f t="shared" si="54"/>
        <v>0.99564420611788595</v>
      </c>
      <c r="M894" s="34">
        <f t="shared" si="55"/>
        <v>0.99489319918305497</v>
      </c>
    </row>
    <row r="895" spans="1:13" ht="69">
      <c r="A895" t="s">
        <v>164</v>
      </c>
      <c r="B895" t="s">
        <v>115</v>
      </c>
      <c r="C895" s="14" t="s">
        <v>291</v>
      </c>
      <c r="D895" t="s">
        <v>375</v>
      </c>
      <c r="E895" t="s">
        <v>392</v>
      </c>
      <c r="F895" s="20">
        <v>2047</v>
      </c>
      <c r="G895" s="20">
        <v>43</v>
      </c>
      <c r="H895" s="11">
        <v>3562.2901448047401</v>
      </c>
      <c r="I895" s="10">
        <v>4338027.4900979204</v>
      </c>
      <c r="J895" s="34">
        <f t="shared" si="52"/>
        <v>8.2117740215711032E-4</v>
      </c>
      <c r="K895" s="34">
        <f t="shared" si="53"/>
        <v>8.208403282663479E-4</v>
      </c>
      <c r="L895" s="34">
        <f t="shared" si="54"/>
        <v>0.99489319918305497</v>
      </c>
      <c r="M895" s="34">
        <f t="shared" si="55"/>
        <v>0.99407655072284762</v>
      </c>
    </row>
    <row r="896" spans="1:13" ht="69">
      <c r="A896" t="s">
        <v>164</v>
      </c>
      <c r="B896" t="s">
        <v>115</v>
      </c>
      <c r="C896" s="14" t="s">
        <v>291</v>
      </c>
      <c r="D896" t="s">
        <v>375</v>
      </c>
      <c r="E896" t="s">
        <v>392</v>
      </c>
      <c r="F896" s="20">
        <v>2047</v>
      </c>
      <c r="G896" s="20">
        <v>44</v>
      </c>
      <c r="H896" s="11">
        <v>3822.92304096096</v>
      </c>
      <c r="I896" s="10">
        <v>4268277.2845929097</v>
      </c>
      <c r="J896" s="34">
        <f t="shared" si="52"/>
        <v>8.9565948650067008E-4</v>
      </c>
      <c r="K896" s="34">
        <f t="shared" si="53"/>
        <v>8.9525850326654943E-4</v>
      </c>
      <c r="L896" s="34">
        <f t="shared" si="54"/>
        <v>0.99407655072284762</v>
      </c>
      <c r="M896" s="34">
        <f t="shared" si="55"/>
        <v>0.99318659523791508</v>
      </c>
    </row>
    <row r="897" spans="1:13" ht="69">
      <c r="A897" t="s">
        <v>164</v>
      </c>
      <c r="B897" t="s">
        <v>115</v>
      </c>
      <c r="C897" s="14" t="s">
        <v>291</v>
      </c>
      <c r="D897" t="s">
        <v>375</v>
      </c>
      <c r="E897" t="s">
        <v>392</v>
      </c>
      <c r="F897" s="20">
        <v>2047</v>
      </c>
      <c r="G897" s="20">
        <v>45</v>
      </c>
      <c r="H897" s="11">
        <v>5060.7033729040104</v>
      </c>
      <c r="I897" s="10">
        <v>4238905.9238620801</v>
      </c>
      <c r="J897" s="34">
        <f t="shared" si="52"/>
        <v>1.1938701787213028E-3</v>
      </c>
      <c r="K897" s="34">
        <f t="shared" si="53"/>
        <v>1.1931577992438935E-3</v>
      </c>
      <c r="L897" s="34">
        <f t="shared" si="54"/>
        <v>0.99318659523791508</v>
      </c>
      <c r="M897" s="34">
        <f t="shared" si="55"/>
        <v>0.99200156690570251</v>
      </c>
    </row>
    <row r="898" spans="1:13" ht="69">
      <c r="A898" t="s">
        <v>164</v>
      </c>
      <c r="B898" t="s">
        <v>115</v>
      </c>
      <c r="C898" s="14" t="s">
        <v>291</v>
      </c>
      <c r="D898" t="s">
        <v>375</v>
      </c>
      <c r="E898" t="s">
        <v>392</v>
      </c>
      <c r="F898" s="20">
        <v>2047</v>
      </c>
      <c r="G898" s="20">
        <v>46</v>
      </c>
      <c r="H898" s="11">
        <v>5479.6439586791703</v>
      </c>
      <c r="I898" s="10">
        <v>4211253.3282940704</v>
      </c>
      <c r="J898" s="34">
        <f t="shared" ref="J898:J961" si="56">IF(I898&gt;0,H898/I898,0)</f>
        <v>1.3011907694707385E-3</v>
      </c>
      <c r="K898" s="34">
        <f t="shared" ref="K898:K961" si="57">1-EXP(-J898)</f>
        <v>1.3003445878158049E-3</v>
      </c>
      <c r="L898" s="34">
        <f t="shared" ref="L898:L961" si="58">IF(G898=30,1,M897)</f>
        <v>0.99200156690570251</v>
      </c>
      <c r="M898" s="34">
        <f t="shared" ref="M898:M961" si="59">L898*(1-K898)</f>
        <v>0.99071162303707183</v>
      </c>
    </row>
    <row r="899" spans="1:13" ht="69">
      <c r="A899" t="s">
        <v>164</v>
      </c>
      <c r="B899" t="s">
        <v>115</v>
      </c>
      <c r="C899" s="14" t="s">
        <v>291</v>
      </c>
      <c r="D899" t="s">
        <v>375</v>
      </c>
      <c r="E899" t="s">
        <v>392</v>
      </c>
      <c r="F899" s="20">
        <v>2047</v>
      </c>
      <c r="G899" s="20">
        <v>47</v>
      </c>
      <c r="H899" s="11">
        <v>5963.0585010353498</v>
      </c>
      <c r="I899" s="10">
        <v>4183295.5337318801</v>
      </c>
      <c r="J899" s="34">
        <f t="shared" si="56"/>
        <v>1.4254451909869632E-3</v>
      </c>
      <c r="K899" s="34">
        <f t="shared" si="57"/>
        <v>1.4244297265443295E-3</v>
      </c>
      <c r="L899" s="34">
        <f t="shared" si="58"/>
        <v>0.99071162303707183</v>
      </c>
      <c r="M899" s="34">
        <f t="shared" si="59"/>
        <v>0.98930042395078488</v>
      </c>
    </row>
    <row r="900" spans="1:13" ht="69">
      <c r="A900" t="s">
        <v>164</v>
      </c>
      <c r="B900" t="s">
        <v>115</v>
      </c>
      <c r="C900" s="14" t="s">
        <v>291</v>
      </c>
      <c r="D900" t="s">
        <v>375</v>
      </c>
      <c r="E900" t="s">
        <v>392</v>
      </c>
      <c r="F900" s="20">
        <v>2047</v>
      </c>
      <c r="G900" s="20">
        <v>48</v>
      </c>
      <c r="H900" s="11">
        <v>6571.2637950902099</v>
      </c>
      <c r="I900" s="10">
        <v>4192751.98530707</v>
      </c>
      <c r="J900" s="34">
        <f t="shared" si="56"/>
        <v>1.5672913203829636E-3</v>
      </c>
      <c r="K900" s="34">
        <f t="shared" si="57"/>
        <v>1.5660637607397554E-3</v>
      </c>
      <c r="L900" s="34">
        <f t="shared" si="58"/>
        <v>0.98930042395078488</v>
      </c>
      <c r="M900" s="34">
        <f t="shared" si="59"/>
        <v>0.98775111640835112</v>
      </c>
    </row>
    <row r="901" spans="1:13" ht="69">
      <c r="A901" t="s">
        <v>164</v>
      </c>
      <c r="B901" t="s">
        <v>115</v>
      </c>
      <c r="C901" s="14" t="s">
        <v>291</v>
      </c>
      <c r="D901" t="s">
        <v>375</v>
      </c>
      <c r="E901" t="s">
        <v>392</v>
      </c>
      <c r="F901" s="20">
        <v>2047</v>
      </c>
      <c r="G901" s="20">
        <v>49</v>
      </c>
      <c r="H901" s="11">
        <v>7308.7809787538999</v>
      </c>
      <c r="I901" s="10">
        <v>4238753.6058059996</v>
      </c>
      <c r="J901" s="34">
        <f t="shared" si="56"/>
        <v>1.7242759684693053E-3</v>
      </c>
      <c r="K901" s="34">
        <f t="shared" si="57"/>
        <v>1.7227902587088062E-3</v>
      </c>
      <c r="L901" s="34">
        <f t="shared" si="58"/>
        <v>0.98775111640835112</v>
      </c>
      <c r="M901" s="34">
        <f t="shared" si="59"/>
        <v>0.98604942840697407</v>
      </c>
    </row>
    <row r="902" spans="1:13" ht="69">
      <c r="A902" t="s">
        <v>164</v>
      </c>
      <c r="B902" t="s">
        <v>115</v>
      </c>
      <c r="C902" s="14" t="s">
        <v>291</v>
      </c>
      <c r="D902" t="s">
        <v>375</v>
      </c>
      <c r="E902" t="s">
        <v>392</v>
      </c>
      <c r="F902" s="20">
        <v>2047</v>
      </c>
      <c r="G902" s="20">
        <v>50</v>
      </c>
      <c r="H902" s="11">
        <v>8797.9960685520091</v>
      </c>
      <c r="I902" s="10">
        <v>4356222.35876418</v>
      </c>
      <c r="J902" s="34">
        <f t="shared" si="56"/>
        <v>2.0196388852491724E-3</v>
      </c>
      <c r="K902" s="34">
        <f t="shared" si="57"/>
        <v>2.0176007869409096E-3</v>
      </c>
      <c r="L902" s="34">
        <f t="shared" si="58"/>
        <v>0.98604942840697407</v>
      </c>
      <c r="M902" s="34">
        <f t="shared" si="59"/>
        <v>0.98405997430425751</v>
      </c>
    </row>
    <row r="903" spans="1:13" ht="69">
      <c r="A903" t="s">
        <v>164</v>
      </c>
      <c r="B903" t="s">
        <v>115</v>
      </c>
      <c r="C903" s="14" t="s">
        <v>291</v>
      </c>
      <c r="D903" t="s">
        <v>375</v>
      </c>
      <c r="E903" t="s">
        <v>392</v>
      </c>
      <c r="F903" s="20">
        <v>2047</v>
      </c>
      <c r="G903" s="20">
        <v>51</v>
      </c>
      <c r="H903" s="11">
        <v>9395.6046176900709</v>
      </c>
      <c r="I903" s="10">
        <v>4299157.2339405399</v>
      </c>
      <c r="J903" s="34">
        <f t="shared" si="56"/>
        <v>2.1854526611668509E-3</v>
      </c>
      <c r="K903" s="34">
        <f t="shared" si="57"/>
        <v>2.1830662982440519E-3</v>
      </c>
      <c r="L903" s="34">
        <f t="shared" si="58"/>
        <v>0.98405997430425751</v>
      </c>
      <c r="M903" s="34">
        <f t="shared" si="59"/>
        <v>0.981911706138903</v>
      </c>
    </row>
    <row r="904" spans="1:13" ht="69">
      <c r="A904" t="s">
        <v>164</v>
      </c>
      <c r="B904" t="s">
        <v>115</v>
      </c>
      <c r="C904" s="14" t="s">
        <v>291</v>
      </c>
      <c r="D904" t="s">
        <v>375</v>
      </c>
      <c r="E904" t="s">
        <v>392</v>
      </c>
      <c r="F904" s="20">
        <v>2047</v>
      </c>
      <c r="G904" s="20">
        <v>52</v>
      </c>
      <c r="H904" s="11">
        <v>10067.8648548688</v>
      </c>
      <c r="I904" s="10">
        <v>4212703.6206510803</v>
      </c>
      <c r="J904" s="34">
        <f t="shared" si="56"/>
        <v>2.3898820713413481E-3</v>
      </c>
      <c r="K904" s="34">
        <f t="shared" si="57"/>
        <v>2.3870285768083921E-3</v>
      </c>
      <c r="L904" s="34">
        <f t="shared" si="58"/>
        <v>0.981911706138903</v>
      </c>
      <c r="M904" s="34">
        <f t="shared" si="59"/>
        <v>0.97956785483644671</v>
      </c>
    </row>
    <row r="905" spans="1:13" ht="69">
      <c r="A905" t="s">
        <v>164</v>
      </c>
      <c r="B905" t="s">
        <v>115</v>
      </c>
      <c r="C905" s="14" t="s">
        <v>291</v>
      </c>
      <c r="D905" t="s">
        <v>375</v>
      </c>
      <c r="E905" t="s">
        <v>392</v>
      </c>
      <c r="F905" s="20">
        <v>2047</v>
      </c>
      <c r="G905" s="20">
        <v>53</v>
      </c>
      <c r="H905" s="11">
        <v>10809.800469137799</v>
      </c>
      <c r="I905" s="10">
        <v>4139955.7576708202</v>
      </c>
      <c r="J905" s="34">
        <f t="shared" si="56"/>
        <v>2.6110908188109478E-3</v>
      </c>
      <c r="K905" s="34">
        <f t="shared" si="57"/>
        <v>2.607684886223538E-3</v>
      </c>
      <c r="L905" s="34">
        <f t="shared" si="58"/>
        <v>0.97956785483644671</v>
      </c>
      <c r="M905" s="34">
        <f t="shared" si="59"/>
        <v>0.97701345054635924</v>
      </c>
    </row>
    <row r="906" spans="1:13" ht="69">
      <c r="A906" t="s">
        <v>164</v>
      </c>
      <c r="B906" t="s">
        <v>115</v>
      </c>
      <c r="C906" s="14" t="s">
        <v>291</v>
      </c>
      <c r="D906" t="s">
        <v>375</v>
      </c>
      <c r="E906" t="s">
        <v>392</v>
      </c>
      <c r="F906" s="20">
        <v>2047</v>
      </c>
      <c r="G906" s="20">
        <v>54</v>
      </c>
      <c r="H906" s="11">
        <v>11584.025094561101</v>
      </c>
      <c r="I906" s="10">
        <v>4069274.9590991801</v>
      </c>
      <c r="J906" s="34">
        <f t="shared" si="56"/>
        <v>2.8467049317123239E-3</v>
      </c>
      <c r="K906" s="34">
        <f t="shared" si="57"/>
        <v>2.8426569093144005E-3</v>
      </c>
      <c r="L906" s="34">
        <f t="shared" si="58"/>
        <v>0.97701345054635924</v>
      </c>
      <c r="M906" s="34">
        <f t="shared" si="59"/>
        <v>0.97423613651067054</v>
      </c>
    </row>
    <row r="907" spans="1:13" ht="69">
      <c r="A907" t="s">
        <v>164</v>
      </c>
      <c r="B907" t="s">
        <v>115</v>
      </c>
      <c r="C907" s="14" t="s">
        <v>291</v>
      </c>
      <c r="D907" t="s">
        <v>375</v>
      </c>
      <c r="E907" t="s">
        <v>392</v>
      </c>
      <c r="F907" s="20">
        <v>2047</v>
      </c>
      <c r="G907" s="20">
        <v>55</v>
      </c>
      <c r="H907" s="11">
        <v>12416.9286868297</v>
      </c>
      <c r="I907" s="10">
        <v>4083082.59850469</v>
      </c>
      <c r="J907" s="34">
        <f t="shared" si="56"/>
        <v>3.0410672297878664E-3</v>
      </c>
      <c r="K907" s="34">
        <f t="shared" si="57"/>
        <v>3.0364478686222274E-3</v>
      </c>
      <c r="L907" s="34">
        <f t="shared" si="58"/>
        <v>0.97423613651067054</v>
      </c>
      <c r="M907" s="34">
        <f t="shared" si="59"/>
        <v>0.97127791927042795</v>
      </c>
    </row>
    <row r="908" spans="1:13" ht="69">
      <c r="A908" t="s">
        <v>164</v>
      </c>
      <c r="B908" t="s">
        <v>115</v>
      </c>
      <c r="C908" s="14" t="s">
        <v>291</v>
      </c>
      <c r="D908" t="s">
        <v>375</v>
      </c>
      <c r="E908" t="s">
        <v>392</v>
      </c>
      <c r="F908" s="20">
        <v>2047</v>
      </c>
      <c r="G908" s="20">
        <v>56</v>
      </c>
      <c r="H908" s="11">
        <v>13366.274034566601</v>
      </c>
      <c r="I908" s="10">
        <v>4075854.2672072202</v>
      </c>
      <c r="J908" s="34">
        <f t="shared" si="56"/>
        <v>3.2793797712804846E-3</v>
      </c>
      <c r="K908" s="34">
        <f t="shared" si="57"/>
        <v>3.2740084785455315E-3</v>
      </c>
      <c r="L908" s="34">
        <f t="shared" si="58"/>
        <v>0.97127791927042795</v>
      </c>
      <c r="M908" s="34">
        <f t="shared" si="59"/>
        <v>0.96809794712771247</v>
      </c>
    </row>
    <row r="909" spans="1:13" ht="69">
      <c r="A909" t="s">
        <v>164</v>
      </c>
      <c r="B909" t="s">
        <v>115</v>
      </c>
      <c r="C909" s="14" t="s">
        <v>291</v>
      </c>
      <c r="D909" t="s">
        <v>375</v>
      </c>
      <c r="E909" t="s">
        <v>392</v>
      </c>
      <c r="F909" s="20">
        <v>2047</v>
      </c>
      <c r="G909" s="20">
        <v>57</v>
      </c>
      <c r="H909" s="11">
        <v>19533.382309406199</v>
      </c>
      <c r="I909" s="10">
        <v>5992157.6888737502</v>
      </c>
      <c r="J909" s="34">
        <f t="shared" si="56"/>
        <v>3.2598244778630943E-3</v>
      </c>
      <c r="K909" s="34">
        <f t="shared" si="57"/>
        <v>3.2545170187445738E-3</v>
      </c>
      <c r="L909" s="34">
        <f t="shared" si="58"/>
        <v>0.96809794712771247</v>
      </c>
      <c r="M909" s="34">
        <f t="shared" si="59"/>
        <v>0.96494725588297359</v>
      </c>
    </row>
    <row r="910" spans="1:13" ht="69">
      <c r="A910" t="s">
        <v>164</v>
      </c>
      <c r="B910" t="s">
        <v>115</v>
      </c>
      <c r="C910" s="14" t="s">
        <v>291</v>
      </c>
      <c r="D910" t="s">
        <v>375</v>
      </c>
      <c r="E910" t="s">
        <v>392</v>
      </c>
      <c r="F910" s="20">
        <v>2047</v>
      </c>
      <c r="G910" s="20">
        <v>58</v>
      </c>
      <c r="H910" s="11">
        <v>15576.929067397599</v>
      </c>
      <c r="I910" s="10">
        <v>3983352.5976839801</v>
      </c>
      <c r="J910" s="34">
        <f t="shared" si="56"/>
        <v>3.9105072135603592E-3</v>
      </c>
      <c r="K910" s="34">
        <f t="shared" si="57"/>
        <v>3.9028711371135172E-3</v>
      </c>
      <c r="L910" s="34">
        <f t="shared" si="58"/>
        <v>0.96494725588297359</v>
      </c>
      <c r="M910" s="34">
        <f t="shared" si="59"/>
        <v>0.96118119108915101</v>
      </c>
    </row>
    <row r="911" spans="1:13" ht="69">
      <c r="A911" t="s">
        <v>164</v>
      </c>
      <c r="B911" t="s">
        <v>115</v>
      </c>
      <c r="C911" s="14" t="s">
        <v>291</v>
      </c>
      <c r="D911" t="s">
        <v>375</v>
      </c>
      <c r="E911" t="s">
        <v>392</v>
      </c>
      <c r="F911" s="20">
        <v>2047</v>
      </c>
      <c r="G911" s="20">
        <v>59</v>
      </c>
      <c r="H911" s="11">
        <v>16867.024261403902</v>
      </c>
      <c r="I911" s="10">
        <v>3937420.6663936302</v>
      </c>
      <c r="J911" s="34">
        <f t="shared" si="56"/>
        <v>4.2837750117395452E-3</v>
      </c>
      <c r="K911" s="34">
        <f t="shared" si="57"/>
        <v>4.2746127352766283E-3</v>
      </c>
      <c r="L911" s="34">
        <f t="shared" si="58"/>
        <v>0.96118119108915101</v>
      </c>
      <c r="M911" s="34">
        <f t="shared" si="59"/>
        <v>0.95707251372881297</v>
      </c>
    </row>
    <row r="912" spans="1:13" ht="69">
      <c r="A912" t="s">
        <v>164</v>
      </c>
      <c r="B912" t="s">
        <v>115</v>
      </c>
      <c r="C912" s="14" t="s">
        <v>291</v>
      </c>
      <c r="D912" t="s">
        <v>375</v>
      </c>
      <c r="E912" t="s">
        <v>392</v>
      </c>
      <c r="F912" s="20">
        <v>2047</v>
      </c>
      <c r="G912" s="20">
        <v>60</v>
      </c>
      <c r="H912" s="11">
        <v>17541.481666806201</v>
      </c>
      <c r="I912" s="10">
        <v>3784378.93700703</v>
      </c>
      <c r="J912" s="34">
        <f t="shared" si="56"/>
        <v>4.635233933703087E-3</v>
      </c>
      <c r="K912" s="34">
        <f t="shared" si="57"/>
        <v>4.6245078159807829E-3</v>
      </c>
      <c r="L912" s="34">
        <f t="shared" si="58"/>
        <v>0.95707251372881297</v>
      </c>
      <c r="M912" s="34">
        <f t="shared" si="59"/>
        <v>0.95264652440861375</v>
      </c>
    </row>
    <row r="913" spans="1:13" ht="69">
      <c r="A913" t="s">
        <v>164</v>
      </c>
      <c r="B913" t="s">
        <v>115</v>
      </c>
      <c r="C913" s="14" t="s">
        <v>291</v>
      </c>
      <c r="D913" t="s">
        <v>375</v>
      </c>
      <c r="E913" t="s">
        <v>392</v>
      </c>
      <c r="F913" s="20">
        <v>2047</v>
      </c>
      <c r="G913" s="20">
        <v>61</v>
      </c>
      <c r="H913" s="11">
        <v>18758.1417664613</v>
      </c>
      <c r="I913" s="10">
        <v>3718061.4793451098</v>
      </c>
      <c r="J913" s="34">
        <f t="shared" si="56"/>
        <v>5.0451402890103131E-3</v>
      </c>
      <c r="K913" s="34">
        <f t="shared" si="57"/>
        <v>5.0324349444711425E-3</v>
      </c>
      <c r="L913" s="34">
        <f t="shared" si="58"/>
        <v>0.95264652440861375</v>
      </c>
      <c r="M913" s="34">
        <f t="shared" si="59"/>
        <v>0.94785239274945088</v>
      </c>
    </row>
    <row r="914" spans="1:13" ht="69">
      <c r="A914" t="s">
        <v>164</v>
      </c>
      <c r="B914" t="s">
        <v>115</v>
      </c>
      <c r="C914" s="14" t="s">
        <v>291</v>
      </c>
      <c r="D914" t="s">
        <v>375</v>
      </c>
      <c r="E914" t="s">
        <v>392</v>
      </c>
      <c r="F914" s="20">
        <v>2047</v>
      </c>
      <c r="G914" s="20">
        <v>62</v>
      </c>
      <c r="H914" s="11">
        <v>20685.102735817101</v>
      </c>
      <c r="I914" s="10">
        <v>3732258.9545398001</v>
      </c>
      <c r="J914" s="34">
        <f t="shared" si="56"/>
        <v>5.542247466686738E-3</v>
      </c>
      <c r="K914" s="34">
        <f t="shared" si="57"/>
        <v>5.5269175470070708E-3</v>
      </c>
      <c r="L914" s="34">
        <f t="shared" si="58"/>
        <v>0.94785239274945088</v>
      </c>
      <c r="M914" s="34">
        <f t="shared" si="59"/>
        <v>0.94261369072799128</v>
      </c>
    </row>
    <row r="915" spans="1:13" ht="69">
      <c r="A915" t="s">
        <v>164</v>
      </c>
      <c r="B915" t="s">
        <v>115</v>
      </c>
      <c r="C915" s="14" t="s">
        <v>291</v>
      </c>
      <c r="D915" t="s">
        <v>375</v>
      </c>
      <c r="E915" t="s">
        <v>392</v>
      </c>
      <c r="F915" s="20">
        <v>2047</v>
      </c>
      <c r="G915" s="20">
        <v>63</v>
      </c>
      <c r="H915" s="11">
        <v>22932.673607056098</v>
      </c>
      <c r="I915" s="10">
        <v>3763949.6085163401</v>
      </c>
      <c r="J915" s="34">
        <f t="shared" si="56"/>
        <v>6.0927153634491972E-3</v>
      </c>
      <c r="K915" s="34">
        <f t="shared" si="57"/>
        <v>6.0741924106509915E-3</v>
      </c>
      <c r="L915" s="34">
        <f t="shared" si="58"/>
        <v>0.94261369072799128</v>
      </c>
      <c r="M915" s="34">
        <f t="shared" si="59"/>
        <v>0.93688807380159556</v>
      </c>
    </row>
    <row r="916" spans="1:13" ht="69">
      <c r="A916" t="s">
        <v>164</v>
      </c>
      <c r="B916" t="s">
        <v>115</v>
      </c>
      <c r="C916" s="14" t="s">
        <v>291</v>
      </c>
      <c r="D916" t="s">
        <v>375</v>
      </c>
      <c r="E916" t="s">
        <v>392</v>
      </c>
      <c r="F916" s="20">
        <v>2047</v>
      </c>
      <c r="G916" s="20">
        <v>64</v>
      </c>
      <c r="H916" s="11">
        <v>24738.3478806071</v>
      </c>
      <c r="I916" s="10">
        <v>3695918.5481496002</v>
      </c>
      <c r="J916" s="34">
        <f t="shared" si="56"/>
        <v>6.6934234503064497E-3</v>
      </c>
      <c r="K916" s="34">
        <f t="shared" si="57"/>
        <v>6.6710723877427824E-3</v>
      </c>
      <c r="L916" s="34">
        <f t="shared" si="58"/>
        <v>0.93688807380159556</v>
      </c>
      <c r="M916" s="34">
        <f t="shared" si="59"/>
        <v>0.93063802564205222</v>
      </c>
    </row>
    <row r="917" spans="1:13" ht="69">
      <c r="A917" t="s">
        <v>164</v>
      </c>
      <c r="B917" t="s">
        <v>115</v>
      </c>
      <c r="C917" s="14" t="s">
        <v>291</v>
      </c>
      <c r="D917" t="s">
        <v>375</v>
      </c>
      <c r="E917" t="s">
        <v>392</v>
      </c>
      <c r="F917" s="20">
        <v>2047</v>
      </c>
      <c r="G917" s="20">
        <v>65</v>
      </c>
      <c r="H917" s="11">
        <v>24705.339850345699</v>
      </c>
      <c r="I917" s="10">
        <v>3528132.3333080802</v>
      </c>
      <c r="J917" s="34">
        <f t="shared" si="56"/>
        <v>7.0023846943352173E-3</v>
      </c>
      <c r="K917" s="34">
        <f t="shared" si="57"/>
        <v>6.9779251237050977E-3</v>
      </c>
      <c r="L917" s="34">
        <f t="shared" si="58"/>
        <v>0.93063802564205222</v>
      </c>
      <c r="M917" s="34">
        <f t="shared" si="59"/>
        <v>0.92414410318184925</v>
      </c>
    </row>
    <row r="918" spans="1:13" ht="69">
      <c r="A918" t="s">
        <v>164</v>
      </c>
      <c r="B918" t="s">
        <v>115</v>
      </c>
      <c r="C918" s="14" t="s">
        <v>291</v>
      </c>
      <c r="D918" t="s">
        <v>375</v>
      </c>
      <c r="E918" t="s">
        <v>392</v>
      </c>
      <c r="F918" s="20">
        <v>2047</v>
      </c>
      <c r="G918" s="20">
        <v>66</v>
      </c>
      <c r="H918" s="11">
        <v>26072.676233887902</v>
      </c>
      <c r="I918" s="10">
        <v>3413053.7874461599</v>
      </c>
      <c r="J918" s="34">
        <f t="shared" si="56"/>
        <v>7.639104994415267E-3</v>
      </c>
      <c r="K918" s="34">
        <f t="shared" si="57"/>
        <v>7.6100011880214646E-3</v>
      </c>
      <c r="L918" s="34">
        <f t="shared" si="58"/>
        <v>0.92414410318184925</v>
      </c>
      <c r="M918" s="34">
        <f t="shared" si="59"/>
        <v>0.9171113654587324</v>
      </c>
    </row>
    <row r="919" spans="1:13" ht="69">
      <c r="A919" t="s">
        <v>164</v>
      </c>
      <c r="B919" t="s">
        <v>115</v>
      </c>
      <c r="C919" s="14" t="s">
        <v>291</v>
      </c>
      <c r="D919" t="s">
        <v>375</v>
      </c>
      <c r="E919" t="s">
        <v>392</v>
      </c>
      <c r="F919" s="20">
        <v>2047</v>
      </c>
      <c r="G919" s="20">
        <v>67</v>
      </c>
      <c r="H919" s="11">
        <v>27770.800665515198</v>
      </c>
      <c r="I919" s="10">
        <v>3308247.35012255</v>
      </c>
      <c r="J919" s="34">
        <f t="shared" si="56"/>
        <v>8.3944148446114409E-3</v>
      </c>
      <c r="K919" s="34">
        <f t="shared" si="57"/>
        <v>8.3592801248580928E-3</v>
      </c>
      <c r="L919" s="34">
        <f t="shared" si="58"/>
        <v>0.9171113654587324</v>
      </c>
      <c r="M919" s="34">
        <f t="shared" si="59"/>
        <v>0.90944497464917173</v>
      </c>
    </row>
    <row r="920" spans="1:13" ht="69">
      <c r="A920" t="s">
        <v>164</v>
      </c>
      <c r="B920" t="s">
        <v>115</v>
      </c>
      <c r="C920" s="14" t="s">
        <v>291</v>
      </c>
      <c r="D920" t="s">
        <v>375</v>
      </c>
      <c r="E920" t="s">
        <v>392</v>
      </c>
      <c r="F920" s="20">
        <v>2047</v>
      </c>
      <c r="G920" s="20">
        <v>68</v>
      </c>
      <c r="H920" s="11">
        <v>29527.314606120901</v>
      </c>
      <c r="I920" s="10">
        <v>3196280.7569239</v>
      </c>
      <c r="J920" s="34">
        <f t="shared" si="56"/>
        <v>9.2380228308035061E-3</v>
      </c>
      <c r="K920" s="34">
        <f t="shared" si="57"/>
        <v>9.1954833921087387E-3</v>
      </c>
      <c r="L920" s="34">
        <f t="shared" si="58"/>
        <v>0.90944497464917173</v>
      </c>
      <c r="M920" s="34">
        <f t="shared" si="59"/>
        <v>0.90108218848874855</v>
      </c>
    </row>
    <row r="921" spans="1:13" ht="69">
      <c r="A921" t="s">
        <v>164</v>
      </c>
      <c r="B921" t="s">
        <v>115</v>
      </c>
      <c r="C921" s="14" t="s">
        <v>291</v>
      </c>
      <c r="D921" t="s">
        <v>375</v>
      </c>
      <c r="E921" t="s">
        <v>392</v>
      </c>
      <c r="F921" s="20">
        <v>2047</v>
      </c>
      <c r="G921" s="20">
        <v>69</v>
      </c>
      <c r="H921" s="11">
        <v>31195.2178358893</v>
      </c>
      <c r="I921" s="10">
        <v>3066131.8971203901</v>
      </c>
      <c r="J921" s="34">
        <f t="shared" si="56"/>
        <v>1.0174127820524232E-2</v>
      </c>
      <c r="K921" s="34">
        <f t="shared" si="57"/>
        <v>1.0122546462062232E-2</v>
      </c>
      <c r="L921" s="34">
        <f t="shared" si="58"/>
        <v>0.90108218848874855</v>
      </c>
      <c r="M921" s="34">
        <f t="shared" si="59"/>
        <v>0.89196094216963451</v>
      </c>
    </row>
    <row r="922" spans="1:13" ht="69">
      <c r="A922" t="s">
        <v>164</v>
      </c>
      <c r="B922" t="s">
        <v>115</v>
      </c>
      <c r="C922" s="14" t="s">
        <v>291</v>
      </c>
      <c r="D922" t="s">
        <v>375</v>
      </c>
      <c r="E922" t="s">
        <v>392</v>
      </c>
      <c r="F922" s="20">
        <v>2048</v>
      </c>
      <c r="G922" s="20">
        <v>30</v>
      </c>
      <c r="H922" s="11">
        <v>612.17580446692295</v>
      </c>
      <c r="I922" s="10">
        <v>4275302.9247430004</v>
      </c>
      <c r="J922" s="34">
        <f t="shared" si="56"/>
        <v>1.4318887228411363E-4</v>
      </c>
      <c r="K922" s="34">
        <f t="shared" si="57"/>
        <v>1.4317862124679781E-4</v>
      </c>
      <c r="L922" s="34">
        <f t="shared" si="58"/>
        <v>1</v>
      </c>
      <c r="M922" s="34">
        <f t="shared" si="59"/>
        <v>0.9998568213787532</v>
      </c>
    </row>
    <row r="923" spans="1:13" ht="69">
      <c r="A923" t="s">
        <v>164</v>
      </c>
      <c r="B923" t="s">
        <v>115</v>
      </c>
      <c r="C923" s="14" t="s">
        <v>291</v>
      </c>
      <c r="D923" t="s">
        <v>375</v>
      </c>
      <c r="E923" t="s">
        <v>392</v>
      </c>
      <c r="F923" s="20">
        <v>2048</v>
      </c>
      <c r="G923" s="20">
        <v>31</v>
      </c>
      <c r="H923" s="11">
        <v>850.48333398096599</v>
      </c>
      <c r="I923" s="10">
        <v>4315836.82979267</v>
      </c>
      <c r="J923" s="34">
        <f t="shared" si="56"/>
        <v>1.9706104922919958E-4</v>
      </c>
      <c r="K923" s="34">
        <f t="shared" si="57"/>
        <v>1.9704163397593621E-4</v>
      </c>
      <c r="L923" s="34">
        <f t="shared" si="58"/>
        <v>0.9998568213787532</v>
      </c>
      <c r="M923" s="34">
        <f t="shared" si="59"/>
        <v>0.99965980795692677</v>
      </c>
    </row>
    <row r="924" spans="1:13" ht="69">
      <c r="A924" t="s">
        <v>164</v>
      </c>
      <c r="B924" t="s">
        <v>115</v>
      </c>
      <c r="C924" s="14" t="s">
        <v>291</v>
      </c>
      <c r="D924" t="s">
        <v>375</v>
      </c>
      <c r="E924" t="s">
        <v>392</v>
      </c>
      <c r="F924" s="20">
        <v>2048</v>
      </c>
      <c r="G924" s="20">
        <v>32</v>
      </c>
      <c r="H924" s="11">
        <v>980.98385110619097</v>
      </c>
      <c r="I924" s="10">
        <v>4578339.4002181897</v>
      </c>
      <c r="J924" s="34">
        <f t="shared" si="56"/>
        <v>2.1426630167685696E-4</v>
      </c>
      <c r="K924" s="34">
        <f t="shared" si="57"/>
        <v>2.1424334829223124E-4</v>
      </c>
      <c r="L924" s="34">
        <f t="shared" si="58"/>
        <v>0.99965980795692677</v>
      </c>
      <c r="M924" s="34">
        <f t="shared" si="59"/>
        <v>0.99944563749251691</v>
      </c>
    </row>
    <row r="925" spans="1:13" ht="69">
      <c r="A925" t="s">
        <v>164</v>
      </c>
      <c r="B925" t="s">
        <v>115</v>
      </c>
      <c r="C925" s="14" t="s">
        <v>291</v>
      </c>
      <c r="D925" t="s">
        <v>375</v>
      </c>
      <c r="E925" t="s">
        <v>392</v>
      </c>
      <c r="F925" s="20">
        <v>2048</v>
      </c>
      <c r="G925" s="20">
        <v>33</v>
      </c>
      <c r="H925" s="11">
        <v>1078.9161917508</v>
      </c>
      <c r="I925" s="10">
        <v>4626842.5883320402</v>
      </c>
      <c r="J925" s="34">
        <f t="shared" si="56"/>
        <v>2.331862757707833E-4</v>
      </c>
      <c r="K925" s="34">
        <f t="shared" si="57"/>
        <v>2.3315908996435208E-4</v>
      </c>
      <c r="L925" s="34">
        <f t="shared" si="58"/>
        <v>0.99944563749251691</v>
      </c>
      <c r="M925" s="34">
        <f t="shared" si="59"/>
        <v>0.99921260765721032</v>
      </c>
    </row>
    <row r="926" spans="1:13" ht="69">
      <c r="A926" t="s">
        <v>164</v>
      </c>
      <c r="B926" t="s">
        <v>115</v>
      </c>
      <c r="C926" s="14" t="s">
        <v>291</v>
      </c>
      <c r="D926" t="s">
        <v>375</v>
      </c>
      <c r="E926" t="s">
        <v>392</v>
      </c>
      <c r="F926" s="20">
        <v>2048</v>
      </c>
      <c r="G926" s="20">
        <v>34</v>
      </c>
      <c r="H926" s="11">
        <v>1159.4177750671399</v>
      </c>
      <c r="I926" s="10">
        <v>4692772.3708757898</v>
      </c>
      <c r="J926" s="34">
        <f t="shared" si="56"/>
        <v>2.4706456726149778E-4</v>
      </c>
      <c r="K926" s="34">
        <f t="shared" si="57"/>
        <v>2.4703404932469031E-4</v>
      </c>
      <c r="L926" s="34">
        <f t="shared" si="58"/>
        <v>0.99921260765721032</v>
      </c>
      <c r="M926" s="34">
        <f t="shared" si="59"/>
        <v>0.99896576812060445</v>
      </c>
    </row>
    <row r="927" spans="1:13" ht="69">
      <c r="A927" t="s">
        <v>164</v>
      </c>
      <c r="B927" t="s">
        <v>115</v>
      </c>
      <c r="C927" s="14" t="s">
        <v>291</v>
      </c>
      <c r="D927" t="s">
        <v>375</v>
      </c>
      <c r="E927" t="s">
        <v>392</v>
      </c>
      <c r="F927" s="20">
        <v>2048</v>
      </c>
      <c r="G927" s="20">
        <v>35</v>
      </c>
      <c r="H927" s="11">
        <v>1513.98697585677</v>
      </c>
      <c r="I927" s="10">
        <v>4759968.92251564</v>
      </c>
      <c r="J927" s="34">
        <f t="shared" si="56"/>
        <v>3.1806656734570209E-4</v>
      </c>
      <c r="K927" s="34">
        <f t="shared" si="57"/>
        <v>3.1801598953762333E-4</v>
      </c>
      <c r="L927" s="34">
        <f t="shared" si="58"/>
        <v>0.99896576812060445</v>
      </c>
      <c r="M927" s="34">
        <f t="shared" si="59"/>
        <v>0.99864808103334135</v>
      </c>
    </row>
    <row r="928" spans="1:13" ht="69">
      <c r="A928" t="s">
        <v>164</v>
      </c>
      <c r="B928" t="s">
        <v>115</v>
      </c>
      <c r="C928" s="14" t="s">
        <v>291</v>
      </c>
      <c r="D928" t="s">
        <v>375</v>
      </c>
      <c r="E928" t="s">
        <v>392</v>
      </c>
      <c r="F928" s="20">
        <v>2048</v>
      </c>
      <c r="G928" s="20">
        <v>36</v>
      </c>
      <c r="H928" s="11">
        <v>1800.19664795472</v>
      </c>
      <c r="I928" s="10">
        <v>4870739.3302875301</v>
      </c>
      <c r="J928" s="34">
        <f t="shared" si="56"/>
        <v>3.6959412645234919E-4</v>
      </c>
      <c r="K928" s="34">
        <f t="shared" si="57"/>
        <v>3.6952583495686309E-4</v>
      </c>
      <c r="L928" s="34">
        <f t="shared" si="58"/>
        <v>0.99864808103334135</v>
      </c>
      <c r="M928" s="34">
        <f t="shared" si="59"/>
        <v>0.99827905476736944</v>
      </c>
    </row>
    <row r="929" spans="1:13" ht="69">
      <c r="A929" t="s">
        <v>164</v>
      </c>
      <c r="B929" t="s">
        <v>115</v>
      </c>
      <c r="C929" s="14" t="s">
        <v>291</v>
      </c>
      <c r="D929" t="s">
        <v>375</v>
      </c>
      <c r="E929" t="s">
        <v>392</v>
      </c>
      <c r="F929" s="20">
        <v>2048</v>
      </c>
      <c r="G929" s="20">
        <v>37</v>
      </c>
      <c r="H929" s="11">
        <v>1916.8110716204901</v>
      </c>
      <c r="I929" s="10">
        <v>4841362.1621687897</v>
      </c>
      <c r="J929" s="34">
        <f t="shared" si="56"/>
        <v>3.9592391715678103E-4</v>
      </c>
      <c r="K929" s="34">
        <f t="shared" si="57"/>
        <v>3.9584554962557306E-4</v>
      </c>
      <c r="L929" s="34">
        <f t="shared" si="58"/>
        <v>0.99827905476736944</v>
      </c>
      <c r="M929" s="34">
        <f t="shared" si="59"/>
        <v>0.99788389044625536</v>
      </c>
    </row>
    <row r="930" spans="1:13" ht="69">
      <c r="A930" t="s">
        <v>164</v>
      </c>
      <c r="B930" t="s">
        <v>115</v>
      </c>
      <c r="C930" s="14" t="s">
        <v>291</v>
      </c>
      <c r="D930" t="s">
        <v>375</v>
      </c>
      <c r="E930" t="s">
        <v>392</v>
      </c>
      <c r="F930" s="20">
        <v>2048</v>
      </c>
      <c r="G930" s="20">
        <v>38</v>
      </c>
      <c r="H930" s="11">
        <v>2003.35072120409</v>
      </c>
      <c r="I930" s="10">
        <v>4706702.5146566201</v>
      </c>
      <c r="J930" s="34">
        <f t="shared" si="56"/>
        <v>4.2563784623431751E-4</v>
      </c>
      <c r="K930" s="34">
        <f t="shared" si="57"/>
        <v>4.2554727529686698E-4</v>
      </c>
      <c r="L930" s="34">
        <f t="shared" si="58"/>
        <v>0.99788389044625536</v>
      </c>
      <c r="M930" s="34">
        <f t="shared" si="59"/>
        <v>0.99745924367561334</v>
      </c>
    </row>
    <row r="931" spans="1:13" ht="69">
      <c r="A931" t="s">
        <v>164</v>
      </c>
      <c r="B931" t="s">
        <v>115</v>
      </c>
      <c r="C931" s="14" t="s">
        <v>291</v>
      </c>
      <c r="D931" t="s">
        <v>375</v>
      </c>
      <c r="E931" t="s">
        <v>392</v>
      </c>
      <c r="F931" s="20">
        <v>2048</v>
      </c>
      <c r="G931" s="20">
        <v>39</v>
      </c>
      <c r="H931" s="11">
        <v>2126.7823056345401</v>
      </c>
      <c r="I931" s="10">
        <v>4634219.1647397997</v>
      </c>
      <c r="J931" s="34">
        <f t="shared" si="56"/>
        <v>4.5893002251954431E-4</v>
      </c>
      <c r="K931" s="34">
        <f t="shared" si="57"/>
        <v>4.5882473024461135E-4</v>
      </c>
      <c r="L931" s="34">
        <f t="shared" si="58"/>
        <v>0.99745924367561334</v>
      </c>
      <c r="M931" s="34">
        <f t="shared" si="59"/>
        <v>0.9970015847072039</v>
      </c>
    </row>
    <row r="932" spans="1:13" ht="69">
      <c r="A932" t="s">
        <v>164</v>
      </c>
      <c r="B932" t="s">
        <v>115</v>
      </c>
      <c r="C932" s="14" t="s">
        <v>291</v>
      </c>
      <c r="D932" t="s">
        <v>375</v>
      </c>
      <c r="E932" t="s">
        <v>392</v>
      </c>
      <c r="F932" s="20">
        <v>2048</v>
      </c>
      <c r="G932" s="20">
        <v>40</v>
      </c>
      <c r="H932" s="11">
        <v>2814.8519479110901</v>
      </c>
      <c r="I932" s="10">
        <v>4589178.61252042</v>
      </c>
      <c r="J932" s="34">
        <f t="shared" si="56"/>
        <v>6.1336726799682067E-4</v>
      </c>
      <c r="K932" s="34">
        <f t="shared" si="57"/>
        <v>6.1317919674830357E-4</v>
      </c>
      <c r="L932" s="34">
        <f t="shared" si="58"/>
        <v>0.9970015847072039</v>
      </c>
      <c r="M932" s="34">
        <f t="shared" si="59"/>
        <v>0.99639024407633636</v>
      </c>
    </row>
    <row r="933" spans="1:13" ht="69">
      <c r="A933" t="s">
        <v>164</v>
      </c>
      <c r="B933" t="s">
        <v>115</v>
      </c>
      <c r="C933" s="14" t="s">
        <v>291</v>
      </c>
      <c r="D933" t="s">
        <v>375</v>
      </c>
      <c r="E933" t="s">
        <v>392</v>
      </c>
      <c r="F933" s="20">
        <v>2048</v>
      </c>
      <c r="G933" s="20">
        <v>41</v>
      </c>
      <c r="H933" s="11">
        <v>3196.2924073129102</v>
      </c>
      <c r="I933" s="10">
        <v>4610395.1012005396</v>
      </c>
      <c r="J933" s="34">
        <f t="shared" si="56"/>
        <v>6.9327949929510395E-4</v>
      </c>
      <c r="K933" s="34">
        <f t="shared" si="57"/>
        <v>6.9303923658925459E-4</v>
      </c>
      <c r="L933" s="34">
        <f t="shared" si="58"/>
        <v>0.99639024407633636</v>
      </c>
      <c r="M933" s="34">
        <f t="shared" si="59"/>
        <v>0.99569970654223672</v>
      </c>
    </row>
    <row r="934" spans="1:13" ht="69">
      <c r="A934" t="s">
        <v>164</v>
      </c>
      <c r="B934" t="s">
        <v>115</v>
      </c>
      <c r="C934" s="14" t="s">
        <v>291</v>
      </c>
      <c r="D934" t="s">
        <v>375</v>
      </c>
      <c r="E934" t="s">
        <v>392</v>
      </c>
      <c r="F934" s="20">
        <v>2048</v>
      </c>
      <c r="G934" s="20">
        <v>42</v>
      </c>
      <c r="H934" s="11">
        <v>3395.70417923885</v>
      </c>
      <c r="I934" s="10">
        <v>4524471.7272362597</v>
      </c>
      <c r="J934" s="34">
        <f t="shared" si="56"/>
        <v>7.5051948248400062E-4</v>
      </c>
      <c r="K934" s="34">
        <f t="shared" si="57"/>
        <v>7.5023791318273858E-4</v>
      </c>
      <c r="L934" s="34">
        <f t="shared" si="58"/>
        <v>0.99569970654223672</v>
      </c>
      <c r="M934" s="34">
        <f t="shared" si="59"/>
        <v>0.9949526948722438</v>
      </c>
    </row>
    <row r="935" spans="1:13" ht="69">
      <c r="A935" t="s">
        <v>164</v>
      </c>
      <c r="B935" t="s">
        <v>115</v>
      </c>
      <c r="C935" s="14" t="s">
        <v>291</v>
      </c>
      <c r="D935" t="s">
        <v>375</v>
      </c>
      <c r="E935" t="s">
        <v>392</v>
      </c>
      <c r="F935" s="20">
        <v>2048</v>
      </c>
      <c r="G935" s="20">
        <v>43</v>
      </c>
      <c r="H935" s="11">
        <v>3631.2705532892401</v>
      </c>
      <c r="I935" s="10">
        <v>4459679.4471689099</v>
      </c>
      <c r="J935" s="34">
        <f t="shared" si="56"/>
        <v>8.1424474478640843E-4</v>
      </c>
      <c r="K935" s="34">
        <f t="shared" si="57"/>
        <v>8.1391333748914718E-4</v>
      </c>
      <c r="L935" s="34">
        <f t="shared" si="58"/>
        <v>0.9949526948722438</v>
      </c>
      <c r="M935" s="34">
        <f t="shared" si="59"/>
        <v>0.99414288960371655</v>
      </c>
    </row>
    <row r="936" spans="1:13" ht="69">
      <c r="A936" t="s">
        <v>164</v>
      </c>
      <c r="B936" t="s">
        <v>115</v>
      </c>
      <c r="C936" s="14" t="s">
        <v>291</v>
      </c>
      <c r="D936" t="s">
        <v>375</v>
      </c>
      <c r="E936" t="s">
        <v>392</v>
      </c>
      <c r="F936" s="20">
        <v>2048</v>
      </c>
      <c r="G936" s="20">
        <v>44</v>
      </c>
      <c r="H936" s="11">
        <v>3841.94730628548</v>
      </c>
      <c r="I936" s="10">
        <v>4327872.8938776199</v>
      </c>
      <c r="J936" s="34">
        <f t="shared" si="56"/>
        <v>8.8772184407736427E-4</v>
      </c>
      <c r="K936" s="34">
        <f t="shared" si="57"/>
        <v>8.8732793561019374E-4</v>
      </c>
      <c r="L936" s="34">
        <f t="shared" si="58"/>
        <v>0.99414288960371655</v>
      </c>
      <c r="M936" s="34">
        <f t="shared" si="59"/>
        <v>0.99326075884578291</v>
      </c>
    </row>
    <row r="937" spans="1:13" ht="69">
      <c r="A937" t="s">
        <v>164</v>
      </c>
      <c r="B937" t="s">
        <v>115</v>
      </c>
      <c r="C937" s="14" t="s">
        <v>291</v>
      </c>
      <c r="D937" t="s">
        <v>375</v>
      </c>
      <c r="E937" t="s">
        <v>392</v>
      </c>
      <c r="F937" s="20">
        <v>2048</v>
      </c>
      <c r="G937" s="20">
        <v>45</v>
      </c>
      <c r="H937" s="11">
        <v>4847.6002033398599</v>
      </c>
      <c r="I937" s="10">
        <v>4257430.62210768</v>
      </c>
      <c r="J937" s="34">
        <f t="shared" si="56"/>
        <v>1.1386210683428616E-3</v>
      </c>
      <c r="K937" s="34">
        <f t="shared" si="57"/>
        <v>1.1379730853332548E-3</v>
      </c>
      <c r="L937" s="34">
        <f t="shared" si="58"/>
        <v>0.99326075884578291</v>
      </c>
      <c r="M937" s="34">
        <f t="shared" si="59"/>
        <v>0.99213045483549878</v>
      </c>
    </row>
    <row r="938" spans="1:13" ht="69">
      <c r="A938" t="s">
        <v>164</v>
      </c>
      <c r="B938" t="s">
        <v>115</v>
      </c>
      <c r="C938" s="14" t="s">
        <v>291</v>
      </c>
      <c r="D938" t="s">
        <v>375</v>
      </c>
      <c r="E938" t="s">
        <v>392</v>
      </c>
      <c r="F938" s="20">
        <v>2048</v>
      </c>
      <c r="G938" s="20">
        <v>46</v>
      </c>
      <c r="H938" s="11">
        <v>5447.7953563608899</v>
      </c>
      <c r="I938" s="10">
        <v>4226211.7773330398</v>
      </c>
      <c r="J938" s="34">
        <f t="shared" si="56"/>
        <v>1.2890493054748746E-3</v>
      </c>
      <c r="K938" s="34">
        <f t="shared" si="57"/>
        <v>1.2882188382949966E-3</v>
      </c>
      <c r="L938" s="34">
        <f t="shared" si="58"/>
        <v>0.99213045483549878</v>
      </c>
      <c r="M938" s="34">
        <f t="shared" si="59"/>
        <v>0.99085237369353352</v>
      </c>
    </row>
    <row r="939" spans="1:13" ht="69">
      <c r="A939" t="s">
        <v>164</v>
      </c>
      <c r="B939" t="s">
        <v>115</v>
      </c>
      <c r="C939" s="14" t="s">
        <v>291</v>
      </c>
      <c r="D939" t="s">
        <v>375</v>
      </c>
      <c r="E939" t="s">
        <v>392</v>
      </c>
      <c r="F939" s="20">
        <v>2048</v>
      </c>
      <c r="G939" s="20">
        <v>47</v>
      </c>
      <c r="H939" s="11">
        <v>5926.64203074747</v>
      </c>
      <c r="I939" s="10">
        <v>4198397.3519767402</v>
      </c>
      <c r="J939" s="34">
        <f t="shared" si="56"/>
        <v>1.411643904538244E-3</v>
      </c>
      <c r="K939" s="34">
        <f t="shared" si="57"/>
        <v>1.410648003955739E-3</v>
      </c>
      <c r="L939" s="34">
        <f t="shared" si="58"/>
        <v>0.99085237369353352</v>
      </c>
      <c r="M939" s="34">
        <f t="shared" si="59"/>
        <v>0.98945462977036791</v>
      </c>
    </row>
    <row r="940" spans="1:13" ht="69">
      <c r="A940" t="s">
        <v>164</v>
      </c>
      <c r="B940" t="s">
        <v>115</v>
      </c>
      <c r="C940" s="14" t="s">
        <v>291</v>
      </c>
      <c r="D940" t="s">
        <v>375</v>
      </c>
      <c r="E940" t="s">
        <v>392</v>
      </c>
      <c r="F940" s="20">
        <v>2048</v>
      </c>
      <c r="G940" s="20">
        <v>48</v>
      </c>
      <c r="H940" s="11">
        <v>6457.5438807111695</v>
      </c>
      <c r="I940" s="10">
        <v>4169346.1435930799</v>
      </c>
      <c r="J940" s="34">
        <f t="shared" si="56"/>
        <v>1.5488145283006306E-3</v>
      </c>
      <c r="K940" s="34">
        <f t="shared" si="57"/>
        <v>1.5476157340622576E-3</v>
      </c>
      <c r="L940" s="34">
        <f t="shared" si="58"/>
        <v>0.98945462977036791</v>
      </c>
      <c r="M940" s="34">
        <f t="shared" si="59"/>
        <v>0.98792333421719458</v>
      </c>
    </row>
    <row r="941" spans="1:13" ht="69">
      <c r="A941" t="s">
        <v>164</v>
      </c>
      <c r="B941" t="s">
        <v>115</v>
      </c>
      <c r="C941" s="14" t="s">
        <v>291</v>
      </c>
      <c r="D941" t="s">
        <v>375</v>
      </c>
      <c r="E941" t="s">
        <v>392</v>
      </c>
      <c r="F941" s="20">
        <v>2048</v>
      </c>
      <c r="G941" s="20">
        <v>49</v>
      </c>
      <c r="H941" s="11">
        <v>7119.15567249777</v>
      </c>
      <c r="I941" s="10">
        <v>4177437.6432211599</v>
      </c>
      <c r="J941" s="34">
        <f t="shared" si="56"/>
        <v>1.7041919665875119E-3</v>
      </c>
      <c r="K941" s="34">
        <f t="shared" si="57"/>
        <v>1.7027406560123914E-3</v>
      </c>
      <c r="L941" s="34">
        <f t="shared" si="58"/>
        <v>0.98792333421719458</v>
      </c>
      <c r="M941" s="34">
        <f t="shared" si="59"/>
        <v>0.98624115699099968</v>
      </c>
    </row>
    <row r="942" spans="1:13" ht="69">
      <c r="A942" t="s">
        <v>164</v>
      </c>
      <c r="B942" t="s">
        <v>115</v>
      </c>
      <c r="C942" s="14" t="s">
        <v>291</v>
      </c>
      <c r="D942" t="s">
        <v>375</v>
      </c>
      <c r="E942" t="s">
        <v>392</v>
      </c>
      <c r="F942" s="20">
        <v>2048</v>
      </c>
      <c r="G942" s="20">
        <v>50</v>
      </c>
      <c r="H942" s="11">
        <v>8219.8457726362703</v>
      </c>
      <c r="I942" s="10">
        <v>4221774.8664654996</v>
      </c>
      <c r="J942" s="34">
        <f t="shared" si="56"/>
        <v>1.9470118688536286E-3</v>
      </c>
      <c r="K942" s="34">
        <f t="shared" si="57"/>
        <v>1.9451176707864226E-3</v>
      </c>
      <c r="L942" s="34">
        <f t="shared" si="58"/>
        <v>0.98624115699099968</v>
      </c>
      <c r="M942" s="34">
        <f t="shared" si="59"/>
        <v>0.98432280188887966</v>
      </c>
    </row>
    <row r="943" spans="1:13" ht="69">
      <c r="A943" t="s">
        <v>164</v>
      </c>
      <c r="B943" t="s">
        <v>115</v>
      </c>
      <c r="C943" s="14" t="s">
        <v>291</v>
      </c>
      <c r="D943" t="s">
        <v>375</v>
      </c>
      <c r="E943" t="s">
        <v>392</v>
      </c>
      <c r="F943" s="20">
        <v>2048</v>
      </c>
      <c r="G943" s="20">
        <v>51</v>
      </c>
      <c r="H943" s="11">
        <v>9372.5284787332203</v>
      </c>
      <c r="I943" s="10">
        <v>4336262.41889589</v>
      </c>
      <c r="J943" s="34">
        <f t="shared" si="56"/>
        <v>2.1614301841814446E-3</v>
      </c>
      <c r="K943" s="34">
        <f t="shared" si="57"/>
        <v>2.1590959760063866E-3</v>
      </c>
      <c r="L943" s="34">
        <f t="shared" si="58"/>
        <v>0.98432280188887966</v>
      </c>
      <c r="M943" s="34">
        <f t="shared" si="59"/>
        <v>0.9821975544882301</v>
      </c>
    </row>
    <row r="944" spans="1:13" ht="69">
      <c r="A944" t="s">
        <v>164</v>
      </c>
      <c r="B944" t="s">
        <v>115</v>
      </c>
      <c r="C944" s="14" t="s">
        <v>291</v>
      </c>
      <c r="D944" t="s">
        <v>375</v>
      </c>
      <c r="E944" t="s">
        <v>392</v>
      </c>
      <c r="F944" s="20">
        <v>2048</v>
      </c>
      <c r="G944" s="20">
        <v>52</v>
      </c>
      <c r="H944" s="11">
        <v>10111.9197563454</v>
      </c>
      <c r="I944" s="10">
        <v>4278323.0974465404</v>
      </c>
      <c r="J944" s="34">
        <f t="shared" si="56"/>
        <v>2.3635241018567679E-3</v>
      </c>
      <c r="K944" s="34">
        <f t="shared" si="57"/>
        <v>2.3607331780050034E-3</v>
      </c>
      <c r="L944" s="34">
        <f t="shared" si="58"/>
        <v>0.9821975544882301</v>
      </c>
      <c r="M944" s="34">
        <f t="shared" si="59"/>
        <v>0.9798788481339944</v>
      </c>
    </row>
    <row r="945" spans="1:13" ht="69">
      <c r="A945" t="s">
        <v>164</v>
      </c>
      <c r="B945" t="s">
        <v>115</v>
      </c>
      <c r="C945" s="14" t="s">
        <v>291</v>
      </c>
      <c r="D945" t="s">
        <v>375</v>
      </c>
      <c r="E945" t="s">
        <v>392</v>
      </c>
      <c r="F945" s="20">
        <v>2048</v>
      </c>
      <c r="G945" s="20">
        <v>53</v>
      </c>
      <c r="H945" s="11">
        <v>10803.451475403001</v>
      </c>
      <c r="I945" s="10">
        <v>4190380.0700191702</v>
      </c>
      <c r="J945" s="34">
        <f t="shared" si="56"/>
        <v>2.5781555121212611E-3</v>
      </c>
      <c r="K945" s="34">
        <f t="shared" si="57"/>
        <v>2.5748349234765433E-3</v>
      </c>
      <c r="L945" s="34">
        <f t="shared" si="58"/>
        <v>0.9798788481339944</v>
      </c>
      <c r="M945" s="34">
        <f t="shared" si="59"/>
        <v>0.97735582185504299</v>
      </c>
    </row>
    <row r="946" spans="1:13" ht="69">
      <c r="A946" t="s">
        <v>164</v>
      </c>
      <c r="B946" t="s">
        <v>115</v>
      </c>
      <c r="C946" s="14" t="s">
        <v>291</v>
      </c>
      <c r="D946" t="s">
        <v>375</v>
      </c>
      <c r="E946" t="s">
        <v>392</v>
      </c>
      <c r="F946" s="20">
        <v>2048</v>
      </c>
      <c r="G946" s="20">
        <v>54</v>
      </c>
      <c r="H946" s="11">
        <v>11567.0958999664</v>
      </c>
      <c r="I946" s="10">
        <v>4115999.9604304</v>
      </c>
      <c r="J946" s="34">
        <f t="shared" si="56"/>
        <v>2.8102759988260198E-3</v>
      </c>
      <c r="K946" s="34">
        <f t="shared" si="57"/>
        <v>2.8063308697303668E-3</v>
      </c>
      <c r="L946" s="34">
        <f t="shared" si="58"/>
        <v>0.97735582185504299</v>
      </c>
      <c r="M946" s="34">
        <f t="shared" si="59"/>
        <v>0.97461303804146049</v>
      </c>
    </row>
    <row r="947" spans="1:13" ht="69">
      <c r="A947" t="s">
        <v>164</v>
      </c>
      <c r="B947" t="s">
        <v>115</v>
      </c>
      <c r="C947" s="14" t="s">
        <v>291</v>
      </c>
      <c r="D947" t="s">
        <v>375</v>
      </c>
      <c r="E947" t="s">
        <v>392</v>
      </c>
      <c r="F947" s="20">
        <v>2048</v>
      </c>
      <c r="G947" s="20">
        <v>55</v>
      </c>
      <c r="H947" s="11">
        <v>12138.052072651601</v>
      </c>
      <c r="I947" s="10">
        <v>4043615.1809109901</v>
      </c>
      <c r="J947" s="34">
        <f t="shared" si="56"/>
        <v>3.0017821997386524E-3</v>
      </c>
      <c r="K947" s="34">
        <f t="shared" si="57"/>
        <v>2.9972813561950362E-3</v>
      </c>
      <c r="L947" s="34">
        <f t="shared" si="58"/>
        <v>0.97461303804146049</v>
      </c>
      <c r="M947" s="34">
        <f t="shared" si="59"/>
        <v>0.97169184855303425</v>
      </c>
    </row>
    <row r="948" spans="1:13" ht="69">
      <c r="A948" t="s">
        <v>164</v>
      </c>
      <c r="B948" t="s">
        <v>115</v>
      </c>
      <c r="C948" s="14" t="s">
        <v>291</v>
      </c>
      <c r="D948" t="s">
        <v>375</v>
      </c>
      <c r="E948" t="s">
        <v>392</v>
      </c>
      <c r="F948" s="20">
        <v>2048</v>
      </c>
      <c r="G948" s="20">
        <v>56</v>
      </c>
      <c r="H948" s="11">
        <v>13118.4581783292</v>
      </c>
      <c r="I948" s="10">
        <v>4055047.0405760198</v>
      </c>
      <c r="J948" s="34">
        <f t="shared" si="56"/>
        <v>3.2350939574959212E-3</v>
      </c>
      <c r="K948" s="34">
        <f t="shared" si="57"/>
        <v>3.229866679470228E-3</v>
      </c>
      <c r="L948" s="34">
        <f t="shared" si="58"/>
        <v>0.97169184855303425</v>
      </c>
      <c r="M948" s="34">
        <f t="shared" si="59"/>
        <v>0.96855341342867995</v>
      </c>
    </row>
    <row r="949" spans="1:13" ht="69">
      <c r="A949" t="s">
        <v>164</v>
      </c>
      <c r="B949" t="s">
        <v>115</v>
      </c>
      <c r="C949" s="14" t="s">
        <v>291</v>
      </c>
      <c r="D949" t="s">
        <v>375</v>
      </c>
      <c r="E949" t="s">
        <v>392</v>
      </c>
      <c r="F949" s="20">
        <v>2048</v>
      </c>
      <c r="G949" s="20">
        <v>57</v>
      </c>
      <c r="H949" s="11">
        <v>14268.6151966872</v>
      </c>
      <c r="I949" s="10">
        <v>4045584.61938792</v>
      </c>
      <c r="J949" s="34">
        <f t="shared" si="56"/>
        <v>3.5269600166825781E-3</v>
      </c>
      <c r="K949" s="34">
        <f t="shared" si="57"/>
        <v>3.5207475989986747E-3</v>
      </c>
      <c r="L949" s="34">
        <f t="shared" si="58"/>
        <v>0.96855341342867995</v>
      </c>
      <c r="M949" s="34">
        <f t="shared" si="59"/>
        <v>0.96514338132384891</v>
      </c>
    </row>
    <row r="950" spans="1:13" ht="69">
      <c r="A950" t="s">
        <v>164</v>
      </c>
      <c r="B950" t="s">
        <v>115</v>
      </c>
      <c r="C950" s="14" t="s">
        <v>291</v>
      </c>
      <c r="D950" t="s">
        <v>375</v>
      </c>
      <c r="E950" t="s">
        <v>392</v>
      </c>
      <c r="F950" s="20">
        <v>2048</v>
      </c>
      <c r="G950" s="20">
        <v>58</v>
      </c>
      <c r="H950" s="11">
        <v>20836.708711719799</v>
      </c>
      <c r="I950" s="10">
        <v>5947635.5121510699</v>
      </c>
      <c r="J950" s="34">
        <f t="shared" si="56"/>
        <v>3.5033600611789721E-3</v>
      </c>
      <c r="K950" s="34">
        <f t="shared" si="57"/>
        <v>3.4972304554810041E-3</v>
      </c>
      <c r="L950" s="34">
        <f t="shared" si="58"/>
        <v>0.96514338132384891</v>
      </c>
      <c r="M950" s="34">
        <f t="shared" si="59"/>
        <v>0.96176805249677721</v>
      </c>
    </row>
    <row r="951" spans="1:13" ht="69">
      <c r="A951" t="s">
        <v>164</v>
      </c>
      <c r="B951" t="s">
        <v>115</v>
      </c>
      <c r="C951" s="14" t="s">
        <v>291</v>
      </c>
      <c r="D951" t="s">
        <v>375</v>
      </c>
      <c r="E951" t="s">
        <v>392</v>
      </c>
      <c r="F951" s="20">
        <v>2048</v>
      </c>
      <c r="G951" s="20">
        <v>59</v>
      </c>
      <c r="H951" s="11">
        <v>16661.396714567501</v>
      </c>
      <c r="I951" s="10">
        <v>3948195.6205837801</v>
      </c>
      <c r="J951" s="34">
        <f t="shared" si="56"/>
        <v>4.2200028356507695E-3</v>
      </c>
      <c r="K951" s="34">
        <f t="shared" si="57"/>
        <v>4.2111111357479025E-3</v>
      </c>
      <c r="L951" s="34">
        <f t="shared" si="58"/>
        <v>0.96176805249677721</v>
      </c>
      <c r="M951" s="34">
        <f t="shared" si="59"/>
        <v>0.95771794034090141</v>
      </c>
    </row>
    <row r="952" spans="1:13" ht="69">
      <c r="A952" t="s">
        <v>164</v>
      </c>
      <c r="B952" t="s">
        <v>115</v>
      </c>
      <c r="C952" s="14" t="s">
        <v>291</v>
      </c>
      <c r="D952" t="s">
        <v>375</v>
      </c>
      <c r="E952" t="s">
        <v>392</v>
      </c>
      <c r="F952" s="20">
        <v>2048</v>
      </c>
      <c r="G952" s="20">
        <v>60</v>
      </c>
      <c r="H952" s="11">
        <v>17773.937020982699</v>
      </c>
      <c r="I952" s="10">
        <v>3899423.5092021399</v>
      </c>
      <c r="J952" s="34">
        <f t="shared" si="56"/>
        <v>4.5580935179363015E-3</v>
      </c>
      <c r="K952" s="34">
        <f t="shared" si="57"/>
        <v>4.5477211750311053E-3</v>
      </c>
      <c r="L952" s="34">
        <f t="shared" si="58"/>
        <v>0.95771794034090141</v>
      </c>
      <c r="M952" s="34">
        <f t="shared" si="59"/>
        <v>0.95336250618390594</v>
      </c>
    </row>
    <row r="953" spans="1:13" ht="69">
      <c r="A953" t="s">
        <v>164</v>
      </c>
      <c r="B953" t="s">
        <v>115</v>
      </c>
      <c r="C953" s="14" t="s">
        <v>291</v>
      </c>
      <c r="D953" t="s">
        <v>375</v>
      </c>
      <c r="E953" t="s">
        <v>392</v>
      </c>
      <c r="F953" s="20">
        <v>2048</v>
      </c>
      <c r="G953" s="20">
        <v>61</v>
      </c>
      <c r="H953" s="11">
        <v>18608.498864306999</v>
      </c>
      <c r="I953" s="10">
        <v>3744310.9134573801</v>
      </c>
      <c r="J953" s="34">
        <f t="shared" si="56"/>
        <v>4.9698060055393452E-3</v>
      </c>
      <c r="K953" s="34">
        <f t="shared" si="57"/>
        <v>4.9574769524629581E-3</v>
      </c>
      <c r="L953" s="34">
        <f t="shared" si="58"/>
        <v>0.95336250618390594</v>
      </c>
      <c r="M953" s="34">
        <f t="shared" si="59"/>
        <v>0.94863623353215687</v>
      </c>
    </row>
    <row r="954" spans="1:13" ht="69">
      <c r="A954" t="s">
        <v>164</v>
      </c>
      <c r="B954" t="s">
        <v>115</v>
      </c>
      <c r="C954" s="14" t="s">
        <v>291</v>
      </c>
      <c r="D954" t="s">
        <v>375</v>
      </c>
      <c r="E954" t="s">
        <v>392</v>
      </c>
      <c r="F954" s="20">
        <v>2048</v>
      </c>
      <c r="G954" s="20">
        <v>62</v>
      </c>
      <c r="H954" s="11">
        <v>20065.374522539802</v>
      </c>
      <c r="I954" s="10">
        <v>3675081.5247920002</v>
      </c>
      <c r="J954" s="34">
        <f t="shared" si="56"/>
        <v>5.4598447373695874E-3</v>
      </c>
      <c r="K954" s="34">
        <f t="shared" si="57"/>
        <v>5.4449668743473678E-3</v>
      </c>
      <c r="L954" s="34">
        <f t="shared" si="58"/>
        <v>0.94863623353215687</v>
      </c>
      <c r="M954" s="34">
        <f t="shared" si="59"/>
        <v>0.94347094066476866</v>
      </c>
    </row>
    <row r="955" spans="1:13" ht="69">
      <c r="A955" t="s">
        <v>164</v>
      </c>
      <c r="B955" t="s">
        <v>115</v>
      </c>
      <c r="C955" s="14" t="s">
        <v>291</v>
      </c>
      <c r="D955" t="s">
        <v>375</v>
      </c>
      <c r="E955" t="s">
        <v>392</v>
      </c>
      <c r="F955" s="20">
        <v>2048</v>
      </c>
      <c r="G955" s="20">
        <v>63</v>
      </c>
      <c r="H955" s="11">
        <v>22102.545395384601</v>
      </c>
      <c r="I955" s="10">
        <v>3684895.1526672598</v>
      </c>
      <c r="J955" s="34">
        <f t="shared" si="56"/>
        <v>5.9981477028962366E-3</v>
      </c>
      <c r="K955" s="34">
        <f t="shared" si="57"/>
        <v>5.9801947277635659E-3</v>
      </c>
      <c r="L955" s="34">
        <f t="shared" si="58"/>
        <v>0.94347094066476866</v>
      </c>
      <c r="M955" s="34">
        <f t="shared" si="59"/>
        <v>0.93782880071960706</v>
      </c>
    </row>
    <row r="956" spans="1:13" ht="69">
      <c r="A956" t="s">
        <v>164</v>
      </c>
      <c r="B956" t="s">
        <v>115</v>
      </c>
      <c r="C956" s="14" t="s">
        <v>291</v>
      </c>
      <c r="D956" t="s">
        <v>375</v>
      </c>
      <c r="E956" t="s">
        <v>392</v>
      </c>
      <c r="F956" s="20">
        <v>2048</v>
      </c>
      <c r="G956" s="20">
        <v>64</v>
      </c>
      <c r="H956" s="11">
        <v>24464.7037752377</v>
      </c>
      <c r="I956" s="10">
        <v>3711487.2603494702</v>
      </c>
      <c r="J956" s="34">
        <f t="shared" si="56"/>
        <v>6.5916173380409573E-3</v>
      </c>
      <c r="K956" s="34">
        <f t="shared" si="57"/>
        <v>6.5699402835758258E-3</v>
      </c>
      <c r="L956" s="34">
        <f t="shared" si="58"/>
        <v>0.93782880071960706</v>
      </c>
      <c r="M956" s="34">
        <f t="shared" si="59"/>
        <v>0.93166732150266174</v>
      </c>
    </row>
    <row r="957" spans="1:13" ht="69">
      <c r="A957" t="s">
        <v>164</v>
      </c>
      <c r="B957" t="s">
        <v>115</v>
      </c>
      <c r="C957" s="14" t="s">
        <v>291</v>
      </c>
      <c r="D957" t="s">
        <v>375</v>
      </c>
      <c r="E957" t="s">
        <v>392</v>
      </c>
      <c r="F957" s="20">
        <v>2048</v>
      </c>
      <c r="G957" s="20">
        <v>65</v>
      </c>
      <c r="H957" s="11">
        <v>25058.6475633222</v>
      </c>
      <c r="I957" s="10">
        <v>3639361.1595156002</v>
      </c>
      <c r="J957" s="34">
        <f t="shared" si="56"/>
        <v>6.8854522716996604E-3</v>
      </c>
      <c r="K957" s="34">
        <f t="shared" si="57"/>
        <v>6.8618018576042106E-3</v>
      </c>
      <c r="L957" s="34">
        <f t="shared" si="58"/>
        <v>0.93166732150266174</v>
      </c>
      <c r="M957" s="34">
        <f t="shared" si="59"/>
        <v>0.92527440494530566</v>
      </c>
    </row>
    <row r="958" spans="1:13" ht="69">
      <c r="A958" t="s">
        <v>164</v>
      </c>
      <c r="B958" t="s">
        <v>115</v>
      </c>
      <c r="C958" s="14" t="s">
        <v>291</v>
      </c>
      <c r="D958" t="s">
        <v>375</v>
      </c>
      <c r="E958" t="s">
        <v>392</v>
      </c>
      <c r="F958" s="20">
        <v>2048</v>
      </c>
      <c r="G958" s="20">
        <v>66</v>
      </c>
      <c r="H958" s="11">
        <v>26107.605296427799</v>
      </c>
      <c r="I958" s="10">
        <v>3469470.3041187902</v>
      </c>
      <c r="J958" s="34">
        <f t="shared" si="56"/>
        <v>7.5249542460225386E-3</v>
      </c>
      <c r="K958" s="34">
        <f t="shared" si="57"/>
        <v>7.4967126610976376E-3</v>
      </c>
      <c r="L958" s="34">
        <f t="shared" si="58"/>
        <v>0.92527440494530566</v>
      </c>
      <c r="M958" s="34">
        <f t="shared" si="59"/>
        <v>0.91833788859876264</v>
      </c>
    </row>
    <row r="959" spans="1:13" ht="69">
      <c r="A959" t="s">
        <v>164</v>
      </c>
      <c r="B959" t="s">
        <v>115</v>
      </c>
      <c r="C959" s="14" t="s">
        <v>291</v>
      </c>
      <c r="D959" t="s">
        <v>375</v>
      </c>
      <c r="E959" t="s">
        <v>392</v>
      </c>
      <c r="F959" s="20">
        <v>2048</v>
      </c>
      <c r="G959" s="20">
        <v>67</v>
      </c>
      <c r="H959" s="11">
        <v>27707.589886508598</v>
      </c>
      <c r="I959" s="10">
        <v>3350223.5098289498</v>
      </c>
      <c r="J959" s="34">
        <f t="shared" si="56"/>
        <v>8.2703705604176975E-3</v>
      </c>
      <c r="K959" s="34">
        <f t="shared" si="57"/>
        <v>8.2362651320881941E-3</v>
      </c>
      <c r="L959" s="34">
        <f t="shared" si="58"/>
        <v>0.91833788859876264</v>
      </c>
      <c r="M959" s="34">
        <f t="shared" si="59"/>
        <v>0.91077421426742111</v>
      </c>
    </row>
    <row r="960" spans="1:13" ht="69">
      <c r="A960" t="s">
        <v>164</v>
      </c>
      <c r="B960" t="s">
        <v>115</v>
      </c>
      <c r="C960" s="14" t="s">
        <v>291</v>
      </c>
      <c r="D960" t="s">
        <v>375</v>
      </c>
      <c r="E960" t="s">
        <v>392</v>
      </c>
      <c r="F960" s="20">
        <v>2048</v>
      </c>
      <c r="G960" s="20">
        <v>68</v>
      </c>
      <c r="H960" s="11">
        <v>29480.913319746702</v>
      </c>
      <c r="I960" s="10">
        <v>3241394.5120635098</v>
      </c>
      <c r="J960" s="34">
        <f t="shared" si="56"/>
        <v>9.0951327306896708E-3</v>
      </c>
      <c r="K960" s="34">
        <f t="shared" si="57"/>
        <v>9.053897120140042E-3</v>
      </c>
      <c r="L960" s="34">
        <f t="shared" si="58"/>
        <v>0.91077421426742111</v>
      </c>
      <c r="M960" s="34">
        <f t="shared" si="59"/>
        <v>0.90252815823176746</v>
      </c>
    </row>
    <row r="961" spans="1:13" ht="69">
      <c r="A961" t="s">
        <v>164</v>
      </c>
      <c r="B961" t="s">
        <v>115</v>
      </c>
      <c r="C961" s="14" t="s">
        <v>291</v>
      </c>
      <c r="D961" t="s">
        <v>375</v>
      </c>
      <c r="E961" t="s">
        <v>392</v>
      </c>
      <c r="F961" s="20">
        <v>2048</v>
      </c>
      <c r="G961" s="20">
        <v>69</v>
      </c>
      <c r="H961" s="11">
        <v>31312.445080258702</v>
      </c>
      <c r="I961" s="10">
        <v>3125325.1433706102</v>
      </c>
      <c r="J961" s="34">
        <f t="shared" si="56"/>
        <v>1.0018939996268279E-2</v>
      </c>
      <c r="K961" s="34">
        <f t="shared" si="57"/>
        <v>9.9689176134126756E-3</v>
      </c>
      <c r="L961" s="34">
        <f t="shared" si="58"/>
        <v>0.90252815823176746</v>
      </c>
      <c r="M961" s="34">
        <f t="shared" si="59"/>
        <v>0.89353092937856993</v>
      </c>
    </row>
    <row r="962" spans="1:13" ht="69">
      <c r="A962" t="s">
        <v>164</v>
      </c>
      <c r="B962" t="s">
        <v>115</v>
      </c>
      <c r="C962" s="14" t="s">
        <v>291</v>
      </c>
      <c r="D962" t="s">
        <v>375</v>
      </c>
      <c r="E962" t="s">
        <v>392</v>
      </c>
      <c r="F962" s="20">
        <v>2049</v>
      </c>
      <c r="G962" s="20">
        <v>30</v>
      </c>
      <c r="H962" s="11">
        <v>611.45880144643502</v>
      </c>
      <c r="I962" s="10">
        <v>4266599.0681576002</v>
      </c>
      <c r="J962" s="34">
        <f t="shared" ref="J962:J1025" si="60">IF(I962&gt;0,H962/I962,0)</f>
        <v>1.4331292715311886E-4</v>
      </c>
      <c r="K962" s="34">
        <f t="shared" ref="K962:K1025" si="61">1-EXP(-J962)</f>
        <v>1.4330265834616718E-4</v>
      </c>
      <c r="L962" s="34">
        <f t="shared" ref="L962:L1025" si="62">IF(G962=30,1,M961)</f>
        <v>1</v>
      </c>
      <c r="M962" s="34">
        <f t="shared" ref="M962:M1025" si="63">L962*(1-K962)</f>
        <v>0.99985669734165383</v>
      </c>
    </row>
    <row r="963" spans="1:13" ht="69">
      <c r="A963" t="s">
        <v>164</v>
      </c>
      <c r="B963" t="s">
        <v>115</v>
      </c>
      <c r="C963" s="14" t="s">
        <v>291</v>
      </c>
      <c r="D963" t="s">
        <v>375</v>
      </c>
      <c r="E963" t="s">
        <v>392</v>
      </c>
      <c r="F963" s="20">
        <v>2049</v>
      </c>
      <c r="G963" s="20">
        <v>31</v>
      </c>
      <c r="H963" s="11">
        <v>842.15240753647902</v>
      </c>
      <c r="I963" s="10">
        <v>4270709.2452083603</v>
      </c>
      <c r="J963" s="34">
        <f t="shared" si="60"/>
        <v>1.9719263456798307E-4</v>
      </c>
      <c r="K963" s="34">
        <f t="shared" si="61"/>
        <v>1.971731933783083E-4</v>
      </c>
      <c r="L963" s="34">
        <f t="shared" si="62"/>
        <v>0.99985669734165383</v>
      </c>
      <c r="M963" s="34">
        <f t="shared" si="63"/>
        <v>0.99965955240371829</v>
      </c>
    </row>
    <row r="964" spans="1:13" ht="69">
      <c r="A964" t="s">
        <v>164</v>
      </c>
      <c r="B964" t="s">
        <v>115</v>
      </c>
      <c r="C964" s="14" t="s">
        <v>291</v>
      </c>
      <c r="D964" t="s">
        <v>375</v>
      </c>
      <c r="E964" t="s">
        <v>392</v>
      </c>
      <c r="F964" s="20">
        <v>2049</v>
      </c>
      <c r="G964" s="20">
        <v>32</v>
      </c>
      <c r="H964" s="11">
        <v>892.07837301421296</v>
      </c>
      <c r="I964" s="10">
        <v>4311262.7451535203</v>
      </c>
      <c r="J964" s="34">
        <f t="shared" si="60"/>
        <v>2.069181179034002E-4</v>
      </c>
      <c r="K964" s="34">
        <f t="shared" si="61"/>
        <v>2.0689671182605451E-4</v>
      </c>
      <c r="L964" s="34">
        <f t="shared" si="62"/>
        <v>0.99965955240371829</v>
      </c>
      <c r="M964" s="34">
        <f t="shared" si="63"/>
        <v>0.99945272612938041</v>
      </c>
    </row>
    <row r="965" spans="1:13" ht="69">
      <c r="A965" t="s">
        <v>164</v>
      </c>
      <c r="B965" t="s">
        <v>115</v>
      </c>
      <c r="C965" s="14" t="s">
        <v>291</v>
      </c>
      <c r="D965" t="s">
        <v>375</v>
      </c>
      <c r="E965" t="s">
        <v>392</v>
      </c>
      <c r="F965" s="20">
        <v>2049</v>
      </c>
      <c r="G965" s="20">
        <v>33</v>
      </c>
      <c r="H965" s="11">
        <v>1033.4114839569199</v>
      </c>
      <c r="I965" s="10">
        <v>4573255.5184099199</v>
      </c>
      <c r="J965" s="34">
        <f t="shared" si="60"/>
        <v>2.25968455030964E-4</v>
      </c>
      <c r="K965" s="34">
        <f t="shared" si="61"/>
        <v>2.2594292608257849E-4</v>
      </c>
      <c r="L965" s="34">
        <f t="shared" si="62"/>
        <v>0.99945272612938041</v>
      </c>
      <c r="M965" s="34">
        <f t="shared" si="63"/>
        <v>0.9992269068559575</v>
      </c>
    </row>
    <row r="966" spans="1:13" ht="69">
      <c r="A966" t="s">
        <v>164</v>
      </c>
      <c r="B966" t="s">
        <v>115</v>
      </c>
      <c r="C966" s="14" t="s">
        <v>291</v>
      </c>
      <c r="D966" t="s">
        <v>375</v>
      </c>
      <c r="E966" t="s">
        <v>392</v>
      </c>
      <c r="F966" s="20">
        <v>2049</v>
      </c>
      <c r="G966" s="20">
        <v>34</v>
      </c>
      <c r="H966" s="11">
        <v>1141.6081276899699</v>
      </c>
      <c r="I966" s="10">
        <v>4621441.3537093</v>
      </c>
      <c r="J966" s="34">
        <f t="shared" si="60"/>
        <v>2.4702425938472267E-4</v>
      </c>
      <c r="K966" s="34">
        <f t="shared" si="61"/>
        <v>2.4699375140446733E-4</v>
      </c>
      <c r="L966" s="34">
        <f t="shared" si="62"/>
        <v>0.9992269068559575</v>
      </c>
      <c r="M966" s="34">
        <f t="shared" si="63"/>
        <v>0.99898010405372883</v>
      </c>
    </row>
    <row r="967" spans="1:13" ht="69">
      <c r="A967" t="s">
        <v>164</v>
      </c>
      <c r="B967" t="s">
        <v>115</v>
      </c>
      <c r="C967" s="14" t="s">
        <v>291</v>
      </c>
      <c r="D967" t="s">
        <v>375</v>
      </c>
      <c r="E967" t="s">
        <v>392</v>
      </c>
      <c r="F967" s="20">
        <v>2049</v>
      </c>
      <c r="G967" s="20">
        <v>35</v>
      </c>
      <c r="H967" s="11">
        <v>1486.8212331613599</v>
      </c>
      <c r="I967" s="10">
        <v>4687018.8963883398</v>
      </c>
      <c r="J967" s="34">
        <f t="shared" si="60"/>
        <v>3.1722108786611777E-4</v>
      </c>
      <c r="K967" s="34">
        <f t="shared" si="61"/>
        <v>3.1717077857673637E-4</v>
      </c>
      <c r="L967" s="34">
        <f t="shared" si="62"/>
        <v>0.99898010405372883</v>
      </c>
      <c r="M967" s="34">
        <f t="shared" si="63"/>
        <v>0.99866325675634349</v>
      </c>
    </row>
    <row r="968" spans="1:13" ht="69">
      <c r="A968" t="s">
        <v>164</v>
      </c>
      <c r="B968" t="s">
        <v>115</v>
      </c>
      <c r="C968" s="14" t="s">
        <v>291</v>
      </c>
      <c r="D968" t="s">
        <v>375</v>
      </c>
      <c r="E968" t="s">
        <v>392</v>
      </c>
      <c r="F968" s="20">
        <v>2049</v>
      </c>
      <c r="G968" s="20">
        <v>36</v>
      </c>
      <c r="H968" s="11">
        <v>1704.04679677582</v>
      </c>
      <c r="I968" s="10">
        <v>4753512.8973000301</v>
      </c>
      <c r="J968" s="34">
        <f t="shared" si="60"/>
        <v>3.5848157638190261E-4</v>
      </c>
      <c r="K968" s="34">
        <f t="shared" si="61"/>
        <v>3.5841732953889593E-4</v>
      </c>
      <c r="L968" s="34">
        <f t="shared" si="62"/>
        <v>0.99866325675634349</v>
      </c>
      <c r="M968" s="34">
        <f t="shared" si="63"/>
        <v>0.99830531853874827</v>
      </c>
    </row>
    <row r="969" spans="1:13" ht="69">
      <c r="A969" t="s">
        <v>164</v>
      </c>
      <c r="B969" t="s">
        <v>115</v>
      </c>
      <c r="C969" s="14" t="s">
        <v>291</v>
      </c>
      <c r="D969" t="s">
        <v>375</v>
      </c>
      <c r="E969" t="s">
        <v>392</v>
      </c>
      <c r="F969" s="20">
        <v>2049</v>
      </c>
      <c r="G969" s="20">
        <v>37</v>
      </c>
      <c r="H969" s="11">
        <v>1919.26517948219</v>
      </c>
      <c r="I969" s="10">
        <v>4863991.7801560704</v>
      </c>
      <c r="J969" s="34">
        <f t="shared" si="60"/>
        <v>3.945864356334514E-4</v>
      </c>
      <c r="K969" s="34">
        <f t="shared" si="61"/>
        <v>3.9450859664424964E-4</v>
      </c>
      <c r="L969" s="34">
        <f t="shared" si="62"/>
        <v>0.99830531853874827</v>
      </c>
      <c r="M969" s="34">
        <f t="shared" si="63"/>
        <v>0.99791147850850903</v>
      </c>
    </row>
    <row r="970" spans="1:13" ht="69">
      <c r="A970" t="s">
        <v>164</v>
      </c>
      <c r="B970" t="s">
        <v>115</v>
      </c>
      <c r="C970" s="14" t="s">
        <v>291</v>
      </c>
      <c r="D970" t="s">
        <v>375</v>
      </c>
      <c r="E970" t="s">
        <v>392</v>
      </c>
      <c r="F970" s="20">
        <v>2049</v>
      </c>
      <c r="G970" s="20">
        <v>38</v>
      </c>
      <c r="H970" s="11">
        <v>2050.4484356723701</v>
      </c>
      <c r="I970" s="10">
        <v>4834214.1246234505</v>
      </c>
      <c r="J970" s="34">
        <f t="shared" si="60"/>
        <v>4.241534162146955E-4</v>
      </c>
      <c r="K970" s="34">
        <f t="shared" si="61"/>
        <v>4.2406347587109483E-4</v>
      </c>
      <c r="L970" s="34">
        <f t="shared" si="62"/>
        <v>0.99791147850850903</v>
      </c>
      <c r="M970" s="34">
        <f t="shared" si="63"/>
        <v>0.99748830069832106</v>
      </c>
    </row>
    <row r="971" spans="1:13" ht="69">
      <c r="A971" t="s">
        <v>164</v>
      </c>
      <c r="B971" t="s">
        <v>115</v>
      </c>
      <c r="C971" s="14" t="s">
        <v>291</v>
      </c>
      <c r="D971" t="s">
        <v>375</v>
      </c>
      <c r="E971" t="s">
        <v>392</v>
      </c>
      <c r="F971" s="20">
        <v>2049</v>
      </c>
      <c r="G971" s="20">
        <v>39</v>
      </c>
      <c r="H971" s="11">
        <v>2148.8055834146298</v>
      </c>
      <c r="I971" s="10">
        <v>4699266.8906000899</v>
      </c>
      <c r="J971" s="34">
        <f t="shared" si="60"/>
        <v>4.5726400169202356E-4</v>
      </c>
      <c r="K971" s="34">
        <f t="shared" si="61"/>
        <v>4.5715947244151511E-4</v>
      </c>
      <c r="L971" s="34">
        <f t="shared" si="62"/>
        <v>0.99748830069832106</v>
      </c>
      <c r="M971" s="34">
        <f t="shared" si="63"/>
        <v>0.99703228947300726</v>
      </c>
    </row>
    <row r="972" spans="1:13" ht="69">
      <c r="A972" t="s">
        <v>164</v>
      </c>
      <c r="B972" t="s">
        <v>115</v>
      </c>
      <c r="C972" s="14" t="s">
        <v>291</v>
      </c>
      <c r="D972" t="s">
        <v>375</v>
      </c>
      <c r="E972" t="s">
        <v>392</v>
      </c>
      <c r="F972" s="20">
        <v>2049</v>
      </c>
      <c r="G972" s="20">
        <v>40</v>
      </c>
      <c r="H972" s="11">
        <v>2824.8537044378099</v>
      </c>
      <c r="I972" s="10">
        <v>4626359.7042482598</v>
      </c>
      <c r="J972" s="34">
        <f t="shared" si="60"/>
        <v>6.1059966907541234E-4</v>
      </c>
      <c r="K972" s="34">
        <f t="shared" si="61"/>
        <v>6.1041329103350694E-4</v>
      </c>
      <c r="L972" s="34">
        <f t="shared" si="62"/>
        <v>0.99703228947300726</v>
      </c>
      <c r="M972" s="34">
        <f t="shared" si="63"/>
        <v>0.99642368771192336</v>
      </c>
    </row>
    <row r="973" spans="1:13" ht="69">
      <c r="A973" t="s">
        <v>164</v>
      </c>
      <c r="B973" t="s">
        <v>115</v>
      </c>
      <c r="C973" s="14" t="s">
        <v>291</v>
      </c>
      <c r="D973" t="s">
        <v>375</v>
      </c>
      <c r="E973" t="s">
        <v>392</v>
      </c>
      <c r="F973" s="20">
        <v>2049</v>
      </c>
      <c r="G973" s="20">
        <v>41</v>
      </c>
      <c r="H973" s="11">
        <v>3101.2829819513499</v>
      </c>
      <c r="I973" s="10">
        <v>4580199.0124746198</v>
      </c>
      <c r="J973" s="34">
        <f t="shared" si="60"/>
        <v>6.7710660028193149E-4</v>
      </c>
      <c r="K973" s="34">
        <f t="shared" si="61"/>
        <v>6.7687741533828394E-4</v>
      </c>
      <c r="L973" s="34">
        <f t="shared" si="62"/>
        <v>0.99642368771192336</v>
      </c>
      <c r="M973" s="34">
        <f t="shared" si="63"/>
        <v>0.99574923102160307</v>
      </c>
    </row>
    <row r="974" spans="1:13" ht="69">
      <c r="A974" t="s">
        <v>164</v>
      </c>
      <c r="B974" t="s">
        <v>115</v>
      </c>
      <c r="C974" s="14" t="s">
        <v>291</v>
      </c>
      <c r="D974" t="s">
        <v>375</v>
      </c>
      <c r="E974" t="s">
        <v>392</v>
      </c>
      <c r="F974" s="20">
        <v>2049</v>
      </c>
      <c r="G974" s="20">
        <v>42</v>
      </c>
      <c r="H974" s="11">
        <v>3435.0521802901699</v>
      </c>
      <c r="I974" s="10">
        <v>4601277.0229787799</v>
      </c>
      <c r="J974" s="34">
        <f t="shared" si="60"/>
        <v>7.465432233563677E-4</v>
      </c>
      <c r="K974" s="34">
        <f t="shared" si="61"/>
        <v>7.4626462929605619E-4</v>
      </c>
      <c r="L974" s="34">
        <f t="shared" si="62"/>
        <v>0.99574923102160307</v>
      </c>
      <c r="M974" s="34">
        <f t="shared" si="63"/>
        <v>0.99500613859084286</v>
      </c>
    </row>
    <row r="975" spans="1:13" ht="69">
      <c r="A975" t="s">
        <v>164</v>
      </c>
      <c r="B975" t="s">
        <v>115</v>
      </c>
      <c r="C975" s="14" t="s">
        <v>291</v>
      </c>
      <c r="D975" t="s">
        <v>375</v>
      </c>
      <c r="E975" t="s">
        <v>392</v>
      </c>
      <c r="F975" s="20">
        <v>2049</v>
      </c>
      <c r="G975" s="20">
        <v>43</v>
      </c>
      <c r="H975" s="11">
        <v>3655.1640295154002</v>
      </c>
      <c r="I975" s="10">
        <v>4514808.2194881504</v>
      </c>
      <c r="J975" s="34">
        <f t="shared" si="60"/>
        <v>8.0959452801071378E-4</v>
      </c>
      <c r="K975" s="34">
        <f t="shared" si="61"/>
        <v>8.0926689478344471E-4</v>
      </c>
      <c r="L975" s="34">
        <f t="shared" si="62"/>
        <v>0.99500613859084286</v>
      </c>
      <c r="M975" s="34">
        <f t="shared" si="63"/>
        <v>0.99420091306277503</v>
      </c>
    </row>
    <row r="976" spans="1:13" ht="69">
      <c r="A976" t="s">
        <v>164</v>
      </c>
      <c r="B976" t="s">
        <v>115</v>
      </c>
      <c r="C976" s="14" t="s">
        <v>291</v>
      </c>
      <c r="D976" t="s">
        <v>375</v>
      </c>
      <c r="E976" t="s">
        <v>392</v>
      </c>
      <c r="F976" s="20">
        <v>2049</v>
      </c>
      <c r="G976" s="20">
        <v>44</v>
      </c>
      <c r="H976" s="11">
        <v>3915.6170306037202</v>
      </c>
      <c r="I976" s="10">
        <v>4449373.2075329302</v>
      </c>
      <c r="J976" s="34">
        <f t="shared" si="60"/>
        <v>8.8003789477008947E-4</v>
      </c>
      <c r="K976" s="34">
        <f t="shared" si="61"/>
        <v>8.7965077499030375E-4</v>
      </c>
      <c r="L976" s="34">
        <f t="shared" si="62"/>
        <v>0.99420091306277503</v>
      </c>
      <c r="M976" s="34">
        <f t="shared" si="63"/>
        <v>0.9933263634591033</v>
      </c>
    </row>
    <row r="977" spans="1:13" ht="69">
      <c r="A977" t="s">
        <v>164</v>
      </c>
      <c r="B977" t="s">
        <v>115</v>
      </c>
      <c r="C977" s="14" t="s">
        <v>291</v>
      </c>
      <c r="D977" t="s">
        <v>375</v>
      </c>
      <c r="E977" t="s">
        <v>392</v>
      </c>
      <c r="F977" s="20">
        <v>2049</v>
      </c>
      <c r="G977" s="20">
        <v>45</v>
      </c>
      <c r="H977" s="11">
        <v>4868.9639757996001</v>
      </c>
      <c r="I977" s="10">
        <v>4317018.6884683296</v>
      </c>
      <c r="J977" s="34">
        <f t="shared" si="60"/>
        <v>1.1278533467565552E-3</v>
      </c>
      <c r="K977" s="34">
        <f t="shared" si="61"/>
        <v>1.1272175592181854E-3</v>
      </c>
      <c r="L977" s="34">
        <f t="shared" si="62"/>
        <v>0.9933263634591033</v>
      </c>
      <c r="M977" s="34">
        <f t="shared" si="63"/>
        <v>0.99220666854017781</v>
      </c>
    </row>
    <row r="978" spans="1:13" ht="69">
      <c r="A978" t="s">
        <v>164</v>
      </c>
      <c r="B978" t="s">
        <v>115</v>
      </c>
      <c r="C978" s="14" t="s">
        <v>291</v>
      </c>
      <c r="D978" t="s">
        <v>375</v>
      </c>
      <c r="E978" t="s">
        <v>392</v>
      </c>
      <c r="F978" s="20">
        <v>2049</v>
      </c>
      <c r="G978" s="20">
        <v>46</v>
      </c>
      <c r="H978" s="11">
        <v>5285.78281073994</v>
      </c>
      <c r="I978" s="10">
        <v>4245073.0386225795</v>
      </c>
      <c r="J978" s="34">
        <f t="shared" si="60"/>
        <v>1.2451570945066813E-3</v>
      </c>
      <c r="K978" s="34">
        <f t="shared" si="61"/>
        <v>1.2443822080635547E-3</v>
      </c>
      <c r="L978" s="34">
        <f t="shared" si="62"/>
        <v>0.99220666854017781</v>
      </c>
      <c r="M978" s="34">
        <f t="shared" si="63"/>
        <v>0.99097198421512445</v>
      </c>
    </row>
    <row r="979" spans="1:13" ht="69">
      <c r="A979" t="s">
        <v>164</v>
      </c>
      <c r="B979" t="s">
        <v>115</v>
      </c>
      <c r="C979" s="14" t="s">
        <v>291</v>
      </c>
      <c r="D979" t="s">
        <v>375</v>
      </c>
      <c r="E979" t="s">
        <v>392</v>
      </c>
      <c r="F979" s="20">
        <v>2049</v>
      </c>
      <c r="G979" s="20">
        <v>47</v>
      </c>
      <c r="H979" s="11">
        <v>5893.08042227038</v>
      </c>
      <c r="I979" s="10">
        <v>4213485.9675781801</v>
      </c>
      <c r="J979" s="34">
        <f t="shared" si="60"/>
        <v>1.3986234836466287E-3</v>
      </c>
      <c r="K979" s="34">
        <f t="shared" si="61"/>
        <v>1.3976458656483892E-3</v>
      </c>
      <c r="L979" s="34">
        <f t="shared" si="62"/>
        <v>0.99097198421512445</v>
      </c>
      <c r="M979" s="34">
        <f t="shared" si="63"/>
        <v>0.98958695631841276</v>
      </c>
    </row>
    <row r="980" spans="1:13" ht="69">
      <c r="A980" t="s">
        <v>164</v>
      </c>
      <c r="B980" t="s">
        <v>115</v>
      </c>
      <c r="C980" s="14" t="s">
        <v>291</v>
      </c>
      <c r="D980" t="s">
        <v>375</v>
      </c>
      <c r="E980" t="s">
        <v>392</v>
      </c>
      <c r="F980" s="20">
        <v>2049</v>
      </c>
      <c r="G980" s="20">
        <v>48</v>
      </c>
      <c r="H980" s="11">
        <v>6420.2281539798896</v>
      </c>
      <c r="I980" s="10">
        <v>4184592.8442056798</v>
      </c>
      <c r="J980" s="34">
        <f t="shared" si="60"/>
        <v>1.5342539628126182E-3</v>
      </c>
      <c r="K980" s="34">
        <f t="shared" si="61"/>
        <v>1.5330775968930288E-3</v>
      </c>
      <c r="L980" s="34">
        <f t="shared" si="62"/>
        <v>0.98958695631841276</v>
      </c>
      <c r="M980" s="34">
        <f t="shared" si="63"/>
        <v>0.98806984272550347</v>
      </c>
    </row>
    <row r="981" spans="1:13" ht="69">
      <c r="A981" t="s">
        <v>164</v>
      </c>
      <c r="B981" t="s">
        <v>115</v>
      </c>
      <c r="C981" s="14" t="s">
        <v>291</v>
      </c>
      <c r="D981" t="s">
        <v>375</v>
      </c>
      <c r="E981" t="s">
        <v>392</v>
      </c>
      <c r="F981" s="20">
        <v>2049</v>
      </c>
      <c r="G981" s="20">
        <v>49</v>
      </c>
      <c r="H981" s="11">
        <v>7000.0197418512798</v>
      </c>
      <c r="I981" s="10">
        <v>4154345.4685297301</v>
      </c>
      <c r="J981" s="34">
        <f t="shared" si="60"/>
        <v>1.6849873932917442E-3</v>
      </c>
      <c r="K981" s="34">
        <f t="shared" si="61"/>
        <v>1.6835685990292948E-3</v>
      </c>
      <c r="L981" s="34">
        <f t="shared" si="62"/>
        <v>0.98806984272550347</v>
      </c>
      <c r="M981" s="34">
        <f t="shared" si="63"/>
        <v>0.98640635936464305</v>
      </c>
    </row>
    <row r="982" spans="1:13" ht="69">
      <c r="A982" t="s">
        <v>164</v>
      </c>
      <c r="B982" t="s">
        <v>115</v>
      </c>
      <c r="C982" s="14" t="s">
        <v>291</v>
      </c>
      <c r="D982" t="s">
        <v>375</v>
      </c>
      <c r="E982" t="s">
        <v>392</v>
      </c>
      <c r="F982" s="20">
        <v>2049</v>
      </c>
      <c r="G982" s="20">
        <v>50</v>
      </c>
      <c r="H982" s="11">
        <v>8003.2378025494399</v>
      </c>
      <c r="I982" s="10">
        <v>4160954.9290930401</v>
      </c>
      <c r="J982" s="34">
        <f t="shared" si="60"/>
        <v>1.9234137208724582E-3</v>
      </c>
      <c r="K982" s="34">
        <f t="shared" si="61"/>
        <v>1.921565146082993E-3</v>
      </c>
      <c r="L982" s="34">
        <f t="shared" si="62"/>
        <v>0.98640635936464305</v>
      </c>
      <c r="M982" s="34">
        <f t="shared" si="63"/>
        <v>0.98451091528461332</v>
      </c>
    </row>
    <row r="983" spans="1:13" ht="69">
      <c r="A983" t="s">
        <v>164</v>
      </c>
      <c r="B983" t="s">
        <v>115</v>
      </c>
      <c r="C983" s="14" t="s">
        <v>291</v>
      </c>
      <c r="D983" t="s">
        <v>375</v>
      </c>
      <c r="E983" t="s">
        <v>392</v>
      </c>
      <c r="F983" s="20">
        <v>2049</v>
      </c>
      <c r="G983" s="20">
        <v>51</v>
      </c>
      <c r="H983" s="11">
        <v>8841.5516972242003</v>
      </c>
      <c r="I983" s="10">
        <v>4202983.9364125105</v>
      </c>
      <c r="J983" s="34">
        <f t="shared" si="60"/>
        <v>2.1036368044677744E-3</v>
      </c>
      <c r="K983" s="34">
        <f t="shared" si="61"/>
        <v>2.1014257112826895E-3</v>
      </c>
      <c r="L983" s="34">
        <f t="shared" si="62"/>
        <v>0.98451091528461332</v>
      </c>
      <c r="M983" s="34">
        <f t="shared" si="63"/>
        <v>0.98244203873419578</v>
      </c>
    </row>
    <row r="984" spans="1:13" ht="69">
      <c r="A984" t="s">
        <v>164</v>
      </c>
      <c r="B984" t="s">
        <v>115</v>
      </c>
      <c r="C984" s="14" t="s">
        <v>291</v>
      </c>
      <c r="D984" t="s">
        <v>375</v>
      </c>
      <c r="E984" t="s">
        <v>392</v>
      </c>
      <c r="F984" s="20">
        <v>2049</v>
      </c>
      <c r="G984" s="20">
        <v>52</v>
      </c>
      <c r="H984" s="11">
        <v>10092.8001394323</v>
      </c>
      <c r="I984" s="10">
        <v>4315544.7993483497</v>
      </c>
      <c r="J984" s="34">
        <f t="shared" si="60"/>
        <v>2.3387082300608533E-3</v>
      </c>
      <c r="K984" s="34">
        <f t="shared" si="61"/>
        <v>2.3359755826716233E-3</v>
      </c>
      <c r="L984" s="34">
        <f t="shared" si="62"/>
        <v>0.98244203873419578</v>
      </c>
      <c r="M984" s="34">
        <f t="shared" si="63"/>
        <v>0.98014707812032253</v>
      </c>
    </row>
    <row r="985" spans="1:13" ht="69">
      <c r="A985" t="s">
        <v>164</v>
      </c>
      <c r="B985" t="s">
        <v>115</v>
      </c>
      <c r="C985" s="14" t="s">
        <v>291</v>
      </c>
      <c r="D985" t="s">
        <v>375</v>
      </c>
      <c r="E985" t="s">
        <v>392</v>
      </c>
      <c r="F985" s="20">
        <v>2049</v>
      </c>
      <c r="G985" s="20">
        <v>53</v>
      </c>
      <c r="H985" s="11">
        <v>10855.867246403201</v>
      </c>
      <c r="I985" s="10">
        <v>4255971.6003840799</v>
      </c>
      <c r="J985" s="34">
        <f t="shared" si="60"/>
        <v>2.5507377082646682E-3</v>
      </c>
      <c r="K985" s="34">
        <f t="shared" si="61"/>
        <v>2.5474873410352705E-3</v>
      </c>
      <c r="L985" s="34">
        <f t="shared" si="62"/>
        <v>0.98014707812032253</v>
      </c>
      <c r="M985" s="34">
        <f t="shared" si="63"/>
        <v>0.97765016584645825</v>
      </c>
    </row>
    <row r="986" spans="1:13" ht="69">
      <c r="A986" t="s">
        <v>164</v>
      </c>
      <c r="B986" t="s">
        <v>115</v>
      </c>
      <c r="C986" s="14" t="s">
        <v>291</v>
      </c>
      <c r="D986" t="s">
        <v>375</v>
      </c>
      <c r="E986" t="s">
        <v>392</v>
      </c>
      <c r="F986" s="20">
        <v>2049</v>
      </c>
      <c r="G986" s="20">
        <v>54</v>
      </c>
      <c r="H986" s="11">
        <v>11566.0161651911</v>
      </c>
      <c r="I986" s="10">
        <v>4166492.48733185</v>
      </c>
      <c r="J986" s="34">
        <f t="shared" si="60"/>
        <v>2.7759599232105607E-3</v>
      </c>
      <c r="K986" s="34">
        <f t="shared" si="61"/>
        <v>2.7721105092264331E-3</v>
      </c>
      <c r="L986" s="34">
        <f t="shared" si="62"/>
        <v>0.97765016584645825</v>
      </c>
      <c r="M986" s="34">
        <f t="shared" si="63"/>
        <v>0.97494001154736831</v>
      </c>
    </row>
    <row r="987" spans="1:13" ht="69">
      <c r="A987" t="s">
        <v>164</v>
      </c>
      <c r="B987" t="s">
        <v>115</v>
      </c>
      <c r="C987" s="14" t="s">
        <v>291</v>
      </c>
      <c r="D987" t="s">
        <v>375</v>
      </c>
      <c r="E987" t="s">
        <v>392</v>
      </c>
      <c r="F987" s="20">
        <v>2049</v>
      </c>
      <c r="G987" s="20">
        <v>55</v>
      </c>
      <c r="H987" s="11">
        <v>12110.224295828501</v>
      </c>
      <c r="I987" s="10">
        <v>4090435.6367577901</v>
      </c>
      <c r="J987" s="34">
        <f t="shared" si="60"/>
        <v>2.9606196921918692E-3</v>
      </c>
      <c r="K987" s="34">
        <f t="shared" si="61"/>
        <v>2.9562413796162534E-3</v>
      </c>
      <c r="L987" s="34">
        <f t="shared" si="62"/>
        <v>0.97494001154736831</v>
      </c>
      <c r="M987" s="34">
        <f t="shared" si="63"/>
        <v>0.97205785354258845</v>
      </c>
    </row>
    <row r="988" spans="1:13" ht="69">
      <c r="A988" t="s">
        <v>164</v>
      </c>
      <c r="B988" t="s">
        <v>115</v>
      </c>
      <c r="C988" s="14" t="s">
        <v>291</v>
      </c>
      <c r="D988" t="s">
        <v>375</v>
      </c>
      <c r="E988" t="s">
        <v>392</v>
      </c>
      <c r="F988" s="20">
        <v>2049</v>
      </c>
      <c r="G988" s="20">
        <v>56</v>
      </c>
      <c r="H988" s="11">
        <v>12843.6563781518</v>
      </c>
      <c r="I988" s="10">
        <v>4016256.0943386802</v>
      </c>
      <c r="J988" s="34">
        <f t="shared" si="60"/>
        <v>3.1979176816578593E-3</v>
      </c>
      <c r="K988" s="34">
        <f t="shared" si="61"/>
        <v>3.1928097892324203E-3</v>
      </c>
      <c r="L988" s="34">
        <f t="shared" si="62"/>
        <v>0.97205785354258845</v>
      </c>
      <c r="M988" s="34">
        <f t="shared" si="63"/>
        <v>0.96895425771209742</v>
      </c>
    </row>
    <row r="989" spans="1:13" ht="69">
      <c r="A989" t="s">
        <v>164</v>
      </c>
      <c r="B989" t="s">
        <v>115</v>
      </c>
      <c r="C989" s="14" t="s">
        <v>291</v>
      </c>
      <c r="D989" t="s">
        <v>375</v>
      </c>
      <c r="E989" t="s">
        <v>392</v>
      </c>
      <c r="F989" s="20">
        <v>2049</v>
      </c>
      <c r="G989" s="20">
        <v>57</v>
      </c>
      <c r="H989" s="11">
        <v>14012.643689074799</v>
      </c>
      <c r="I989" s="10">
        <v>4025383.6495764698</v>
      </c>
      <c r="J989" s="34">
        <f t="shared" si="60"/>
        <v>3.4810703547596359E-3</v>
      </c>
      <c r="K989" s="34">
        <f t="shared" si="61"/>
        <v>3.4750184537533091E-3</v>
      </c>
      <c r="L989" s="34">
        <f t="shared" si="62"/>
        <v>0.96895425771209742</v>
      </c>
      <c r="M989" s="34">
        <f t="shared" si="63"/>
        <v>0.96558712378570499</v>
      </c>
    </row>
    <row r="990" spans="1:13" ht="69">
      <c r="A990" t="s">
        <v>164</v>
      </c>
      <c r="B990" t="s">
        <v>115</v>
      </c>
      <c r="C990" s="14" t="s">
        <v>291</v>
      </c>
      <c r="D990" t="s">
        <v>375</v>
      </c>
      <c r="E990" t="s">
        <v>392</v>
      </c>
      <c r="F990" s="20">
        <v>2049</v>
      </c>
      <c r="G990" s="20">
        <v>58</v>
      </c>
      <c r="H990" s="11">
        <v>15258.873636230501</v>
      </c>
      <c r="I990" s="10">
        <v>4013363.8647842598</v>
      </c>
      <c r="J990" s="34">
        <f t="shared" si="60"/>
        <v>3.802016002117652E-3</v>
      </c>
      <c r="K990" s="34">
        <f t="shared" si="61"/>
        <v>3.7947974904741777E-3</v>
      </c>
      <c r="L990" s="34">
        <f t="shared" si="62"/>
        <v>0.96558712378570499</v>
      </c>
      <c r="M990" s="34">
        <f t="shared" si="63"/>
        <v>0.96192291619152881</v>
      </c>
    </row>
    <row r="991" spans="1:13" ht="69">
      <c r="A991" t="s">
        <v>164</v>
      </c>
      <c r="B991" t="s">
        <v>115</v>
      </c>
      <c r="C991" s="14" t="s">
        <v>291</v>
      </c>
      <c r="D991" t="s">
        <v>375</v>
      </c>
      <c r="E991" t="s">
        <v>392</v>
      </c>
      <c r="F991" s="20">
        <v>2049</v>
      </c>
      <c r="G991" s="20">
        <v>59</v>
      </c>
      <c r="H991" s="11">
        <v>22273.667628133699</v>
      </c>
      <c r="I991" s="10">
        <v>5900283.6632727198</v>
      </c>
      <c r="J991" s="34">
        <f t="shared" si="60"/>
        <v>3.7750164058687184E-3</v>
      </c>
      <c r="K991" s="34">
        <f t="shared" si="61"/>
        <v>3.7678999891160858E-3</v>
      </c>
      <c r="L991" s="34">
        <f t="shared" si="62"/>
        <v>0.96192291619152881</v>
      </c>
      <c r="M991" s="34">
        <f t="shared" si="63"/>
        <v>0.95829848684608021</v>
      </c>
    </row>
    <row r="992" spans="1:13" ht="69">
      <c r="A992" t="s">
        <v>164</v>
      </c>
      <c r="B992" t="s">
        <v>115</v>
      </c>
      <c r="C992" s="14" t="s">
        <v>291</v>
      </c>
      <c r="D992" t="s">
        <v>375</v>
      </c>
      <c r="E992" t="s">
        <v>392</v>
      </c>
      <c r="F992" s="20">
        <v>2049</v>
      </c>
      <c r="G992" s="20">
        <v>60</v>
      </c>
      <c r="H992" s="11">
        <v>17547.6043566425</v>
      </c>
      <c r="I992" s="10">
        <v>3910702.22627238</v>
      </c>
      <c r="J992" s="34">
        <f t="shared" si="60"/>
        <v>4.4870724850274782E-3</v>
      </c>
      <c r="K992" s="34">
        <f t="shared" si="61"/>
        <v>4.4770206153937897E-3</v>
      </c>
      <c r="L992" s="34">
        <f t="shared" si="62"/>
        <v>0.95829848684608021</v>
      </c>
      <c r="M992" s="34">
        <f t="shared" si="63"/>
        <v>0.95400816476476968</v>
      </c>
    </row>
    <row r="993" spans="1:13" ht="69">
      <c r="A993" t="s">
        <v>164</v>
      </c>
      <c r="B993" t="s">
        <v>115</v>
      </c>
      <c r="C993" s="14" t="s">
        <v>291</v>
      </c>
      <c r="D993" t="s">
        <v>375</v>
      </c>
      <c r="E993" t="s">
        <v>392</v>
      </c>
      <c r="F993" s="20">
        <v>2049</v>
      </c>
      <c r="G993" s="20">
        <v>61</v>
      </c>
      <c r="H993" s="11">
        <v>18895.593581808</v>
      </c>
      <c r="I993" s="10">
        <v>3858828.5365071702</v>
      </c>
      <c r="J993" s="34">
        <f t="shared" si="60"/>
        <v>4.8967175926690441E-3</v>
      </c>
      <c r="K993" s="34">
        <f t="shared" si="61"/>
        <v>4.8847482159333211E-3</v>
      </c>
      <c r="L993" s="34">
        <f t="shared" si="62"/>
        <v>0.95400816476476968</v>
      </c>
      <c r="M993" s="34">
        <f t="shared" si="63"/>
        <v>0.94934807508394914</v>
      </c>
    </row>
    <row r="994" spans="1:13" ht="69">
      <c r="A994" t="s">
        <v>164</v>
      </c>
      <c r="B994" t="s">
        <v>115</v>
      </c>
      <c r="C994" s="14" t="s">
        <v>291</v>
      </c>
      <c r="D994" t="s">
        <v>375</v>
      </c>
      <c r="E994" t="s">
        <v>392</v>
      </c>
      <c r="F994" s="20">
        <v>2049</v>
      </c>
      <c r="G994" s="20">
        <v>62</v>
      </c>
      <c r="H994" s="11">
        <v>19928.7692296885</v>
      </c>
      <c r="I994" s="10">
        <v>3701678.06441312</v>
      </c>
      <c r="J994" s="34">
        <f t="shared" si="60"/>
        <v>5.3837121659168633E-3</v>
      </c>
      <c r="K994" s="34">
        <f t="shared" si="61"/>
        <v>5.3692459598468911E-3</v>
      </c>
      <c r="L994" s="34">
        <f t="shared" si="62"/>
        <v>0.94934807508394914</v>
      </c>
      <c r="M994" s="34">
        <f t="shared" si="63"/>
        <v>0.94425079176731619</v>
      </c>
    </row>
    <row r="995" spans="1:13" ht="69">
      <c r="A995" t="s">
        <v>164</v>
      </c>
      <c r="B995" t="s">
        <v>115</v>
      </c>
      <c r="C995" s="14" t="s">
        <v>291</v>
      </c>
      <c r="D995" t="s">
        <v>375</v>
      </c>
      <c r="E995" t="s">
        <v>392</v>
      </c>
      <c r="F995" s="20">
        <v>2049</v>
      </c>
      <c r="G995" s="20">
        <v>63</v>
      </c>
      <c r="H995" s="11">
        <v>21465.744146811201</v>
      </c>
      <c r="I995" s="10">
        <v>3629143.3062946</v>
      </c>
      <c r="J995" s="34">
        <f t="shared" si="60"/>
        <v>5.9148240604276359E-3</v>
      </c>
      <c r="K995" s="34">
        <f t="shared" si="61"/>
        <v>5.8973659261515321E-3</v>
      </c>
      <c r="L995" s="34">
        <f t="shared" si="62"/>
        <v>0.94425079176731619</v>
      </c>
      <c r="M995" s="34">
        <f t="shared" si="63"/>
        <v>0.93868219932220598</v>
      </c>
    </row>
    <row r="996" spans="1:13" ht="69">
      <c r="A996" t="s">
        <v>164</v>
      </c>
      <c r="B996" t="s">
        <v>115</v>
      </c>
      <c r="C996" s="14" t="s">
        <v>291</v>
      </c>
      <c r="D996" t="s">
        <v>375</v>
      </c>
      <c r="E996" t="s">
        <v>392</v>
      </c>
      <c r="F996" s="20">
        <v>2049</v>
      </c>
      <c r="G996" s="20">
        <v>64</v>
      </c>
      <c r="H996" s="11">
        <v>23607.950163172802</v>
      </c>
      <c r="I996" s="10">
        <v>3634311.1848544502</v>
      </c>
      <c r="J996" s="34">
        <f t="shared" si="60"/>
        <v>6.495852711115125E-3</v>
      </c>
      <c r="K996" s="34">
        <f t="shared" si="61"/>
        <v>6.4748002690789841E-3</v>
      </c>
      <c r="L996" s="34">
        <f t="shared" si="62"/>
        <v>0.93868219932220598</v>
      </c>
      <c r="M996" s="34">
        <f t="shared" si="63"/>
        <v>0.93260441956545492</v>
      </c>
    </row>
    <row r="997" spans="1:13" ht="69">
      <c r="A997" t="s">
        <v>164</v>
      </c>
      <c r="B997" t="s">
        <v>115</v>
      </c>
      <c r="C997" s="14" t="s">
        <v>291</v>
      </c>
      <c r="D997" t="s">
        <v>375</v>
      </c>
      <c r="E997" t="s">
        <v>392</v>
      </c>
      <c r="F997" s="20">
        <v>2049</v>
      </c>
      <c r="G997" s="20">
        <v>65</v>
      </c>
      <c r="H997" s="11">
        <v>24786.9712276887</v>
      </c>
      <c r="I997" s="10">
        <v>3655535.1943498799</v>
      </c>
      <c r="J997" s="34">
        <f t="shared" si="60"/>
        <v>6.7806681949062588E-3</v>
      </c>
      <c r="K997" s="34">
        <f t="shared" si="61"/>
        <v>6.7577313360119851E-3</v>
      </c>
      <c r="L997" s="34">
        <f t="shared" si="62"/>
        <v>0.93260441956545492</v>
      </c>
      <c r="M997" s="34">
        <f t="shared" si="63"/>
        <v>0.92630212945525414</v>
      </c>
    </row>
    <row r="998" spans="1:13" ht="69">
      <c r="A998" t="s">
        <v>164</v>
      </c>
      <c r="B998" t="s">
        <v>115</v>
      </c>
      <c r="C998" s="14" t="s">
        <v>291</v>
      </c>
      <c r="D998" t="s">
        <v>375</v>
      </c>
      <c r="E998" t="s">
        <v>392</v>
      </c>
      <c r="F998" s="20">
        <v>2049</v>
      </c>
      <c r="G998" s="20">
        <v>66</v>
      </c>
      <c r="H998" s="11">
        <v>26535.443889566599</v>
      </c>
      <c r="I998" s="10">
        <v>3579808.9136157101</v>
      </c>
      <c r="J998" s="34">
        <f t="shared" si="60"/>
        <v>7.4125308165583163E-3</v>
      </c>
      <c r="K998" s="34">
        <f t="shared" si="61"/>
        <v>7.3851257654072855E-3</v>
      </c>
      <c r="L998" s="34">
        <f t="shared" si="62"/>
        <v>0.92630212945525414</v>
      </c>
      <c r="M998" s="34">
        <f t="shared" si="63"/>
        <v>0.9194612717324625</v>
      </c>
    </row>
    <row r="999" spans="1:13" ht="69">
      <c r="A999" t="s">
        <v>164</v>
      </c>
      <c r="B999" t="s">
        <v>115</v>
      </c>
      <c r="C999" s="14" t="s">
        <v>291</v>
      </c>
      <c r="D999" t="s">
        <v>375</v>
      </c>
      <c r="E999" t="s">
        <v>392</v>
      </c>
      <c r="F999" s="20">
        <v>2049</v>
      </c>
      <c r="G999" s="20">
        <v>67</v>
      </c>
      <c r="H999" s="11">
        <v>27777.8967239915</v>
      </c>
      <c r="I999" s="10">
        <v>3406500.4698854601</v>
      </c>
      <c r="J999" s="34">
        <f t="shared" si="60"/>
        <v>8.1543792433193176E-3</v>
      </c>
      <c r="K999" s="34">
        <f t="shared" si="61"/>
        <v>8.1212224783849818E-3</v>
      </c>
      <c r="L999" s="34">
        <f t="shared" si="62"/>
        <v>0.9194612717324625</v>
      </c>
      <c r="M999" s="34">
        <f t="shared" si="63"/>
        <v>0.91199412218446441</v>
      </c>
    </row>
    <row r="1000" spans="1:13" ht="69">
      <c r="A1000" t="s">
        <v>164</v>
      </c>
      <c r="B1000" t="s">
        <v>115</v>
      </c>
      <c r="C1000" s="14" t="s">
        <v>291</v>
      </c>
      <c r="D1000" t="s">
        <v>375</v>
      </c>
      <c r="E1000" t="s">
        <v>392</v>
      </c>
      <c r="F1000" s="20">
        <v>2049</v>
      </c>
      <c r="G1000" s="20">
        <v>68</v>
      </c>
      <c r="H1000" s="11">
        <v>29449.381762870999</v>
      </c>
      <c r="I1000" s="10">
        <v>3283467.3438464398</v>
      </c>
      <c r="J1000" s="34">
        <f t="shared" si="60"/>
        <v>8.9689887789084332E-3</v>
      </c>
      <c r="K1000" s="34">
        <f t="shared" si="61"/>
        <v>8.9288873782749079E-3</v>
      </c>
      <c r="L1000" s="34">
        <f t="shared" si="62"/>
        <v>0.91199412218446441</v>
      </c>
      <c r="M1000" s="34">
        <f t="shared" si="63"/>
        <v>0.90385102937783068</v>
      </c>
    </row>
    <row r="1001" spans="1:13" ht="69">
      <c r="A1001" t="s">
        <v>164</v>
      </c>
      <c r="B1001" t="s">
        <v>115</v>
      </c>
      <c r="C1001" s="14" t="s">
        <v>291</v>
      </c>
      <c r="D1001" t="s">
        <v>375</v>
      </c>
      <c r="E1001" t="s">
        <v>392</v>
      </c>
      <c r="F1001" s="20">
        <v>2049</v>
      </c>
      <c r="G1001" s="20">
        <v>69</v>
      </c>
      <c r="H1001" s="11">
        <v>31303.229835001301</v>
      </c>
      <c r="I1001" s="10">
        <v>3170458.7628612202</v>
      </c>
      <c r="J1001" s="34">
        <f t="shared" si="60"/>
        <v>9.8734070291932475E-3</v>
      </c>
      <c r="K1001" s="34">
        <f t="shared" si="61"/>
        <v>9.8248249676355925E-3</v>
      </c>
      <c r="L1001" s="34">
        <f t="shared" si="62"/>
        <v>0.90385102937783068</v>
      </c>
      <c r="M1001" s="34">
        <f t="shared" si="63"/>
        <v>0.8949708512173763</v>
      </c>
    </row>
    <row r="1002" spans="1:13" ht="69">
      <c r="A1002" t="s">
        <v>164</v>
      </c>
      <c r="B1002" t="s">
        <v>115</v>
      </c>
      <c r="C1002" s="14" t="s">
        <v>291</v>
      </c>
      <c r="D1002" t="s">
        <v>375</v>
      </c>
      <c r="E1002" t="s">
        <v>392</v>
      </c>
      <c r="F1002" s="20">
        <v>2050</v>
      </c>
      <c r="G1002" s="20">
        <v>30</v>
      </c>
      <c r="H1002" s="11">
        <v>609.95706876158602</v>
      </c>
      <c r="I1002" s="10">
        <v>4253334.0032831701</v>
      </c>
      <c r="J1002" s="34">
        <f t="shared" si="60"/>
        <v>1.4340681176008212E-4</v>
      </c>
      <c r="K1002" s="34">
        <f t="shared" si="61"/>
        <v>1.433965294947992E-4</v>
      </c>
      <c r="L1002" s="34">
        <f t="shared" si="62"/>
        <v>1</v>
      </c>
      <c r="M1002" s="34">
        <f t="shared" si="63"/>
        <v>0.9998566034705052</v>
      </c>
    </row>
    <row r="1003" spans="1:13" ht="69">
      <c r="A1003" t="s">
        <v>164</v>
      </c>
      <c r="B1003" t="s">
        <v>115</v>
      </c>
      <c r="C1003" s="14" t="s">
        <v>291</v>
      </c>
      <c r="D1003" t="s">
        <v>375</v>
      </c>
      <c r="E1003" t="s">
        <v>392</v>
      </c>
      <c r="F1003" s="20">
        <v>2050</v>
      </c>
      <c r="G1003" s="20">
        <v>31</v>
      </c>
      <c r="H1003" s="11">
        <v>840.90454471650503</v>
      </c>
      <c r="I1003" s="10">
        <v>4262057.70843443</v>
      </c>
      <c r="J1003" s="34">
        <f t="shared" si="60"/>
        <v>1.9730013112032502E-4</v>
      </c>
      <c r="K1003" s="34">
        <f t="shared" si="61"/>
        <v>1.9728066872948258E-4</v>
      </c>
      <c r="L1003" s="34">
        <f t="shared" si="62"/>
        <v>0.9998566034705052</v>
      </c>
      <c r="M1003" s="34">
        <f t="shared" si="63"/>
        <v>0.9996593510911389</v>
      </c>
    </row>
    <row r="1004" spans="1:13" ht="69">
      <c r="A1004" t="s">
        <v>164</v>
      </c>
      <c r="B1004" t="s">
        <v>115</v>
      </c>
      <c r="C1004" s="14" t="s">
        <v>291</v>
      </c>
      <c r="D1004" t="s">
        <v>375</v>
      </c>
      <c r="E1004" t="s">
        <v>392</v>
      </c>
      <c r="F1004" s="20">
        <v>2050</v>
      </c>
      <c r="G1004" s="20">
        <v>32</v>
      </c>
      <c r="H1004" s="11">
        <v>883.117771437383</v>
      </c>
      <c r="I1004" s="10">
        <v>4266226.8081474602</v>
      </c>
      <c r="J1004" s="34">
        <f t="shared" si="60"/>
        <v>2.0700206790479162E-4</v>
      </c>
      <c r="K1004" s="34">
        <f t="shared" si="61"/>
        <v>2.0698064445501263E-4</v>
      </c>
      <c r="L1004" s="34">
        <f t="shared" si="62"/>
        <v>0.9996593510911389</v>
      </c>
      <c r="M1004" s="34">
        <f t="shared" si="63"/>
        <v>0.99945244095441454</v>
      </c>
    </row>
    <row r="1005" spans="1:13" ht="69">
      <c r="A1005" t="s">
        <v>164</v>
      </c>
      <c r="B1005" t="s">
        <v>115</v>
      </c>
      <c r="C1005" s="14" t="s">
        <v>291</v>
      </c>
      <c r="D1005" t="s">
        <v>375</v>
      </c>
      <c r="E1005" t="s">
        <v>392</v>
      </c>
      <c r="F1005" s="20">
        <v>2050</v>
      </c>
      <c r="G1005" s="20">
        <v>33</v>
      </c>
      <c r="H1005" s="11">
        <v>940.13454446507296</v>
      </c>
      <c r="I1005" s="10">
        <v>4306557.4669648204</v>
      </c>
      <c r="J1005" s="34">
        <f t="shared" si="60"/>
        <v>2.1830303012946019E-4</v>
      </c>
      <c r="K1005" s="34">
        <f t="shared" si="61"/>
        <v>2.1827920375683263E-4</v>
      </c>
      <c r="L1005" s="34">
        <f t="shared" si="62"/>
        <v>0.99945244095441454</v>
      </c>
      <c r="M1005" s="34">
        <f t="shared" si="63"/>
        <v>0.99923428127141023</v>
      </c>
    </row>
    <row r="1006" spans="1:13" ht="69">
      <c r="A1006" t="s">
        <v>164</v>
      </c>
      <c r="B1006" t="s">
        <v>115</v>
      </c>
      <c r="C1006" s="14" t="s">
        <v>291</v>
      </c>
      <c r="D1006" t="s">
        <v>375</v>
      </c>
      <c r="E1006" t="s">
        <v>392</v>
      </c>
      <c r="F1006" s="20">
        <v>2050</v>
      </c>
      <c r="G1006" s="20">
        <v>34</v>
      </c>
      <c r="H1006" s="11">
        <v>1094.2027382173301</v>
      </c>
      <c r="I1006" s="10">
        <v>4568002.67589177</v>
      </c>
      <c r="J1006" s="34">
        <f t="shared" si="60"/>
        <v>2.3953636104289688E-4</v>
      </c>
      <c r="K1006" s="34">
        <f t="shared" si="61"/>
        <v>2.3950767449931742E-4</v>
      </c>
      <c r="L1006" s="34">
        <f t="shared" si="62"/>
        <v>0.99923428127141023</v>
      </c>
      <c r="M1006" s="34">
        <f t="shared" si="63"/>
        <v>0.99899495699242291</v>
      </c>
    </row>
    <row r="1007" spans="1:13" ht="69">
      <c r="A1007" t="s">
        <v>164</v>
      </c>
      <c r="B1007" t="s">
        <v>115</v>
      </c>
      <c r="C1007" s="14" t="s">
        <v>291</v>
      </c>
      <c r="D1007" t="s">
        <v>375</v>
      </c>
      <c r="E1007" t="s">
        <v>392</v>
      </c>
      <c r="F1007" s="20">
        <v>2050</v>
      </c>
      <c r="G1007" s="20">
        <v>35</v>
      </c>
      <c r="H1007" s="11">
        <v>1460.1868181683799</v>
      </c>
      <c r="I1007" s="10">
        <v>4615832.7679275898</v>
      </c>
      <c r="J1007" s="34">
        <f t="shared" si="60"/>
        <v>3.1634309377806432E-4</v>
      </c>
      <c r="K1007" s="34">
        <f t="shared" si="61"/>
        <v>3.1629306257741074E-4</v>
      </c>
      <c r="L1007" s="34">
        <f t="shared" si="62"/>
        <v>0.99899495699242291</v>
      </c>
      <c r="M1007" s="34">
        <f t="shared" si="63"/>
        <v>0.99867898181797643</v>
      </c>
    </row>
    <row r="1008" spans="1:13" ht="69">
      <c r="A1008" t="s">
        <v>164</v>
      </c>
      <c r="B1008" t="s">
        <v>115</v>
      </c>
      <c r="C1008" s="14" t="s">
        <v>291</v>
      </c>
      <c r="D1008" t="s">
        <v>375</v>
      </c>
      <c r="E1008" t="s">
        <v>392</v>
      </c>
      <c r="F1008" s="20">
        <v>2050</v>
      </c>
      <c r="G1008" s="20">
        <v>36</v>
      </c>
      <c r="H1008" s="11">
        <v>1672.6151159318499</v>
      </c>
      <c r="I1008" s="10">
        <v>4680728.2527108397</v>
      </c>
      <c r="J1008" s="34">
        <f t="shared" si="60"/>
        <v>3.5734078665283683E-4</v>
      </c>
      <c r="K1008" s="34">
        <f t="shared" si="61"/>
        <v>3.5727694803822097E-4</v>
      </c>
      <c r="L1008" s="34">
        <f t="shared" si="62"/>
        <v>0.99867898181797643</v>
      </c>
      <c r="M1008" s="34">
        <f t="shared" si="63"/>
        <v>0.99832217683928259</v>
      </c>
    </row>
    <row r="1009" spans="1:13" ht="69">
      <c r="A1009" t="s">
        <v>164</v>
      </c>
      <c r="B1009" t="s">
        <v>115</v>
      </c>
      <c r="C1009" s="14" t="s">
        <v>291</v>
      </c>
      <c r="D1009" t="s">
        <v>375</v>
      </c>
      <c r="E1009" t="s">
        <v>392</v>
      </c>
      <c r="F1009" s="20">
        <v>2050</v>
      </c>
      <c r="G1009" s="20">
        <v>37</v>
      </c>
      <c r="H1009" s="11">
        <v>1818.06895696121</v>
      </c>
      <c r="I1009" s="10">
        <v>4747043.6815098003</v>
      </c>
      <c r="J1009" s="34">
        <f t="shared" si="60"/>
        <v>3.8298972559337648E-4</v>
      </c>
      <c r="K1009" s="34">
        <f t="shared" si="61"/>
        <v>3.8291639439036462E-4</v>
      </c>
      <c r="L1009" s="34">
        <f t="shared" si="62"/>
        <v>0.99832217683928259</v>
      </c>
      <c r="M1009" s="34">
        <f t="shared" si="63"/>
        <v>0.99793990291088741</v>
      </c>
    </row>
    <row r="1010" spans="1:13" ht="69">
      <c r="A1010" t="s">
        <v>164</v>
      </c>
      <c r="B1010" t="s">
        <v>115</v>
      </c>
      <c r="C1010" s="14" t="s">
        <v>291</v>
      </c>
      <c r="D1010" t="s">
        <v>375</v>
      </c>
      <c r="E1010" t="s">
        <v>392</v>
      </c>
      <c r="F1010" s="20">
        <v>2050</v>
      </c>
      <c r="G1010" s="20">
        <v>38</v>
      </c>
      <c r="H1010" s="11">
        <v>2052.6437337361299</v>
      </c>
      <c r="I1010" s="10">
        <v>4856886.5216688998</v>
      </c>
      <c r="J1010" s="34">
        <f t="shared" si="60"/>
        <v>4.2262542568748557E-4</v>
      </c>
      <c r="K1010" s="34">
        <f t="shared" si="61"/>
        <v>4.2253613214193741E-4</v>
      </c>
      <c r="L1010" s="34">
        <f t="shared" si="62"/>
        <v>0.99793990291088741</v>
      </c>
      <c r="M1010" s="34">
        <f t="shared" si="63"/>
        <v>0.9975182372442013</v>
      </c>
    </row>
    <row r="1011" spans="1:13" ht="69">
      <c r="A1011" t="s">
        <v>164</v>
      </c>
      <c r="B1011" t="s">
        <v>115</v>
      </c>
      <c r="C1011" s="14" t="s">
        <v>291</v>
      </c>
      <c r="D1011" t="s">
        <v>375</v>
      </c>
      <c r="E1011" t="s">
        <v>392</v>
      </c>
      <c r="F1011" s="20">
        <v>2050</v>
      </c>
      <c r="G1011" s="20">
        <v>39</v>
      </c>
      <c r="H1011" s="11">
        <v>2198.97797003917</v>
      </c>
      <c r="I1011" s="10">
        <v>4826659.1605352601</v>
      </c>
      <c r="J1011" s="34">
        <f t="shared" si="60"/>
        <v>4.5559006693882874E-4</v>
      </c>
      <c r="K1011" s="34">
        <f t="shared" si="61"/>
        <v>4.5548630154301772E-4</v>
      </c>
      <c r="L1011" s="34">
        <f t="shared" si="62"/>
        <v>0.9975182372442013</v>
      </c>
      <c r="M1011" s="34">
        <f t="shared" si="63"/>
        <v>0.99706388135159718</v>
      </c>
    </row>
    <row r="1012" spans="1:13" ht="69">
      <c r="A1012" t="s">
        <v>164</v>
      </c>
      <c r="B1012" t="s">
        <v>115</v>
      </c>
      <c r="C1012" s="14" t="s">
        <v>291</v>
      </c>
      <c r="D1012" t="s">
        <v>375</v>
      </c>
      <c r="E1012" t="s">
        <v>392</v>
      </c>
      <c r="F1012" s="20">
        <v>2050</v>
      </c>
      <c r="G1012" s="20">
        <v>40</v>
      </c>
      <c r="H1012" s="11">
        <v>2852.3488753443798</v>
      </c>
      <c r="I1012" s="10">
        <v>4691384.0395968296</v>
      </c>
      <c r="J1012" s="34">
        <f t="shared" si="60"/>
        <v>6.079973098065761E-4</v>
      </c>
      <c r="K1012" s="34">
        <f t="shared" si="61"/>
        <v>6.0781251689534521E-4</v>
      </c>
      <c r="L1012" s="34">
        <f t="shared" si="62"/>
        <v>0.99706388135159718</v>
      </c>
      <c r="M1012" s="34">
        <f t="shared" si="63"/>
        <v>0.99645785344436744</v>
      </c>
    </row>
    <row r="1013" spans="1:13" ht="69">
      <c r="A1013" t="s">
        <v>164</v>
      </c>
      <c r="B1013" t="s">
        <v>115</v>
      </c>
      <c r="C1013" s="14" t="s">
        <v>291</v>
      </c>
      <c r="D1013" t="s">
        <v>375</v>
      </c>
      <c r="E1013" t="s">
        <v>392</v>
      </c>
      <c r="F1013" s="20">
        <v>2050</v>
      </c>
      <c r="G1013" s="20">
        <v>41</v>
      </c>
      <c r="H1013" s="11">
        <v>3111.6311745039702</v>
      </c>
      <c r="I1013" s="10">
        <v>4617405.3440873502</v>
      </c>
      <c r="J1013" s="34">
        <f t="shared" si="60"/>
        <v>6.738917081404724E-4</v>
      </c>
      <c r="K1013" s="34">
        <f t="shared" si="61"/>
        <v>6.7366469412044605E-4</v>
      </c>
      <c r="L1013" s="34">
        <f t="shared" si="62"/>
        <v>0.99645785344436744</v>
      </c>
      <c r="M1013" s="34">
        <f t="shared" si="63"/>
        <v>0.99578657496932288</v>
      </c>
    </row>
    <row r="1014" spans="1:13" ht="69">
      <c r="A1014" t="s">
        <v>164</v>
      </c>
      <c r="B1014" t="s">
        <v>115</v>
      </c>
      <c r="C1014" s="14" t="s">
        <v>291</v>
      </c>
      <c r="D1014" t="s">
        <v>375</v>
      </c>
      <c r="E1014" t="s">
        <v>392</v>
      </c>
      <c r="F1014" s="20">
        <v>2050</v>
      </c>
      <c r="G1014" s="20">
        <v>42</v>
      </c>
      <c r="H1014" s="11">
        <v>3335.4209796912101</v>
      </c>
      <c r="I1014" s="10">
        <v>4571301.3460318604</v>
      </c>
      <c r="J1014" s="34">
        <f t="shared" si="60"/>
        <v>7.2964364569545119E-4</v>
      </c>
      <c r="K1014" s="34">
        <f t="shared" si="61"/>
        <v>7.2937752050006299E-4</v>
      </c>
      <c r="L1014" s="34">
        <f t="shared" si="62"/>
        <v>0.99578657496932288</v>
      </c>
      <c r="M1014" s="34">
        <f t="shared" si="63"/>
        <v>0.99506027062632452</v>
      </c>
    </row>
    <row r="1015" spans="1:13" ht="69">
      <c r="A1015" t="s">
        <v>164</v>
      </c>
      <c r="B1015" t="s">
        <v>115</v>
      </c>
      <c r="C1015" s="14" t="s">
        <v>291</v>
      </c>
      <c r="D1015" t="s">
        <v>375</v>
      </c>
      <c r="E1015" t="s">
        <v>392</v>
      </c>
      <c r="F1015" s="20">
        <v>2050</v>
      </c>
      <c r="G1015" s="20">
        <v>43</v>
      </c>
      <c r="H1015" s="11">
        <v>3696.4271419725501</v>
      </c>
      <c r="I1015" s="10">
        <v>4591561.69326685</v>
      </c>
      <c r="J1015" s="34">
        <f t="shared" si="60"/>
        <v>8.0504790938409009E-4</v>
      </c>
      <c r="K1015" s="34">
        <f t="shared" si="61"/>
        <v>8.0472394525721302E-4</v>
      </c>
      <c r="L1015" s="34">
        <f t="shared" si="62"/>
        <v>0.99506027062632452</v>
      </c>
      <c r="M1015" s="34">
        <f t="shared" si="63"/>
        <v>0.99425952179957744</v>
      </c>
    </row>
    <row r="1016" spans="1:13" ht="69">
      <c r="A1016" t="s">
        <v>164</v>
      </c>
      <c r="B1016" t="s">
        <v>115</v>
      </c>
      <c r="C1016" s="14" t="s">
        <v>291</v>
      </c>
      <c r="D1016" t="s">
        <v>375</v>
      </c>
      <c r="E1016" t="s">
        <v>392</v>
      </c>
      <c r="F1016" s="20">
        <v>2050</v>
      </c>
      <c r="G1016" s="20">
        <v>44</v>
      </c>
      <c r="H1016" s="11">
        <v>3940.0653533193799</v>
      </c>
      <c r="I1016" s="10">
        <v>4504496.4620965803</v>
      </c>
      <c r="J1016" s="34">
        <f t="shared" si="60"/>
        <v>8.7469607013200079E-4</v>
      </c>
      <c r="K1016" s="34">
        <f t="shared" si="61"/>
        <v>8.7431363503742698E-4</v>
      </c>
      <c r="L1016" s="34">
        <f t="shared" si="62"/>
        <v>0.99425952179957744</v>
      </c>
      <c r="M1016" s="34">
        <f t="shared" si="63"/>
        <v>0.99339022714290226</v>
      </c>
    </row>
    <row r="1017" spans="1:13" ht="69">
      <c r="A1017" t="s">
        <v>164</v>
      </c>
      <c r="B1017" t="s">
        <v>115</v>
      </c>
      <c r="C1017" s="14" t="s">
        <v>291</v>
      </c>
      <c r="D1017" t="s">
        <v>375</v>
      </c>
      <c r="E1017" t="s">
        <v>392</v>
      </c>
      <c r="F1017" s="20">
        <v>2050</v>
      </c>
      <c r="G1017" s="20">
        <v>45</v>
      </c>
      <c r="H1017" s="11">
        <v>4959.14698786188</v>
      </c>
      <c r="I1017" s="10">
        <v>4438358.2113614203</v>
      </c>
      <c r="J1017" s="34">
        <f t="shared" si="60"/>
        <v>1.1173381578727312E-3</v>
      </c>
      <c r="K1017" s="34">
        <f t="shared" si="61"/>
        <v>1.1167141680173964E-3</v>
      </c>
      <c r="L1017" s="34">
        <f t="shared" si="62"/>
        <v>0.99339022714290226</v>
      </c>
      <c r="M1017" s="34">
        <f t="shared" si="63"/>
        <v>0.99228089420188181</v>
      </c>
    </row>
    <row r="1018" spans="1:13" ht="69">
      <c r="A1018" t="s">
        <v>164</v>
      </c>
      <c r="B1018" t="s">
        <v>115</v>
      </c>
      <c r="C1018" s="14" t="s">
        <v>291</v>
      </c>
      <c r="D1018" t="s">
        <v>375</v>
      </c>
      <c r="E1018" t="s">
        <v>392</v>
      </c>
      <c r="F1018" s="20">
        <v>2050</v>
      </c>
      <c r="G1018" s="20">
        <v>46</v>
      </c>
      <c r="H1018" s="11">
        <v>5313.3293721191303</v>
      </c>
      <c r="I1018" s="10">
        <v>4304653.4030913804</v>
      </c>
      <c r="J1018" s="34">
        <f t="shared" si="60"/>
        <v>1.2343222263384484E-3</v>
      </c>
      <c r="K1018" s="34">
        <f t="shared" si="61"/>
        <v>1.2335607639880619E-3</v>
      </c>
      <c r="L1018" s="34">
        <f t="shared" si="62"/>
        <v>0.99228089420188181</v>
      </c>
      <c r="M1018" s="34">
        <f t="shared" si="63"/>
        <v>0.9910568554239394</v>
      </c>
    </row>
    <row r="1019" spans="1:13" ht="69">
      <c r="A1019" t="s">
        <v>164</v>
      </c>
      <c r="B1019" t="s">
        <v>115</v>
      </c>
      <c r="C1019" s="14" t="s">
        <v>291</v>
      </c>
      <c r="D1019" t="s">
        <v>375</v>
      </c>
      <c r="E1019" t="s">
        <v>392</v>
      </c>
      <c r="F1019" s="20">
        <v>2050</v>
      </c>
      <c r="G1019" s="20">
        <v>47</v>
      </c>
      <c r="H1019" s="11">
        <v>5725.2914644310504</v>
      </c>
      <c r="I1019" s="10">
        <v>4232626.5481240004</v>
      </c>
      <c r="J1019" s="34">
        <f t="shared" si="60"/>
        <v>1.3526568903104938E-3</v>
      </c>
      <c r="K1019" s="34">
        <f t="shared" si="61"/>
        <v>1.3517424623279428E-3</v>
      </c>
      <c r="L1019" s="34">
        <f t="shared" si="62"/>
        <v>0.9910568554239394</v>
      </c>
      <c r="M1019" s="34">
        <f t="shared" si="63"/>
        <v>0.98971720178988165</v>
      </c>
    </row>
    <row r="1020" spans="1:13" ht="69">
      <c r="A1020" t="s">
        <v>164</v>
      </c>
      <c r="B1020" t="s">
        <v>115</v>
      </c>
      <c r="C1020" s="14" t="s">
        <v>291</v>
      </c>
      <c r="D1020" t="s">
        <v>375</v>
      </c>
      <c r="E1020" t="s">
        <v>392</v>
      </c>
      <c r="F1020" s="20">
        <v>2050</v>
      </c>
      <c r="G1020" s="20">
        <v>48</v>
      </c>
      <c r="H1020" s="11">
        <v>6384.5628188353103</v>
      </c>
      <c r="I1020" s="10">
        <v>4199819.5710099395</v>
      </c>
      <c r="J1020" s="34">
        <f t="shared" si="60"/>
        <v>1.5201993111575508E-3</v>
      </c>
      <c r="K1020" s="34">
        <f t="shared" si="61"/>
        <v>1.519044393493818E-3</v>
      </c>
      <c r="L1020" s="34">
        <f t="shared" si="62"/>
        <v>0.98971720178988165</v>
      </c>
      <c r="M1020" s="34">
        <f t="shared" si="63"/>
        <v>0.98821377742335836</v>
      </c>
    </row>
    <row r="1021" spans="1:13" ht="69">
      <c r="A1021" t="s">
        <v>164</v>
      </c>
      <c r="B1021" t="s">
        <v>115</v>
      </c>
      <c r="C1021" s="14" t="s">
        <v>291</v>
      </c>
      <c r="D1021" t="s">
        <v>375</v>
      </c>
      <c r="E1021" t="s">
        <v>392</v>
      </c>
      <c r="F1021" s="20">
        <v>2050</v>
      </c>
      <c r="G1021" s="20">
        <v>49</v>
      </c>
      <c r="H1021" s="11">
        <v>6961.1440841693302</v>
      </c>
      <c r="I1021" s="10">
        <v>4169743.8128195698</v>
      </c>
      <c r="J1021" s="34">
        <f t="shared" si="60"/>
        <v>1.6694416723559385E-3</v>
      </c>
      <c r="K1021" s="34">
        <f t="shared" si="61"/>
        <v>1.6680489297492551E-3</v>
      </c>
      <c r="L1021" s="34">
        <f t="shared" si="62"/>
        <v>0.98821377742335836</v>
      </c>
      <c r="M1021" s="34">
        <f t="shared" si="63"/>
        <v>0.98656538848956388</v>
      </c>
    </row>
    <row r="1022" spans="1:13" ht="69">
      <c r="A1022" t="s">
        <v>164</v>
      </c>
      <c r="B1022" t="s">
        <v>115</v>
      </c>
      <c r="C1022" s="14" t="s">
        <v>291</v>
      </c>
      <c r="D1022" t="s">
        <v>375</v>
      </c>
      <c r="E1022" t="s">
        <v>392</v>
      </c>
      <c r="F1022" s="20">
        <v>2050</v>
      </c>
      <c r="G1022" s="20">
        <v>50</v>
      </c>
      <c r="H1022" s="11">
        <v>7863.9436680586095</v>
      </c>
      <c r="I1022" s="10">
        <v>4138192.78072681</v>
      </c>
      <c r="J1022" s="34">
        <f t="shared" si="60"/>
        <v>1.9003328469094252E-3</v>
      </c>
      <c r="K1022" s="34">
        <f t="shared" si="61"/>
        <v>1.898528357669238E-3</v>
      </c>
      <c r="L1022" s="34">
        <f t="shared" si="62"/>
        <v>0.98656538848956388</v>
      </c>
      <c r="M1022" s="34">
        <f t="shared" si="63"/>
        <v>0.98469236612282152</v>
      </c>
    </row>
    <row r="1023" spans="1:13" ht="69">
      <c r="A1023" t="s">
        <v>164</v>
      </c>
      <c r="B1023" t="s">
        <v>115</v>
      </c>
      <c r="C1023" s="14" t="s">
        <v>291</v>
      </c>
      <c r="D1023" t="s">
        <v>375</v>
      </c>
      <c r="E1023" t="s">
        <v>392</v>
      </c>
      <c r="F1023" s="20">
        <v>2050</v>
      </c>
      <c r="G1023" s="20">
        <v>51</v>
      </c>
      <c r="H1023" s="11">
        <v>8622.2245056318498</v>
      </c>
      <c r="I1023" s="10">
        <v>4142709.1425182698</v>
      </c>
      <c r="J1023" s="34">
        <f t="shared" si="60"/>
        <v>2.0813009576604192E-3</v>
      </c>
      <c r="K1023" s="34">
        <f t="shared" si="61"/>
        <v>2.0791365526753314E-3</v>
      </c>
      <c r="L1023" s="34">
        <f t="shared" si="62"/>
        <v>0.98469236612282152</v>
      </c>
      <c r="M1023" s="34">
        <f t="shared" si="63"/>
        <v>0.98264505623127518</v>
      </c>
    </row>
    <row r="1024" spans="1:13" ht="69">
      <c r="A1024" t="s">
        <v>164</v>
      </c>
      <c r="B1024" t="s">
        <v>115</v>
      </c>
      <c r="C1024" s="14" t="s">
        <v>291</v>
      </c>
      <c r="D1024" t="s">
        <v>375</v>
      </c>
      <c r="E1024" t="s">
        <v>392</v>
      </c>
      <c r="F1024" s="20">
        <v>2050</v>
      </c>
      <c r="G1024" s="20">
        <v>52</v>
      </c>
      <c r="H1024" s="11">
        <v>9533.4408436026297</v>
      </c>
      <c r="I1024" s="10">
        <v>4183372.28958015</v>
      </c>
      <c r="J1024" s="34">
        <f t="shared" si="60"/>
        <v>2.2788889402332924E-3</v>
      </c>
      <c r="K1024" s="34">
        <f t="shared" si="61"/>
        <v>2.276294244214605E-3</v>
      </c>
      <c r="L1024" s="34">
        <f t="shared" si="62"/>
        <v>0.98264505623127518</v>
      </c>
      <c r="M1024" s="34">
        <f t="shared" si="63"/>
        <v>0.98040826694566996</v>
      </c>
    </row>
    <row r="1025" spans="1:13" ht="69">
      <c r="A1025" t="s">
        <v>164</v>
      </c>
      <c r="B1025" t="s">
        <v>115</v>
      </c>
      <c r="C1025" s="14" t="s">
        <v>291</v>
      </c>
      <c r="D1025" t="s">
        <v>375</v>
      </c>
      <c r="E1025" t="s">
        <v>392</v>
      </c>
      <c r="F1025" s="20">
        <v>2050</v>
      </c>
      <c r="G1025" s="20">
        <v>53</v>
      </c>
      <c r="H1025" s="11">
        <v>10836.474485231</v>
      </c>
      <c r="I1025" s="10">
        <v>4293305.5064393198</v>
      </c>
      <c r="J1025" s="34">
        <f t="shared" si="60"/>
        <v>2.5240399195859461E-3</v>
      </c>
      <c r="K1025" s="34">
        <f t="shared" si="61"/>
        <v>2.5208572091539594E-3</v>
      </c>
      <c r="L1025" s="34">
        <f t="shared" si="62"/>
        <v>0.98040826694566996</v>
      </c>
      <c r="M1025" s="34">
        <f t="shared" si="63"/>
        <v>0.97793679769802577</v>
      </c>
    </row>
    <row r="1026" spans="1:13" ht="69">
      <c r="A1026" t="s">
        <v>164</v>
      </c>
      <c r="B1026" t="s">
        <v>115</v>
      </c>
      <c r="C1026" s="14" t="s">
        <v>291</v>
      </c>
      <c r="D1026" t="s">
        <v>375</v>
      </c>
      <c r="E1026" t="s">
        <v>392</v>
      </c>
      <c r="F1026" s="20">
        <v>2050</v>
      </c>
      <c r="G1026" s="20">
        <v>54</v>
      </c>
      <c r="H1026" s="11">
        <v>11622.082378651599</v>
      </c>
      <c r="I1026" s="10">
        <v>4232042.3410555804</v>
      </c>
      <c r="J1026" s="34">
        <f t="shared" ref="J1026:J1089" si="64">IF(I1026&gt;0,H1026/I1026,0)</f>
        <v>2.7462112715424185E-3</v>
      </c>
      <c r="K1026" s="34">
        <f t="shared" ref="K1026:K1089" si="65">1-EXP(-J1026)</f>
        <v>2.742443882839285E-3</v>
      </c>
      <c r="L1026" s="34">
        <f t="shared" ref="L1026:L1089" si="66">IF(G1026=30,1,M1025)</f>
        <v>0.97793679769802577</v>
      </c>
      <c r="M1026" s="34">
        <f t="shared" ref="M1026:M1089" si="67">L1026*(1-K1026)</f>
        <v>0.97525486090937541</v>
      </c>
    </row>
    <row r="1027" spans="1:13" ht="69">
      <c r="A1027" t="s">
        <v>164</v>
      </c>
      <c r="B1027" t="s">
        <v>115</v>
      </c>
      <c r="C1027" s="14" t="s">
        <v>291</v>
      </c>
      <c r="D1027" t="s">
        <v>375</v>
      </c>
      <c r="E1027" t="s">
        <v>392</v>
      </c>
      <c r="F1027" s="20">
        <v>2050</v>
      </c>
      <c r="G1027" s="20">
        <v>55</v>
      </c>
      <c r="H1027" s="11">
        <v>12094.017058670001</v>
      </c>
      <c r="I1027" s="10">
        <v>4140989.5776957599</v>
      </c>
      <c r="J1027" s="34">
        <f t="shared" si="64"/>
        <v>2.9205620617378312E-3</v>
      </c>
      <c r="K1027" s="34">
        <f t="shared" si="65"/>
        <v>2.9163013692411477E-3</v>
      </c>
      <c r="L1027" s="34">
        <f t="shared" si="66"/>
        <v>0.97525486090937541</v>
      </c>
      <c r="M1027" s="34">
        <f t="shared" si="67"/>
        <v>0.97241072382314631</v>
      </c>
    </row>
    <row r="1028" spans="1:13" ht="69">
      <c r="A1028" t="s">
        <v>164</v>
      </c>
      <c r="B1028" t="s">
        <v>115</v>
      </c>
      <c r="C1028" s="14" t="s">
        <v>291</v>
      </c>
      <c r="D1028" t="s">
        <v>375</v>
      </c>
      <c r="E1028" t="s">
        <v>392</v>
      </c>
      <c r="F1028" s="20">
        <v>2050</v>
      </c>
      <c r="G1028" s="20">
        <v>56</v>
      </c>
      <c r="H1028" s="11">
        <v>12827.1284677938</v>
      </c>
      <c r="I1028" s="10">
        <v>4063182.0166876498</v>
      </c>
      <c r="J1028" s="34">
        <f t="shared" si="64"/>
        <v>3.1569170209732851E-3</v>
      </c>
      <c r="K1028" s="34">
        <f t="shared" si="65"/>
        <v>3.151939198003717E-3</v>
      </c>
      <c r="L1028" s="34">
        <f t="shared" si="66"/>
        <v>0.97241072382314631</v>
      </c>
      <c r="M1028" s="34">
        <f t="shared" si="67"/>
        <v>0.96934574434616894</v>
      </c>
    </row>
    <row r="1029" spans="1:13" ht="69">
      <c r="A1029" t="s">
        <v>164</v>
      </c>
      <c r="B1029" t="s">
        <v>115</v>
      </c>
      <c r="C1029" s="14" t="s">
        <v>291</v>
      </c>
      <c r="D1029" t="s">
        <v>375</v>
      </c>
      <c r="E1029" t="s">
        <v>392</v>
      </c>
      <c r="F1029" s="20">
        <v>2050</v>
      </c>
      <c r="G1029" s="20">
        <v>57</v>
      </c>
      <c r="H1029" s="11">
        <v>13721.0940442193</v>
      </c>
      <c r="I1029" s="10">
        <v>3987263.3801275101</v>
      </c>
      <c r="J1029" s="34">
        <f t="shared" si="64"/>
        <v>3.4412309235966523E-3</v>
      </c>
      <c r="K1029" s="34">
        <f t="shared" si="65"/>
        <v>3.4353166745059172E-3</v>
      </c>
      <c r="L1029" s="34">
        <f t="shared" si="66"/>
        <v>0.96934574434616894</v>
      </c>
      <c r="M1029" s="34">
        <f t="shared" si="67"/>
        <v>0.96601573474725522</v>
      </c>
    </row>
    <row r="1030" spans="1:13" ht="69">
      <c r="A1030" t="s">
        <v>164</v>
      </c>
      <c r="B1030" t="s">
        <v>115</v>
      </c>
      <c r="C1030" s="14" t="s">
        <v>291</v>
      </c>
      <c r="D1030" t="s">
        <v>375</v>
      </c>
      <c r="E1030" t="s">
        <v>392</v>
      </c>
      <c r="F1030" s="20">
        <v>2050</v>
      </c>
      <c r="G1030" s="20">
        <v>58</v>
      </c>
      <c r="H1030" s="11">
        <v>14988.7455204342</v>
      </c>
      <c r="I1030" s="10">
        <v>3993792.8791625798</v>
      </c>
      <c r="J1030" s="34">
        <f t="shared" si="64"/>
        <v>3.7530102271044778E-3</v>
      </c>
      <c r="K1030" s="34">
        <f t="shared" si="65"/>
        <v>3.7459764862072253E-3</v>
      </c>
      <c r="L1030" s="34">
        <f t="shared" si="66"/>
        <v>0.96601573474725522</v>
      </c>
      <c r="M1030" s="34">
        <f t="shared" si="67"/>
        <v>0.96239706251958579</v>
      </c>
    </row>
    <row r="1031" spans="1:13" ht="69">
      <c r="A1031" t="s">
        <v>164</v>
      </c>
      <c r="B1031" t="s">
        <v>115</v>
      </c>
      <c r="C1031" s="14" t="s">
        <v>291</v>
      </c>
      <c r="D1031" t="s">
        <v>375</v>
      </c>
      <c r="E1031" t="s">
        <v>392</v>
      </c>
      <c r="F1031" s="20">
        <v>2050</v>
      </c>
      <c r="G1031" s="20">
        <v>59</v>
      </c>
      <c r="H1031" s="11">
        <v>16343.3656069883</v>
      </c>
      <c r="I1031" s="10">
        <v>3979017.1534690498</v>
      </c>
      <c r="J1031" s="34">
        <f t="shared" si="64"/>
        <v>4.1073875725163855E-3</v>
      </c>
      <c r="K1031" s="34">
        <f t="shared" si="65"/>
        <v>4.0989637933693812E-3</v>
      </c>
      <c r="L1031" s="34">
        <f t="shared" si="66"/>
        <v>0.96239706251958579</v>
      </c>
      <c r="M1031" s="34">
        <f t="shared" si="67"/>
        <v>0.95845223180547301</v>
      </c>
    </row>
    <row r="1032" spans="1:13" ht="69">
      <c r="A1032" t="s">
        <v>164</v>
      </c>
      <c r="B1032" t="s">
        <v>115</v>
      </c>
      <c r="C1032" s="14" t="s">
        <v>291</v>
      </c>
      <c r="D1032" t="s">
        <v>375</v>
      </c>
      <c r="E1032" t="s">
        <v>392</v>
      </c>
      <c r="F1032" s="20">
        <v>2050</v>
      </c>
      <c r="G1032" s="20">
        <v>60</v>
      </c>
      <c r="H1032" s="11">
        <v>23737.4334920355</v>
      </c>
      <c r="I1032" s="10">
        <v>5849822.89034783</v>
      </c>
      <c r="J1032" s="34">
        <f t="shared" si="64"/>
        <v>4.0578037894449951E-3</v>
      </c>
      <c r="K1032" s="34">
        <f t="shared" si="65"/>
        <v>4.0495820281722938E-3</v>
      </c>
      <c r="L1032" s="34">
        <f t="shared" si="66"/>
        <v>0.95845223180547301</v>
      </c>
      <c r="M1032" s="34">
        <f t="shared" si="67"/>
        <v>0.95457090087269192</v>
      </c>
    </row>
    <row r="1033" spans="1:13" ht="69">
      <c r="A1033" t="s">
        <v>164</v>
      </c>
      <c r="B1033" t="s">
        <v>115</v>
      </c>
      <c r="C1033" s="14" t="s">
        <v>291</v>
      </c>
      <c r="D1033" t="s">
        <v>375</v>
      </c>
      <c r="E1033" t="s">
        <v>392</v>
      </c>
      <c r="F1033" s="20">
        <v>2050</v>
      </c>
      <c r="G1033" s="20">
        <v>61</v>
      </c>
      <c r="H1033" s="11">
        <v>18683.702752711899</v>
      </c>
      <c r="I1033" s="10">
        <v>3870632.28549723</v>
      </c>
      <c r="J1033" s="34">
        <f t="shared" si="64"/>
        <v>4.8270415205074815E-3</v>
      </c>
      <c r="K1033" s="34">
        <f t="shared" si="65"/>
        <v>4.8154100782644704E-3</v>
      </c>
      <c r="L1033" s="34">
        <f t="shared" si="66"/>
        <v>0.95457090087269192</v>
      </c>
      <c r="M1033" s="34">
        <f t="shared" si="67"/>
        <v>0.94997425053621154</v>
      </c>
    </row>
    <row r="1034" spans="1:13" ht="69">
      <c r="A1034" t="s">
        <v>164</v>
      </c>
      <c r="B1034" t="s">
        <v>115</v>
      </c>
      <c r="C1034" s="14" t="s">
        <v>291</v>
      </c>
      <c r="D1034" t="s">
        <v>375</v>
      </c>
      <c r="E1034" t="s">
        <v>392</v>
      </c>
      <c r="F1034" s="20">
        <v>2050</v>
      </c>
      <c r="G1034" s="20">
        <v>62</v>
      </c>
      <c r="H1034" s="11">
        <v>20248.424714996701</v>
      </c>
      <c r="I1034" s="10">
        <v>3815547.5836403901</v>
      </c>
      <c r="J1034" s="34">
        <f t="shared" si="64"/>
        <v>5.306820127683431E-3</v>
      </c>
      <c r="K1034" s="34">
        <f t="shared" si="65"/>
        <v>5.292763833483427E-3</v>
      </c>
      <c r="L1034" s="34">
        <f t="shared" si="66"/>
        <v>0.94997425053621154</v>
      </c>
      <c r="M1034" s="34">
        <f t="shared" si="67"/>
        <v>0.94494626118023295</v>
      </c>
    </row>
    <row r="1035" spans="1:13" ht="69">
      <c r="A1035" t="s">
        <v>164</v>
      </c>
      <c r="B1035" t="s">
        <v>115</v>
      </c>
      <c r="C1035" s="14" t="s">
        <v>291</v>
      </c>
      <c r="D1035" t="s">
        <v>375</v>
      </c>
      <c r="E1035" t="s">
        <v>392</v>
      </c>
      <c r="F1035" s="20">
        <v>2050</v>
      </c>
      <c r="G1035" s="20">
        <v>63</v>
      </c>
      <c r="H1035" s="11">
        <v>21332.347299154098</v>
      </c>
      <c r="I1035" s="10">
        <v>3656062.75185228</v>
      </c>
      <c r="J1035" s="34">
        <f t="shared" si="64"/>
        <v>5.8347869681247781E-3</v>
      </c>
      <c r="K1035" s="34">
        <f t="shared" si="65"/>
        <v>5.8177976577057366E-3</v>
      </c>
      <c r="L1035" s="34">
        <f t="shared" si="66"/>
        <v>0.94494626118023295</v>
      </c>
      <c r="M1035" s="34">
        <f t="shared" si="67"/>
        <v>0.9394487550352808</v>
      </c>
    </row>
    <row r="1036" spans="1:13" ht="69">
      <c r="A1036" t="s">
        <v>164</v>
      </c>
      <c r="B1036" t="s">
        <v>115</v>
      </c>
      <c r="C1036" s="14" t="s">
        <v>291</v>
      </c>
      <c r="D1036" t="s">
        <v>375</v>
      </c>
      <c r="E1036" t="s">
        <v>392</v>
      </c>
      <c r="F1036" s="20">
        <v>2050</v>
      </c>
      <c r="G1036" s="20">
        <v>64</v>
      </c>
      <c r="H1036" s="11">
        <v>22940.995544478701</v>
      </c>
      <c r="I1036" s="10">
        <v>3580029.42114178</v>
      </c>
      <c r="J1036" s="34">
        <f t="shared" si="64"/>
        <v>6.4080466515166572E-3</v>
      </c>
      <c r="K1036" s="34">
        <f t="shared" si="65"/>
        <v>6.3875589060746751E-3</v>
      </c>
      <c r="L1036" s="34">
        <f t="shared" si="66"/>
        <v>0.9394487550352808</v>
      </c>
      <c r="M1036" s="34">
        <f t="shared" si="67"/>
        <v>0.93344797077325448</v>
      </c>
    </row>
    <row r="1037" spans="1:13" ht="69">
      <c r="A1037" t="s">
        <v>164</v>
      </c>
      <c r="B1037" t="s">
        <v>115</v>
      </c>
      <c r="C1037" s="14" t="s">
        <v>291</v>
      </c>
      <c r="D1037" t="s">
        <v>375</v>
      </c>
      <c r="E1037" t="s">
        <v>392</v>
      </c>
      <c r="F1037" s="20">
        <v>2050</v>
      </c>
      <c r="G1037" s="20">
        <v>65</v>
      </c>
      <c r="H1037" s="11">
        <v>23910.513595414301</v>
      </c>
      <c r="I1037" s="10">
        <v>3580304.0321977302</v>
      </c>
      <c r="J1037" s="34">
        <f t="shared" si="64"/>
        <v>6.6783472521849199E-3</v>
      </c>
      <c r="K1037" s="34">
        <f t="shared" si="65"/>
        <v>6.6560966511419739E-3</v>
      </c>
      <c r="L1037" s="34">
        <f t="shared" si="66"/>
        <v>0.93344797077325448</v>
      </c>
      <c r="M1037" s="34">
        <f t="shared" si="67"/>
        <v>0.92723485086097535</v>
      </c>
    </row>
    <row r="1038" spans="1:13" ht="69">
      <c r="A1038" t="s">
        <v>164</v>
      </c>
      <c r="B1038" t="s">
        <v>115</v>
      </c>
      <c r="C1038" s="14" t="s">
        <v>291</v>
      </c>
      <c r="D1038" t="s">
        <v>375</v>
      </c>
      <c r="E1038" t="s">
        <v>392</v>
      </c>
      <c r="F1038" s="20">
        <v>2050</v>
      </c>
      <c r="G1038" s="20">
        <v>66</v>
      </c>
      <c r="H1038" s="11">
        <v>26284.280269057399</v>
      </c>
      <c r="I1038" s="10">
        <v>3596574.5967321899</v>
      </c>
      <c r="J1038" s="34">
        <f t="shared" si="64"/>
        <v>7.3081426680094499E-3</v>
      </c>
      <c r="K1038" s="34">
        <f t="shared" si="65"/>
        <v>7.2815031280702991E-3</v>
      </c>
      <c r="L1038" s="34">
        <f t="shared" si="66"/>
        <v>0.92723485086097535</v>
      </c>
      <c r="M1038" s="34">
        <f t="shared" si="67"/>
        <v>0.92048318739397539</v>
      </c>
    </row>
    <row r="1039" spans="1:13" ht="69">
      <c r="A1039" t="s">
        <v>164</v>
      </c>
      <c r="B1039" t="s">
        <v>115</v>
      </c>
      <c r="C1039" s="14" t="s">
        <v>291</v>
      </c>
      <c r="D1039" t="s">
        <v>375</v>
      </c>
      <c r="E1039" t="s">
        <v>392</v>
      </c>
      <c r="F1039" s="20">
        <v>2050</v>
      </c>
      <c r="G1039" s="20">
        <v>67</v>
      </c>
      <c r="H1039" s="11">
        <v>28250.8125173103</v>
      </c>
      <c r="I1039" s="10">
        <v>3515771.59922681</v>
      </c>
      <c r="J1039" s="34">
        <f t="shared" si="64"/>
        <v>8.0354515985973686E-3</v>
      </c>
      <c r="K1039" s="34">
        <f t="shared" si="65"/>
        <v>8.0032536567865575E-3</v>
      </c>
      <c r="L1039" s="34">
        <f t="shared" si="66"/>
        <v>0.92048318739397539</v>
      </c>
      <c r="M1039" s="34">
        <f t="shared" si="67"/>
        <v>0.91311632695845402</v>
      </c>
    </row>
    <row r="1040" spans="1:13" ht="69">
      <c r="A1040" t="s">
        <v>164</v>
      </c>
      <c r="B1040" t="s">
        <v>115</v>
      </c>
      <c r="C1040" s="14" t="s">
        <v>291</v>
      </c>
      <c r="D1040" t="s">
        <v>375</v>
      </c>
      <c r="E1040" t="s">
        <v>392</v>
      </c>
      <c r="F1040" s="20">
        <v>2050</v>
      </c>
      <c r="G1040" s="20">
        <v>68</v>
      </c>
      <c r="H1040" s="11">
        <v>29541.995202802998</v>
      </c>
      <c r="I1040" s="10">
        <v>3339525.2190927402</v>
      </c>
      <c r="J1040" s="34">
        <f t="shared" si="64"/>
        <v>8.846166225637539E-3</v>
      </c>
      <c r="K1040" s="34">
        <f t="shared" si="65"/>
        <v>8.807154018101615E-3</v>
      </c>
      <c r="L1040" s="34">
        <f t="shared" si="66"/>
        <v>0.91311632695845402</v>
      </c>
      <c r="M1040" s="34">
        <f t="shared" si="67"/>
        <v>0.9050743708304877</v>
      </c>
    </row>
    <row r="1041" spans="1:13" ht="69">
      <c r="A1041" t="s">
        <v>164</v>
      </c>
      <c r="B1041" t="s">
        <v>115</v>
      </c>
      <c r="C1041" s="14" t="s">
        <v>291</v>
      </c>
      <c r="D1041" t="s">
        <v>375</v>
      </c>
      <c r="E1041" t="s">
        <v>392</v>
      </c>
      <c r="F1041" s="20">
        <v>2050</v>
      </c>
      <c r="G1041" s="20">
        <v>69</v>
      </c>
      <c r="H1041" s="11">
        <v>31289.543094251199</v>
      </c>
      <c r="I1041" s="10">
        <v>3212558.52322962</v>
      </c>
      <c r="J1041" s="34">
        <f t="shared" si="64"/>
        <v>9.739758160979892E-3</v>
      </c>
      <c r="K1041" s="34">
        <f t="shared" si="65"/>
        <v>9.6924803325012521E-3</v>
      </c>
      <c r="L1041" s="34">
        <f t="shared" si="66"/>
        <v>0.9050743708304877</v>
      </c>
      <c r="M1041" s="34">
        <f t="shared" si="67"/>
        <v>0.89630195529176226</v>
      </c>
    </row>
    <row r="1042" spans="1:13" ht="27.6">
      <c r="A1042" t="s">
        <v>164</v>
      </c>
      <c r="B1042" t="s">
        <v>112</v>
      </c>
      <c r="C1042" s="14" t="s">
        <v>294</v>
      </c>
      <c r="D1042" t="s">
        <v>112</v>
      </c>
      <c r="E1042" t="s">
        <v>392</v>
      </c>
      <c r="F1042" s="20">
        <v>2025</v>
      </c>
      <c r="G1042" s="20">
        <v>30</v>
      </c>
      <c r="H1042" s="11">
        <v>1282.1480800753</v>
      </c>
      <c r="I1042" s="10">
        <v>4467259.0074498402</v>
      </c>
      <c r="J1042" s="34">
        <f t="shared" si="64"/>
        <v>2.8701001619496906E-4</v>
      </c>
      <c r="K1042" s="34">
        <f t="shared" si="65"/>
        <v>2.8696883276035923E-4</v>
      </c>
      <c r="L1042" s="34">
        <f t="shared" si="66"/>
        <v>1</v>
      </c>
      <c r="M1042" s="34">
        <f t="shared" si="67"/>
        <v>0.99971303116723964</v>
      </c>
    </row>
    <row r="1043" spans="1:13" ht="27.6">
      <c r="A1043" t="s">
        <v>164</v>
      </c>
      <c r="B1043" t="s">
        <v>112</v>
      </c>
      <c r="C1043" s="14" t="s">
        <v>294</v>
      </c>
      <c r="D1043" t="s">
        <v>112</v>
      </c>
      <c r="E1043" t="s">
        <v>392</v>
      </c>
      <c r="F1043" s="20">
        <v>2025</v>
      </c>
      <c r="G1043" s="20">
        <v>31</v>
      </c>
      <c r="H1043" s="11">
        <v>1315.2390869824701</v>
      </c>
      <c r="I1043" s="10">
        <v>4410712.3904493405</v>
      </c>
      <c r="J1043" s="34">
        <f t="shared" si="64"/>
        <v>2.9819198590921506E-4</v>
      </c>
      <c r="K1043" s="34">
        <f t="shared" si="65"/>
        <v>2.9814753109780323E-4</v>
      </c>
      <c r="L1043" s="34">
        <f t="shared" si="66"/>
        <v>0.99971303116723964</v>
      </c>
      <c r="M1043" s="34">
        <f t="shared" si="67"/>
        <v>0.99941496919519079</v>
      </c>
    </row>
    <row r="1044" spans="1:13" ht="27.6">
      <c r="A1044" t="s">
        <v>164</v>
      </c>
      <c r="B1044" t="s">
        <v>112</v>
      </c>
      <c r="C1044" s="14" t="s">
        <v>294</v>
      </c>
      <c r="D1044" t="s">
        <v>112</v>
      </c>
      <c r="E1044" t="s">
        <v>392</v>
      </c>
      <c r="F1044" s="20">
        <v>2025</v>
      </c>
      <c r="G1044" s="20">
        <v>32</v>
      </c>
      <c r="H1044" s="11">
        <v>1358.3687410796599</v>
      </c>
      <c r="I1044" s="10">
        <v>4358505.8007635903</v>
      </c>
      <c r="J1044" s="34">
        <f t="shared" si="64"/>
        <v>3.116592711294958E-4</v>
      </c>
      <c r="K1044" s="34">
        <f t="shared" si="65"/>
        <v>3.1161071042373756E-4</v>
      </c>
      <c r="L1044" s="34">
        <f t="shared" si="66"/>
        <v>0.99941496919519079</v>
      </c>
      <c r="M1044" s="34">
        <f t="shared" si="67"/>
        <v>0.99910354078663177</v>
      </c>
    </row>
    <row r="1045" spans="1:13" ht="27.6">
      <c r="A1045" t="s">
        <v>164</v>
      </c>
      <c r="B1045" t="s">
        <v>112</v>
      </c>
      <c r="C1045" s="14" t="s">
        <v>294</v>
      </c>
      <c r="D1045" t="s">
        <v>112</v>
      </c>
      <c r="E1045" t="s">
        <v>392</v>
      </c>
      <c r="F1045" s="20">
        <v>2025</v>
      </c>
      <c r="G1045" s="20">
        <v>33</v>
      </c>
      <c r="H1045" s="11">
        <v>1441.84186563354</v>
      </c>
      <c r="I1045" s="10">
        <v>4398745.9279128602</v>
      </c>
      <c r="J1045" s="34">
        <f t="shared" si="64"/>
        <v>3.2778475712455453E-4</v>
      </c>
      <c r="K1045" s="34">
        <f t="shared" si="65"/>
        <v>3.2773104157024502E-4</v>
      </c>
      <c r="L1045" s="34">
        <f t="shared" si="66"/>
        <v>0.99910354078663177</v>
      </c>
      <c r="M1045" s="34">
        <f t="shared" si="67"/>
        <v>0.99877610354257329</v>
      </c>
    </row>
    <row r="1046" spans="1:13" ht="27.6">
      <c r="A1046" t="s">
        <v>164</v>
      </c>
      <c r="B1046" t="s">
        <v>112</v>
      </c>
      <c r="C1046" s="14" t="s">
        <v>294</v>
      </c>
      <c r="D1046" t="s">
        <v>112</v>
      </c>
      <c r="E1046" t="s">
        <v>392</v>
      </c>
      <c r="F1046" s="20">
        <v>2025</v>
      </c>
      <c r="G1046" s="20">
        <v>34</v>
      </c>
      <c r="H1046" s="11">
        <v>1533.7871470223299</v>
      </c>
      <c r="I1046" s="10">
        <v>4419468.5889959903</v>
      </c>
      <c r="J1046" s="34">
        <f t="shared" si="64"/>
        <v>3.4705239241688418E-4</v>
      </c>
      <c r="K1046" s="34">
        <f t="shared" si="65"/>
        <v>3.4699217670153271E-4</v>
      </c>
      <c r="L1046" s="34">
        <f t="shared" si="66"/>
        <v>0.99877610354257329</v>
      </c>
      <c r="M1046" s="34">
        <f t="shared" si="67"/>
        <v>0.99842953604836759</v>
      </c>
    </row>
    <row r="1047" spans="1:13" ht="27.6">
      <c r="A1047" t="s">
        <v>164</v>
      </c>
      <c r="B1047" t="s">
        <v>112</v>
      </c>
      <c r="C1047" s="14" t="s">
        <v>294</v>
      </c>
      <c r="D1047" t="s">
        <v>112</v>
      </c>
      <c r="E1047" t="s">
        <v>392</v>
      </c>
      <c r="F1047" s="20">
        <v>2025</v>
      </c>
      <c r="G1047" s="20">
        <v>35</v>
      </c>
      <c r="H1047" s="11">
        <v>3016.1069316169601</v>
      </c>
      <c r="I1047" s="10">
        <v>6509663.36688188</v>
      </c>
      <c r="J1047" s="34">
        <f t="shared" si="64"/>
        <v>4.6332763487609823E-4</v>
      </c>
      <c r="K1047" s="34">
        <f t="shared" si="65"/>
        <v>4.6322031520285023E-4</v>
      </c>
      <c r="L1047" s="34">
        <f t="shared" si="66"/>
        <v>0.99842953604836759</v>
      </c>
      <c r="M1047" s="34">
        <f t="shared" si="67"/>
        <v>0.99796704320397145</v>
      </c>
    </row>
    <row r="1048" spans="1:13" ht="27.6">
      <c r="A1048" t="s">
        <v>164</v>
      </c>
      <c r="B1048" t="s">
        <v>112</v>
      </c>
      <c r="C1048" s="14" t="s">
        <v>294</v>
      </c>
      <c r="D1048" t="s">
        <v>112</v>
      </c>
      <c r="E1048" t="s">
        <v>392</v>
      </c>
      <c r="F1048" s="20">
        <v>2025</v>
      </c>
      <c r="G1048" s="20">
        <v>36</v>
      </c>
      <c r="H1048" s="11">
        <v>2254.70933318993</v>
      </c>
      <c r="I1048" s="10">
        <v>4383096.0054953797</v>
      </c>
      <c r="J1048" s="34">
        <f t="shared" si="64"/>
        <v>5.1441020921354458E-4</v>
      </c>
      <c r="K1048" s="34">
        <f t="shared" si="65"/>
        <v>5.1427792296598884E-4</v>
      </c>
      <c r="L1048" s="34">
        <f t="shared" si="66"/>
        <v>0.99796704320397145</v>
      </c>
      <c r="M1048" s="34">
        <f t="shared" si="67"/>
        <v>0.99745381078580397</v>
      </c>
    </row>
    <row r="1049" spans="1:13" ht="27.6">
      <c r="A1049" t="s">
        <v>164</v>
      </c>
      <c r="B1049" t="s">
        <v>112</v>
      </c>
      <c r="C1049" s="14" t="s">
        <v>294</v>
      </c>
      <c r="D1049" t="s">
        <v>112</v>
      </c>
      <c r="E1049" t="s">
        <v>392</v>
      </c>
      <c r="F1049" s="20">
        <v>2025</v>
      </c>
      <c r="G1049" s="20">
        <v>37</v>
      </c>
      <c r="H1049" s="11">
        <v>2406.7284850559499</v>
      </c>
      <c r="I1049" s="10">
        <v>4369642.2930548899</v>
      </c>
      <c r="J1049" s="34">
        <f t="shared" si="64"/>
        <v>5.5078386825420573E-4</v>
      </c>
      <c r="K1049" s="34">
        <f t="shared" si="65"/>
        <v>5.5063221466344903E-4</v>
      </c>
      <c r="L1049" s="34">
        <f t="shared" si="66"/>
        <v>0.99745381078580397</v>
      </c>
      <c r="M1049" s="34">
        <f t="shared" si="67"/>
        <v>0.99690458058494646</v>
      </c>
    </row>
    <row r="1050" spans="1:13" ht="27.6">
      <c r="A1050" t="s">
        <v>164</v>
      </c>
      <c r="B1050" t="s">
        <v>112</v>
      </c>
      <c r="C1050" s="14" t="s">
        <v>294</v>
      </c>
      <c r="D1050" t="s">
        <v>112</v>
      </c>
      <c r="E1050" t="s">
        <v>392</v>
      </c>
      <c r="F1050" s="20">
        <v>2025</v>
      </c>
      <c r="G1050" s="20">
        <v>38</v>
      </c>
      <c r="H1050" s="11">
        <v>2504.2649255002698</v>
      </c>
      <c r="I1050" s="10">
        <v>4239505.8530855002</v>
      </c>
      <c r="J1050" s="34">
        <f t="shared" si="64"/>
        <v>5.9069736244795441E-4</v>
      </c>
      <c r="K1050" s="34">
        <f t="shared" si="65"/>
        <v>5.9052293510719611E-4</v>
      </c>
      <c r="L1050" s="34">
        <f t="shared" si="66"/>
        <v>0.99690458058494646</v>
      </c>
      <c r="M1050" s="34">
        <f t="shared" si="67"/>
        <v>0.99631588556599759</v>
      </c>
    </row>
    <row r="1051" spans="1:13" ht="27.6">
      <c r="A1051" t="s">
        <v>164</v>
      </c>
      <c r="B1051" t="s">
        <v>112</v>
      </c>
      <c r="C1051" s="14" t="s">
        <v>294</v>
      </c>
      <c r="D1051" t="s">
        <v>112</v>
      </c>
      <c r="E1051" t="s">
        <v>392</v>
      </c>
      <c r="F1051" s="20">
        <v>2025</v>
      </c>
      <c r="G1051" s="20">
        <v>39</v>
      </c>
      <c r="H1051" s="11">
        <v>2668.8504498361599</v>
      </c>
      <c r="I1051" s="10">
        <v>4208510.7208543802</v>
      </c>
      <c r="J1051" s="34">
        <f t="shared" si="64"/>
        <v>6.3415555450797335E-4</v>
      </c>
      <c r="K1051" s="34">
        <f t="shared" si="65"/>
        <v>6.3395452037218192E-4</v>
      </c>
      <c r="L1051" s="34">
        <f t="shared" si="66"/>
        <v>0.99631588556599759</v>
      </c>
      <c r="M1051" s="34">
        <f t="shared" si="67"/>
        <v>0.99568426660662446</v>
      </c>
    </row>
    <row r="1052" spans="1:13" ht="27.6">
      <c r="A1052" t="s">
        <v>164</v>
      </c>
      <c r="B1052" t="s">
        <v>112</v>
      </c>
      <c r="C1052" s="14" t="s">
        <v>294</v>
      </c>
      <c r="D1052" t="s">
        <v>112</v>
      </c>
      <c r="E1052" t="s">
        <v>392</v>
      </c>
      <c r="F1052" s="20">
        <v>2025</v>
      </c>
      <c r="G1052" s="20">
        <v>40</v>
      </c>
      <c r="H1052" s="11">
        <v>3657.3453561075798</v>
      </c>
      <c r="I1052" s="10">
        <v>4272859.9416291798</v>
      </c>
      <c r="J1052" s="34">
        <f t="shared" si="64"/>
        <v>8.5594786772090795E-4</v>
      </c>
      <c r="K1052" s="34">
        <f t="shared" si="65"/>
        <v>8.5558164884036447E-4</v>
      </c>
      <c r="L1052" s="34">
        <f t="shared" si="66"/>
        <v>0.99568426660662446</v>
      </c>
      <c r="M1052" s="34">
        <f t="shared" si="67"/>
        <v>0.9948323774200768</v>
      </c>
    </row>
    <row r="1053" spans="1:13" ht="27.6">
      <c r="A1053" t="s">
        <v>164</v>
      </c>
      <c r="B1053" t="s">
        <v>112</v>
      </c>
      <c r="C1053" s="14" t="s">
        <v>294</v>
      </c>
      <c r="D1053" t="s">
        <v>112</v>
      </c>
      <c r="E1053" t="s">
        <v>392</v>
      </c>
      <c r="F1053" s="20">
        <v>2025</v>
      </c>
      <c r="G1053" s="20">
        <v>41</v>
      </c>
      <c r="H1053" s="11">
        <v>4027.1376792173</v>
      </c>
      <c r="I1053" s="10">
        <v>4362484.6630329899</v>
      </c>
      <c r="J1053" s="34">
        <f t="shared" si="64"/>
        <v>9.2312936096776053E-4</v>
      </c>
      <c r="K1053" s="34">
        <f t="shared" si="65"/>
        <v>9.227034081391583E-4</v>
      </c>
      <c r="L1053" s="34">
        <f t="shared" si="66"/>
        <v>0.9948323774200768</v>
      </c>
      <c r="M1053" s="34">
        <f t="shared" si="67"/>
        <v>0.9939144421949041</v>
      </c>
    </row>
    <row r="1054" spans="1:13" ht="27.6">
      <c r="A1054" t="s">
        <v>164</v>
      </c>
      <c r="B1054" t="s">
        <v>112</v>
      </c>
      <c r="C1054" s="14" t="s">
        <v>294</v>
      </c>
      <c r="D1054" t="s">
        <v>112</v>
      </c>
      <c r="E1054" t="s">
        <v>392</v>
      </c>
      <c r="F1054" s="20">
        <v>2025</v>
      </c>
      <c r="G1054" s="20">
        <v>42</v>
      </c>
      <c r="H1054" s="11">
        <v>4338.5011085091</v>
      </c>
      <c r="I1054" s="10">
        <v>4343004.7687664302</v>
      </c>
      <c r="J1054" s="34">
        <f t="shared" si="64"/>
        <v>9.9896300821732467E-4</v>
      </c>
      <c r="K1054" s="34">
        <f t="shared" si="65"/>
        <v>9.98464210778649E-4</v>
      </c>
      <c r="L1054" s="34">
        <f t="shared" si="66"/>
        <v>0.9939144421949041</v>
      </c>
      <c r="M1054" s="34">
        <f t="shared" si="67"/>
        <v>0.99292205419579649</v>
      </c>
    </row>
    <row r="1055" spans="1:13" ht="27.6">
      <c r="A1055" t="s">
        <v>164</v>
      </c>
      <c r="B1055" t="s">
        <v>112</v>
      </c>
      <c r="C1055" s="14" t="s">
        <v>294</v>
      </c>
      <c r="D1055" t="s">
        <v>112</v>
      </c>
      <c r="E1055" t="s">
        <v>392</v>
      </c>
      <c r="F1055" s="20">
        <v>2025</v>
      </c>
      <c r="G1055" s="20">
        <v>43</v>
      </c>
      <c r="H1055" s="11">
        <v>4570.2356145269896</v>
      </c>
      <c r="I1055" s="10">
        <v>4209764.8222979801</v>
      </c>
      <c r="J1055" s="34">
        <f t="shared" si="64"/>
        <v>1.0856272992542705E-3</v>
      </c>
      <c r="K1055" s="34">
        <f t="shared" si="65"/>
        <v>1.0850382191309738E-3</v>
      </c>
      <c r="L1055" s="34">
        <f t="shared" si="66"/>
        <v>0.99292205419579649</v>
      </c>
      <c r="M1055" s="34">
        <f t="shared" si="67"/>
        <v>0.99184469581837598</v>
      </c>
    </row>
    <row r="1056" spans="1:13" ht="27.6">
      <c r="A1056" t="s">
        <v>164</v>
      </c>
      <c r="B1056" t="s">
        <v>112</v>
      </c>
      <c r="C1056" s="14" t="s">
        <v>294</v>
      </c>
      <c r="D1056" t="s">
        <v>112</v>
      </c>
      <c r="E1056" t="s">
        <v>392</v>
      </c>
      <c r="F1056" s="20">
        <v>2025</v>
      </c>
      <c r="G1056" s="20">
        <v>44</v>
      </c>
      <c r="H1056" s="11">
        <v>4899.1197585141499</v>
      </c>
      <c r="I1056" s="10">
        <v>4140245.42433907</v>
      </c>
      <c r="J1056" s="34">
        <f t="shared" si="64"/>
        <v>1.1832921134853312E-3</v>
      </c>
      <c r="K1056" s="34">
        <f t="shared" si="65"/>
        <v>1.1825922994277427E-3</v>
      </c>
      <c r="L1056" s="34">
        <f t="shared" si="66"/>
        <v>0.99184469581837598</v>
      </c>
      <c r="M1056" s="34">
        <f t="shared" si="67"/>
        <v>0.99067174791887291</v>
      </c>
    </row>
    <row r="1057" spans="1:13" ht="27.6">
      <c r="A1057" t="s">
        <v>164</v>
      </c>
      <c r="B1057" t="s">
        <v>112</v>
      </c>
      <c r="C1057" s="14" t="s">
        <v>294</v>
      </c>
      <c r="D1057" t="s">
        <v>112</v>
      </c>
      <c r="E1057" t="s">
        <v>392</v>
      </c>
      <c r="F1057" s="20">
        <v>2025</v>
      </c>
      <c r="G1057" s="20">
        <v>45</v>
      </c>
      <c r="H1057" s="11">
        <v>6269.5899512424703</v>
      </c>
      <c r="I1057" s="10">
        <v>4087263.42645959</v>
      </c>
      <c r="J1057" s="34">
        <f t="shared" si="64"/>
        <v>1.5339334163428815E-3</v>
      </c>
      <c r="K1057" s="34">
        <f t="shared" si="65"/>
        <v>1.5327575417946049E-3</v>
      </c>
      <c r="L1057" s="34">
        <f t="shared" si="66"/>
        <v>0.99067174791887291</v>
      </c>
      <c r="M1057" s="34">
        <f t="shared" si="67"/>
        <v>0.9891532883258074</v>
      </c>
    </row>
    <row r="1058" spans="1:13" ht="27.6">
      <c r="A1058" t="s">
        <v>164</v>
      </c>
      <c r="B1058" t="s">
        <v>112</v>
      </c>
      <c r="C1058" s="14" t="s">
        <v>294</v>
      </c>
      <c r="D1058" t="s">
        <v>112</v>
      </c>
      <c r="E1058" t="s">
        <v>392</v>
      </c>
      <c r="F1058" s="20">
        <v>2025</v>
      </c>
      <c r="G1058" s="20">
        <v>46</v>
      </c>
      <c r="H1058" s="11">
        <v>6759.6109967268103</v>
      </c>
      <c r="I1058" s="10">
        <v>4028051.8565676999</v>
      </c>
      <c r="J1058" s="34">
        <f t="shared" si="64"/>
        <v>1.6781340552270521E-3</v>
      </c>
      <c r="K1058" s="34">
        <f t="shared" si="65"/>
        <v>1.6767267755847248E-3</v>
      </c>
      <c r="L1058" s="34">
        <f t="shared" si="66"/>
        <v>0.9891532883258074</v>
      </c>
      <c r="M1058" s="34">
        <f t="shared" si="67"/>
        <v>0.98749474852211383</v>
      </c>
    </row>
    <row r="1059" spans="1:13" ht="27.6">
      <c r="A1059" t="s">
        <v>164</v>
      </c>
      <c r="B1059" t="s">
        <v>112</v>
      </c>
      <c r="C1059" s="14" t="s">
        <v>294</v>
      </c>
      <c r="D1059" t="s">
        <v>112</v>
      </c>
      <c r="E1059" t="s">
        <v>392</v>
      </c>
      <c r="F1059" s="20">
        <v>2025</v>
      </c>
      <c r="G1059" s="20">
        <v>47</v>
      </c>
      <c r="H1059" s="11">
        <v>7252.1851127187401</v>
      </c>
      <c r="I1059" s="10">
        <v>3950277.1288906098</v>
      </c>
      <c r="J1059" s="34">
        <f t="shared" si="64"/>
        <v>1.8358674280544549E-3</v>
      </c>
      <c r="K1059" s="34">
        <f t="shared" si="65"/>
        <v>1.8341832542453362E-3</v>
      </c>
      <c r="L1059" s="34">
        <f t="shared" si="66"/>
        <v>0.98749474852211383</v>
      </c>
      <c r="M1059" s="34">
        <f t="shared" si="67"/>
        <v>0.98568350219071932</v>
      </c>
    </row>
    <row r="1060" spans="1:13" ht="27.6">
      <c r="A1060" t="s">
        <v>164</v>
      </c>
      <c r="B1060" t="s">
        <v>112</v>
      </c>
      <c r="C1060" s="14" t="s">
        <v>294</v>
      </c>
      <c r="D1060" t="s">
        <v>112</v>
      </c>
      <c r="E1060" t="s">
        <v>392</v>
      </c>
      <c r="F1060" s="20">
        <v>2025</v>
      </c>
      <c r="G1060" s="20">
        <v>48</v>
      </c>
      <c r="H1060" s="11">
        <v>7813.40832117217</v>
      </c>
      <c r="I1060" s="10">
        <v>3890339.9285664302</v>
      </c>
      <c r="J1060" s="34">
        <f t="shared" si="64"/>
        <v>2.008412751749272E-3</v>
      </c>
      <c r="K1060" s="34">
        <f t="shared" si="65"/>
        <v>2.0063972404106289E-3</v>
      </c>
      <c r="L1060" s="34">
        <f t="shared" si="66"/>
        <v>0.98568350219071932</v>
      </c>
      <c r="M1060" s="34">
        <f t="shared" si="67"/>
        <v>0.98370582953200558</v>
      </c>
    </row>
    <row r="1061" spans="1:13" ht="27.6">
      <c r="A1061" t="s">
        <v>164</v>
      </c>
      <c r="B1061" t="s">
        <v>112</v>
      </c>
      <c r="C1061" s="14" t="s">
        <v>294</v>
      </c>
      <c r="D1061" t="s">
        <v>112</v>
      </c>
      <c r="E1061" t="s">
        <v>392</v>
      </c>
      <c r="F1061" s="20">
        <v>2025</v>
      </c>
      <c r="G1061" s="20">
        <v>49</v>
      </c>
      <c r="H1061" s="11">
        <v>8372.7871740061291</v>
      </c>
      <c r="I1061" s="10">
        <v>3818493.2699654298</v>
      </c>
      <c r="J1061" s="34">
        <f t="shared" si="64"/>
        <v>2.1926939716936916E-3</v>
      </c>
      <c r="K1061" s="34">
        <f t="shared" si="65"/>
        <v>2.1902917743489292E-3</v>
      </c>
      <c r="L1061" s="34">
        <f t="shared" si="66"/>
        <v>0.98370582953200558</v>
      </c>
      <c r="M1061" s="34">
        <f t="shared" si="67"/>
        <v>0.98155122674520257</v>
      </c>
    </row>
    <row r="1062" spans="1:13" ht="27.6">
      <c r="A1062" t="s">
        <v>164</v>
      </c>
      <c r="B1062" t="s">
        <v>112</v>
      </c>
      <c r="C1062" s="14" t="s">
        <v>294</v>
      </c>
      <c r="D1062" t="s">
        <v>112</v>
      </c>
      <c r="E1062" t="s">
        <v>392</v>
      </c>
      <c r="F1062" s="20">
        <v>2025</v>
      </c>
      <c r="G1062" s="20">
        <v>50</v>
      </c>
      <c r="H1062" s="11">
        <v>9615.5587091864199</v>
      </c>
      <c r="I1062" s="10">
        <v>3746208.3894556002</v>
      </c>
      <c r="J1062" s="34">
        <f t="shared" si="64"/>
        <v>2.5667442142971002E-3</v>
      </c>
      <c r="K1062" s="34">
        <f t="shared" si="65"/>
        <v>2.5634529429190422E-3</v>
      </c>
      <c r="L1062" s="34">
        <f t="shared" si="66"/>
        <v>0.98155122674520257</v>
      </c>
      <c r="M1062" s="34">
        <f t="shared" si="67"/>
        <v>0.97903506636437676</v>
      </c>
    </row>
    <row r="1063" spans="1:13" ht="27.6">
      <c r="A1063" t="s">
        <v>164</v>
      </c>
      <c r="B1063" t="s">
        <v>112</v>
      </c>
      <c r="C1063" s="14" t="s">
        <v>294</v>
      </c>
      <c r="D1063" t="s">
        <v>112</v>
      </c>
      <c r="E1063" t="s">
        <v>392</v>
      </c>
      <c r="F1063" s="20">
        <v>2025</v>
      </c>
      <c r="G1063" s="20">
        <v>51</v>
      </c>
      <c r="H1063" s="11">
        <v>10197.774186406499</v>
      </c>
      <c r="I1063" s="10">
        <v>3645044.2152322298</v>
      </c>
      <c r="J1063" s="34">
        <f t="shared" si="64"/>
        <v>2.7977093237418487E-3</v>
      </c>
      <c r="K1063" s="34">
        <f t="shared" si="65"/>
        <v>2.7937993821550711E-3</v>
      </c>
      <c r="L1063" s="34">
        <f t="shared" si="66"/>
        <v>0.97903506636437676</v>
      </c>
      <c r="M1063" s="34">
        <f t="shared" si="67"/>
        <v>0.9762998388008598</v>
      </c>
    </row>
    <row r="1064" spans="1:13" ht="27.6">
      <c r="A1064" t="s">
        <v>164</v>
      </c>
      <c r="B1064" t="s">
        <v>112</v>
      </c>
      <c r="C1064" s="14" t="s">
        <v>294</v>
      </c>
      <c r="D1064" t="s">
        <v>112</v>
      </c>
      <c r="E1064" t="s">
        <v>392</v>
      </c>
      <c r="F1064" s="20">
        <v>2025</v>
      </c>
      <c r="G1064" s="20">
        <v>52</v>
      </c>
      <c r="H1064" s="11">
        <v>10999.185638192401</v>
      </c>
      <c r="I1064" s="10">
        <v>3606935.9642908699</v>
      </c>
      <c r="J1064" s="34">
        <f t="shared" si="64"/>
        <v>3.0494540926386698E-3</v>
      </c>
      <c r="K1064" s="34">
        <f t="shared" si="65"/>
        <v>3.04480923013839E-3</v>
      </c>
      <c r="L1064" s="34">
        <f t="shared" si="66"/>
        <v>0.9762998388008598</v>
      </c>
      <c r="M1064" s="34">
        <f t="shared" si="67"/>
        <v>0.97332719204029627</v>
      </c>
    </row>
    <row r="1065" spans="1:13" ht="27.6">
      <c r="A1065" t="s">
        <v>164</v>
      </c>
      <c r="B1065" t="s">
        <v>112</v>
      </c>
      <c r="C1065" s="14" t="s">
        <v>294</v>
      </c>
      <c r="D1065" t="s">
        <v>112</v>
      </c>
      <c r="E1065" t="s">
        <v>392</v>
      </c>
      <c r="F1065" s="20">
        <v>2025</v>
      </c>
      <c r="G1065" s="20">
        <v>53</v>
      </c>
      <c r="H1065" s="11">
        <v>11320.211791169</v>
      </c>
      <c r="I1065" s="10">
        <v>3400438.0937404898</v>
      </c>
      <c r="J1065" s="34">
        <f t="shared" si="64"/>
        <v>3.329045105101955E-3</v>
      </c>
      <c r="K1065" s="34">
        <f t="shared" si="65"/>
        <v>3.3235099783784916E-3</v>
      </c>
      <c r="L1065" s="34">
        <f t="shared" si="66"/>
        <v>0.97332719204029627</v>
      </c>
      <c r="M1065" s="34">
        <f t="shared" si="67"/>
        <v>0.97009232940532319</v>
      </c>
    </row>
    <row r="1066" spans="1:13" ht="27.6">
      <c r="A1066" t="s">
        <v>164</v>
      </c>
      <c r="B1066" t="s">
        <v>112</v>
      </c>
      <c r="C1066" s="14" t="s">
        <v>294</v>
      </c>
      <c r="D1066" t="s">
        <v>112</v>
      </c>
      <c r="E1066" t="s">
        <v>392</v>
      </c>
      <c r="F1066" s="20">
        <v>2025</v>
      </c>
      <c r="G1066" s="20">
        <v>54</v>
      </c>
      <c r="H1066" s="11">
        <v>12058.0132264927</v>
      </c>
      <c r="I1066" s="10">
        <v>3319306.0235897298</v>
      </c>
      <c r="J1066" s="34">
        <f t="shared" si="64"/>
        <v>3.6326910326431186E-3</v>
      </c>
      <c r="K1066" s="34">
        <f t="shared" si="65"/>
        <v>3.6261007930903366E-3</v>
      </c>
      <c r="L1066" s="34">
        <f t="shared" si="66"/>
        <v>0.97009232940532319</v>
      </c>
      <c r="M1066" s="34">
        <f t="shared" si="67"/>
        <v>0.96657467684029574</v>
      </c>
    </row>
    <row r="1067" spans="1:13" ht="27.6">
      <c r="A1067" t="s">
        <v>164</v>
      </c>
      <c r="B1067" t="s">
        <v>112</v>
      </c>
      <c r="C1067" s="14" t="s">
        <v>294</v>
      </c>
      <c r="D1067" t="s">
        <v>112</v>
      </c>
      <c r="E1067" t="s">
        <v>392</v>
      </c>
      <c r="F1067" s="20">
        <v>2025</v>
      </c>
      <c r="G1067" s="20">
        <v>55</v>
      </c>
      <c r="H1067" s="11">
        <v>13121.8630224673</v>
      </c>
      <c r="I1067" s="10">
        <v>3243129.6175784101</v>
      </c>
      <c r="J1067" s="34">
        <f t="shared" si="64"/>
        <v>4.0460495169061953E-3</v>
      </c>
      <c r="K1067" s="34">
        <f t="shared" si="65"/>
        <v>4.0378752867223922E-3</v>
      </c>
      <c r="L1067" s="34">
        <f t="shared" si="66"/>
        <v>0.96657467684029574</v>
      </c>
      <c r="M1067" s="34">
        <f t="shared" si="67"/>
        <v>0.96267176883991068</v>
      </c>
    </row>
    <row r="1068" spans="1:13" ht="27.6">
      <c r="A1068" t="s">
        <v>164</v>
      </c>
      <c r="B1068" t="s">
        <v>112</v>
      </c>
      <c r="C1068" s="14" t="s">
        <v>294</v>
      </c>
      <c r="D1068" t="s">
        <v>112</v>
      </c>
      <c r="E1068" t="s">
        <v>392</v>
      </c>
      <c r="F1068" s="20">
        <v>2025</v>
      </c>
      <c r="G1068" s="20">
        <v>56</v>
      </c>
      <c r="H1068" s="11">
        <v>13949.400946190999</v>
      </c>
      <c r="I1068" s="10">
        <v>3157182.6324039102</v>
      </c>
      <c r="J1068" s="34">
        <f t="shared" si="64"/>
        <v>4.4183066266172211E-3</v>
      </c>
      <c r="K1068" s="34">
        <f t="shared" si="65"/>
        <v>4.4085602693090253E-3</v>
      </c>
      <c r="L1068" s="34">
        <f t="shared" si="66"/>
        <v>0.96267176883991068</v>
      </c>
      <c r="M1068" s="34">
        <f t="shared" si="67"/>
        <v>0.9584277723274176</v>
      </c>
    </row>
    <row r="1069" spans="1:13" ht="27.6">
      <c r="A1069" t="s">
        <v>164</v>
      </c>
      <c r="B1069" t="s">
        <v>112</v>
      </c>
      <c r="C1069" s="14" t="s">
        <v>294</v>
      </c>
      <c r="D1069" t="s">
        <v>112</v>
      </c>
      <c r="E1069" t="s">
        <v>392</v>
      </c>
      <c r="F1069" s="20">
        <v>2025</v>
      </c>
      <c r="G1069" s="20">
        <v>57</v>
      </c>
      <c r="H1069" s="11">
        <v>14724.934721600501</v>
      </c>
      <c r="I1069" s="10">
        <v>3051443.9184786002</v>
      </c>
      <c r="J1069" s="34">
        <f t="shared" si="64"/>
        <v>4.8255629515033364E-3</v>
      </c>
      <c r="K1069" s="34">
        <f t="shared" si="65"/>
        <v>4.8139386280886542E-3</v>
      </c>
      <c r="L1069" s="34">
        <f t="shared" si="66"/>
        <v>0.9584277723274176</v>
      </c>
      <c r="M1069" s="34">
        <f t="shared" si="67"/>
        <v>0.9538139598519777</v>
      </c>
    </row>
    <row r="1070" spans="1:13" ht="27.6">
      <c r="A1070" t="s">
        <v>164</v>
      </c>
      <c r="B1070" t="s">
        <v>112</v>
      </c>
      <c r="C1070" s="14" t="s">
        <v>294</v>
      </c>
      <c r="D1070" t="s">
        <v>112</v>
      </c>
      <c r="E1070" t="s">
        <v>392</v>
      </c>
      <c r="F1070" s="20">
        <v>2025</v>
      </c>
      <c r="G1070" s="20">
        <v>58</v>
      </c>
      <c r="H1070" s="11">
        <v>15371.2074623554</v>
      </c>
      <c r="I1070" s="10">
        <v>2913456.2078040801</v>
      </c>
      <c r="J1070" s="34">
        <f t="shared" si="64"/>
        <v>5.2759356468724591E-3</v>
      </c>
      <c r="K1070" s="34">
        <f t="shared" si="65"/>
        <v>5.2620423425293605E-3</v>
      </c>
      <c r="L1070" s="34">
        <f t="shared" si="66"/>
        <v>0.9538139598519777</v>
      </c>
      <c r="M1070" s="34">
        <f t="shared" si="67"/>
        <v>0.94879495040834094</v>
      </c>
    </row>
    <row r="1071" spans="1:13" ht="27.6">
      <c r="A1071" t="s">
        <v>164</v>
      </c>
      <c r="B1071" t="s">
        <v>112</v>
      </c>
      <c r="C1071" s="14" t="s">
        <v>294</v>
      </c>
      <c r="D1071" t="s">
        <v>112</v>
      </c>
      <c r="E1071" t="s">
        <v>392</v>
      </c>
      <c r="F1071" s="20">
        <v>2025</v>
      </c>
      <c r="G1071" s="20">
        <v>59</v>
      </c>
      <c r="H1071" s="11">
        <v>16213.810962571</v>
      </c>
      <c r="I1071" s="10">
        <v>2813535.5861543701</v>
      </c>
      <c r="J1071" s="34">
        <f t="shared" si="64"/>
        <v>5.7627886572184971E-3</v>
      </c>
      <c r="K1071" s="34">
        <f t="shared" si="65"/>
        <v>5.7462156415427623E-3</v>
      </c>
      <c r="L1071" s="34">
        <f t="shared" si="66"/>
        <v>0.94879495040834094</v>
      </c>
      <c r="M1071" s="34">
        <f t="shared" si="67"/>
        <v>0.94334297002368772</v>
      </c>
    </row>
    <row r="1072" spans="1:13" ht="27.6">
      <c r="A1072" t="s">
        <v>164</v>
      </c>
      <c r="B1072" t="s">
        <v>112</v>
      </c>
      <c r="C1072" s="14" t="s">
        <v>294</v>
      </c>
      <c r="D1072" t="s">
        <v>112</v>
      </c>
      <c r="E1072" t="s">
        <v>392</v>
      </c>
      <c r="F1072" s="20">
        <v>2025</v>
      </c>
      <c r="G1072" s="20">
        <v>60</v>
      </c>
      <c r="H1072" s="11">
        <v>17442.466213004998</v>
      </c>
      <c r="I1072" s="10">
        <v>2691047.1715373602</v>
      </c>
      <c r="J1072" s="34">
        <f t="shared" si="64"/>
        <v>6.4816649806403595E-3</v>
      </c>
      <c r="K1072" s="34">
        <f t="shared" si="65"/>
        <v>6.4607043013306109E-3</v>
      </c>
      <c r="L1072" s="34">
        <f t="shared" si="66"/>
        <v>0.94334297002368772</v>
      </c>
      <c r="M1072" s="34">
        <f t="shared" si="67"/>
        <v>0.93724831003962572</v>
      </c>
    </row>
    <row r="1073" spans="1:13" ht="27.6">
      <c r="A1073" t="s">
        <v>164</v>
      </c>
      <c r="B1073" t="s">
        <v>112</v>
      </c>
      <c r="C1073" s="14" t="s">
        <v>294</v>
      </c>
      <c r="D1073" t="s">
        <v>112</v>
      </c>
      <c r="E1073" t="s">
        <v>392</v>
      </c>
      <c r="F1073" s="20">
        <v>2025</v>
      </c>
      <c r="G1073" s="20">
        <v>61</v>
      </c>
      <c r="H1073" s="11">
        <v>18185.596214058602</v>
      </c>
      <c r="I1073" s="10">
        <v>2568096.9497317299</v>
      </c>
      <c r="J1073" s="34">
        <f t="shared" si="64"/>
        <v>7.0813511210931178E-3</v>
      </c>
      <c r="K1073" s="34">
        <f t="shared" si="65"/>
        <v>7.0563374326391148E-3</v>
      </c>
      <c r="L1073" s="34">
        <f t="shared" si="66"/>
        <v>0.93724831003962572</v>
      </c>
      <c r="M1073" s="34">
        <f t="shared" si="67"/>
        <v>0.93063476970581538</v>
      </c>
    </row>
    <row r="1074" spans="1:13" ht="27.6">
      <c r="A1074" t="s">
        <v>164</v>
      </c>
      <c r="B1074" t="s">
        <v>112</v>
      </c>
      <c r="C1074" s="14" t="s">
        <v>294</v>
      </c>
      <c r="D1074" t="s">
        <v>112</v>
      </c>
      <c r="E1074" t="s">
        <v>392</v>
      </c>
      <c r="F1074" s="20">
        <v>2025</v>
      </c>
      <c r="G1074" s="20">
        <v>62</v>
      </c>
      <c r="H1074" s="11">
        <v>18970.137623154402</v>
      </c>
      <c r="I1074" s="10">
        <v>2450910.0658219899</v>
      </c>
      <c r="J1074" s="34">
        <f t="shared" si="64"/>
        <v>7.7400382362835364E-3</v>
      </c>
      <c r="K1074" s="34">
        <f t="shared" si="65"/>
        <v>7.7101612729731928E-3</v>
      </c>
      <c r="L1074" s="34">
        <f t="shared" si="66"/>
        <v>0.93063476970581538</v>
      </c>
      <c r="M1074" s="34">
        <f t="shared" si="67"/>
        <v>0.92345942554514726</v>
      </c>
    </row>
    <row r="1075" spans="1:13" ht="27.6">
      <c r="A1075" t="s">
        <v>164</v>
      </c>
      <c r="B1075" t="s">
        <v>112</v>
      </c>
      <c r="C1075" s="14" t="s">
        <v>294</v>
      </c>
      <c r="D1075" t="s">
        <v>112</v>
      </c>
      <c r="E1075" t="s">
        <v>392</v>
      </c>
      <c r="F1075" s="20">
        <v>2025</v>
      </c>
      <c r="G1075" s="20">
        <v>63</v>
      </c>
      <c r="H1075" s="11">
        <v>19616.892194726101</v>
      </c>
      <c r="I1075" s="10">
        <v>2307352.6622382002</v>
      </c>
      <c r="J1075" s="34">
        <f t="shared" si="64"/>
        <v>8.5019045921212299E-3</v>
      </c>
      <c r="K1075" s="34">
        <f t="shared" si="65"/>
        <v>8.465865606931966E-3</v>
      </c>
      <c r="L1075" s="34">
        <f t="shared" si="66"/>
        <v>0.92345942554514726</v>
      </c>
      <c r="M1075" s="34">
        <f t="shared" si="67"/>
        <v>0.91564154215502747</v>
      </c>
    </row>
    <row r="1076" spans="1:13" ht="27.6">
      <c r="A1076" t="s">
        <v>164</v>
      </c>
      <c r="B1076" t="s">
        <v>112</v>
      </c>
      <c r="C1076" s="14" t="s">
        <v>294</v>
      </c>
      <c r="D1076" t="s">
        <v>112</v>
      </c>
      <c r="E1076" t="s">
        <v>392</v>
      </c>
      <c r="F1076" s="20">
        <v>2025</v>
      </c>
      <c r="G1076" s="20">
        <v>64</v>
      </c>
      <c r="H1076" s="11">
        <v>20366.526040230699</v>
      </c>
      <c r="I1076" s="10">
        <v>2189442.45160812</v>
      </c>
      <c r="J1076" s="34">
        <f t="shared" si="64"/>
        <v>9.3021517990900943E-3</v>
      </c>
      <c r="K1076" s="34">
        <f t="shared" si="65"/>
        <v>9.2590206262220809E-3</v>
      </c>
      <c r="L1076" s="34">
        <f t="shared" si="66"/>
        <v>0.91564154215502747</v>
      </c>
      <c r="M1076" s="34">
        <f t="shared" si="67"/>
        <v>0.90716359822998827</v>
      </c>
    </row>
    <row r="1077" spans="1:13" ht="27.6">
      <c r="A1077" t="s">
        <v>164</v>
      </c>
      <c r="B1077" t="s">
        <v>112</v>
      </c>
      <c r="C1077" s="14" t="s">
        <v>294</v>
      </c>
      <c r="D1077" t="s">
        <v>112</v>
      </c>
      <c r="E1077" t="s">
        <v>392</v>
      </c>
      <c r="F1077" s="20">
        <v>2025</v>
      </c>
      <c r="G1077" s="20">
        <v>65</v>
      </c>
      <c r="H1077" s="11">
        <v>20564.818281192602</v>
      </c>
      <c r="I1077" s="10">
        <v>2067379.2956157301</v>
      </c>
      <c r="J1077" s="34">
        <f t="shared" si="64"/>
        <v>9.9472884945709765E-3</v>
      </c>
      <c r="K1077" s="34">
        <f t="shared" si="65"/>
        <v>9.8979778581930189E-3</v>
      </c>
      <c r="L1077" s="34">
        <f t="shared" si="66"/>
        <v>0.90716359822998827</v>
      </c>
      <c r="M1077" s="34">
        <f t="shared" si="67"/>
        <v>0.89818451302094915</v>
      </c>
    </row>
    <row r="1078" spans="1:13" ht="27.6">
      <c r="A1078" t="s">
        <v>164</v>
      </c>
      <c r="B1078" t="s">
        <v>112</v>
      </c>
      <c r="C1078" s="14" t="s">
        <v>294</v>
      </c>
      <c r="D1078" t="s">
        <v>112</v>
      </c>
      <c r="E1078" t="s">
        <v>392</v>
      </c>
      <c r="F1078" s="20">
        <v>2025</v>
      </c>
      <c r="G1078" s="20">
        <v>66</v>
      </c>
      <c r="H1078" s="11">
        <v>21128.4842212808</v>
      </c>
      <c r="I1078" s="10">
        <v>1938977.04767675</v>
      </c>
      <c r="J1078" s="34">
        <f t="shared" si="64"/>
        <v>1.0896717032621194E-2</v>
      </c>
      <c r="K1078" s="34">
        <f t="shared" si="65"/>
        <v>1.08375628686046E-2</v>
      </c>
      <c r="L1078" s="34">
        <f t="shared" si="66"/>
        <v>0.89818451302094915</v>
      </c>
      <c r="M1078" s="34">
        <f t="shared" si="67"/>
        <v>0.88845038189347758</v>
      </c>
    </row>
    <row r="1079" spans="1:13" ht="27.6">
      <c r="A1079" t="s">
        <v>164</v>
      </c>
      <c r="B1079" t="s">
        <v>112</v>
      </c>
      <c r="C1079" s="14" t="s">
        <v>294</v>
      </c>
      <c r="D1079" t="s">
        <v>112</v>
      </c>
      <c r="E1079" t="s">
        <v>392</v>
      </c>
      <c r="F1079" s="20">
        <v>2025</v>
      </c>
      <c r="G1079" s="20">
        <v>67</v>
      </c>
      <c r="H1079" s="11">
        <v>21650.1531142985</v>
      </c>
      <c r="I1079" s="10">
        <v>1812804.58670767</v>
      </c>
      <c r="J1079" s="34">
        <f t="shared" si="64"/>
        <v>1.1942905083673959E-2</v>
      </c>
      <c r="K1079" s="34">
        <f t="shared" si="65"/>
        <v>1.1871871655796173E-2</v>
      </c>
      <c r="L1079" s="34">
        <f t="shared" si="66"/>
        <v>0.88845038189347758</v>
      </c>
      <c r="M1079" s="34">
        <f t="shared" si="67"/>
        <v>0.87790281298709516</v>
      </c>
    </row>
    <row r="1080" spans="1:13" ht="27.6">
      <c r="A1080" t="s">
        <v>164</v>
      </c>
      <c r="B1080" t="s">
        <v>112</v>
      </c>
      <c r="C1080" s="14" t="s">
        <v>294</v>
      </c>
      <c r="D1080" t="s">
        <v>112</v>
      </c>
      <c r="E1080" t="s">
        <v>392</v>
      </c>
      <c r="F1080" s="20">
        <v>2025</v>
      </c>
      <c r="G1080" s="20">
        <v>68</v>
      </c>
      <c r="H1080" s="11">
        <v>22443.5912394105</v>
      </c>
      <c r="I1080" s="10">
        <v>1708817.0374286999</v>
      </c>
      <c r="J1080" s="34">
        <f t="shared" si="64"/>
        <v>1.3133993135497957E-2</v>
      </c>
      <c r="K1080" s="34">
        <f t="shared" si="65"/>
        <v>1.3048118617226434E-2</v>
      </c>
      <c r="L1080" s="34">
        <f t="shared" si="66"/>
        <v>0.87790281298709516</v>
      </c>
      <c r="M1080" s="34">
        <f t="shared" si="67"/>
        <v>0.86644783294884276</v>
      </c>
    </row>
    <row r="1081" spans="1:13" ht="27.6">
      <c r="A1081" t="s">
        <v>164</v>
      </c>
      <c r="B1081" t="s">
        <v>112</v>
      </c>
      <c r="C1081" s="14" t="s">
        <v>294</v>
      </c>
      <c r="D1081" t="s">
        <v>112</v>
      </c>
      <c r="E1081" t="s">
        <v>392</v>
      </c>
      <c r="F1081" s="20">
        <v>2025</v>
      </c>
      <c r="G1081" s="20">
        <v>69</v>
      </c>
      <c r="H1081" s="11">
        <v>22887.513909269201</v>
      </c>
      <c r="I1081" s="10">
        <v>1588246.5017458</v>
      </c>
      <c r="J1081" s="34">
        <f t="shared" si="64"/>
        <v>1.4410555215523065E-2</v>
      </c>
      <c r="K1081" s="34">
        <f t="shared" si="65"/>
        <v>1.430722013219754E-2</v>
      </c>
      <c r="L1081" s="34">
        <f t="shared" si="66"/>
        <v>0.86644783294884276</v>
      </c>
      <c r="M1081" s="34">
        <f t="shared" si="67"/>
        <v>0.85405137306977819</v>
      </c>
    </row>
    <row r="1082" spans="1:13" ht="27.6">
      <c r="A1082" t="s">
        <v>164</v>
      </c>
      <c r="B1082" t="s">
        <v>112</v>
      </c>
      <c r="C1082" s="14" t="s">
        <v>294</v>
      </c>
      <c r="D1082" t="s">
        <v>112</v>
      </c>
      <c r="E1082" t="s">
        <v>392</v>
      </c>
      <c r="F1082" s="20">
        <v>2026</v>
      </c>
      <c r="G1082" s="20">
        <v>30</v>
      </c>
      <c r="H1082" s="11">
        <v>1298.2598451834899</v>
      </c>
      <c r="I1082" s="10">
        <v>4533066.0543112801</v>
      </c>
      <c r="J1082" s="34">
        <f t="shared" si="64"/>
        <v>2.8639773381390485E-4</v>
      </c>
      <c r="K1082" s="34">
        <f t="shared" si="65"/>
        <v>2.8635672589794048E-4</v>
      </c>
      <c r="L1082" s="34">
        <f t="shared" si="66"/>
        <v>1</v>
      </c>
      <c r="M1082" s="34">
        <f t="shared" si="67"/>
        <v>0.99971364327410206</v>
      </c>
    </row>
    <row r="1083" spans="1:13" ht="27.6">
      <c r="A1083" t="s">
        <v>164</v>
      </c>
      <c r="B1083" t="s">
        <v>112</v>
      </c>
      <c r="C1083" s="14" t="s">
        <v>294</v>
      </c>
      <c r="D1083" t="s">
        <v>112</v>
      </c>
      <c r="E1083" t="s">
        <v>392</v>
      </c>
      <c r="F1083" s="20">
        <v>2026</v>
      </c>
      <c r="G1083" s="20">
        <v>31</v>
      </c>
      <c r="H1083" s="11">
        <v>1327.5583643581999</v>
      </c>
      <c r="I1083" s="10">
        <v>4460323.1301352903</v>
      </c>
      <c r="J1083" s="34">
        <f t="shared" si="64"/>
        <v>2.976372620604132E-4</v>
      </c>
      <c r="K1083" s="34">
        <f t="shared" si="65"/>
        <v>2.9759297248466154E-4</v>
      </c>
      <c r="L1083" s="34">
        <f t="shared" si="66"/>
        <v>0.99971364327410206</v>
      </c>
      <c r="M1083" s="34">
        <f t="shared" si="67"/>
        <v>0.9994161355193667</v>
      </c>
    </row>
    <row r="1084" spans="1:13" ht="27.6">
      <c r="A1084" t="s">
        <v>164</v>
      </c>
      <c r="B1084" t="s">
        <v>112</v>
      </c>
      <c r="C1084" s="14" t="s">
        <v>294</v>
      </c>
      <c r="D1084" t="s">
        <v>112</v>
      </c>
      <c r="E1084" t="s">
        <v>392</v>
      </c>
      <c r="F1084" s="20">
        <v>2026</v>
      </c>
      <c r="G1084" s="20">
        <v>32</v>
      </c>
      <c r="H1084" s="11">
        <v>1370.31215352811</v>
      </c>
      <c r="I1084" s="10">
        <v>4404105.5955011798</v>
      </c>
      <c r="J1084" s="34">
        <f t="shared" si="64"/>
        <v>3.1114425478986972E-4</v>
      </c>
      <c r="K1084" s="34">
        <f t="shared" si="65"/>
        <v>3.1109585443622745E-4</v>
      </c>
      <c r="L1084" s="34">
        <f t="shared" si="66"/>
        <v>0.9994161355193667</v>
      </c>
      <c r="M1084" s="34">
        <f t="shared" si="67"/>
        <v>0.99910522130274992</v>
      </c>
    </row>
    <row r="1085" spans="1:13" ht="27.6">
      <c r="A1085" t="s">
        <v>164</v>
      </c>
      <c r="B1085" t="s">
        <v>112</v>
      </c>
      <c r="C1085" s="14" t="s">
        <v>294</v>
      </c>
      <c r="D1085" t="s">
        <v>112</v>
      </c>
      <c r="E1085" t="s">
        <v>392</v>
      </c>
      <c r="F1085" s="20">
        <v>2026</v>
      </c>
      <c r="G1085" s="20">
        <v>33</v>
      </c>
      <c r="H1085" s="11">
        <v>1424.8661251639101</v>
      </c>
      <c r="I1085" s="10">
        <v>4351714.9235323099</v>
      </c>
      <c r="J1085" s="34">
        <f t="shared" si="64"/>
        <v>3.2742634804932002E-4</v>
      </c>
      <c r="K1085" s="34">
        <f t="shared" si="65"/>
        <v>3.2737274989258491E-4</v>
      </c>
      <c r="L1085" s="34">
        <f t="shared" si="66"/>
        <v>0.99910522130274992</v>
      </c>
      <c r="M1085" s="34">
        <f t="shared" si="67"/>
        <v>0.99877814147902</v>
      </c>
    </row>
    <row r="1086" spans="1:13" ht="27.6">
      <c r="A1086" t="s">
        <v>164</v>
      </c>
      <c r="B1086" t="s">
        <v>112</v>
      </c>
      <c r="C1086" s="14" t="s">
        <v>294</v>
      </c>
      <c r="D1086" t="s">
        <v>112</v>
      </c>
      <c r="E1086" t="s">
        <v>392</v>
      </c>
      <c r="F1086" s="20">
        <v>2026</v>
      </c>
      <c r="G1086" s="20">
        <v>34</v>
      </c>
      <c r="H1086" s="11">
        <v>1522.00636378282</v>
      </c>
      <c r="I1086" s="10">
        <v>4391577.8053373601</v>
      </c>
      <c r="J1086" s="34">
        <f t="shared" si="64"/>
        <v>3.4657392655847521E-4</v>
      </c>
      <c r="K1086" s="34">
        <f t="shared" si="65"/>
        <v>3.4651387675266321E-4</v>
      </c>
      <c r="L1086" s="34">
        <f t="shared" si="66"/>
        <v>0.99877814147902</v>
      </c>
      <c r="M1086" s="34">
        <f t="shared" si="67"/>
        <v>0.99843205099320032</v>
      </c>
    </row>
    <row r="1087" spans="1:13" ht="27.6">
      <c r="A1087" t="s">
        <v>164</v>
      </c>
      <c r="B1087" t="s">
        <v>112</v>
      </c>
      <c r="C1087" s="14" t="s">
        <v>294</v>
      </c>
      <c r="D1087" t="s">
        <v>112</v>
      </c>
      <c r="E1087" t="s">
        <v>392</v>
      </c>
      <c r="F1087" s="20">
        <v>2026</v>
      </c>
      <c r="G1087" s="20">
        <v>35</v>
      </c>
      <c r="H1087" s="11">
        <v>2112.2724309371602</v>
      </c>
      <c r="I1087" s="10">
        <v>4411881.6374131404</v>
      </c>
      <c r="J1087" s="34">
        <f t="shared" si="64"/>
        <v>4.7876906148725884E-4</v>
      </c>
      <c r="K1087" s="34">
        <f t="shared" si="65"/>
        <v>4.7865446986850024E-4</v>
      </c>
      <c r="L1087" s="34">
        <f t="shared" si="66"/>
        <v>0.99843205099320032</v>
      </c>
      <c r="M1087" s="34">
        <f t="shared" si="67"/>
        <v>0.99795414702913243</v>
      </c>
    </row>
    <row r="1088" spans="1:13" ht="27.6">
      <c r="A1088" t="s">
        <v>164</v>
      </c>
      <c r="B1088" t="s">
        <v>112</v>
      </c>
      <c r="C1088" s="14" t="s">
        <v>294</v>
      </c>
      <c r="D1088" t="s">
        <v>112</v>
      </c>
      <c r="E1088" t="s">
        <v>392</v>
      </c>
      <c r="F1088" s="20">
        <v>2026</v>
      </c>
      <c r="G1088" s="20">
        <v>36</v>
      </c>
      <c r="H1088" s="11">
        <v>3196.7710195763798</v>
      </c>
      <c r="I1088" s="10">
        <v>6497474.0831258101</v>
      </c>
      <c r="J1088" s="34">
        <f t="shared" si="64"/>
        <v>4.9200211938952047E-4</v>
      </c>
      <c r="K1088" s="34">
        <f t="shared" si="65"/>
        <v>4.9188110619380332E-4</v>
      </c>
      <c r="L1088" s="34">
        <f t="shared" si="66"/>
        <v>0.99795414702913243</v>
      </c>
      <c r="M1088" s="34">
        <f t="shared" si="67"/>
        <v>0.99746327223936104</v>
      </c>
    </row>
    <row r="1089" spans="1:13" ht="27.6">
      <c r="A1089" t="s">
        <v>164</v>
      </c>
      <c r="B1089" t="s">
        <v>112</v>
      </c>
      <c r="C1089" s="14" t="s">
        <v>294</v>
      </c>
      <c r="D1089" t="s">
        <v>112</v>
      </c>
      <c r="E1089" t="s">
        <v>392</v>
      </c>
      <c r="F1089" s="20">
        <v>2026</v>
      </c>
      <c r="G1089" s="20">
        <v>37</v>
      </c>
      <c r="H1089" s="11">
        <v>2396.7391357399702</v>
      </c>
      <c r="I1089" s="10">
        <v>4374564.9523159303</v>
      </c>
      <c r="J1089" s="34">
        <f t="shared" si="64"/>
        <v>5.4788056912290608E-4</v>
      </c>
      <c r="K1089" s="34">
        <f t="shared" si="65"/>
        <v>5.4773050996992367E-4</v>
      </c>
      <c r="L1089" s="34">
        <f t="shared" si="66"/>
        <v>0.99746327223936104</v>
      </c>
      <c r="M1089" s="34">
        <f t="shared" si="67"/>
        <v>0.99691693117258107</v>
      </c>
    </row>
    <row r="1090" spans="1:13" ht="27.6">
      <c r="A1090" t="s">
        <v>164</v>
      </c>
      <c r="B1090" t="s">
        <v>112</v>
      </c>
      <c r="C1090" s="14" t="s">
        <v>294</v>
      </c>
      <c r="D1090" t="s">
        <v>112</v>
      </c>
      <c r="E1090" t="s">
        <v>392</v>
      </c>
      <c r="F1090" s="20">
        <v>2026</v>
      </c>
      <c r="G1090" s="20">
        <v>38</v>
      </c>
      <c r="H1090" s="11">
        <v>2562.85375065259</v>
      </c>
      <c r="I1090" s="10">
        <v>4360550.0371502098</v>
      </c>
      <c r="J1090" s="34">
        <f t="shared" ref="J1090:J1153" si="68">IF(I1090&gt;0,H1090/I1090,0)</f>
        <v>5.877363472080498E-4</v>
      </c>
      <c r="K1090" s="34">
        <f t="shared" ref="K1090:K1153" si="69">1-EXP(-J1090)</f>
        <v>5.8756366403356353E-4</v>
      </c>
      <c r="L1090" s="34">
        <f t="shared" ref="L1090:L1153" si="70">IF(G1090=30,1,M1089)</f>
        <v>0.99691693117258107</v>
      </c>
      <c r="M1090" s="34">
        <f t="shared" ref="M1090:M1153" si="71">L1090*(1-K1090)</f>
        <v>0.99633117900776424</v>
      </c>
    </row>
    <row r="1091" spans="1:13" ht="27.6">
      <c r="A1091" t="s">
        <v>164</v>
      </c>
      <c r="B1091" t="s">
        <v>112</v>
      </c>
      <c r="C1091" s="14" t="s">
        <v>294</v>
      </c>
      <c r="D1091" t="s">
        <v>112</v>
      </c>
      <c r="E1091" t="s">
        <v>392</v>
      </c>
      <c r="F1091" s="20">
        <v>2026</v>
      </c>
      <c r="G1091" s="20">
        <v>39</v>
      </c>
      <c r="H1091" s="11">
        <v>2670.9482401556502</v>
      </c>
      <c r="I1091" s="10">
        <v>4230055.1465403503</v>
      </c>
      <c r="J1091" s="34">
        <f t="shared" si="68"/>
        <v>6.3142161216033974E-4</v>
      </c>
      <c r="K1091" s="34">
        <f t="shared" si="69"/>
        <v>6.3122230748480224E-4</v>
      </c>
      <c r="L1091" s="34">
        <f t="shared" si="70"/>
        <v>0.99633117900776424</v>
      </c>
      <c r="M1091" s="34">
        <f t="shared" si="71"/>
        <v>0.99570227254193189</v>
      </c>
    </row>
    <row r="1092" spans="1:13" ht="27.6">
      <c r="A1092" t="s">
        <v>164</v>
      </c>
      <c r="B1092" t="s">
        <v>112</v>
      </c>
      <c r="C1092" s="14" t="s">
        <v>294</v>
      </c>
      <c r="D1092" t="s">
        <v>112</v>
      </c>
      <c r="E1092" t="s">
        <v>392</v>
      </c>
      <c r="F1092" s="20">
        <v>2026</v>
      </c>
      <c r="G1092" s="20">
        <v>40</v>
      </c>
      <c r="H1092" s="11">
        <v>3575.3860374042101</v>
      </c>
      <c r="I1092" s="10">
        <v>4198447.8035707204</v>
      </c>
      <c r="J1092" s="34">
        <f t="shared" si="68"/>
        <v>8.5159711509653522E-4</v>
      </c>
      <c r="K1092" s="34">
        <f t="shared" si="69"/>
        <v>8.5123460918357097E-4</v>
      </c>
      <c r="L1092" s="34">
        <f t="shared" si="70"/>
        <v>0.99570227254193189</v>
      </c>
      <c r="M1092" s="34">
        <f t="shared" si="71"/>
        <v>0.99485469630710144</v>
      </c>
    </row>
    <row r="1093" spans="1:13" ht="27.6">
      <c r="A1093" t="s">
        <v>164</v>
      </c>
      <c r="B1093" t="s">
        <v>112</v>
      </c>
      <c r="C1093" s="14" t="s">
        <v>294</v>
      </c>
      <c r="D1093" t="s">
        <v>112</v>
      </c>
      <c r="E1093" t="s">
        <v>392</v>
      </c>
      <c r="F1093" s="20">
        <v>2026</v>
      </c>
      <c r="G1093" s="20">
        <v>41</v>
      </c>
      <c r="H1093" s="11">
        <v>3915.4403431639798</v>
      </c>
      <c r="I1093" s="10">
        <v>4261037.2256107796</v>
      </c>
      <c r="J1093" s="34">
        <f t="shared" si="68"/>
        <v>9.1889371902934697E-4</v>
      </c>
      <c r="K1093" s="34">
        <f t="shared" si="69"/>
        <v>9.1847166547998071E-4</v>
      </c>
      <c r="L1093" s="34">
        <f t="shared" si="70"/>
        <v>0.99485469630710144</v>
      </c>
      <c r="M1093" s="34">
        <f t="shared" si="71"/>
        <v>0.99394095045727371</v>
      </c>
    </row>
    <row r="1094" spans="1:13" ht="27.6">
      <c r="A1094" t="s">
        <v>164</v>
      </c>
      <c r="B1094" t="s">
        <v>112</v>
      </c>
      <c r="C1094" s="14" t="s">
        <v>294</v>
      </c>
      <c r="D1094" t="s">
        <v>112</v>
      </c>
      <c r="E1094" t="s">
        <v>392</v>
      </c>
      <c r="F1094" s="20">
        <v>2026</v>
      </c>
      <c r="G1094" s="20">
        <v>42</v>
      </c>
      <c r="H1094" s="11">
        <v>4327.6501857735902</v>
      </c>
      <c r="I1094" s="10">
        <v>4350355.9327113004</v>
      </c>
      <c r="J1094" s="34">
        <f t="shared" si="68"/>
        <v>9.9478071512103619E-4</v>
      </c>
      <c r="K1094" s="34">
        <f t="shared" si="69"/>
        <v>9.9428608481522129E-4</v>
      </c>
      <c r="L1094" s="34">
        <f t="shared" si="70"/>
        <v>0.99394095045727371</v>
      </c>
      <c r="M1094" s="34">
        <f t="shared" si="71"/>
        <v>0.99295268880110599</v>
      </c>
    </row>
    <row r="1095" spans="1:13" ht="27.6">
      <c r="A1095" t="s">
        <v>164</v>
      </c>
      <c r="B1095" t="s">
        <v>112</v>
      </c>
      <c r="C1095" s="14" t="s">
        <v>294</v>
      </c>
      <c r="D1095" t="s">
        <v>112</v>
      </c>
      <c r="E1095" t="s">
        <v>392</v>
      </c>
      <c r="F1095" s="20">
        <v>2026</v>
      </c>
      <c r="G1095" s="20">
        <v>43</v>
      </c>
      <c r="H1095" s="11">
        <v>4680.3666983425401</v>
      </c>
      <c r="I1095" s="10">
        <v>4329966.9582921397</v>
      </c>
      <c r="J1095" s="34">
        <f t="shared" si="68"/>
        <v>1.0809243450182373E-3</v>
      </c>
      <c r="K1095" s="34">
        <f t="shared" si="69"/>
        <v>1.0803403567331005E-3</v>
      </c>
      <c r="L1095" s="34">
        <f t="shared" si="70"/>
        <v>0.99295268880110599</v>
      </c>
      <c r="M1095" s="34">
        <f t="shared" si="71"/>
        <v>0.99187996193906747</v>
      </c>
    </row>
    <row r="1096" spans="1:13" ht="27.6">
      <c r="A1096" t="s">
        <v>164</v>
      </c>
      <c r="B1096" t="s">
        <v>112</v>
      </c>
      <c r="C1096" s="14" t="s">
        <v>294</v>
      </c>
      <c r="D1096" t="s">
        <v>112</v>
      </c>
      <c r="E1096" t="s">
        <v>392</v>
      </c>
      <c r="F1096" s="20">
        <v>2026</v>
      </c>
      <c r="G1096" s="20">
        <v>44</v>
      </c>
      <c r="H1096" s="11">
        <v>4947.1323027635199</v>
      </c>
      <c r="I1096" s="10">
        <v>4196064.8244996797</v>
      </c>
      <c r="J1096" s="34">
        <f t="shared" si="68"/>
        <v>1.178993297214705E-3</v>
      </c>
      <c r="K1096" s="34">
        <f t="shared" si="69"/>
        <v>1.1782985576751503E-3</v>
      </c>
      <c r="L1096" s="34">
        <f t="shared" si="70"/>
        <v>0.99187996193906747</v>
      </c>
      <c r="M1096" s="34">
        <f t="shared" si="71"/>
        <v>0.99071123121052773</v>
      </c>
    </row>
    <row r="1097" spans="1:13" ht="27.6">
      <c r="A1097" t="s">
        <v>164</v>
      </c>
      <c r="B1097" t="s">
        <v>112</v>
      </c>
      <c r="C1097" s="14" t="s">
        <v>294</v>
      </c>
      <c r="D1097" t="s">
        <v>112</v>
      </c>
      <c r="E1097" t="s">
        <v>392</v>
      </c>
      <c r="F1097" s="20">
        <v>2026</v>
      </c>
      <c r="G1097" s="20">
        <v>45</v>
      </c>
      <c r="H1097" s="11">
        <v>6302.2666866755899</v>
      </c>
      <c r="I1097" s="10">
        <v>4125591.44550924</v>
      </c>
      <c r="J1097" s="34">
        <f t="shared" si="68"/>
        <v>1.5276031982119046E-3</v>
      </c>
      <c r="K1097" s="34">
        <f t="shared" si="69"/>
        <v>1.5264370063480248E-3</v>
      </c>
      <c r="L1097" s="34">
        <f t="shared" si="70"/>
        <v>0.99071123121052773</v>
      </c>
      <c r="M1097" s="34">
        <f t="shared" si="71"/>
        <v>0.98919897292460335</v>
      </c>
    </row>
    <row r="1098" spans="1:13" ht="27.6">
      <c r="A1098" t="s">
        <v>164</v>
      </c>
      <c r="B1098" t="s">
        <v>112</v>
      </c>
      <c r="C1098" s="14" t="s">
        <v>294</v>
      </c>
      <c r="D1098" t="s">
        <v>112</v>
      </c>
      <c r="E1098" t="s">
        <v>392</v>
      </c>
      <c r="F1098" s="20">
        <v>2026</v>
      </c>
      <c r="G1098" s="20">
        <v>46</v>
      </c>
      <c r="H1098" s="11">
        <v>6804.0442172521298</v>
      </c>
      <c r="I1098" s="10">
        <v>4070423.7966079102</v>
      </c>
      <c r="J1098" s="34">
        <f t="shared" si="68"/>
        <v>1.6715812793061705E-3</v>
      </c>
      <c r="K1098" s="34">
        <f t="shared" si="69"/>
        <v>1.6701849654452428E-3</v>
      </c>
      <c r="L1098" s="34">
        <f t="shared" si="70"/>
        <v>0.98919897292460335</v>
      </c>
      <c r="M1098" s="34">
        <f t="shared" si="71"/>
        <v>0.98754682767219082</v>
      </c>
    </row>
    <row r="1099" spans="1:13" ht="27.6">
      <c r="A1099" t="s">
        <v>164</v>
      </c>
      <c r="B1099" t="s">
        <v>112</v>
      </c>
      <c r="C1099" s="14" t="s">
        <v>294</v>
      </c>
      <c r="D1099" t="s">
        <v>112</v>
      </c>
      <c r="E1099" t="s">
        <v>392</v>
      </c>
      <c r="F1099" s="20">
        <v>2026</v>
      </c>
      <c r="G1099" s="20">
        <v>47</v>
      </c>
      <c r="H1099" s="11">
        <v>7337.1588340071303</v>
      </c>
      <c r="I1099" s="10">
        <v>4010952.63156028</v>
      </c>
      <c r="J1099" s="34">
        <f t="shared" si="68"/>
        <v>1.8292808487127259E-3</v>
      </c>
      <c r="K1099" s="34">
        <f t="shared" si="69"/>
        <v>1.8276087342453673E-3</v>
      </c>
      <c r="L1099" s="34">
        <f t="shared" si="70"/>
        <v>0.98754682767219082</v>
      </c>
      <c r="M1099" s="34">
        <f t="shared" si="71"/>
        <v>0.98574197846446077</v>
      </c>
    </row>
    <row r="1100" spans="1:13" ht="27.6">
      <c r="A1100" t="s">
        <v>164</v>
      </c>
      <c r="B1100" t="s">
        <v>112</v>
      </c>
      <c r="C1100" s="14" t="s">
        <v>294</v>
      </c>
      <c r="D1100" t="s">
        <v>112</v>
      </c>
      <c r="E1100" t="s">
        <v>392</v>
      </c>
      <c r="F1100" s="20">
        <v>2026</v>
      </c>
      <c r="G1100" s="20">
        <v>48</v>
      </c>
      <c r="H1100" s="11">
        <v>7865.9556357665897</v>
      </c>
      <c r="I1100" s="10">
        <v>3931934.3335516001</v>
      </c>
      <c r="J1100" s="34">
        <f t="shared" si="68"/>
        <v>2.0005307740380051E-3</v>
      </c>
      <c r="K1100" s="34">
        <f t="shared" si="69"/>
        <v>1.9985310460771677E-3</v>
      </c>
      <c r="L1100" s="34">
        <f t="shared" si="70"/>
        <v>0.98574197846446077</v>
      </c>
      <c r="M1100" s="34">
        <f t="shared" si="71"/>
        <v>0.983771942517078</v>
      </c>
    </row>
    <row r="1101" spans="1:13" ht="27.6">
      <c r="A1101" t="s">
        <v>164</v>
      </c>
      <c r="B1101" t="s">
        <v>112</v>
      </c>
      <c r="C1101" s="14" t="s">
        <v>294</v>
      </c>
      <c r="D1101" t="s">
        <v>112</v>
      </c>
      <c r="E1101" t="s">
        <v>392</v>
      </c>
      <c r="F1101" s="20">
        <v>2026</v>
      </c>
      <c r="G1101" s="20">
        <v>49</v>
      </c>
      <c r="H1101" s="11">
        <v>8466.3218605494294</v>
      </c>
      <c r="I1101" s="10">
        <v>3870575.5451465598</v>
      </c>
      <c r="J1101" s="34">
        <f t="shared" si="68"/>
        <v>2.1873547646332919E-3</v>
      </c>
      <c r="K1101" s="34">
        <f t="shared" si="69"/>
        <v>2.1849642474874864E-3</v>
      </c>
      <c r="L1101" s="34">
        <f t="shared" si="70"/>
        <v>0.983771942517078</v>
      </c>
      <c r="M1101" s="34">
        <f t="shared" si="71"/>
        <v>0.98162243599499688</v>
      </c>
    </row>
    <row r="1102" spans="1:13" ht="27.6">
      <c r="A1102" t="s">
        <v>164</v>
      </c>
      <c r="B1102" t="s">
        <v>112</v>
      </c>
      <c r="C1102" s="14" t="s">
        <v>294</v>
      </c>
      <c r="D1102" t="s">
        <v>112</v>
      </c>
      <c r="E1102" t="s">
        <v>392</v>
      </c>
      <c r="F1102" s="20">
        <v>2026</v>
      </c>
      <c r="G1102" s="20">
        <v>50</v>
      </c>
      <c r="H1102" s="11">
        <v>9712.0272316296705</v>
      </c>
      <c r="I1102" s="10">
        <v>3797304.3722928599</v>
      </c>
      <c r="J1102" s="34">
        <f t="shared" si="68"/>
        <v>2.5576109469901214E-3</v>
      </c>
      <c r="K1102" s="34">
        <f t="shared" si="69"/>
        <v>2.554343046711538E-3</v>
      </c>
      <c r="L1102" s="34">
        <f t="shared" si="70"/>
        <v>0.98162243599499688</v>
      </c>
      <c r="M1102" s="34">
        <f t="shared" si="71"/>
        <v>0.97911503555111701</v>
      </c>
    </row>
    <row r="1103" spans="1:13" ht="27.6">
      <c r="A1103" t="s">
        <v>164</v>
      </c>
      <c r="B1103" t="s">
        <v>112</v>
      </c>
      <c r="C1103" s="14" t="s">
        <v>294</v>
      </c>
      <c r="D1103" t="s">
        <v>112</v>
      </c>
      <c r="E1103" t="s">
        <v>392</v>
      </c>
      <c r="F1103" s="20">
        <v>2026</v>
      </c>
      <c r="G1103" s="20">
        <v>51</v>
      </c>
      <c r="H1103" s="11">
        <v>10382.2543119766</v>
      </c>
      <c r="I1103" s="10">
        <v>3722619.1646646499</v>
      </c>
      <c r="J1103" s="34">
        <f t="shared" si="68"/>
        <v>2.7889649337556879E-3</v>
      </c>
      <c r="K1103" s="34">
        <f t="shared" si="69"/>
        <v>2.7850793841147636E-3</v>
      </c>
      <c r="L1103" s="34">
        <f t="shared" si="70"/>
        <v>0.97911503555111701</v>
      </c>
      <c r="M1103" s="34">
        <f t="shared" si="71"/>
        <v>0.97638812245092677</v>
      </c>
    </row>
    <row r="1104" spans="1:13" ht="27.6">
      <c r="A1104" t="s">
        <v>164</v>
      </c>
      <c r="B1104" t="s">
        <v>112</v>
      </c>
      <c r="C1104" s="14" t="s">
        <v>294</v>
      </c>
      <c r="D1104" t="s">
        <v>112</v>
      </c>
      <c r="E1104" t="s">
        <v>392</v>
      </c>
      <c r="F1104" s="20">
        <v>2026</v>
      </c>
      <c r="G1104" s="20">
        <v>52</v>
      </c>
      <c r="H1104" s="11">
        <v>11011.7856391279</v>
      </c>
      <c r="I1104" s="10">
        <v>3620908.9042928098</v>
      </c>
      <c r="J1104" s="34">
        <f t="shared" si="68"/>
        <v>3.0411661630240826E-3</v>
      </c>
      <c r="K1104" s="34">
        <f t="shared" si="69"/>
        <v>3.036546501447912E-3</v>
      </c>
      <c r="L1104" s="34">
        <f t="shared" si="70"/>
        <v>0.97638812245092677</v>
      </c>
      <c r="M1104" s="34">
        <f t="shared" si="71"/>
        <v>0.97342327451364308</v>
      </c>
    </row>
    <row r="1105" spans="1:13" ht="27.6">
      <c r="A1105" t="s">
        <v>164</v>
      </c>
      <c r="B1105" t="s">
        <v>112</v>
      </c>
      <c r="C1105" s="14" t="s">
        <v>294</v>
      </c>
      <c r="D1105" t="s">
        <v>112</v>
      </c>
      <c r="E1105" t="s">
        <v>392</v>
      </c>
      <c r="F1105" s="20">
        <v>2026</v>
      </c>
      <c r="G1105" s="20">
        <v>53</v>
      </c>
      <c r="H1105" s="11">
        <v>11878.449429431501</v>
      </c>
      <c r="I1105" s="10">
        <v>3580910.0655161198</v>
      </c>
      <c r="J1105" s="34">
        <f t="shared" si="68"/>
        <v>3.3171593846547634E-3</v>
      </c>
      <c r="K1105" s="34">
        <f t="shared" si="69"/>
        <v>3.3116636898411489E-3</v>
      </c>
      <c r="L1105" s="34">
        <f t="shared" si="70"/>
        <v>0.97342327451364308</v>
      </c>
      <c r="M1105" s="34">
        <f t="shared" si="71"/>
        <v>0.97019962400059001</v>
      </c>
    </row>
    <row r="1106" spans="1:13" ht="27.6">
      <c r="A1106" t="s">
        <v>164</v>
      </c>
      <c r="B1106" t="s">
        <v>112</v>
      </c>
      <c r="C1106" s="14" t="s">
        <v>294</v>
      </c>
      <c r="D1106" t="s">
        <v>112</v>
      </c>
      <c r="E1106" t="s">
        <v>392</v>
      </c>
      <c r="F1106" s="20">
        <v>2026</v>
      </c>
      <c r="G1106" s="20">
        <v>54</v>
      </c>
      <c r="H1106" s="11">
        <v>12226.908420293201</v>
      </c>
      <c r="I1106" s="10">
        <v>3373668.6349852402</v>
      </c>
      <c r="J1106" s="34">
        <f t="shared" si="68"/>
        <v>3.6242173559961066E-3</v>
      </c>
      <c r="K1106" s="34">
        <f t="shared" si="69"/>
        <v>3.6176578070774568E-3</v>
      </c>
      <c r="L1106" s="34">
        <f t="shared" si="70"/>
        <v>0.97019962400059001</v>
      </c>
      <c r="M1106" s="34">
        <f t="shared" si="71"/>
        <v>0.96668977375640064</v>
      </c>
    </row>
    <row r="1107" spans="1:13" ht="27.6">
      <c r="A1107" t="s">
        <v>164</v>
      </c>
      <c r="B1107" t="s">
        <v>112</v>
      </c>
      <c r="C1107" s="14" t="s">
        <v>294</v>
      </c>
      <c r="D1107" t="s">
        <v>112</v>
      </c>
      <c r="E1107" t="s">
        <v>392</v>
      </c>
      <c r="F1107" s="20">
        <v>2026</v>
      </c>
      <c r="G1107" s="20">
        <v>55</v>
      </c>
      <c r="H1107" s="11">
        <v>13256.9049597389</v>
      </c>
      <c r="I1107" s="10">
        <v>3290805.9639367298</v>
      </c>
      <c r="J1107" s="34">
        <f t="shared" si="68"/>
        <v>4.0284675258944504E-3</v>
      </c>
      <c r="K1107" s="34">
        <f t="shared" si="69"/>
        <v>4.0203641356576503E-3</v>
      </c>
      <c r="L1107" s="34">
        <f t="shared" si="70"/>
        <v>0.96668977375640064</v>
      </c>
      <c r="M1107" s="34">
        <f t="shared" si="71"/>
        <v>0.96280332885968345</v>
      </c>
    </row>
    <row r="1108" spans="1:13" ht="27.6">
      <c r="A1108" t="s">
        <v>164</v>
      </c>
      <c r="B1108" t="s">
        <v>112</v>
      </c>
      <c r="C1108" s="14" t="s">
        <v>294</v>
      </c>
      <c r="D1108" t="s">
        <v>112</v>
      </c>
      <c r="E1108" t="s">
        <v>392</v>
      </c>
      <c r="F1108" s="20">
        <v>2026</v>
      </c>
      <c r="G1108" s="20">
        <v>56</v>
      </c>
      <c r="H1108" s="11">
        <v>14131.6712856715</v>
      </c>
      <c r="I1108" s="10">
        <v>3212214.28114487</v>
      </c>
      <c r="J1108" s="34">
        <f t="shared" si="68"/>
        <v>4.3993551017508115E-3</v>
      </c>
      <c r="K1108" s="34">
        <f t="shared" si="69"/>
        <v>4.3896921145926138E-3</v>
      </c>
      <c r="L1108" s="34">
        <f t="shared" si="70"/>
        <v>0.96280332885968345</v>
      </c>
      <c r="M1108" s="34">
        <f t="shared" si="71"/>
        <v>0.95857691867908457</v>
      </c>
    </row>
    <row r="1109" spans="1:13" ht="27.6">
      <c r="A1109" t="s">
        <v>164</v>
      </c>
      <c r="B1109" t="s">
        <v>112</v>
      </c>
      <c r="C1109" s="14" t="s">
        <v>294</v>
      </c>
      <c r="D1109" t="s">
        <v>112</v>
      </c>
      <c r="E1109" t="s">
        <v>392</v>
      </c>
      <c r="F1109" s="20">
        <v>2026</v>
      </c>
      <c r="G1109" s="20">
        <v>57</v>
      </c>
      <c r="H1109" s="11">
        <v>15015.1295468761</v>
      </c>
      <c r="I1109" s="10">
        <v>3124836.7028146498</v>
      </c>
      <c r="J1109" s="34">
        <f t="shared" si="68"/>
        <v>4.8050925455885253E-3</v>
      </c>
      <c r="K1109" s="34">
        <f t="shared" si="69"/>
        <v>4.7935665569399655E-3</v>
      </c>
      <c r="L1109" s="34">
        <f t="shared" si="70"/>
        <v>0.95857691867908457</v>
      </c>
      <c r="M1109" s="34">
        <f t="shared" si="71"/>
        <v>0.95398191641944996</v>
      </c>
    </row>
    <row r="1110" spans="1:13" ht="27.6">
      <c r="A1110" t="s">
        <v>164</v>
      </c>
      <c r="B1110" t="s">
        <v>112</v>
      </c>
      <c r="C1110" s="14" t="s">
        <v>294</v>
      </c>
      <c r="D1110" t="s">
        <v>112</v>
      </c>
      <c r="E1110" t="s">
        <v>392</v>
      </c>
      <c r="F1110" s="20">
        <v>2026</v>
      </c>
      <c r="G1110" s="20">
        <v>58</v>
      </c>
      <c r="H1110" s="11">
        <v>15837.4306821562</v>
      </c>
      <c r="I1110" s="10">
        <v>3017305.2867474402</v>
      </c>
      <c r="J1110" s="34">
        <f t="shared" si="68"/>
        <v>5.2488658511676322E-3</v>
      </c>
      <c r="K1110" s="34">
        <f t="shared" si="69"/>
        <v>5.2351146247734404E-3</v>
      </c>
      <c r="L1110" s="34">
        <f t="shared" si="70"/>
        <v>0.95398191641944996</v>
      </c>
      <c r="M1110" s="34">
        <f t="shared" si="71"/>
        <v>0.94898771173703311</v>
      </c>
    </row>
    <row r="1111" spans="1:13" ht="27.6">
      <c r="A1111" t="s">
        <v>164</v>
      </c>
      <c r="B1111" t="s">
        <v>112</v>
      </c>
      <c r="C1111" s="14" t="s">
        <v>294</v>
      </c>
      <c r="D1111" t="s">
        <v>112</v>
      </c>
      <c r="E1111" t="s">
        <v>392</v>
      </c>
      <c r="F1111" s="20">
        <v>2026</v>
      </c>
      <c r="G1111" s="20">
        <v>59</v>
      </c>
      <c r="H1111" s="11">
        <v>16519.306714828701</v>
      </c>
      <c r="I1111" s="10">
        <v>2877825.9895627</v>
      </c>
      <c r="J1111" s="34">
        <f t="shared" si="68"/>
        <v>5.7402034642611913E-3</v>
      </c>
      <c r="K1111" s="34">
        <f t="shared" si="69"/>
        <v>5.7237599743926726E-3</v>
      </c>
      <c r="L1111" s="34">
        <f t="shared" si="70"/>
        <v>0.94898771173703311</v>
      </c>
      <c r="M1111" s="34">
        <f t="shared" si="71"/>
        <v>0.94355593385640224</v>
      </c>
    </row>
    <row r="1112" spans="1:13" ht="27.6">
      <c r="A1112" t="s">
        <v>164</v>
      </c>
      <c r="B1112" t="s">
        <v>112</v>
      </c>
      <c r="C1112" s="14" t="s">
        <v>294</v>
      </c>
      <c r="D1112" t="s">
        <v>112</v>
      </c>
      <c r="E1112" t="s">
        <v>392</v>
      </c>
      <c r="F1112" s="20">
        <v>2026</v>
      </c>
      <c r="G1112" s="20">
        <v>60</v>
      </c>
      <c r="H1112" s="11">
        <v>17887.466143652899</v>
      </c>
      <c r="I1112" s="10">
        <v>2775955.7323366199</v>
      </c>
      <c r="J1112" s="34">
        <f t="shared" si="68"/>
        <v>6.4437144783272126E-3</v>
      </c>
      <c r="K1112" s="34">
        <f t="shared" si="69"/>
        <v>6.4229982705140687E-3</v>
      </c>
      <c r="L1112" s="34">
        <f t="shared" si="70"/>
        <v>0.94355593385640224</v>
      </c>
      <c r="M1112" s="34">
        <f t="shared" si="71"/>
        <v>0.93749547572510927</v>
      </c>
    </row>
    <row r="1113" spans="1:13" ht="27.6">
      <c r="A1113" t="s">
        <v>164</v>
      </c>
      <c r="B1113" t="s">
        <v>112</v>
      </c>
      <c r="C1113" s="14" t="s">
        <v>294</v>
      </c>
      <c r="D1113" t="s">
        <v>112</v>
      </c>
      <c r="E1113" t="s">
        <v>392</v>
      </c>
      <c r="F1113" s="20">
        <v>2026</v>
      </c>
      <c r="G1113" s="20">
        <v>61</v>
      </c>
      <c r="H1113" s="11">
        <v>18665.545737989702</v>
      </c>
      <c r="I1113" s="10">
        <v>2651125.82517609</v>
      </c>
      <c r="J1113" s="34">
        <f t="shared" si="68"/>
        <v>7.0406110342763235E-3</v>
      </c>
      <c r="K1113" s="34">
        <f t="shared" si="69"/>
        <v>7.015883997589345E-3</v>
      </c>
      <c r="L1113" s="34">
        <f t="shared" si="70"/>
        <v>0.93749547572510927</v>
      </c>
      <c r="M1113" s="34">
        <f t="shared" si="71"/>
        <v>0.9309181162191571</v>
      </c>
    </row>
    <row r="1114" spans="1:13" ht="27.6">
      <c r="A1114" t="s">
        <v>164</v>
      </c>
      <c r="B1114" t="s">
        <v>112</v>
      </c>
      <c r="C1114" s="14" t="s">
        <v>294</v>
      </c>
      <c r="D1114" t="s">
        <v>112</v>
      </c>
      <c r="E1114" t="s">
        <v>392</v>
      </c>
      <c r="F1114" s="20">
        <v>2026</v>
      </c>
      <c r="G1114" s="20">
        <v>62</v>
      </c>
      <c r="H1114" s="11">
        <v>19451.533257158499</v>
      </c>
      <c r="I1114" s="10">
        <v>2527118.34779537</v>
      </c>
      <c r="J1114" s="34">
        <f t="shared" si="68"/>
        <v>7.697120031647034E-3</v>
      </c>
      <c r="K1114" s="34">
        <f t="shared" si="69"/>
        <v>7.6675730607177472E-3</v>
      </c>
      <c r="L1114" s="34">
        <f t="shared" si="70"/>
        <v>0.9309181162191571</v>
      </c>
      <c r="M1114" s="34">
        <f t="shared" si="71"/>
        <v>0.92378023354950101</v>
      </c>
    </row>
    <row r="1115" spans="1:13" ht="27.6">
      <c r="A1115" t="s">
        <v>164</v>
      </c>
      <c r="B1115" t="s">
        <v>112</v>
      </c>
      <c r="C1115" s="14" t="s">
        <v>294</v>
      </c>
      <c r="D1115" t="s">
        <v>112</v>
      </c>
      <c r="E1115" t="s">
        <v>392</v>
      </c>
      <c r="F1115" s="20">
        <v>2026</v>
      </c>
      <c r="G1115" s="20">
        <v>63</v>
      </c>
      <c r="H1115" s="11">
        <v>20275.810448326502</v>
      </c>
      <c r="I1115" s="10">
        <v>2408174.8299532202</v>
      </c>
      <c r="J1115" s="34">
        <f t="shared" si="68"/>
        <v>8.4195757700533599E-3</v>
      </c>
      <c r="K1115" s="34">
        <f t="shared" si="69"/>
        <v>8.3842304091885644E-3</v>
      </c>
      <c r="L1115" s="34">
        <f t="shared" si="70"/>
        <v>0.92378023354950101</v>
      </c>
      <c r="M1115" s="34">
        <f t="shared" si="71"/>
        <v>0.916035047223968</v>
      </c>
    </row>
    <row r="1116" spans="1:13" ht="27.6">
      <c r="A1116" t="s">
        <v>164</v>
      </c>
      <c r="B1116" t="s">
        <v>112</v>
      </c>
      <c r="C1116" s="14" t="s">
        <v>294</v>
      </c>
      <c r="D1116" t="s">
        <v>112</v>
      </c>
      <c r="E1116" t="s">
        <v>392</v>
      </c>
      <c r="F1116" s="20">
        <v>2026</v>
      </c>
      <c r="G1116" s="20">
        <v>64</v>
      </c>
      <c r="H1116" s="11">
        <v>20946.7419118203</v>
      </c>
      <c r="I1116" s="10">
        <v>2263177.1457069502</v>
      </c>
      <c r="J1116" s="34">
        <f t="shared" si="68"/>
        <v>9.2554583946530405E-3</v>
      </c>
      <c r="K1116" s="34">
        <f t="shared" si="69"/>
        <v>9.2127584769196025E-3</v>
      </c>
      <c r="L1116" s="34">
        <f t="shared" si="70"/>
        <v>0.916035047223968</v>
      </c>
      <c r="M1116" s="34">
        <f t="shared" si="71"/>
        <v>0.90759583757749995</v>
      </c>
    </row>
    <row r="1117" spans="1:13" ht="27.6">
      <c r="A1117" t="s">
        <v>164</v>
      </c>
      <c r="B1117" t="s">
        <v>112</v>
      </c>
      <c r="C1117" s="14" t="s">
        <v>294</v>
      </c>
      <c r="D1117" t="s">
        <v>112</v>
      </c>
      <c r="E1117" t="s">
        <v>392</v>
      </c>
      <c r="F1117" s="20">
        <v>2026</v>
      </c>
      <c r="G1117" s="20">
        <v>65</v>
      </c>
      <c r="H1117" s="11">
        <v>21190.748568630301</v>
      </c>
      <c r="I1117" s="10">
        <v>2143592.8856204702</v>
      </c>
      <c r="J1117" s="34">
        <f t="shared" si="68"/>
        <v>9.885621803832666E-3</v>
      </c>
      <c r="K1117" s="34">
        <f t="shared" si="69"/>
        <v>9.836919660385024E-3</v>
      </c>
      <c r="L1117" s="34">
        <f t="shared" si="70"/>
        <v>0.90759583757749995</v>
      </c>
      <c r="M1117" s="34">
        <f t="shared" si="71"/>
        <v>0.89866789023915028</v>
      </c>
    </row>
    <row r="1118" spans="1:13" ht="27.6">
      <c r="A1118" t="s">
        <v>164</v>
      </c>
      <c r="B1118" t="s">
        <v>112</v>
      </c>
      <c r="C1118" s="14" t="s">
        <v>294</v>
      </c>
      <c r="D1118" t="s">
        <v>112</v>
      </c>
      <c r="E1118" t="s">
        <v>392</v>
      </c>
      <c r="F1118" s="20">
        <v>2026</v>
      </c>
      <c r="G1118" s="20">
        <v>66</v>
      </c>
      <c r="H1118" s="11">
        <v>21879.079040144799</v>
      </c>
      <c r="I1118" s="10">
        <v>2020123.6562481499</v>
      </c>
      <c r="J1118" s="34">
        <f t="shared" si="68"/>
        <v>1.0830564244160901E-2</v>
      </c>
      <c r="K1118" s="34">
        <f t="shared" si="69"/>
        <v>1.0772124850718323E-2</v>
      </c>
      <c r="L1118" s="34">
        <f t="shared" si="70"/>
        <v>0.89866789023915028</v>
      </c>
      <c r="M1118" s="34">
        <f t="shared" si="71"/>
        <v>0.8889873275261625</v>
      </c>
    </row>
    <row r="1119" spans="1:13" ht="27.6">
      <c r="A1119" t="s">
        <v>164</v>
      </c>
      <c r="B1119" t="s">
        <v>112</v>
      </c>
      <c r="C1119" s="14" t="s">
        <v>294</v>
      </c>
      <c r="D1119" t="s">
        <v>112</v>
      </c>
      <c r="E1119" t="s">
        <v>392</v>
      </c>
      <c r="F1119" s="20">
        <v>2026</v>
      </c>
      <c r="G1119" s="20">
        <v>67</v>
      </c>
      <c r="H1119" s="11">
        <v>22439.329914627098</v>
      </c>
      <c r="I1119" s="10">
        <v>1890337.26910044</v>
      </c>
      <c r="J1119" s="34">
        <f t="shared" si="68"/>
        <v>1.1870543040875115E-2</v>
      </c>
      <c r="K1119" s="34">
        <f t="shared" si="69"/>
        <v>1.1800366098769333E-2</v>
      </c>
      <c r="L1119" s="34">
        <f t="shared" si="70"/>
        <v>0.8889873275261625</v>
      </c>
      <c r="M1119" s="34">
        <f t="shared" si="71"/>
        <v>0.87849695160418717</v>
      </c>
    </row>
    <row r="1120" spans="1:13" ht="27.6">
      <c r="A1120" t="s">
        <v>164</v>
      </c>
      <c r="B1120" t="s">
        <v>112</v>
      </c>
      <c r="C1120" s="14" t="s">
        <v>294</v>
      </c>
      <c r="D1120" t="s">
        <v>112</v>
      </c>
      <c r="E1120" t="s">
        <v>392</v>
      </c>
      <c r="F1120" s="20">
        <v>2026</v>
      </c>
      <c r="G1120" s="20">
        <v>68</v>
      </c>
      <c r="H1120" s="11">
        <v>22951.650244181099</v>
      </c>
      <c r="I1120" s="10">
        <v>1762993.4769824699</v>
      </c>
      <c r="J1120" s="34">
        <f t="shared" si="68"/>
        <v>1.3018567875511949E-2</v>
      </c>
      <c r="K1120" s="34">
        <f t="shared" si="69"/>
        <v>1.2934192864895833E-2</v>
      </c>
      <c r="L1120" s="34">
        <f t="shared" si="70"/>
        <v>0.87849695160418717</v>
      </c>
      <c r="M1120" s="34">
        <f t="shared" si="71"/>
        <v>0.86713430260091551</v>
      </c>
    </row>
    <row r="1121" spans="1:13" ht="27.6">
      <c r="A1121" t="s">
        <v>164</v>
      </c>
      <c r="B1121" t="s">
        <v>112</v>
      </c>
      <c r="C1121" s="14" t="s">
        <v>294</v>
      </c>
      <c r="D1121" t="s">
        <v>112</v>
      </c>
      <c r="E1121" t="s">
        <v>392</v>
      </c>
      <c r="F1121" s="20">
        <v>2026</v>
      </c>
      <c r="G1121" s="20">
        <v>69</v>
      </c>
      <c r="H1121" s="11">
        <v>23742.384131118401</v>
      </c>
      <c r="I1121" s="10">
        <v>1657190.3922347201</v>
      </c>
      <c r="J1121" s="34">
        <f t="shared" si="68"/>
        <v>1.4326889802385237E-2</v>
      </c>
      <c r="K1121" s="34">
        <f t="shared" si="69"/>
        <v>1.4224748288570566E-2</v>
      </c>
      <c r="L1121" s="34">
        <f t="shared" si="70"/>
        <v>0.86713430260091551</v>
      </c>
      <c r="M1121" s="34">
        <f t="shared" si="71"/>
        <v>0.85479953541403231</v>
      </c>
    </row>
    <row r="1122" spans="1:13" ht="27.6">
      <c r="A1122" t="s">
        <v>164</v>
      </c>
      <c r="B1122" t="s">
        <v>112</v>
      </c>
      <c r="C1122" s="14" t="s">
        <v>294</v>
      </c>
      <c r="D1122" t="s">
        <v>112</v>
      </c>
      <c r="E1122" t="s">
        <v>392</v>
      </c>
      <c r="F1122" s="20">
        <v>2027</v>
      </c>
      <c r="G1122" s="20">
        <v>30</v>
      </c>
      <c r="H1122" s="11">
        <v>1304.6423701645699</v>
      </c>
      <c r="I1122" s="10">
        <v>4568808.4504300198</v>
      </c>
      <c r="J1122" s="34">
        <f t="shared" si="68"/>
        <v>2.8555418427353327E-4</v>
      </c>
      <c r="K1122" s="34">
        <f t="shared" si="69"/>
        <v>2.8551341755789217E-4</v>
      </c>
      <c r="L1122" s="34">
        <f t="shared" si="70"/>
        <v>1</v>
      </c>
      <c r="M1122" s="34">
        <f t="shared" si="71"/>
        <v>0.99971448658244211</v>
      </c>
    </row>
    <row r="1123" spans="1:13" ht="27.6">
      <c r="A1123" t="s">
        <v>164</v>
      </c>
      <c r="B1123" t="s">
        <v>112</v>
      </c>
      <c r="C1123" s="14" t="s">
        <v>294</v>
      </c>
      <c r="D1123" t="s">
        <v>112</v>
      </c>
      <c r="E1123" t="s">
        <v>392</v>
      </c>
      <c r="F1123" s="20">
        <v>2027</v>
      </c>
      <c r="G1123" s="20">
        <v>31</v>
      </c>
      <c r="H1123" s="11">
        <v>1343.5094233575101</v>
      </c>
      <c r="I1123" s="10">
        <v>4526141.2582577895</v>
      </c>
      <c r="J1123" s="34">
        <f t="shared" si="68"/>
        <v>2.9683329500738032E-4</v>
      </c>
      <c r="K1123" s="34">
        <f t="shared" si="69"/>
        <v>2.9678924436349341E-4</v>
      </c>
      <c r="L1123" s="34">
        <f t="shared" si="70"/>
        <v>0.99971448658244211</v>
      </c>
      <c r="M1123" s="34">
        <f t="shared" si="71"/>
        <v>0.99941778207539012</v>
      </c>
    </row>
    <row r="1124" spans="1:13" ht="27.6">
      <c r="A1124" t="s">
        <v>164</v>
      </c>
      <c r="B1124" t="s">
        <v>112</v>
      </c>
      <c r="C1124" s="14" t="s">
        <v>294</v>
      </c>
      <c r="D1124" t="s">
        <v>112</v>
      </c>
      <c r="E1124" t="s">
        <v>392</v>
      </c>
      <c r="F1124" s="20">
        <v>2027</v>
      </c>
      <c r="G1124" s="20">
        <v>32</v>
      </c>
      <c r="H1124" s="11">
        <v>1382.28580696875</v>
      </c>
      <c r="I1124" s="10">
        <v>4453752.6455071904</v>
      </c>
      <c r="J1124" s="34">
        <f t="shared" si="68"/>
        <v>3.1036429658103212E-4</v>
      </c>
      <c r="K1124" s="34">
        <f t="shared" si="69"/>
        <v>3.1031613856502549E-4</v>
      </c>
      <c r="L1124" s="34">
        <f t="shared" si="70"/>
        <v>0.99941778207539012</v>
      </c>
      <c r="M1124" s="34">
        <f t="shared" si="71"/>
        <v>0.99910764660844331</v>
      </c>
    </row>
    <row r="1125" spans="1:13" ht="27.6">
      <c r="A1125" t="s">
        <v>164</v>
      </c>
      <c r="B1125" t="s">
        <v>112</v>
      </c>
      <c r="C1125" s="14" t="s">
        <v>294</v>
      </c>
      <c r="D1125" t="s">
        <v>112</v>
      </c>
      <c r="E1125" t="s">
        <v>392</v>
      </c>
      <c r="F1125" s="20">
        <v>2027</v>
      </c>
      <c r="G1125" s="20">
        <v>33</v>
      </c>
      <c r="H1125" s="11">
        <v>1436.39101727569</v>
      </c>
      <c r="I1125" s="10">
        <v>4397355.4689288</v>
      </c>
      <c r="J1125" s="34">
        <f t="shared" si="68"/>
        <v>3.2664882960339712E-4</v>
      </c>
      <c r="K1125" s="34">
        <f t="shared" si="69"/>
        <v>3.2659548568281238E-4</v>
      </c>
      <c r="L1125" s="34">
        <f t="shared" si="70"/>
        <v>0.99910764660844331</v>
      </c>
      <c r="M1125" s="34">
        <f t="shared" si="71"/>
        <v>0.99878134256134976</v>
      </c>
    </row>
    <row r="1126" spans="1:13" ht="27.6">
      <c r="A1126" t="s">
        <v>164</v>
      </c>
      <c r="B1126" t="s">
        <v>112</v>
      </c>
      <c r="C1126" s="14" t="s">
        <v>294</v>
      </c>
      <c r="D1126" t="s">
        <v>112</v>
      </c>
      <c r="E1126" t="s">
        <v>392</v>
      </c>
      <c r="F1126" s="20">
        <v>2027</v>
      </c>
      <c r="G1126" s="20">
        <v>34</v>
      </c>
      <c r="H1126" s="11">
        <v>1502.96267653677</v>
      </c>
      <c r="I1126" s="10">
        <v>4344733.2351288404</v>
      </c>
      <c r="J1126" s="34">
        <f t="shared" si="68"/>
        <v>3.4592749317374386E-4</v>
      </c>
      <c r="K1126" s="34">
        <f t="shared" si="69"/>
        <v>3.4586766715716255E-4</v>
      </c>
      <c r="L1126" s="34">
        <f t="shared" si="70"/>
        <v>0.99878134256134976</v>
      </c>
      <c r="M1126" s="34">
        <f t="shared" si="71"/>
        <v>0.99843589638839791</v>
      </c>
    </row>
    <row r="1127" spans="1:13" ht="27.6">
      <c r="A1127" t="s">
        <v>164</v>
      </c>
      <c r="B1127" t="s">
        <v>112</v>
      </c>
      <c r="C1127" s="14" t="s">
        <v>294</v>
      </c>
      <c r="D1127" t="s">
        <v>112</v>
      </c>
      <c r="E1127" t="s">
        <v>392</v>
      </c>
      <c r="F1127" s="20">
        <v>2027</v>
      </c>
      <c r="G1127" s="20">
        <v>35</v>
      </c>
      <c r="H1127" s="11">
        <v>2085.32356363488</v>
      </c>
      <c r="I1127" s="10">
        <v>4384158.7474981798</v>
      </c>
      <c r="J1127" s="34">
        <f t="shared" si="68"/>
        <v>4.7564964768323454E-4</v>
      </c>
      <c r="K1127" s="34">
        <f t="shared" si="69"/>
        <v>4.7553654432275216E-4</v>
      </c>
      <c r="L1127" s="34">
        <f t="shared" si="70"/>
        <v>0.99843589638839791</v>
      </c>
      <c r="M1127" s="34">
        <f t="shared" si="71"/>
        <v>0.99796110363250157</v>
      </c>
    </row>
    <row r="1128" spans="1:13" ht="27.6">
      <c r="A1128" t="s">
        <v>164</v>
      </c>
      <c r="B1128" t="s">
        <v>112</v>
      </c>
      <c r="C1128" s="14" t="s">
        <v>294</v>
      </c>
      <c r="D1128" t="s">
        <v>112</v>
      </c>
      <c r="E1128" t="s">
        <v>392</v>
      </c>
      <c r="F1128" s="20">
        <v>2027</v>
      </c>
      <c r="G1128" s="20">
        <v>36</v>
      </c>
      <c r="H1128" s="11">
        <v>2238.44524309505</v>
      </c>
      <c r="I1128" s="10">
        <v>4403443.8153601196</v>
      </c>
      <c r="J1128" s="34">
        <f t="shared" si="68"/>
        <v>5.0833968524519187E-4</v>
      </c>
      <c r="K1128" s="34">
        <f t="shared" si="69"/>
        <v>5.082105025179251E-4</v>
      </c>
      <c r="L1128" s="34">
        <f t="shared" si="70"/>
        <v>0.99796110363250157</v>
      </c>
      <c r="M1128" s="34">
        <f t="shared" si="71"/>
        <v>0.99745392931853116</v>
      </c>
    </row>
    <row r="1129" spans="1:13" ht="27.6">
      <c r="A1129" t="s">
        <v>164</v>
      </c>
      <c r="B1129" t="s">
        <v>112</v>
      </c>
      <c r="C1129" s="14" t="s">
        <v>294</v>
      </c>
      <c r="D1129" t="s">
        <v>112</v>
      </c>
      <c r="E1129" t="s">
        <v>392</v>
      </c>
      <c r="F1129" s="20">
        <v>2027</v>
      </c>
      <c r="G1129" s="20">
        <v>37</v>
      </c>
      <c r="H1129" s="11">
        <v>3393.6221552054499</v>
      </c>
      <c r="I1129" s="10">
        <v>6485436.8790040798</v>
      </c>
      <c r="J1129" s="34">
        <f t="shared" si="68"/>
        <v>5.2326808795132137E-4</v>
      </c>
      <c r="K1129" s="34">
        <f t="shared" si="69"/>
        <v>5.2313120708158412E-4</v>
      </c>
      <c r="L1129" s="34">
        <f t="shared" si="70"/>
        <v>0.99745392931853116</v>
      </c>
      <c r="M1129" s="34">
        <f t="shared" si="71"/>
        <v>0.99693213004047854</v>
      </c>
    </row>
    <row r="1130" spans="1:13" ht="27.6">
      <c r="A1130" t="s">
        <v>164</v>
      </c>
      <c r="B1130" t="s">
        <v>112</v>
      </c>
      <c r="C1130" s="14" t="s">
        <v>294</v>
      </c>
      <c r="D1130" t="s">
        <v>112</v>
      </c>
      <c r="E1130" t="s">
        <v>392</v>
      </c>
      <c r="F1130" s="20">
        <v>2027</v>
      </c>
      <c r="G1130" s="20">
        <v>38</v>
      </c>
      <c r="H1130" s="11">
        <v>2551.3447168988</v>
      </c>
      <c r="I1130" s="10">
        <v>4365602.7616190501</v>
      </c>
      <c r="J1130" s="34">
        <f t="shared" si="68"/>
        <v>5.8441980551446121E-4</v>
      </c>
      <c r="K1130" s="34">
        <f t="shared" si="69"/>
        <v>5.8424906552279054E-4</v>
      </c>
      <c r="L1130" s="34">
        <f t="shared" si="70"/>
        <v>0.99693213004047854</v>
      </c>
      <c r="M1130" s="34">
        <f t="shared" si="71"/>
        <v>0.99634967337511271</v>
      </c>
    </row>
    <row r="1131" spans="1:13" ht="27.6">
      <c r="A1131" t="s">
        <v>164</v>
      </c>
      <c r="B1131" t="s">
        <v>112</v>
      </c>
      <c r="C1131" s="14" t="s">
        <v>294</v>
      </c>
      <c r="D1131" t="s">
        <v>112</v>
      </c>
      <c r="E1131" t="s">
        <v>392</v>
      </c>
      <c r="F1131" s="20">
        <v>2027</v>
      </c>
      <c r="G1131" s="20">
        <v>39</v>
      </c>
      <c r="H1131" s="11">
        <v>2732.6540686622302</v>
      </c>
      <c r="I1131" s="10">
        <v>4350977.16033128</v>
      </c>
      <c r="J1131" s="34">
        <f t="shared" si="68"/>
        <v>6.2805525470838554E-4</v>
      </c>
      <c r="K1131" s="34">
        <f t="shared" si="69"/>
        <v>6.2785806929022137E-4</v>
      </c>
      <c r="L1131" s="34">
        <f t="shared" si="70"/>
        <v>0.99634967337511271</v>
      </c>
      <c r="M1131" s="34">
        <f t="shared" si="71"/>
        <v>0.99572410719284943</v>
      </c>
    </row>
    <row r="1132" spans="1:13" ht="27.6">
      <c r="A1132" t="s">
        <v>164</v>
      </c>
      <c r="B1132" t="s">
        <v>112</v>
      </c>
      <c r="C1132" s="14" t="s">
        <v>294</v>
      </c>
      <c r="D1132" t="s">
        <v>112</v>
      </c>
      <c r="E1132" t="s">
        <v>392</v>
      </c>
      <c r="F1132" s="20">
        <v>2027</v>
      </c>
      <c r="G1132" s="20">
        <v>40</v>
      </c>
      <c r="H1132" s="11">
        <v>3573.2066870111598</v>
      </c>
      <c r="I1132" s="10">
        <v>4220088.1444542296</v>
      </c>
      <c r="J1132" s="34">
        <f t="shared" si="68"/>
        <v>8.4671375684577585E-4</v>
      </c>
      <c r="K1132" s="34">
        <f t="shared" si="69"/>
        <v>8.463553959029424E-4</v>
      </c>
      <c r="L1132" s="34">
        <f t="shared" si="70"/>
        <v>0.99572410719284943</v>
      </c>
      <c r="M1132" s="34">
        <f t="shared" si="71"/>
        <v>0.99488137072189609</v>
      </c>
    </row>
    <row r="1133" spans="1:13" ht="27.6">
      <c r="A1133" t="s">
        <v>164</v>
      </c>
      <c r="B1133" t="s">
        <v>112</v>
      </c>
      <c r="C1133" s="14" t="s">
        <v>294</v>
      </c>
      <c r="D1133" t="s">
        <v>112</v>
      </c>
      <c r="E1133" t="s">
        <v>392</v>
      </c>
      <c r="F1133" s="20">
        <v>2027</v>
      </c>
      <c r="G1133" s="20">
        <v>41</v>
      </c>
      <c r="H1133" s="11">
        <v>3826.6886401113602</v>
      </c>
      <c r="I1133" s="10">
        <v>4186992.08139659</v>
      </c>
      <c r="J1133" s="34">
        <f t="shared" si="68"/>
        <v>9.1394694943749478E-4</v>
      </c>
      <c r="K1133" s="34">
        <f t="shared" si="69"/>
        <v>9.135294271317429E-4</v>
      </c>
      <c r="L1133" s="34">
        <f t="shared" si="70"/>
        <v>0.99488137072189609</v>
      </c>
      <c r="M1133" s="34">
        <f t="shared" si="71"/>
        <v>0.99397251731323644</v>
      </c>
    </row>
    <row r="1134" spans="1:13" ht="27.6">
      <c r="A1134" t="s">
        <v>164</v>
      </c>
      <c r="B1134" t="s">
        <v>112</v>
      </c>
      <c r="C1134" s="14" t="s">
        <v>294</v>
      </c>
      <c r="D1134" t="s">
        <v>112</v>
      </c>
      <c r="E1134" t="s">
        <v>392</v>
      </c>
      <c r="F1134" s="20">
        <v>2027</v>
      </c>
      <c r="G1134" s="20">
        <v>42</v>
      </c>
      <c r="H1134" s="11">
        <v>4206.1911347059804</v>
      </c>
      <c r="I1134" s="10">
        <v>4249351.45656534</v>
      </c>
      <c r="J1134" s="34">
        <f t="shared" si="68"/>
        <v>9.8984308022047091E-4</v>
      </c>
      <c r="K1134" s="34">
        <f t="shared" si="69"/>
        <v>9.8935334715832823E-4</v>
      </c>
      <c r="L1134" s="34">
        <f t="shared" si="70"/>
        <v>0.99397251731323644</v>
      </c>
      <c r="M1134" s="34">
        <f t="shared" si="71"/>
        <v>0.99298912727624922</v>
      </c>
    </row>
    <row r="1135" spans="1:13" ht="27.6">
      <c r="A1135" t="s">
        <v>164</v>
      </c>
      <c r="B1135" t="s">
        <v>112</v>
      </c>
      <c r="C1135" s="14" t="s">
        <v>294</v>
      </c>
      <c r="D1135" t="s">
        <v>112</v>
      </c>
      <c r="E1135" t="s">
        <v>392</v>
      </c>
      <c r="F1135" s="20">
        <v>2027</v>
      </c>
      <c r="G1135" s="20">
        <v>43</v>
      </c>
      <c r="H1135" s="11">
        <v>4666.6558967881201</v>
      </c>
      <c r="I1135" s="10">
        <v>4337467.6222573696</v>
      </c>
      <c r="J1135" s="34">
        <f t="shared" si="68"/>
        <v>1.075894116844019E-3</v>
      </c>
      <c r="K1135" s="34">
        <f t="shared" si="69"/>
        <v>1.0753155502793987E-3</v>
      </c>
      <c r="L1135" s="34">
        <f t="shared" si="70"/>
        <v>0.99298912727624922</v>
      </c>
      <c r="M1135" s="34">
        <f t="shared" si="71"/>
        <v>0.99192135062643072</v>
      </c>
    </row>
    <row r="1136" spans="1:13" ht="27.6">
      <c r="A1136" t="s">
        <v>164</v>
      </c>
      <c r="B1136" t="s">
        <v>112</v>
      </c>
      <c r="C1136" s="14" t="s">
        <v>294</v>
      </c>
      <c r="D1136" t="s">
        <v>112</v>
      </c>
      <c r="E1136" t="s">
        <v>392</v>
      </c>
      <c r="F1136" s="20">
        <v>2027</v>
      </c>
      <c r="G1136" s="20">
        <v>44</v>
      </c>
      <c r="H1136" s="11">
        <v>5063.6893788969701</v>
      </c>
      <c r="I1136" s="10">
        <v>4316061.5062467</v>
      </c>
      <c r="J1136" s="34">
        <f t="shared" si="68"/>
        <v>1.1732199301535016E-3</v>
      </c>
      <c r="K1136" s="34">
        <f t="shared" si="69"/>
        <v>1.1725319767177389E-3</v>
      </c>
      <c r="L1136" s="34">
        <f t="shared" si="70"/>
        <v>0.99192135062643072</v>
      </c>
      <c r="M1136" s="34">
        <f t="shared" si="71"/>
        <v>0.99075829112443214</v>
      </c>
    </row>
    <row r="1137" spans="1:13" ht="27.6">
      <c r="A1137" t="s">
        <v>164</v>
      </c>
      <c r="B1137" t="s">
        <v>112</v>
      </c>
      <c r="C1137" s="14" t="s">
        <v>294</v>
      </c>
      <c r="D1137" t="s">
        <v>112</v>
      </c>
      <c r="E1137" t="s">
        <v>392</v>
      </c>
      <c r="F1137" s="20">
        <v>2027</v>
      </c>
      <c r="G1137" s="20">
        <v>45</v>
      </c>
      <c r="H1137" s="11">
        <v>6356.49710992993</v>
      </c>
      <c r="I1137" s="10">
        <v>4181398.8876002901</v>
      </c>
      <c r="J1137" s="34">
        <f t="shared" si="68"/>
        <v>1.5201843404081287E-3</v>
      </c>
      <c r="K1137" s="34">
        <f t="shared" si="69"/>
        <v>1.5190294454855424E-3</v>
      </c>
      <c r="L1137" s="34">
        <f t="shared" si="70"/>
        <v>0.99075829112443214</v>
      </c>
      <c r="M1137" s="34">
        <f t="shared" si="71"/>
        <v>0.98925330010685519</v>
      </c>
    </row>
    <row r="1138" spans="1:13" ht="27.6">
      <c r="A1138" t="s">
        <v>164</v>
      </c>
      <c r="B1138" t="s">
        <v>112</v>
      </c>
      <c r="C1138" s="14" t="s">
        <v>294</v>
      </c>
      <c r="D1138" t="s">
        <v>112</v>
      </c>
      <c r="E1138" t="s">
        <v>392</v>
      </c>
      <c r="F1138" s="20">
        <v>2027</v>
      </c>
      <c r="G1138" s="20">
        <v>46</v>
      </c>
      <c r="H1138" s="11">
        <v>6836.2723145711198</v>
      </c>
      <c r="I1138" s="10">
        <v>4108799.7194428798</v>
      </c>
      <c r="J1138" s="34">
        <f t="shared" si="68"/>
        <v>1.6638124954647493E-3</v>
      </c>
      <c r="K1138" s="34">
        <f t="shared" si="69"/>
        <v>1.6624291267831603E-3</v>
      </c>
      <c r="L1138" s="34">
        <f t="shared" si="70"/>
        <v>0.98925330010685519</v>
      </c>
      <c r="M1138" s="34">
        <f t="shared" si="71"/>
        <v>0.98760873660699122</v>
      </c>
    </row>
    <row r="1139" spans="1:13" ht="27.6">
      <c r="A1139" t="s">
        <v>164</v>
      </c>
      <c r="B1139" t="s">
        <v>112</v>
      </c>
      <c r="C1139" s="14" t="s">
        <v>294</v>
      </c>
      <c r="D1139" t="s">
        <v>112</v>
      </c>
      <c r="E1139" t="s">
        <v>392</v>
      </c>
      <c r="F1139" s="20">
        <v>2027</v>
      </c>
      <c r="G1139" s="20">
        <v>47</v>
      </c>
      <c r="H1139" s="11">
        <v>7382.6405479901496</v>
      </c>
      <c r="I1139" s="10">
        <v>4053352.4822094799</v>
      </c>
      <c r="J1139" s="34">
        <f t="shared" si="68"/>
        <v>1.8213665306417853E-3</v>
      </c>
      <c r="K1139" s="34">
        <f t="shared" si="69"/>
        <v>1.8197088491902491E-3</v>
      </c>
      <c r="L1139" s="34">
        <f t="shared" si="70"/>
        <v>0.98760873660699122</v>
      </c>
      <c r="M1139" s="34">
        <f t="shared" si="71"/>
        <v>0.98581157624944993</v>
      </c>
    </row>
    <row r="1140" spans="1:13" ht="27.6">
      <c r="A1140" t="s">
        <v>164</v>
      </c>
      <c r="B1140" t="s">
        <v>112</v>
      </c>
      <c r="C1140" s="14" t="s">
        <v>294</v>
      </c>
      <c r="D1140" t="s">
        <v>112</v>
      </c>
      <c r="E1140" t="s">
        <v>392</v>
      </c>
      <c r="F1140" s="20">
        <v>2027</v>
      </c>
      <c r="G1140" s="20">
        <v>48</v>
      </c>
      <c r="H1140" s="11">
        <v>7956.04027801747</v>
      </c>
      <c r="I1140" s="10">
        <v>3992547.4315524702</v>
      </c>
      <c r="J1140" s="34">
        <f t="shared" si="68"/>
        <v>1.9927227952615274E-3</v>
      </c>
      <c r="K1140" s="34">
        <f t="shared" si="69"/>
        <v>1.990738641367229E-3</v>
      </c>
      <c r="L1140" s="34">
        <f t="shared" si="70"/>
        <v>0.98581157624944993</v>
      </c>
      <c r="M1140" s="34">
        <f t="shared" si="71"/>
        <v>0.98384908305150298</v>
      </c>
    </row>
    <row r="1141" spans="1:13" ht="27.6">
      <c r="A1141" t="s">
        <v>164</v>
      </c>
      <c r="B1141" t="s">
        <v>112</v>
      </c>
      <c r="C1141" s="14" t="s">
        <v>294</v>
      </c>
      <c r="D1141" t="s">
        <v>112</v>
      </c>
      <c r="E1141" t="s">
        <v>392</v>
      </c>
      <c r="F1141" s="20">
        <v>2027</v>
      </c>
      <c r="G1141" s="20">
        <v>49</v>
      </c>
      <c r="H1141" s="11">
        <v>8521.3234630678198</v>
      </c>
      <c r="I1141" s="10">
        <v>3912199.10908924</v>
      </c>
      <c r="J1141" s="34">
        <f t="shared" si="68"/>
        <v>2.1781415580996808E-3</v>
      </c>
      <c r="K1141" s="34">
        <f t="shared" si="69"/>
        <v>2.1757711291316983E-3</v>
      </c>
      <c r="L1141" s="34">
        <f t="shared" si="70"/>
        <v>0.98384908305150298</v>
      </c>
      <c r="M1141" s="34">
        <f t="shared" si="71"/>
        <v>0.98170845262117679</v>
      </c>
    </row>
    <row r="1142" spans="1:13" ht="27.6">
      <c r="A1142" t="s">
        <v>164</v>
      </c>
      <c r="B1142" t="s">
        <v>112</v>
      </c>
      <c r="C1142" s="14" t="s">
        <v>294</v>
      </c>
      <c r="D1142" t="s">
        <v>112</v>
      </c>
      <c r="E1142" t="s">
        <v>392</v>
      </c>
      <c r="F1142" s="20">
        <v>2027</v>
      </c>
      <c r="G1142" s="20">
        <v>50</v>
      </c>
      <c r="H1142" s="11">
        <v>9802.6537818252691</v>
      </c>
      <c r="I1142" s="10">
        <v>3849330.1490457798</v>
      </c>
      <c r="J1142" s="34">
        <f t="shared" si="68"/>
        <v>2.54658691311663E-3</v>
      </c>
      <c r="K1142" s="34">
        <f t="shared" si="69"/>
        <v>2.543347111392702E-3</v>
      </c>
      <c r="L1142" s="34">
        <f t="shared" si="70"/>
        <v>0.98170845262117679</v>
      </c>
      <c r="M1142" s="34">
        <f t="shared" si="71"/>
        <v>0.97921162726397293</v>
      </c>
    </row>
    <row r="1143" spans="1:13" ht="27.6">
      <c r="A1143" t="s">
        <v>164</v>
      </c>
      <c r="B1143" t="s">
        <v>112</v>
      </c>
      <c r="C1143" s="14" t="s">
        <v>294</v>
      </c>
      <c r="D1143" t="s">
        <v>112</v>
      </c>
      <c r="E1143" t="s">
        <v>392</v>
      </c>
      <c r="F1143" s="20">
        <v>2027</v>
      </c>
      <c r="G1143" s="20">
        <v>51</v>
      </c>
      <c r="H1143" s="11">
        <v>10484.3835729037</v>
      </c>
      <c r="I1143" s="10">
        <v>3773648.83540401</v>
      </c>
      <c r="J1143" s="34">
        <f t="shared" si="68"/>
        <v>2.7783145783307189E-3</v>
      </c>
      <c r="K1143" s="34">
        <f t="shared" si="69"/>
        <v>2.7744586342178801E-3</v>
      </c>
      <c r="L1143" s="34">
        <f t="shared" si="70"/>
        <v>0.97921162726397293</v>
      </c>
      <c r="M1143" s="34">
        <f t="shared" si="71"/>
        <v>0.97649484510998386</v>
      </c>
    </row>
    <row r="1144" spans="1:13" ht="27.6">
      <c r="A1144" t="s">
        <v>164</v>
      </c>
      <c r="B1144" t="s">
        <v>112</v>
      </c>
      <c r="C1144" s="14" t="s">
        <v>294</v>
      </c>
      <c r="D1144" t="s">
        <v>112</v>
      </c>
      <c r="E1144" t="s">
        <v>392</v>
      </c>
      <c r="F1144" s="20">
        <v>2027</v>
      </c>
      <c r="G1144" s="20">
        <v>52</v>
      </c>
      <c r="H1144" s="11">
        <v>11207.893250294101</v>
      </c>
      <c r="I1144" s="10">
        <v>3698211.9844359602</v>
      </c>
      <c r="J1144" s="34">
        <f t="shared" si="68"/>
        <v>3.0306248796615411E-3</v>
      </c>
      <c r="K1144" s="34">
        <f t="shared" si="69"/>
        <v>3.0260371717917289E-3</v>
      </c>
      <c r="L1144" s="34">
        <f t="shared" si="70"/>
        <v>0.97649484510998386</v>
      </c>
      <c r="M1144" s="34">
        <f t="shared" si="71"/>
        <v>0.97353993541061801</v>
      </c>
    </row>
    <row r="1145" spans="1:13" ht="27.6">
      <c r="A1145" t="s">
        <v>164</v>
      </c>
      <c r="B1145" t="s">
        <v>112</v>
      </c>
      <c r="C1145" s="14" t="s">
        <v>294</v>
      </c>
      <c r="D1145" t="s">
        <v>112</v>
      </c>
      <c r="E1145" t="s">
        <v>392</v>
      </c>
      <c r="F1145" s="20">
        <v>2027</v>
      </c>
      <c r="G1145" s="20">
        <v>53</v>
      </c>
      <c r="H1145" s="11">
        <v>11887.4988982951</v>
      </c>
      <c r="I1145" s="10">
        <v>3595027.1982061798</v>
      </c>
      <c r="J1145" s="34">
        <f t="shared" si="68"/>
        <v>3.3066506156689541E-3</v>
      </c>
      <c r="K1145" s="34">
        <f t="shared" si="69"/>
        <v>3.3011896673295071E-3</v>
      </c>
      <c r="L1145" s="34">
        <f t="shared" si="70"/>
        <v>0.97353993541061801</v>
      </c>
      <c r="M1145" s="34">
        <f t="shared" si="71"/>
        <v>0.97032609543510784</v>
      </c>
    </row>
    <row r="1146" spans="1:13" ht="27.6">
      <c r="A1146" t="s">
        <v>164</v>
      </c>
      <c r="B1146" t="s">
        <v>112</v>
      </c>
      <c r="C1146" s="14" t="s">
        <v>294</v>
      </c>
      <c r="D1146" t="s">
        <v>112</v>
      </c>
      <c r="E1146" t="s">
        <v>392</v>
      </c>
      <c r="F1146" s="20">
        <v>2027</v>
      </c>
      <c r="G1146" s="20">
        <v>54</v>
      </c>
      <c r="H1146" s="11">
        <v>12823.067652104801</v>
      </c>
      <c r="I1146" s="10">
        <v>3553002.2068445301</v>
      </c>
      <c r="J1146" s="34">
        <f t="shared" si="68"/>
        <v>3.6090795630248544E-3</v>
      </c>
      <c r="K1146" s="34">
        <f t="shared" si="69"/>
        <v>3.6025746632986078E-3</v>
      </c>
      <c r="L1146" s="34">
        <f t="shared" si="70"/>
        <v>0.97032609543510784</v>
      </c>
      <c r="M1146" s="34">
        <f t="shared" si="71"/>
        <v>0.96683042322855584</v>
      </c>
    </row>
    <row r="1147" spans="1:13" ht="27.6">
      <c r="A1147" t="s">
        <v>164</v>
      </c>
      <c r="B1147" t="s">
        <v>112</v>
      </c>
      <c r="C1147" s="14" t="s">
        <v>294</v>
      </c>
      <c r="D1147" t="s">
        <v>112</v>
      </c>
      <c r="E1147" t="s">
        <v>392</v>
      </c>
      <c r="F1147" s="20">
        <v>2027</v>
      </c>
      <c r="G1147" s="20">
        <v>55</v>
      </c>
      <c r="H1147" s="11">
        <v>13407.9794842427</v>
      </c>
      <c r="I1147" s="10">
        <v>3344959.4844110301</v>
      </c>
      <c r="J1147" s="34">
        <f t="shared" si="68"/>
        <v>4.0084131203172212E-3</v>
      </c>
      <c r="K1147" s="34">
        <f t="shared" si="69"/>
        <v>4.0003901558108845E-3</v>
      </c>
      <c r="L1147" s="34">
        <f t="shared" si="70"/>
        <v>0.96683042322855584</v>
      </c>
      <c r="M1147" s="34">
        <f t="shared" si="71"/>
        <v>0.96296272432113383</v>
      </c>
    </row>
    <row r="1148" spans="1:13" ht="27.6">
      <c r="A1148" t="s">
        <v>164</v>
      </c>
      <c r="B1148" t="s">
        <v>112</v>
      </c>
      <c r="C1148" s="14" t="s">
        <v>294</v>
      </c>
      <c r="D1148" t="s">
        <v>112</v>
      </c>
      <c r="E1148" t="s">
        <v>392</v>
      </c>
      <c r="F1148" s="20">
        <v>2027</v>
      </c>
      <c r="G1148" s="20">
        <v>56</v>
      </c>
      <c r="H1148" s="11">
        <v>14268.7685884565</v>
      </c>
      <c r="I1148" s="10">
        <v>3259736.63575088</v>
      </c>
      <c r="J1148" s="34">
        <f t="shared" si="68"/>
        <v>4.3772765050909363E-3</v>
      </c>
      <c r="K1148" s="34">
        <f t="shared" si="69"/>
        <v>4.3677101935103435E-3</v>
      </c>
      <c r="L1148" s="34">
        <f t="shared" si="70"/>
        <v>0.96296272432113383</v>
      </c>
      <c r="M1148" s="34">
        <f t="shared" si="71"/>
        <v>0.95875678221414595</v>
      </c>
    </row>
    <row r="1149" spans="1:13" ht="27.6">
      <c r="A1149" t="s">
        <v>164</v>
      </c>
      <c r="B1149" t="s">
        <v>112</v>
      </c>
      <c r="C1149" s="14" t="s">
        <v>294</v>
      </c>
      <c r="D1149" t="s">
        <v>112</v>
      </c>
      <c r="E1149" t="s">
        <v>392</v>
      </c>
      <c r="F1149" s="20">
        <v>2027</v>
      </c>
      <c r="G1149" s="20">
        <v>57</v>
      </c>
      <c r="H1149" s="11">
        <v>15203.1986519157</v>
      </c>
      <c r="I1149" s="10">
        <v>3179593.5174023299</v>
      </c>
      <c r="J1149" s="34">
        <f t="shared" si="68"/>
        <v>4.7814912719838596E-3</v>
      </c>
      <c r="K1149" s="34">
        <f t="shared" si="69"/>
        <v>4.7700781404339532E-3</v>
      </c>
      <c r="L1149" s="34">
        <f t="shared" si="70"/>
        <v>0.95875678221414595</v>
      </c>
      <c r="M1149" s="34">
        <f t="shared" si="71"/>
        <v>0.95418343744531342</v>
      </c>
    </row>
    <row r="1150" spans="1:13" ht="27.6">
      <c r="A1150" t="s">
        <v>164</v>
      </c>
      <c r="B1150" t="s">
        <v>112</v>
      </c>
      <c r="C1150" s="14" t="s">
        <v>294</v>
      </c>
      <c r="D1150" t="s">
        <v>112</v>
      </c>
      <c r="E1150" t="s">
        <v>392</v>
      </c>
      <c r="F1150" s="20">
        <v>2027</v>
      </c>
      <c r="G1150" s="20">
        <v>58</v>
      </c>
      <c r="H1150" s="11">
        <v>16142.2524500568</v>
      </c>
      <c r="I1150" s="10">
        <v>3090183.0893219998</v>
      </c>
      <c r="J1150" s="34">
        <f t="shared" si="68"/>
        <v>5.2237204021456487E-3</v>
      </c>
      <c r="K1150" s="34">
        <f t="shared" si="69"/>
        <v>5.2101005005650292E-3</v>
      </c>
      <c r="L1150" s="34">
        <f t="shared" si="70"/>
        <v>0.95418343744531342</v>
      </c>
      <c r="M1150" s="34">
        <f t="shared" si="71"/>
        <v>0.94921204584024876</v>
      </c>
    </row>
    <row r="1151" spans="1:13" ht="27.6">
      <c r="A1151" t="s">
        <v>164</v>
      </c>
      <c r="B1151" t="s">
        <v>112</v>
      </c>
      <c r="C1151" s="14" t="s">
        <v>294</v>
      </c>
      <c r="D1151" t="s">
        <v>112</v>
      </c>
      <c r="E1151" t="s">
        <v>392</v>
      </c>
      <c r="F1151" s="20">
        <v>2027</v>
      </c>
      <c r="G1151" s="20">
        <v>59</v>
      </c>
      <c r="H1151" s="11">
        <v>17013.735354320699</v>
      </c>
      <c r="I1151" s="10">
        <v>2980758.87302829</v>
      </c>
      <c r="J1151" s="34">
        <f t="shared" si="68"/>
        <v>5.7078536302521054E-3</v>
      </c>
      <c r="K1151" s="34">
        <f t="shared" si="69"/>
        <v>5.691594782802234E-3</v>
      </c>
      <c r="L1151" s="34">
        <f t="shared" si="70"/>
        <v>0.94921204584024876</v>
      </c>
      <c r="M1151" s="34">
        <f t="shared" si="71"/>
        <v>0.94380951551237136</v>
      </c>
    </row>
    <row r="1152" spans="1:13" ht="27.6">
      <c r="A1152" t="s">
        <v>164</v>
      </c>
      <c r="B1152" t="s">
        <v>112</v>
      </c>
      <c r="C1152" s="14" t="s">
        <v>294</v>
      </c>
      <c r="D1152" t="s">
        <v>112</v>
      </c>
      <c r="E1152" t="s">
        <v>392</v>
      </c>
      <c r="F1152" s="20">
        <v>2027</v>
      </c>
      <c r="G1152" s="20">
        <v>60</v>
      </c>
      <c r="H1152" s="11">
        <v>18176.506570492402</v>
      </c>
      <c r="I1152" s="10">
        <v>2839714.3117871201</v>
      </c>
      <c r="J1152" s="34">
        <f t="shared" si="68"/>
        <v>6.4008222570295682E-3</v>
      </c>
      <c r="K1152" s="34">
        <f t="shared" si="69"/>
        <v>6.3803806319036038E-3</v>
      </c>
      <c r="L1152" s="34">
        <f t="shared" si="70"/>
        <v>0.94380951551237136</v>
      </c>
      <c r="M1152" s="34">
        <f t="shared" si="71"/>
        <v>0.93778765155938992</v>
      </c>
    </row>
    <row r="1153" spans="1:13" ht="27.6">
      <c r="A1153" t="s">
        <v>164</v>
      </c>
      <c r="B1153" t="s">
        <v>112</v>
      </c>
      <c r="C1153" s="14" t="s">
        <v>294</v>
      </c>
      <c r="D1153" t="s">
        <v>112</v>
      </c>
      <c r="E1153" t="s">
        <v>392</v>
      </c>
      <c r="F1153" s="20">
        <v>2027</v>
      </c>
      <c r="G1153" s="20">
        <v>61</v>
      </c>
      <c r="H1153" s="11">
        <v>19136.1343776047</v>
      </c>
      <c r="I1153" s="10">
        <v>2735142.0296284799</v>
      </c>
      <c r="J1153" s="34">
        <f t="shared" si="68"/>
        <v>6.9963951306046077E-3</v>
      </c>
      <c r="K1153" s="34">
        <f t="shared" si="69"/>
        <v>6.9719773368894788E-3</v>
      </c>
      <c r="L1153" s="34">
        <f t="shared" si="70"/>
        <v>0.93778765155938992</v>
      </c>
      <c r="M1153" s="34">
        <f t="shared" si="71"/>
        <v>0.93124941730590305</v>
      </c>
    </row>
    <row r="1154" spans="1:13" ht="27.6">
      <c r="A1154" t="s">
        <v>164</v>
      </c>
      <c r="B1154" t="s">
        <v>112</v>
      </c>
      <c r="C1154" s="14" t="s">
        <v>294</v>
      </c>
      <c r="D1154" t="s">
        <v>112</v>
      </c>
      <c r="E1154" t="s">
        <v>392</v>
      </c>
      <c r="F1154" s="20">
        <v>2027</v>
      </c>
      <c r="G1154" s="20">
        <v>62</v>
      </c>
      <c r="H1154" s="11">
        <v>19958.917750878401</v>
      </c>
      <c r="I1154" s="10">
        <v>2609163.3121556402</v>
      </c>
      <c r="J1154" s="34">
        <f t="shared" ref="J1154:J1217" si="72">IF(I1154&gt;0,H1154/I1154,0)</f>
        <v>7.6495471394577939E-3</v>
      </c>
      <c r="K1154" s="34">
        <f t="shared" ref="K1154:K1217" si="73">1-EXP(-J1154)</f>
        <v>7.6203638142237073E-3</v>
      </c>
      <c r="L1154" s="34">
        <f t="shared" ref="L1154:L1217" si="74">IF(G1154=30,1,M1153)</f>
        <v>0.93124941730590305</v>
      </c>
      <c r="M1154" s="34">
        <f t="shared" ref="M1154:M1217" si="75">L1154*(1-K1154)</f>
        <v>0.92415295794424823</v>
      </c>
    </row>
    <row r="1155" spans="1:13" ht="27.6">
      <c r="A1155" t="s">
        <v>164</v>
      </c>
      <c r="B1155" t="s">
        <v>112</v>
      </c>
      <c r="C1155" s="14" t="s">
        <v>294</v>
      </c>
      <c r="D1155" t="s">
        <v>112</v>
      </c>
      <c r="E1155" t="s">
        <v>392</v>
      </c>
      <c r="F1155" s="20">
        <v>2027</v>
      </c>
      <c r="G1155" s="20">
        <v>63</v>
      </c>
      <c r="H1155" s="11">
        <v>20783.8423613142</v>
      </c>
      <c r="I1155" s="10">
        <v>2483400.2906657401</v>
      </c>
      <c r="J1155" s="34">
        <f t="shared" si="72"/>
        <v>8.3691068409042311E-3</v>
      </c>
      <c r="K1155" s="34">
        <f t="shared" si="73"/>
        <v>8.334183360270031E-3</v>
      </c>
      <c r="L1155" s="34">
        <f t="shared" si="74"/>
        <v>0.92415295794424823</v>
      </c>
      <c r="M1155" s="34">
        <f t="shared" si="75"/>
        <v>0.91645089773980493</v>
      </c>
    </row>
    <row r="1156" spans="1:13" ht="27.6">
      <c r="A1156" t="s">
        <v>164</v>
      </c>
      <c r="B1156" t="s">
        <v>112</v>
      </c>
      <c r="C1156" s="14" t="s">
        <v>294</v>
      </c>
      <c r="D1156" t="s">
        <v>112</v>
      </c>
      <c r="E1156" t="s">
        <v>392</v>
      </c>
      <c r="F1156" s="20">
        <v>2027</v>
      </c>
      <c r="G1156" s="20">
        <v>64</v>
      </c>
      <c r="H1156" s="11">
        <v>21644.795868374698</v>
      </c>
      <c r="I1156" s="10">
        <v>2362617.9861866999</v>
      </c>
      <c r="J1156" s="34">
        <f t="shared" si="72"/>
        <v>9.1613608272362798E-3</v>
      </c>
      <c r="K1156" s="34">
        <f t="shared" si="73"/>
        <v>9.119523421137532E-3</v>
      </c>
      <c r="L1156" s="34">
        <f t="shared" si="74"/>
        <v>0.91645089773980493</v>
      </c>
      <c r="M1156" s="34">
        <f t="shared" si="75"/>
        <v>0.90809330231354424</v>
      </c>
    </row>
    <row r="1157" spans="1:13" ht="27.6">
      <c r="A1157" t="s">
        <v>164</v>
      </c>
      <c r="B1157" t="s">
        <v>112</v>
      </c>
      <c r="C1157" s="14" t="s">
        <v>294</v>
      </c>
      <c r="D1157" t="s">
        <v>112</v>
      </c>
      <c r="E1157" t="s">
        <v>392</v>
      </c>
      <c r="F1157" s="20">
        <v>2027</v>
      </c>
      <c r="G1157" s="20">
        <v>65</v>
      </c>
      <c r="H1157" s="11">
        <v>21756.201456394901</v>
      </c>
      <c r="I1157" s="10">
        <v>2216128.9662647801</v>
      </c>
      <c r="J1157" s="34">
        <f t="shared" si="72"/>
        <v>9.8172091009055013E-3</v>
      </c>
      <c r="K1157" s="34">
        <f t="shared" si="73"/>
        <v>9.7691776105384154E-3</v>
      </c>
      <c r="L1157" s="34">
        <f t="shared" si="74"/>
        <v>0.90809330231354424</v>
      </c>
      <c r="M1157" s="34">
        <f t="shared" si="75"/>
        <v>0.89922197755630284</v>
      </c>
    </row>
    <row r="1158" spans="1:13" ht="27.6">
      <c r="A1158" t="s">
        <v>164</v>
      </c>
      <c r="B1158" t="s">
        <v>112</v>
      </c>
      <c r="C1158" s="14" t="s">
        <v>294</v>
      </c>
      <c r="D1158" t="s">
        <v>112</v>
      </c>
      <c r="E1158" t="s">
        <v>392</v>
      </c>
      <c r="F1158" s="20">
        <v>2027</v>
      </c>
      <c r="G1158" s="20">
        <v>66</v>
      </c>
      <c r="H1158" s="11">
        <v>22536.157978996998</v>
      </c>
      <c r="I1158" s="10">
        <v>2094965.1777226899</v>
      </c>
      <c r="J1158" s="34">
        <f t="shared" si="72"/>
        <v>1.0757294784009105E-2</v>
      </c>
      <c r="K1158" s="34">
        <f t="shared" si="73"/>
        <v>1.0699642002981902E-2</v>
      </c>
      <c r="L1158" s="34">
        <f t="shared" si="74"/>
        <v>0.89922197755630284</v>
      </c>
      <c r="M1158" s="34">
        <f t="shared" si="75"/>
        <v>0.88960062431523701</v>
      </c>
    </row>
    <row r="1159" spans="1:13" ht="27.6">
      <c r="A1159" t="s">
        <v>164</v>
      </c>
      <c r="B1159" t="s">
        <v>112</v>
      </c>
      <c r="C1159" s="14" t="s">
        <v>294</v>
      </c>
      <c r="D1159" t="s">
        <v>112</v>
      </c>
      <c r="E1159" t="s">
        <v>392</v>
      </c>
      <c r="F1159" s="20">
        <v>2027</v>
      </c>
      <c r="G1159" s="20">
        <v>67</v>
      </c>
      <c r="H1159" s="11">
        <v>23227.2641563752</v>
      </c>
      <c r="I1159" s="10">
        <v>1969800.1612787901</v>
      </c>
      <c r="J1159" s="34">
        <f t="shared" si="72"/>
        <v>1.1791685579564634E-2</v>
      </c>
      <c r="K1159" s="34">
        <f t="shared" si="73"/>
        <v>1.1722436111731849E-2</v>
      </c>
      <c r="L1159" s="34">
        <f t="shared" si="74"/>
        <v>0.88960062431523701</v>
      </c>
      <c r="M1159" s="34">
        <f t="shared" si="75"/>
        <v>0.87917233783174487</v>
      </c>
    </row>
    <row r="1160" spans="1:13" ht="27.6">
      <c r="A1160" t="s">
        <v>164</v>
      </c>
      <c r="B1160" t="s">
        <v>112</v>
      </c>
      <c r="C1160" s="14" t="s">
        <v>294</v>
      </c>
      <c r="D1160" t="s">
        <v>112</v>
      </c>
      <c r="E1160" t="s">
        <v>392</v>
      </c>
      <c r="F1160" s="20">
        <v>2027</v>
      </c>
      <c r="G1160" s="20">
        <v>68</v>
      </c>
      <c r="H1160" s="11">
        <v>23779.464912678799</v>
      </c>
      <c r="I1160" s="10">
        <v>1838757.2389523</v>
      </c>
      <c r="J1160" s="34">
        <f t="shared" si="72"/>
        <v>1.2932356925065339E-2</v>
      </c>
      <c r="K1160" s="34">
        <f t="shared" si="73"/>
        <v>1.2849093315305482E-2</v>
      </c>
      <c r="L1160" s="34">
        <f t="shared" si="74"/>
        <v>0.87917233783174487</v>
      </c>
      <c r="M1160" s="34">
        <f t="shared" si="75"/>
        <v>0.86787577042270947</v>
      </c>
    </row>
    <row r="1161" spans="1:13" ht="27.6">
      <c r="A1161" t="s">
        <v>164</v>
      </c>
      <c r="B1161" t="s">
        <v>112</v>
      </c>
      <c r="C1161" s="14" t="s">
        <v>294</v>
      </c>
      <c r="D1161" t="s">
        <v>112</v>
      </c>
      <c r="E1161" t="s">
        <v>392</v>
      </c>
      <c r="F1161" s="20">
        <v>2027</v>
      </c>
      <c r="G1161" s="20">
        <v>69</v>
      </c>
      <c r="H1161" s="11">
        <v>24276.356360401202</v>
      </c>
      <c r="I1161" s="10">
        <v>1710271.9079823501</v>
      </c>
      <c r="J1161" s="34">
        <f t="shared" si="72"/>
        <v>1.4194442560329847E-2</v>
      </c>
      <c r="K1161" s="34">
        <f t="shared" si="73"/>
        <v>1.409417642844446E-2</v>
      </c>
      <c r="L1161" s="34">
        <f t="shared" si="74"/>
        <v>0.86787577042270947</v>
      </c>
      <c r="M1161" s="34">
        <f t="shared" si="75"/>
        <v>0.85564377619639964</v>
      </c>
    </row>
    <row r="1162" spans="1:13" ht="27.6">
      <c r="A1162" t="s">
        <v>164</v>
      </c>
      <c r="B1162" t="s">
        <v>112</v>
      </c>
      <c r="C1162" s="14" t="s">
        <v>294</v>
      </c>
      <c r="D1162" t="s">
        <v>112</v>
      </c>
      <c r="E1162" t="s">
        <v>392</v>
      </c>
      <c r="F1162" s="20">
        <v>2028</v>
      </c>
      <c r="G1162" s="20">
        <v>30</v>
      </c>
      <c r="H1162" s="11">
        <v>986.00492710855099</v>
      </c>
      <c r="I1162" s="10">
        <v>4420053.2857877603</v>
      </c>
      <c r="J1162" s="34">
        <f t="shared" si="72"/>
        <v>2.2307534849838831E-4</v>
      </c>
      <c r="K1162" s="34">
        <f t="shared" si="73"/>
        <v>2.2305046904291803E-4</v>
      </c>
      <c r="L1162" s="34">
        <f t="shared" si="74"/>
        <v>1</v>
      </c>
      <c r="M1162" s="34">
        <f t="shared" si="75"/>
        <v>0.99977694953095708</v>
      </c>
    </row>
    <row r="1163" spans="1:13" ht="27.6">
      <c r="A1163" t="s">
        <v>164</v>
      </c>
      <c r="B1163" t="s">
        <v>112</v>
      </c>
      <c r="C1163" s="14" t="s">
        <v>294</v>
      </c>
      <c r="D1163" t="s">
        <v>112</v>
      </c>
      <c r="E1163" t="s">
        <v>392</v>
      </c>
      <c r="F1163" s="20">
        <v>2028</v>
      </c>
      <c r="G1163" s="20">
        <v>31</v>
      </c>
      <c r="H1163" s="11">
        <v>1348.7516087091401</v>
      </c>
      <c r="I1163" s="10">
        <v>4561944.6798058497</v>
      </c>
      <c r="J1163" s="34">
        <f t="shared" si="72"/>
        <v>2.9565277603641198E-4</v>
      </c>
      <c r="K1163" s="34">
        <f t="shared" si="73"/>
        <v>2.956090750613205E-4</v>
      </c>
      <c r="L1163" s="34">
        <f t="shared" si="74"/>
        <v>0.99977694953095708</v>
      </c>
      <c r="M1163" s="34">
        <f t="shared" si="75"/>
        <v>0.99948140639163863</v>
      </c>
    </row>
    <row r="1164" spans="1:13" ht="27.6">
      <c r="A1164" t="s">
        <v>164</v>
      </c>
      <c r="B1164" t="s">
        <v>112</v>
      </c>
      <c r="C1164" s="14" t="s">
        <v>294</v>
      </c>
      <c r="D1164" t="s">
        <v>112</v>
      </c>
      <c r="E1164" t="s">
        <v>392</v>
      </c>
      <c r="F1164" s="20">
        <v>2028</v>
      </c>
      <c r="G1164" s="20">
        <v>32</v>
      </c>
      <c r="H1164" s="11">
        <v>1397.44082171636</v>
      </c>
      <c r="I1164" s="10">
        <v>4519587.6163636101</v>
      </c>
      <c r="J1164" s="34">
        <f t="shared" si="72"/>
        <v>3.0919653303252456E-4</v>
      </c>
      <c r="K1164" s="34">
        <f t="shared" si="73"/>
        <v>3.0914873671072929E-4</v>
      </c>
      <c r="L1164" s="34">
        <f t="shared" si="74"/>
        <v>0.99948140639163863</v>
      </c>
      <c r="M1164" s="34">
        <f t="shared" si="75"/>
        <v>0.99917241797748679</v>
      </c>
    </row>
    <row r="1165" spans="1:13" ht="27.6">
      <c r="A1165" t="s">
        <v>164</v>
      </c>
      <c r="B1165" t="s">
        <v>112</v>
      </c>
      <c r="C1165" s="14" t="s">
        <v>294</v>
      </c>
      <c r="D1165" t="s">
        <v>112</v>
      </c>
      <c r="E1165" t="s">
        <v>392</v>
      </c>
      <c r="F1165" s="20">
        <v>2028</v>
      </c>
      <c r="G1165" s="20">
        <v>33</v>
      </c>
      <c r="H1165" s="11">
        <v>1447.40689837727</v>
      </c>
      <c r="I1165" s="10">
        <v>4447041.2261745203</v>
      </c>
      <c r="J1165" s="34">
        <f t="shared" si="72"/>
        <v>3.2547638413111212E-4</v>
      </c>
      <c r="K1165" s="34">
        <f t="shared" si="73"/>
        <v>3.2542342243890854E-4</v>
      </c>
      <c r="L1165" s="34">
        <f t="shared" si="74"/>
        <v>0.99917241797748679</v>
      </c>
      <c r="M1165" s="34">
        <f t="shared" si="75"/>
        <v>0.99884726386962197</v>
      </c>
    </row>
    <row r="1166" spans="1:13" ht="27.6">
      <c r="A1166" t="s">
        <v>164</v>
      </c>
      <c r="B1166" t="s">
        <v>112</v>
      </c>
      <c r="C1166" s="14" t="s">
        <v>294</v>
      </c>
      <c r="D1166" t="s">
        <v>112</v>
      </c>
      <c r="E1166" t="s">
        <v>392</v>
      </c>
      <c r="F1166" s="20">
        <v>2028</v>
      </c>
      <c r="G1166" s="20">
        <v>34</v>
      </c>
      <c r="H1166" s="11">
        <v>1513.5329848281399</v>
      </c>
      <c r="I1166" s="10">
        <v>4390417.8590197396</v>
      </c>
      <c r="J1166" s="34">
        <f t="shared" si="72"/>
        <v>3.4473552026915055E-4</v>
      </c>
      <c r="K1166" s="34">
        <f t="shared" si="73"/>
        <v>3.4467610580735109E-4</v>
      </c>
      <c r="L1166" s="34">
        <f t="shared" si="74"/>
        <v>0.99884726386962197</v>
      </c>
      <c r="M1166" s="34">
        <f t="shared" si="75"/>
        <v>0.99850298508441504</v>
      </c>
    </row>
    <row r="1167" spans="1:13" ht="27.6">
      <c r="A1167" t="s">
        <v>164</v>
      </c>
      <c r="B1167" t="s">
        <v>112</v>
      </c>
      <c r="C1167" s="14" t="s">
        <v>294</v>
      </c>
      <c r="D1167" t="s">
        <v>112</v>
      </c>
      <c r="E1167" t="s">
        <v>392</v>
      </c>
      <c r="F1167" s="20">
        <v>2028</v>
      </c>
      <c r="G1167" s="20">
        <v>35</v>
      </c>
      <c r="H1167" s="11">
        <v>2049.0230557138998</v>
      </c>
      <c r="I1167" s="10">
        <v>4337509.9334903397</v>
      </c>
      <c r="J1167" s="34">
        <f t="shared" si="72"/>
        <v>4.7239616441986491E-4</v>
      </c>
      <c r="K1167" s="34">
        <f t="shared" si="73"/>
        <v>4.7228460291959262E-4</v>
      </c>
      <c r="L1167" s="34">
        <f t="shared" si="74"/>
        <v>0.99850298508441504</v>
      </c>
      <c r="M1167" s="34">
        <f t="shared" si="75"/>
        <v>0.99803140749859043</v>
      </c>
    </row>
    <row r="1168" spans="1:13" ht="27.6">
      <c r="A1168" t="s">
        <v>164</v>
      </c>
      <c r="B1168" t="s">
        <v>112</v>
      </c>
      <c r="C1168" s="14" t="s">
        <v>294</v>
      </c>
      <c r="D1168" t="s">
        <v>112</v>
      </c>
      <c r="E1168" t="s">
        <v>392</v>
      </c>
      <c r="F1168" s="20">
        <v>2028</v>
      </c>
      <c r="G1168" s="20">
        <v>36</v>
      </c>
      <c r="H1168" s="11">
        <v>2208.32306509608</v>
      </c>
      <c r="I1168" s="10">
        <v>4375912.9383368604</v>
      </c>
      <c r="J1168" s="34">
        <f t="shared" si="72"/>
        <v>5.0465425071628378E-4</v>
      </c>
      <c r="K1168" s="34">
        <f t="shared" si="73"/>
        <v>5.0452693417779582E-4</v>
      </c>
      <c r="L1168" s="34">
        <f t="shared" si="74"/>
        <v>0.99803140749859043</v>
      </c>
      <c r="M1168" s="34">
        <f t="shared" si="75"/>
        <v>0.99752787377235197</v>
      </c>
    </row>
    <row r="1169" spans="1:13" ht="27.6">
      <c r="A1169" t="s">
        <v>164</v>
      </c>
      <c r="B1169" t="s">
        <v>112</v>
      </c>
      <c r="C1169" s="14" t="s">
        <v>294</v>
      </c>
      <c r="D1169" t="s">
        <v>112</v>
      </c>
      <c r="E1169" t="s">
        <v>392</v>
      </c>
      <c r="F1169" s="20">
        <v>2028</v>
      </c>
      <c r="G1169" s="20">
        <v>37</v>
      </c>
      <c r="H1169" s="11">
        <v>2377.0846251381699</v>
      </c>
      <c r="I1169" s="10">
        <v>4395143.8437236696</v>
      </c>
      <c r="J1169" s="34">
        <f t="shared" si="72"/>
        <v>5.4084341938721349E-4</v>
      </c>
      <c r="K1169" s="34">
        <f t="shared" si="73"/>
        <v>5.4069718994864679E-4</v>
      </c>
      <c r="L1169" s="34">
        <f t="shared" si="74"/>
        <v>0.99752787377235197</v>
      </c>
      <c r="M1169" s="34">
        <f t="shared" si="75"/>
        <v>0.99698851325410776</v>
      </c>
    </row>
    <row r="1170" spans="1:13" ht="27.6">
      <c r="A1170" t="s">
        <v>164</v>
      </c>
      <c r="B1170" t="s">
        <v>112</v>
      </c>
      <c r="C1170" s="14" t="s">
        <v>294</v>
      </c>
      <c r="D1170" t="s">
        <v>112</v>
      </c>
      <c r="E1170" t="s">
        <v>392</v>
      </c>
      <c r="F1170" s="20">
        <v>2028</v>
      </c>
      <c r="G1170" s="20">
        <v>38</v>
      </c>
      <c r="H1170" s="11">
        <v>3605.8515325610001</v>
      </c>
      <c r="I1170" s="10">
        <v>6472803.1777237402</v>
      </c>
      <c r="J1170" s="34">
        <f t="shared" si="72"/>
        <v>5.5707727140083573E-4</v>
      </c>
      <c r="K1170" s="34">
        <f t="shared" si="73"/>
        <v>5.5692213266711477E-4</v>
      </c>
      <c r="L1170" s="34">
        <f t="shared" si="74"/>
        <v>0.99698851325410776</v>
      </c>
      <c r="M1170" s="34">
        <f t="shared" si="75"/>
        <v>0.99643326828506162</v>
      </c>
    </row>
    <row r="1171" spans="1:13" ht="27.6">
      <c r="A1171" t="s">
        <v>164</v>
      </c>
      <c r="B1171" t="s">
        <v>112</v>
      </c>
      <c r="C1171" s="14" t="s">
        <v>294</v>
      </c>
      <c r="D1171" t="s">
        <v>112</v>
      </c>
      <c r="E1171" t="s">
        <v>392</v>
      </c>
      <c r="F1171" s="20">
        <v>2028</v>
      </c>
      <c r="G1171" s="20">
        <v>39</v>
      </c>
      <c r="H1171" s="11">
        <v>2719.5595293650299</v>
      </c>
      <c r="I1171" s="10">
        <v>4356168.9721363503</v>
      </c>
      <c r="J1171" s="34">
        <f t="shared" si="72"/>
        <v>6.2430074378664539E-4</v>
      </c>
      <c r="K1171" s="34">
        <f t="shared" si="73"/>
        <v>6.2410590862460591E-4</v>
      </c>
      <c r="L1171" s="34">
        <f t="shared" si="74"/>
        <v>0.99643326828506162</v>
      </c>
      <c r="M1171" s="34">
        <f t="shared" si="75"/>
        <v>0.99581138839477479</v>
      </c>
    </row>
    <row r="1172" spans="1:13" ht="27.6">
      <c r="A1172" t="s">
        <v>164</v>
      </c>
      <c r="B1172" t="s">
        <v>112</v>
      </c>
      <c r="C1172" s="14" t="s">
        <v>294</v>
      </c>
      <c r="D1172" t="s">
        <v>112</v>
      </c>
      <c r="E1172" t="s">
        <v>392</v>
      </c>
      <c r="F1172" s="20">
        <v>2028</v>
      </c>
      <c r="G1172" s="20">
        <v>40</v>
      </c>
      <c r="H1172" s="11">
        <v>3650.9352096232901</v>
      </c>
      <c r="I1172" s="10">
        <v>4340882.8782030204</v>
      </c>
      <c r="J1172" s="34">
        <f t="shared" si="72"/>
        <v>8.4105821604996969E-4</v>
      </c>
      <c r="K1172" s="34">
        <f t="shared" si="73"/>
        <v>8.4070462572549687E-4</v>
      </c>
      <c r="L1172" s="34">
        <f t="shared" si="74"/>
        <v>0.99581138839477479</v>
      </c>
      <c r="M1172" s="34">
        <f t="shared" si="75"/>
        <v>0.99497420515420121</v>
      </c>
    </row>
    <row r="1173" spans="1:13" ht="27.6">
      <c r="A1173" t="s">
        <v>164</v>
      </c>
      <c r="B1173" t="s">
        <v>112</v>
      </c>
      <c r="C1173" s="14" t="s">
        <v>294</v>
      </c>
      <c r="D1173" t="s">
        <v>112</v>
      </c>
      <c r="E1173" t="s">
        <v>392</v>
      </c>
      <c r="F1173" s="20">
        <v>2028</v>
      </c>
      <c r="G1173" s="20">
        <v>41</v>
      </c>
      <c r="H1173" s="11">
        <v>3823.7268038232501</v>
      </c>
      <c r="I1173" s="10">
        <v>4208739.1546760304</v>
      </c>
      <c r="J1173" s="34">
        <f t="shared" si="72"/>
        <v>9.0852073822987568E-4</v>
      </c>
      <c r="K1173" s="34">
        <f t="shared" si="73"/>
        <v>9.0810815821928959E-4</v>
      </c>
      <c r="L1173" s="34">
        <f t="shared" si="74"/>
        <v>0.99497420515420121</v>
      </c>
      <c r="M1173" s="34">
        <f t="shared" si="75"/>
        <v>0.99407066096128294</v>
      </c>
    </row>
    <row r="1174" spans="1:13" ht="27.6">
      <c r="A1174" t="s">
        <v>164</v>
      </c>
      <c r="B1174" t="s">
        <v>112</v>
      </c>
      <c r="C1174" s="14" t="s">
        <v>294</v>
      </c>
      <c r="D1174" t="s">
        <v>112</v>
      </c>
      <c r="E1174" t="s">
        <v>392</v>
      </c>
      <c r="F1174" s="20">
        <v>2028</v>
      </c>
      <c r="G1174" s="20">
        <v>42</v>
      </c>
      <c r="H1174" s="11">
        <v>4110.0374279751304</v>
      </c>
      <c r="I1174" s="10">
        <v>4175672.9414967401</v>
      </c>
      <c r="J1174" s="34">
        <f t="shared" si="72"/>
        <v>9.8428145248892918E-4</v>
      </c>
      <c r="K1174" s="34">
        <f t="shared" si="73"/>
        <v>9.8379720639130142E-4</v>
      </c>
      <c r="L1174" s="34">
        <f t="shared" si="74"/>
        <v>0.99407066096128294</v>
      </c>
      <c r="M1174" s="34">
        <f t="shared" si="75"/>
        <v>0.9930926970220737</v>
      </c>
    </row>
    <row r="1175" spans="1:13" ht="27.6">
      <c r="A1175" t="s">
        <v>164</v>
      </c>
      <c r="B1175" t="s">
        <v>112</v>
      </c>
      <c r="C1175" s="14" t="s">
        <v>294</v>
      </c>
      <c r="D1175" t="s">
        <v>112</v>
      </c>
      <c r="E1175" t="s">
        <v>392</v>
      </c>
      <c r="F1175" s="20">
        <v>2028</v>
      </c>
      <c r="G1175" s="20">
        <v>43</v>
      </c>
      <c r="H1175" s="11">
        <v>4534.6350729000196</v>
      </c>
      <c r="I1175" s="10">
        <v>4236935.91917249</v>
      </c>
      <c r="J1175" s="34">
        <f t="shared" si="72"/>
        <v>1.0702628407430984E-3</v>
      </c>
      <c r="K1175" s="34">
        <f t="shared" si="73"/>
        <v>1.0696903137386027E-3</v>
      </c>
      <c r="L1175" s="34">
        <f t="shared" si="74"/>
        <v>0.9930926970220737</v>
      </c>
      <c r="M1175" s="34">
        <f t="shared" si="75"/>
        <v>0.99203039538342463</v>
      </c>
    </row>
    <row r="1176" spans="1:13" ht="27.6">
      <c r="A1176" t="s">
        <v>164</v>
      </c>
      <c r="B1176" t="s">
        <v>112</v>
      </c>
      <c r="C1176" s="14" t="s">
        <v>294</v>
      </c>
      <c r="D1176" t="s">
        <v>112</v>
      </c>
      <c r="E1176" t="s">
        <v>392</v>
      </c>
      <c r="F1176" s="20">
        <v>2028</v>
      </c>
      <c r="G1176" s="20">
        <v>44</v>
      </c>
      <c r="H1176" s="11">
        <v>5047.6751973582504</v>
      </c>
      <c r="I1176" s="10">
        <v>4323725.01833132</v>
      </c>
      <c r="J1176" s="34">
        <f t="shared" si="72"/>
        <v>1.1674366838680986E-3</v>
      </c>
      <c r="K1176" s="34">
        <f t="shared" si="73"/>
        <v>1.1667554947701886E-3</v>
      </c>
      <c r="L1176" s="34">
        <f t="shared" si="74"/>
        <v>0.99203039538342463</v>
      </c>
      <c r="M1176" s="34">
        <f t="shared" si="75"/>
        <v>0.990872938468632</v>
      </c>
    </row>
    <row r="1177" spans="1:13" ht="27.6">
      <c r="A1177" t="s">
        <v>164</v>
      </c>
      <c r="B1177" t="s">
        <v>112</v>
      </c>
      <c r="C1177" s="14" t="s">
        <v>294</v>
      </c>
      <c r="D1177" t="s">
        <v>112</v>
      </c>
      <c r="E1177" t="s">
        <v>392</v>
      </c>
      <c r="F1177" s="20">
        <v>2028</v>
      </c>
      <c r="G1177" s="20">
        <v>45</v>
      </c>
      <c r="H1177" s="11">
        <v>6499.8978308857004</v>
      </c>
      <c r="I1177" s="10">
        <v>4301180.9251584196</v>
      </c>
      <c r="J1177" s="34">
        <f t="shared" si="72"/>
        <v>1.5111891231700044E-3</v>
      </c>
      <c r="K1177" s="34">
        <f t="shared" si="73"/>
        <v>1.5100478518517146E-3</v>
      </c>
      <c r="L1177" s="34">
        <f t="shared" si="74"/>
        <v>0.990872938468632</v>
      </c>
      <c r="M1177" s="34">
        <f t="shared" si="75"/>
        <v>0.98937667291643949</v>
      </c>
    </row>
    <row r="1178" spans="1:13" ht="27.6">
      <c r="A1178" t="s">
        <v>164</v>
      </c>
      <c r="B1178" t="s">
        <v>112</v>
      </c>
      <c r="C1178" s="14" t="s">
        <v>294</v>
      </c>
      <c r="D1178" t="s">
        <v>112</v>
      </c>
      <c r="E1178" t="s">
        <v>392</v>
      </c>
      <c r="F1178" s="20">
        <v>2028</v>
      </c>
      <c r="G1178" s="20">
        <v>46</v>
      </c>
      <c r="H1178" s="11">
        <v>6894.3110427852198</v>
      </c>
      <c r="I1178" s="10">
        <v>4164596.7699272302</v>
      </c>
      <c r="J1178" s="34">
        <f t="shared" si="72"/>
        <v>1.6554570402996511E-3</v>
      </c>
      <c r="K1178" s="34">
        <f t="shared" si="73"/>
        <v>1.6540875271211508E-3</v>
      </c>
      <c r="L1178" s="34">
        <f t="shared" si="74"/>
        <v>0.98937667291643949</v>
      </c>
      <c r="M1178" s="34">
        <f t="shared" si="75"/>
        <v>0.98774015730214382</v>
      </c>
    </row>
    <row r="1179" spans="1:13" ht="27.6">
      <c r="A1179" t="s">
        <v>164</v>
      </c>
      <c r="B1179" t="s">
        <v>112</v>
      </c>
      <c r="C1179" s="14" t="s">
        <v>294</v>
      </c>
      <c r="D1179" t="s">
        <v>112</v>
      </c>
      <c r="E1179" t="s">
        <v>392</v>
      </c>
      <c r="F1179" s="20">
        <v>2028</v>
      </c>
      <c r="G1179" s="20">
        <v>47</v>
      </c>
      <c r="H1179" s="11">
        <v>7417.8621884767099</v>
      </c>
      <c r="I1179" s="10">
        <v>4091785.7129117702</v>
      </c>
      <c r="J1179" s="34">
        <f t="shared" si="72"/>
        <v>1.8128667307941838E-3</v>
      </c>
      <c r="K1179" s="34">
        <f t="shared" si="73"/>
        <v>1.8112244804459054E-3</v>
      </c>
      <c r="L1179" s="34">
        <f t="shared" si="74"/>
        <v>0.98774015730214382</v>
      </c>
      <c r="M1179" s="34">
        <f t="shared" si="75"/>
        <v>0.98595113814891866</v>
      </c>
    </row>
    <row r="1180" spans="1:13" ht="27.6">
      <c r="A1180" t="s">
        <v>164</v>
      </c>
      <c r="B1180" t="s">
        <v>112</v>
      </c>
      <c r="C1180" s="14" t="s">
        <v>294</v>
      </c>
      <c r="D1180" t="s">
        <v>112</v>
      </c>
      <c r="E1180" t="s">
        <v>392</v>
      </c>
      <c r="F1180" s="20">
        <v>2028</v>
      </c>
      <c r="G1180" s="20">
        <v>48</v>
      </c>
      <c r="H1180" s="11">
        <v>8006.9183900754097</v>
      </c>
      <c r="I1180" s="10">
        <v>4034983.6113014398</v>
      </c>
      <c r="J1180" s="34">
        <f t="shared" si="72"/>
        <v>1.9843744513978003E-3</v>
      </c>
      <c r="K1180" s="34">
        <f t="shared" si="73"/>
        <v>1.982406882096055E-3</v>
      </c>
      <c r="L1180" s="34">
        <f t="shared" si="74"/>
        <v>0.98595113814891866</v>
      </c>
      <c r="M1180" s="34">
        <f t="shared" si="75"/>
        <v>0.98399658182724181</v>
      </c>
    </row>
    <row r="1181" spans="1:13" ht="27.6">
      <c r="A1181" t="s">
        <v>164</v>
      </c>
      <c r="B1181" t="s">
        <v>112</v>
      </c>
      <c r="C1181" s="14" t="s">
        <v>294</v>
      </c>
      <c r="D1181" t="s">
        <v>112</v>
      </c>
      <c r="E1181" t="s">
        <v>392</v>
      </c>
      <c r="F1181" s="20">
        <v>2028</v>
      </c>
      <c r="G1181" s="20">
        <v>49</v>
      </c>
      <c r="H1181" s="11">
        <v>8621.7946283689507</v>
      </c>
      <c r="I1181" s="10">
        <v>3972749.8164399099</v>
      </c>
      <c r="J1181" s="34">
        <f t="shared" si="72"/>
        <v>2.170233472213757E-3</v>
      </c>
      <c r="K1181" s="34">
        <f t="shared" si="73"/>
        <v>2.1678802182297785E-3</v>
      </c>
      <c r="L1181" s="34">
        <f t="shared" si="74"/>
        <v>0.98399658182724181</v>
      </c>
      <c r="M1181" s="34">
        <f t="shared" si="75"/>
        <v>0.98186339510269283</v>
      </c>
    </row>
    <row r="1182" spans="1:13" ht="27.6">
      <c r="A1182" t="s">
        <v>164</v>
      </c>
      <c r="B1182" t="s">
        <v>112</v>
      </c>
      <c r="C1182" s="14" t="s">
        <v>294</v>
      </c>
      <c r="D1182" t="s">
        <v>112</v>
      </c>
      <c r="E1182" t="s">
        <v>392</v>
      </c>
      <c r="F1182" s="20">
        <v>2028</v>
      </c>
      <c r="G1182" s="20">
        <v>50</v>
      </c>
      <c r="H1182" s="11">
        <v>9853.6303383584891</v>
      </c>
      <c r="I1182" s="10">
        <v>3890988.9531679698</v>
      </c>
      <c r="J1182" s="34">
        <f t="shared" si="72"/>
        <v>2.5324231080984822E-3</v>
      </c>
      <c r="K1182" s="34">
        <f t="shared" si="73"/>
        <v>2.5292192297950988E-3</v>
      </c>
      <c r="L1182" s="34">
        <f t="shared" si="74"/>
        <v>0.98186339510269283</v>
      </c>
      <c r="M1182" s="34">
        <f t="shared" si="75"/>
        <v>0.97938004732276718</v>
      </c>
    </row>
    <row r="1183" spans="1:13" ht="27.6">
      <c r="A1183" t="s">
        <v>164</v>
      </c>
      <c r="B1183" t="s">
        <v>112</v>
      </c>
      <c r="C1183" s="14" t="s">
        <v>294</v>
      </c>
      <c r="D1183" t="s">
        <v>112</v>
      </c>
      <c r="E1183" t="s">
        <v>392</v>
      </c>
      <c r="F1183" s="20">
        <v>2028</v>
      </c>
      <c r="G1183" s="20">
        <v>51</v>
      </c>
      <c r="H1183" s="11">
        <v>10586.308198296099</v>
      </c>
      <c r="I1183" s="10">
        <v>3825622.7598554902</v>
      </c>
      <c r="J1183" s="34">
        <f t="shared" si="72"/>
        <v>2.7672117359255747E-3</v>
      </c>
      <c r="K1183" s="34">
        <f t="shared" si="73"/>
        <v>2.7633865347238551E-3</v>
      </c>
      <c r="L1183" s="34">
        <f t="shared" si="74"/>
        <v>0.97938004732276718</v>
      </c>
      <c r="M1183" s="34">
        <f t="shared" si="75"/>
        <v>0.97667364168761828</v>
      </c>
    </row>
    <row r="1184" spans="1:13" ht="27.6">
      <c r="A1184" t="s">
        <v>164</v>
      </c>
      <c r="B1184" t="s">
        <v>112</v>
      </c>
      <c r="C1184" s="14" t="s">
        <v>294</v>
      </c>
      <c r="D1184" t="s">
        <v>112</v>
      </c>
      <c r="E1184" t="s">
        <v>392</v>
      </c>
      <c r="F1184" s="20">
        <v>2028</v>
      </c>
      <c r="G1184" s="20">
        <v>52</v>
      </c>
      <c r="H1184" s="11">
        <v>11322.0024227386</v>
      </c>
      <c r="I1184" s="10">
        <v>3749165.1408497002</v>
      </c>
      <c r="J1184" s="34">
        <f t="shared" si="72"/>
        <v>3.0198729576826839E-3</v>
      </c>
      <c r="K1184" s="34">
        <f t="shared" si="73"/>
        <v>3.0153177279012011E-3</v>
      </c>
      <c r="L1184" s="34">
        <f t="shared" si="74"/>
        <v>0.97667364168761828</v>
      </c>
      <c r="M1184" s="34">
        <f t="shared" si="75"/>
        <v>0.97372866034146377</v>
      </c>
    </row>
    <row r="1185" spans="1:13" ht="27.6">
      <c r="A1185" t="s">
        <v>164</v>
      </c>
      <c r="B1185" t="s">
        <v>112</v>
      </c>
      <c r="C1185" s="14" t="s">
        <v>294</v>
      </c>
      <c r="D1185" t="s">
        <v>112</v>
      </c>
      <c r="E1185" t="s">
        <v>392</v>
      </c>
      <c r="F1185" s="20">
        <v>2028</v>
      </c>
      <c r="G1185" s="20">
        <v>53</v>
      </c>
      <c r="H1185" s="11">
        <v>12102.4064248495</v>
      </c>
      <c r="I1185" s="10">
        <v>3672043.2322377302</v>
      </c>
      <c r="J1185" s="34">
        <f t="shared" si="72"/>
        <v>3.2958235128060669E-3</v>
      </c>
      <c r="K1185" s="34">
        <f t="shared" si="73"/>
        <v>3.2903982483669658E-3</v>
      </c>
      <c r="L1185" s="34">
        <f t="shared" si="74"/>
        <v>0.97372866034146377</v>
      </c>
      <c r="M1185" s="34">
        <f t="shared" si="75"/>
        <v>0.97052470526309154</v>
      </c>
    </row>
    <row r="1186" spans="1:13" ht="27.6">
      <c r="A1186" t="s">
        <v>164</v>
      </c>
      <c r="B1186" t="s">
        <v>112</v>
      </c>
      <c r="C1186" s="14" t="s">
        <v>294</v>
      </c>
      <c r="D1186" t="s">
        <v>112</v>
      </c>
      <c r="E1186" t="s">
        <v>392</v>
      </c>
      <c r="F1186" s="20">
        <v>2028</v>
      </c>
      <c r="G1186" s="20">
        <v>54</v>
      </c>
      <c r="H1186" s="11">
        <v>12835.426187062099</v>
      </c>
      <c r="I1186" s="10">
        <v>3567281.1515372102</v>
      </c>
      <c r="J1186" s="34">
        <f t="shared" si="72"/>
        <v>3.5980977225557528E-3</v>
      </c>
      <c r="K1186" s="34">
        <f t="shared" si="73"/>
        <v>3.59163232564641E-3</v>
      </c>
      <c r="L1186" s="34">
        <f t="shared" si="74"/>
        <v>0.97052470526309154</v>
      </c>
      <c r="M1186" s="34">
        <f t="shared" si="75"/>
        <v>0.96703893735883018</v>
      </c>
    </row>
    <row r="1187" spans="1:13" ht="27.6">
      <c r="A1187" t="s">
        <v>164</v>
      </c>
      <c r="B1187" t="s">
        <v>112</v>
      </c>
      <c r="C1187" s="14" t="s">
        <v>294</v>
      </c>
      <c r="D1187" t="s">
        <v>112</v>
      </c>
      <c r="E1187" t="s">
        <v>392</v>
      </c>
      <c r="F1187" s="20">
        <v>2028</v>
      </c>
      <c r="G1187" s="20">
        <v>55</v>
      </c>
      <c r="H1187" s="11">
        <v>14036.387188712601</v>
      </c>
      <c r="I1187" s="10">
        <v>3523084.2163612</v>
      </c>
      <c r="J1187" s="34">
        <f t="shared" si="72"/>
        <v>3.9841191202661663E-3</v>
      </c>
      <c r="K1187" s="34">
        <f t="shared" si="73"/>
        <v>3.9761930473173335E-3</v>
      </c>
      <c r="L1187" s="34">
        <f t="shared" si="74"/>
        <v>0.96703893735883018</v>
      </c>
      <c r="M1187" s="34">
        <f t="shared" si="75"/>
        <v>0.96319380385961884</v>
      </c>
    </row>
    <row r="1188" spans="1:13" ht="27.6">
      <c r="A1188" t="s">
        <v>164</v>
      </c>
      <c r="B1188" t="s">
        <v>112</v>
      </c>
      <c r="C1188" s="14" t="s">
        <v>294</v>
      </c>
      <c r="D1188" t="s">
        <v>112</v>
      </c>
      <c r="E1188" t="s">
        <v>392</v>
      </c>
      <c r="F1188" s="20">
        <v>2028</v>
      </c>
      <c r="G1188" s="20">
        <v>56</v>
      </c>
      <c r="H1188" s="11">
        <v>14433.755825100499</v>
      </c>
      <c r="I1188" s="10">
        <v>3313699.9990036502</v>
      </c>
      <c r="J1188" s="34">
        <f t="shared" si="72"/>
        <v>4.3557823066180954E-3</v>
      </c>
      <c r="K1188" s="34">
        <f t="shared" si="73"/>
        <v>4.3463096454742223E-3</v>
      </c>
      <c r="L1188" s="34">
        <f t="shared" si="74"/>
        <v>0.96319380385961884</v>
      </c>
      <c r="M1188" s="34">
        <f t="shared" si="75"/>
        <v>0.95900746533944281</v>
      </c>
    </row>
    <row r="1189" spans="1:13" ht="27.6">
      <c r="A1189" t="s">
        <v>164</v>
      </c>
      <c r="B1189" t="s">
        <v>112</v>
      </c>
      <c r="C1189" s="14" t="s">
        <v>294</v>
      </c>
      <c r="D1189" t="s">
        <v>112</v>
      </c>
      <c r="E1189" t="s">
        <v>392</v>
      </c>
      <c r="F1189" s="20">
        <v>2028</v>
      </c>
      <c r="G1189" s="20">
        <v>57</v>
      </c>
      <c r="H1189" s="11">
        <v>15354.3499065824</v>
      </c>
      <c r="I1189" s="10">
        <v>3226946.3772052699</v>
      </c>
      <c r="J1189" s="34">
        <f t="shared" si="72"/>
        <v>4.7581670445606206E-3</v>
      </c>
      <c r="K1189" s="34">
        <f t="shared" si="73"/>
        <v>4.7468649006837671E-3</v>
      </c>
      <c r="L1189" s="34">
        <f t="shared" si="74"/>
        <v>0.95900746533944281</v>
      </c>
      <c r="M1189" s="34">
        <f t="shared" si="75"/>
        <v>0.95445518646272931</v>
      </c>
    </row>
    <row r="1190" spans="1:13" ht="27.6">
      <c r="A1190" t="s">
        <v>164</v>
      </c>
      <c r="B1190" t="s">
        <v>112</v>
      </c>
      <c r="C1190" s="14" t="s">
        <v>294</v>
      </c>
      <c r="D1190" t="s">
        <v>112</v>
      </c>
      <c r="E1190" t="s">
        <v>392</v>
      </c>
      <c r="F1190" s="20">
        <v>2028</v>
      </c>
      <c r="G1190" s="20">
        <v>58</v>
      </c>
      <c r="H1190" s="11">
        <v>16350.139476394799</v>
      </c>
      <c r="I1190" s="10">
        <v>3144663.4159435402</v>
      </c>
      <c r="J1190" s="34">
        <f t="shared" si="72"/>
        <v>5.1993289308798806E-3</v>
      </c>
      <c r="K1190" s="34">
        <f t="shared" si="73"/>
        <v>5.1858358153914486E-3</v>
      </c>
      <c r="L1190" s="34">
        <f t="shared" si="74"/>
        <v>0.95445518646272931</v>
      </c>
      <c r="M1190" s="34">
        <f t="shared" si="75"/>
        <v>0.9495055385725848</v>
      </c>
    </row>
    <row r="1191" spans="1:13" ht="27.6">
      <c r="A1191" t="s">
        <v>164</v>
      </c>
      <c r="B1191" t="s">
        <v>112</v>
      </c>
      <c r="C1191" s="14" t="s">
        <v>294</v>
      </c>
      <c r="D1191" t="s">
        <v>112</v>
      </c>
      <c r="E1191" t="s">
        <v>392</v>
      </c>
      <c r="F1191" s="20">
        <v>2028</v>
      </c>
      <c r="G1191" s="20">
        <v>59</v>
      </c>
      <c r="H1191" s="11">
        <v>17349.1536234247</v>
      </c>
      <c r="I1191" s="10">
        <v>3053101.8159011998</v>
      </c>
      <c r="J1191" s="34">
        <f t="shared" si="72"/>
        <v>5.6824680831365137E-3</v>
      </c>
      <c r="K1191" s="34">
        <f t="shared" si="73"/>
        <v>5.6663533995523485E-3</v>
      </c>
      <c r="L1191" s="34">
        <f t="shared" si="74"/>
        <v>0.9495055385725848</v>
      </c>
      <c r="M1191" s="34">
        <f t="shared" si="75"/>
        <v>0.94412530463620026</v>
      </c>
    </row>
    <row r="1192" spans="1:13" ht="27.6">
      <c r="A1192" t="s">
        <v>164</v>
      </c>
      <c r="B1192" t="s">
        <v>112</v>
      </c>
      <c r="C1192" s="14" t="s">
        <v>294</v>
      </c>
      <c r="D1192" t="s">
        <v>112</v>
      </c>
      <c r="E1192" t="s">
        <v>392</v>
      </c>
      <c r="F1192" s="20">
        <v>2028</v>
      </c>
      <c r="G1192" s="20">
        <v>60</v>
      </c>
      <c r="H1192" s="11">
        <v>18688.935205387301</v>
      </c>
      <c r="I1192" s="10">
        <v>2941682.0240385002</v>
      </c>
      <c r="J1192" s="34">
        <f t="shared" si="72"/>
        <v>6.3531459391828219E-3</v>
      </c>
      <c r="K1192" s="34">
        <f t="shared" si="73"/>
        <v>6.3330073778297136E-3</v>
      </c>
      <c r="L1192" s="34">
        <f t="shared" si="74"/>
        <v>0.94412530463620026</v>
      </c>
      <c r="M1192" s="34">
        <f t="shared" si="75"/>
        <v>0.93814615211634345</v>
      </c>
    </row>
    <row r="1193" spans="1:13" ht="27.6">
      <c r="A1193" t="s">
        <v>164</v>
      </c>
      <c r="B1193" t="s">
        <v>112</v>
      </c>
      <c r="C1193" s="14" t="s">
        <v>294</v>
      </c>
      <c r="D1193" t="s">
        <v>112</v>
      </c>
      <c r="E1193" t="s">
        <v>392</v>
      </c>
      <c r="F1193" s="20">
        <v>2028</v>
      </c>
      <c r="G1193" s="20">
        <v>61</v>
      </c>
      <c r="H1193" s="11">
        <v>19456.7298904534</v>
      </c>
      <c r="I1193" s="10">
        <v>2798367.68205206</v>
      </c>
      <c r="J1193" s="34">
        <f t="shared" si="72"/>
        <v>6.9528854321908341E-3</v>
      </c>
      <c r="K1193" s="34">
        <f t="shared" si="73"/>
        <v>6.9287700471457603E-3</v>
      </c>
      <c r="L1193" s="34">
        <f t="shared" si="74"/>
        <v>0.93814615211634345</v>
      </c>
      <c r="M1193" s="34">
        <f t="shared" si="75"/>
        <v>0.9316459531577147</v>
      </c>
    </row>
    <row r="1194" spans="1:13" ht="27.6">
      <c r="A1194" t="s">
        <v>164</v>
      </c>
      <c r="B1194" t="s">
        <v>112</v>
      </c>
      <c r="C1194" s="14" t="s">
        <v>294</v>
      </c>
      <c r="D1194" t="s">
        <v>112</v>
      </c>
      <c r="E1194" t="s">
        <v>392</v>
      </c>
      <c r="F1194" s="20">
        <v>2028</v>
      </c>
      <c r="G1194" s="20">
        <v>62</v>
      </c>
      <c r="H1194" s="11">
        <v>20474.356041719198</v>
      </c>
      <c r="I1194" s="10">
        <v>2692220.7020831201</v>
      </c>
      <c r="J1194" s="34">
        <f t="shared" si="72"/>
        <v>7.6050065382370236E-3</v>
      </c>
      <c r="K1194" s="34">
        <f t="shared" si="73"/>
        <v>7.5761616442004964E-3</v>
      </c>
      <c r="L1194" s="34">
        <f t="shared" si="74"/>
        <v>0.9316459531577147</v>
      </c>
      <c r="M1194" s="34">
        <f t="shared" si="75"/>
        <v>0.92458765282142663</v>
      </c>
    </row>
    <row r="1195" spans="1:13" ht="27.6">
      <c r="A1195" t="s">
        <v>164</v>
      </c>
      <c r="B1195" t="s">
        <v>112</v>
      </c>
      <c r="C1195" s="14" t="s">
        <v>294</v>
      </c>
      <c r="D1195" t="s">
        <v>112</v>
      </c>
      <c r="E1195" t="s">
        <v>392</v>
      </c>
      <c r="F1195" s="20">
        <v>2028</v>
      </c>
      <c r="G1195" s="20">
        <v>63</v>
      </c>
      <c r="H1195" s="11">
        <v>21338.863153767801</v>
      </c>
      <c r="I1195" s="10">
        <v>2564408.1469714502</v>
      </c>
      <c r="J1195" s="34">
        <f t="shared" si="72"/>
        <v>8.32116493584255E-3</v>
      </c>
      <c r="K1195" s="34">
        <f t="shared" si="73"/>
        <v>8.2866398721822554E-3</v>
      </c>
      <c r="L1195" s="34">
        <f t="shared" si="74"/>
        <v>0.92458765282142663</v>
      </c>
      <c r="M1195" s="34">
        <f t="shared" si="75"/>
        <v>0.91692592791222916</v>
      </c>
    </row>
    <row r="1196" spans="1:13" ht="27.6">
      <c r="A1196" t="s">
        <v>164</v>
      </c>
      <c r="B1196" t="s">
        <v>112</v>
      </c>
      <c r="C1196" s="14" t="s">
        <v>294</v>
      </c>
      <c r="D1196" t="s">
        <v>112</v>
      </c>
      <c r="E1196" t="s">
        <v>392</v>
      </c>
      <c r="F1196" s="20">
        <v>2028</v>
      </c>
      <c r="G1196" s="20">
        <v>64</v>
      </c>
      <c r="H1196" s="11">
        <v>22200.3995921389</v>
      </c>
      <c r="I1196" s="10">
        <v>2436808.9799739299</v>
      </c>
      <c r="J1196" s="34">
        <f t="shared" si="72"/>
        <v>9.1104390104374978E-3</v>
      </c>
      <c r="K1196" s="34">
        <f t="shared" si="73"/>
        <v>9.0690647023258242E-3</v>
      </c>
      <c r="L1196" s="34">
        <f t="shared" si="74"/>
        <v>0.91692592791222916</v>
      </c>
      <c r="M1196" s="34">
        <f t="shared" si="75"/>
        <v>0.90861026734475303</v>
      </c>
    </row>
    <row r="1197" spans="1:13" ht="27.6">
      <c r="A1197" t="s">
        <v>164</v>
      </c>
      <c r="B1197" t="s">
        <v>112</v>
      </c>
      <c r="C1197" s="14" t="s">
        <v>294</v>
      </c>
      <c r="D1197" t="s">
        <v>112</v>
      </c>
      <c r="E1197" t="s">
        <v>392</v>
      </c>
      <c r="F1197" s="20">
        <v>2028</v>
      </c>
      <c r="G1197" s="20">
        <v>65</v>
      </c>
      <c r="H1197" s="11">
        <v>22480.879778198901</v>
      </c>
      <c r="I1197" s="10">
        <v>2314110.8766072299</v>
      </c>
      <c r="J1197" s="34">
        <f t="shared" si="72"/>
        <v>9.7146943154074912E-3</v>
      </c>
      <c r="K1197" s="34">
        <f t="shared" si="73"/>
        <v>9.6676591067026418E-3</v>
      </c>
      <c r="L1197" s="34">
        <f t="shared" si="74"/>
        <v>0.90861026734475303</v>
      </c>
      <c r="M1197" s="34">
        <f t="shared" si="75"/>
        <v>0.89982613301921399</v>
      </c>
    </row>
    <row r="1198" spans="1:13" ht="27.6">
      <c r="A1198" t="s">
        <v>164</v>
      </c>
      <c r="B1198" t="s">
        <v>112</v>
      </c>
      <c r="C1198" s="14" t="s">
        <v>294</v>
      </c>
      <c r="D1198" t="s">
        <v>112</v>
      </c>
      <c r="E1198" t="s">
        <v>392</v>
      </c>
      <c r="F1198" s="20">
        <v>2028</v>
      </c>
      <c r="G1198" s="20">
        <v>66</v>
      </c>
      <c r="H1198" s="11">
        <v>23151.227205420899</v>
      </c>
      <c r="I1198" s="10">
        <v>2166271.3329689498</v>
      </c>
      <c r="J1198" s="34">
        <f t="shared" si="72"/>
        <v>1.0687131779420883E-2</v>
      </c>
      <c r="K1198" s="34">
        <f t="shared" si="73"/>
        <v>1.0630227282280469E-2</v>
      </c>
      <c r="L1198" s="34">
        <f t="shared" si="74"/>
        <v>0.89982613301921399</v>
      </c>
      <c r="M1198" s="34">
        <f t="shared" si="75"/>
        <v>0.89026077671068415</v>
      </c>
    </row>
    <row r="1199" spans="1:13" ht="27.6">
      <c r="A1199" t="s">
        <v>164</v>
      </c>
      <c r="B1199" t="s">
        <v>112</v>
      </c>
      <c r="C1199" s="14" t="s">
        <v>294</v>
      </c>
      <c r="D1199" t="s">
        <v>112</v>
      </c>
      <c r="E1199" t="s">
        <v>392</v>
      </c>
      <c r="F1199" s="20">
        <v>2028</v>
      </c>
      <c r="G1199" s="20">
        <v>67</v>
      </c>
      <c r="H1199" s="11">
        <v>23939.317838647599</v>
      </c>
      <c r="I1199" s="10">
        <v>2043175.6047317099</v>
      </c>
      <c r="J1199" s="34">
        <f t="shared" si="72"/>
        <v>1.1716720669142425E-2</v>
      </c>
      <c r="K1199" s="34">
        <f t="shared" si="73"/>
        <v>1.1648347195682862E-2</v>
      </c>
      <c r="L1199" s="34">
        <f t="shared" si="74"/>
        <v>0.89026077671068415</v>
      </c>
      <c r="M1199" s="34">
        <f t="shared" si="75"/>
        <v>0.87989071008885977</v>
      </c>
    </row>
    <row r="1200" spans="1:13" ht="27.6">
      <c r="A1200" t="s">
        <v>164</v>
      </c>
      <c r="B1200" t="s">
        <v>112</v>
      </c>
      <c r="C1200" s="14" t="s">
        <v>294</v>
      </c>
      <c r="D1200" t="s">
        <v>112</v>
      </c>
      <c r="E1200" t="s">
        <v>392</v>
      </c>
      <c r="F1200" s="20">
        <v>2028</v>
      </c>
      <c r="G1200" s="20">
        <v>68</v>
      </c>
      <c r="H1200" s="11">
        <v>24630.319197973098</v>
      </c>
      <c r="I1200" s="10">
        <v>1916456.05314639</v>
      </c>
      <c r="J1200" s="34">
        <f t="shared" si="72"/>
        <v>1.2852013568240008E-2</v>
      </c>
      <c r="K1200" s="34">
        <f t="shared" si="73"/>
        <v>1.2769779111627244E-2</v>
      </c>
      <c r="L1200" s="34">
        <f t="shared" si="74"/>
        <v>0.87989071008885977</v>
      </c>
      <c r="M1200" s="34">
        <f t="shared" si="75"/>
        <v>0.8686547000786522</v>
      </c>
    </row>
    <row r="1201" spans="1:13" ht="27.6">
      <c r="A1201" t="s">
        <v>164</v>
      </c>
      <c r="B1201" t="s">
        <v>112</v>
      </c>
      <c r="C1201" s="14" t="s">
        <v>294</v>
      </c>
      <c r="D1201" t="s">
        <v>112</v>
      </c>
      <c r="E1201" t="s">
        <v>392</v>
      </c>
      <c r="F1201" s="20">
        <v>2028</v>
      </c>
      <c r="G1201" s="20">
        <v>69</v>
      </c>
      <c r="H1201" s="11">
        <v>25169.470989414101</v>
      </c>
      <c r="I1201" s="10">
        <v>1784184.28841199</v>
      </c>
      <c r="J1201" s="34">
        <f t="shared" si="72"/>
        <v>1.4106990602308321E-2</v>
      </c>
      <c r="K1201" s="34">
        <f t="shared" si="73"/>
        <v>1.4007953263610928E-2</v>
      </c>
      <c r="L1201" s="34">
        <f t="shared" si="74"/>
        <v>0.8686547000786522</v>
      </c>
      <c r="M1201" s="34">
        <f t="shared" si="75"/>
        <v>0.85648662563773448</v>
      </c>
    </row>
    <row r="1202" spans="1:13" ht="27.6">
      <c r="A1202" t="s">
        <v>164</v>
      </c>
      <c r="B1202" t="s">
        <v>112</v>
      </c>
      <c r="C1202" s="14" t="s">
        <v>294</v>
      </c>
      <c r="D1202" t="s">
        <v>112</v>
      </c>
      <c r="E1202" t="s">
        <v>392</v>
      </c>
      <c r="F1202" s="20">
        <v>2029</v>
      </c>
      <c r="G1202" s="20">
        <v>30</v>
      </c>
      <c r="H1202" s="11">
        <v>966.08966627939606</v>
      </c>
      <c r="I1202" s="10">
        <v>4353617.72664716</v>
      </c>
      <c r="J1202" s="34">
        <f t="shared" si="72"/>
        <v>2.2190502863084585E-4</v>
      </c>
      <c r="K1202" s="34">
        <f t="shared" si="73"/>
        <v>2.2188040953108334E-4</v>
      </c>
      <c r="L1202" s="34">
        <f t="shared" si="74"/>
        <v>1</v>
      </c>
      <c r="M1202" s="34">
        <f t="shared" si="75"/>
        <v>0.99977811959046892</v>
      </c>
    </row>
    <row r="1203" spans="1:13" ht="27.6">
      <c r="A1203" t="s">
        <v>164</v>
      </c>
      <c r="B1203" t="s">
        <v>112</v>
      </c>
      <c r="C1203" s="14" t="s">
        <v>294</v>
      </c>
      <c r="D1203" t="s">
        <v>112</v>
      </c>
      <c r="E1203" t="s">
        <v>392</v>
      </c>
      <c r="F1203" s="20">
        <v>2029</v>
      </c>
      <c r="G1203" s="20">
        <v>31</v>
      </c>
      <c r="H1203" s="11">
        <v>1118.3296221396999</v>
      </c>
      <c r="I1203" s="10">
        <v>4413831.8550825296</v>
      </c>
      <c r="J1203" s="34">
        <f t="shared" si="72"/>
        <v>2.5336933051764145E-4</v>
      </c>
      <c r="K1203" s="34">
        <f t="shared" si="73"/>
        <v>2.5333723521947515E-4</v>
      </c>
      <c r="L1203" s="34">
        <f t="shared" si="74"/>
        <v>0.99977811959046892</v>
      </c>
      <c r="M1203" s="34">
        <f t="shared" si="75"/>
        <v>0.99952483856581897</v>
      </c>
    </row>
    <row r="1204" spans="1:13" ht="27.6">
      <c r="A1204" t="s">
        <v>164</v>
      </c>
      <c r="B1204" t="s">
        <v>112</v>
      </c>
      <c r="C1204" s="14" t="s">
        <v>294</v>
      </c>
      <c r="D1204" t="s">
        <v>112</v>
      </c>
      <c r="E1204" t="s">
        <v>392</v>
      </c>
      <c r="F1204" s="20">
        <v>2029</v>
      </c>
      <c r="G1204" s="20">
        <v>32</v>
      </c>
      <c r="H1204" s="11">
        <v>1407.0674393598299</v>
      </c>
      <c r="I1204" s="10">
        <v>4555458.4577432601</v>
      </c>
      <c r="J1204" s="34">
        <f t="shared" si="72"/>
        <v>3.0887504570876507E-4</v>
      </c>
      <c r="K1204" s="34">
        <f t="shared" si="73"/>
        <v>3.0882734872272888E-4</v>
      </c>
      <c r="L1204" s="34">
        <f t="shared" si="74"/>
        <v>0.99952483856581897</v>
      </c>
      <c r="M1204" s="34">
        <f t="shared" si="75"/>
        <v>0.99921615795994223</v>
      </c>
    </row>
    <row r="1205" spans="1:13" ht="27.6">
      <c r="A1205" t="s">
        <v>164</v>
      </c>
      <c r="B1205" t="s">
        <v>112</v>
      </c>
      <c r="C1205" s="14" t="s">
        <v>294</v>
      </c>
      <c r="D1205" t="s">
        <v>112</v>
      </c>
      <c r="E1205" t="s">
        <v>392</v>
      </c>
      <c r="F1205" s="20">
        <v>2029</v>
      </c>
      <c r="G1205" s="20">
        <v>33</v>
      </c>
      <c r="H1205" s="11">
        <v>1467.38068217306</v>
      </c>
      <c r="I1205" s="10">
        <v>4512898.1010847501</v>
      </c>
      <c r="J1205" s="34">
        <f t="shared" si="72"/>
        <v>3.2515262904348553E-4</v>
      </c>
      <c r="K1205" s="34">
        <f t="shared" si="73"/>
        <v>3.2509977265637868E-4</v>
      </c>
      <c r="L1205" s="34">
        <f t="shared" si="74"/>
        <v>0.99921615795994223</v>
      </c>
      <c r="M1205" s="34">
        <f t="shared" si="75"/>
        <v>0.9988913130141549</v>
      </c>
    </row>
    <row r="1206" spans="1:13" ht="27.6">
      <c r="A1206" t="s">
        <v>164</v>
      </c>
      <c r="B1206" t="s">
        <v>112</v>
      </c>
      <c r="C1206" s="14" t="s">
        <v>294</v>
      </c>
      <c r="D1206" t="s">
        <v>112</v>
      </c>
      <c r="E1206" t="s">
        <v>392</v>
      </c>
      <c r="F1206" s="20">
        <v>2029</v>
      </c>
      <c r="G1206" s="20">
        <v>34</v>
      </c>
      <c r="H1206" s="11">
        <v>1529.2085057954901</v>
      </c>
      <c r="I1206" s="10">
        <v>4440148.3928732602</v>
      </c>
      <c r="J1206" s="34">
        <f t="shared" si="72"/>
        <v>3.444048194988198E-4</v>
      </c>
      <c r="K1206" s="34">
        <f t="shared" si="73"/>
        <v>3.4434551896700416E-4</v>
      </c>
      <c r="L1206" s="34">
        <f t="shared" si="74"/>
        <v>0.9988913130141549</v>
      </c>
      <c r="M1206" s="34">
        <f t="shared" si="75"/>
        <v>0.99854734926658339</v>
      </c>
    </row>
    <row r="1207" spans="1:13" ht="27.6">
      <c r="A1207" t="s">
        <v>164</v>
      </c>
      <c r="B1207" t="s">
        <v>112</v>
      </c>
      <c r="C1207" s="14" t="s">
        <v>294</v>
      </c>
      <c r="D1207" t="s">
        <v>112</v>
      </c>
      <c r="E1207" t="s">
        <v>392</v>
      </c>
      <c r="F1207" s="20">
        <v>2029</v>
      </c>
      <c r="G1207" s="20">
        <v>35</v>
      </c>
      <c r="H1207" s="11">
        <v>2060.17431457558</v>
      </c>
      <c r="I1207" s="10">
        <v>4383245.4824909801</v>
      </c>
      <c r="J1207" s="34">
        <f t="shared" si="72"/>
        <v>4.7001116474197369E-4</v>
      </c>
      <c r="K1207" s="34">
        <f t="shared" si="73"/>
        <v>4.6990072679753414E-4</v>
      </c>
      <c r="L1207" s="34">
        <f t="shared" si="74"/>
        <v>0.99854734926658339</v>
      </c>
      <c r="M1207" s="34">
        <f t="shared" si="75"/>
        <v>0.9980781311414213</v>
      </c>
    </row>
    <row r="1208" spans="1:13" ht="27.6">
      <c r="A1208" t="s">
        <v>164</v>
      </c>
      <c r="B1208" t="s">
        <v>112</v>
      </c>
      <c r="C1208" s="14" t="s">
        <v>294</v>
      </c>
      <c r="D1208" t="s">
        <v>112</v>
      </c>
      <c r="E1208" t="s">
        <v>392</v>
      </c>
      <c r="F1208" s="20">
        <v>2029</v>
      </c>
      <c r="G1208" s="20">
        <v>36</v>
      </c>
      <c r="H1208" s="11">
        <v>2175.6941260888402</v>
      </c>
      <c r="I1208" s="10">
        <v>4329488.6847723899</v>
      </c>
      <c r="J1208" s="34">
        <f t="shared" si="72"/>
        <v>5.0252911706205811E-4</v>
      </c>
      <c r="K1208" s="34">
        <f t="shared" si="73"/>
        <v>5.0240287045377752E-4</v>
      </c>
      <c r="L1208" s="34">
        <f t="shared" si="74"/>
        <v>0.9980781311414213</v>
      </c>
      <c r="M1208" s="34">
        <f t="shared" si="75"/>
        <v>0.99757669382339875</v>
      </c>
    </row>
    <row r="1209" spans="1:13" ht="27.6">
      <c r="A1209" t="s">
        <v>164</v>
      </c>
      <c r="B1209" t="s">
        <v>112</v>
      </c>
      <c r="C1209" s="14" t="s">
        <v>294</v>
      </c>
      <c r="D1209" t="s">
        <v>112</v>
      </c>
      <c r="E1209" t="s">
        <v>392</v>
      </c>
      <c r="F1209" s="20">
        <v>2029</v>
      </c>
      <c r="G1209" s="20">
        <v>37</v>
      </c>
      <c r="H1209" s="11">
        <v>2351.3211568717802</v>
      </c>
      <c r="I1209" s="10">
        <v>4367805.2506772401</v>
      </c>
      <c r="J1209" s="34">
        <f t="shared" si="72"/>
        <v>5.383301273579451E-4</v>
      </c>
      <c r="K1209" s="34">
        <f t="shared" si="73"/>
        <v>5.3818525369275783E-4</v>
      </c>
      <c r="L1209" s="34">
        <f t="shared" si="74"/>
        <v>0.99757669382339875</v>
      </c>
      <c r="M1209" s="34">
        <f t="shared" si="75"/>
        <v>0.99703981275735543</v>
      </c>
    </row>
    <row r="1210" spans="1:13" ht="27.6">
      <c r="A1210" t="s">
        <v>164</v>
      </c>
      <c r="B1210" t="s">
        <v>112</v>
      </c>
      <c r="C1210" s="14" t="s">
        <v>294</v>
      </c>
      <c r="D1210" t="s">
        <v>112</v>
      </c>
      <c r="E1210" t="s">
        <v>392</v>
      </c>
      <c r="F1210" s="20">
        <v>2029</v>
      </c>
      <c r="G1210" s="20">
        <v>38</v>
      </c>
      <c r="H1210" s="11">
        <v>2536.0168954998999</v>
      </c>
      <c r="I1210" s="10">
        <v>4386431.4270064896</v>
      </c>
      <c r="J1210" s="34">
        <f t="shared" si="72"/>
        <v>5.7815035700457742E-4</v>
      </c>
      <c r="K1210" s="34">
        <f t="shared" si="73"/>
        <v>5.7798326029079305E-4</v>
      </c>
      <c r="L1210" s="34">
        <f t="shared" si="74"/>
        <v>0.99703981275735543</v>
      </c>
      <c r="M1210" s="34">
        <f t="shared" si="75"/>
        <v>0.99646354043573826</v>
      </c>
    </row>
    <row r="1211" spans="1:13" ht="27.6">
      <c r="A1211" t="s">
        <v>164</v>
      </c>
      <c r="B1211" t="s">
        <v>112</v>
      </c>
      <c r="C1211" s="14" t="s">
        <v>294</v>
      </c>
      <c r="D1211" t="s">
        <v>112</v>
      </c>
      <c r="E1211" t="s">
        <v>392</v>
      </c>
      <c r="F1211" s="20">
        <v>2029</v>
      </c>
      <c r="G1211" s="20">
        <v>39</v>
      </c>
      <c r="H1211" s="11">
        <v>3846.3562569877399</v>
      </c>
      <c r="I1211" s="10">
        <v>6459524.1949656196</v>
      </c>
      <c r="J1211" s="34">
        <f t="shared" si="72"/>
        <v>5.9545504295587079E-4</v>
      </c>
      <c r="K1211" s="34">
        <f t="shared" si="73"/>
        <v>5.9527779478463216E-4</v>
      </c>
      <c r="L1211" s="34">
        <f t="shared" si="74"/>
        <v>0.99646354043573826</v>
      </c>
      <c r="M1211" s="34">
        <f t="shared" si="75"/>
        <v>0.99587036781680438</v>
      </c>
    </row>
    <row r="1212" spans="1:13" ht="27.6">
      <c r="A1212" t="s">
        <v>164</v>
      </c>
      <c r="B1212" t="s">
        <v>112</v>
      </c>
      <c r="C1212" s="14" t="s">
        <v>294</v>
      </c>
      <c r="D1212" t="s">
        <v>112</v>
      </c>
      <c r="E1212" t="s">
        <v>392</v>
      </c>
      <c r="F1212" s="20">
        <v>2029</v>
      </c>
      <c r="G1212" s="20">
        <v>40</v>
      </c>
      <c r="H1212" s="11">
        <v>3638.6980764885998</v>
      </c>
      <c r="I1212" s="10">
        <v>4346223.4540953403</v>
      </c>
      <c r="J1212" s="34">
        <f t="shared" si="72"/>
        <v>8.3720915754111611E-4</v>
      </c>
      <c r="K1212" s="34">
        <f t="shared" si="73"/>
        <v>8.3685879573658362E-4</v>
      </c>
      <c r="L1212" s="34">
        <f t="shared" si="74"/>
        <v>0.99587036781680438</v>
      </c>
      <c r="M1212" s="34">
        <f t="shared" si="75"/>
        <v>0.99503696494008342</v>
      </c>
    </row>
    <row r="1213" spans="1:13" ht="27.6">
      <c r="A1213" t="s">
        <v>164</v>
      </c>
      <c r="B1213" t="s">
        <v>112</v>
      </c>
      <c r="C1213" s="14" t="s">
        <v>294</v>
      </c>
      <c r="D1213" t="s">
        <v>112</v>
      </c>
      <c r="E1213" t="s">
        <v>392</v>
      </c>
      <c r="F1213" s="20">
        <v>2029</v>
      </c>
      <c r="G1213" s="20">
        <v>41</v>
      </c>
      <c r="H1213" s="11">
        <v>3916.1566091429099</v>
      </c>
      <c r="I1213" s="10">
        <v>4329386.6989583801</v>
      </c>
      <c r="J1213" s="34">
        <f t="shared" si="72"/>
        <v>9.0455227990724634E-4</v>
      </c>
      <c r="K1213" s="34">
        <f t="shared" si="73"/>
        <v>9.0414329581878228E-4</v>
      </c>
      <c r="L1213" s="34">
        <f t="shared" si="74"/>
        <v>0.99503696494008342</v>
      </c>
      <c r="M1213" s="34">
        <f t="shared" si="75"/>
        <v>0.99413730893914098</v>
      </c>
    </row>
    <row r="1214" spans="1:13" ht="27.6">
      <c r="A1214" t="s">
        <v>164</v>
      </c>
      <c r="B1214" t="s">
        <v>112</v>
      </c>
      <c r="C1214" s="14" t="s">
        <v>294</v>
      </c>
      <c r="D1214" t="s">
        <v>112</v>
      </c>
      <c r="E1214" t="s">
        <v>392</v>
      </c>
      <c r="F1214" s="20">
        <v>2029</v>
      </c>
      <c r="G1214" s="20">
        <v>42</v>
      </c>
      <c r="H1214" s="11">
        <v>4115.8852944312202</v>
      </c>
      <c r="I1214" s="10">
        <v>4197528.6705031004</v>
      </c>
      <c r="J1214" s="34">
        <f t="shared" si="72"/>
        <v>9.8054965612370793E-4</v>
      </c>
      <c r="K1214" s="34">
        <f t="shared" si="73"/>
        <v>9.8006907440051361E-4</v>
      </c>
      <c r="L1214" s="34">
        <f t="shared" si="74"/>
        <v>0.99413730893914098</v>
      </c>
      <c r="M1214" s="34">
        <f t="shared" si="75"/>
        <v>0.99316298570694195</v>
      </c>
    </row>
    <row r="1215" spans="1:13" ht="27.6">
      <c r="A1215" t="s">
        <v>164</v>
      </c>
      <c r="B1215" t="s">
        <v>112</v>
      </c>
      <c r="C1215" s="14" t="s">
        <v>294</v>
      </c>
      <c r="D1215" t="s">
        <v>112</v>
      </c>
      <c r="E1215" t="s">
        <v>392</v>
      </c>
      <c r="F1215" s="20">
        <v>2029</v>
      </c>
      <c r="G1215" s="20">
        <v>43</v>
      </c>
      <c r="H1215" s="11">
        <v>4439.8092680881</v>
      </c>
      <c r="I1215" s="10">
        <v>4163647.5895213298</v>
      </c>
      <c r="J1215" s="34">
        <f t="shared" si="72"/>
        <v>1.0663268618750991E-3</v>
      </c>
      <c r="K1215" s="34">
        <f t="shared" si="73"/>
        <v>1.0657585374114209E-3</v>
      </c>
      <c r="L1215" s="34">
        <f t="shared" si="74"/>
        <v>0.99316298570694195</v>
      </c>
      <c r="M1215" s="34">
        <f t="shared" si="75"/>
        <v>0.99210451377588371</v>
      </c>
    </row>
    <row r="1216" spans="1:13" ht="27.6">
      <c r="A1216" t="s">
        <v>164</v>
      </c>
      <c r="B1216" t="s">
        <v>112</v>
      </c>
      <c r="C1216" s="14" t="s">
        <v>294</v>
      </c>
      <c r="D1216" t="s">
        <v>112</v>
      </c>
      <c r="E1216" t="s">
        <v>392</v>
      </c>
      <c r="F1216" s="20">
        <v>2029</v>
      </c>
      <c r="G1216" s="20">
        <v>44</v>
      </c>
      <c r="H1216" s="11">
        <v>4913.8771411381103</v>
      </c>
      <c r="I1216" s="10">
        <v>4223698.4793356797</v>
      </c>
      <c r="J1216" s="34">
        <f t="shared" si="72"/>
        <v>1.1634062339390724E-3</v>
      </c>
      <c r="K1216" s="34">
        <f t="shared" si="73"/>
        <v>1.1627297392780012E-3</v>
      </c>
      <c r="L1216" s="34">
        <f t="shared" si="74"/>
        <v>0.99210451377588371</v>
      </c>
      <c r="M1216" s="34">
        <f t="shared" si="75"/>
        <v>0.99095096435324459</v>
      </c>
    </row>
    <row r="1217" spans="1:13" ht="27.6">
      <c r="A1217" t="s">
        <v>164</v>
      </c>
      <c r="B1217" t="s">
        <v>112</v>
      </c>
      <c r="C1217" s="14" t="s">
        <v>294</v>
      </c>
      <c r="D1217" t="s">
        <v>112</v>
      </c>
      <c r="E1217" t="s">
        <v>392</v>
      </c>
      <c r="F1217" s="20">
        <v>2029</v>
      </c>
      <c r="G1217" s="20">
        <v>45</v>
      </c>
      <c r="H1217" s="11">
        <v>6486.2843174721702</v>
      </c>
      <c r="I1217" s="10">
        <v>4309020.2323575597</v>
      </c>
      <c r="J1217" s="34">
        <f t="shared" si="72"/>
        <v>1.5052805435363159E-3</v>
      </c>
      <c r="K1217" s="34">
        <f t="shared" si="73"/>
        <v>1.5041481770265985E-3</v>
      </c>
      <c r="L1217" s="34">
        <f t="shared" si="74"/>
        <v>0.99095096435324459</v>
      </c>
      <c r="M1217" s="34">
        <f t="shared" si="75"/>
        <v>0.98946042726668992</v>
      </c>
    </row>
    <row r="1218" spans="1:13" ht="27.6">
      <c r="A1218" t="s">
        <v>164</v>
      </c>
      <c r="B1218" t="s">
        <v>112</v>
      </c>
      <c r="C1218" s="14" t="s">
        <v>294</v>
      </c>
      <c r="D1218" t="s">
        <v>112</v>
      </c>
      <c r="E1218" t="s">
        <v>392</v>
      </c>
      <c r="F1218" s="20">
        <v>2029</v>
      </c>
      <c r="G1218" s="20">
        <v>46</v>
      </c>
      <c r="H1218" s="11">
        <v>7061.2914123236096</v>
      </c>
      <c r="I1218" s="10">
        <v>4284132.2970042899</v>
      </c>
      <c r="J1218" s="34">
        <f t="shared" ref="J1218:J1281" si="76">IF(I1218&gt;0,H1218/I1218,0)</f>
        <v>1.6482430799957481E-3</v>
      </c>
      <c r="K1218" s="34">
        <f t="shared" ref="K1218:K1281" si="77">1-EXP(-J1218)</f>
        <v>1.6468854733613369E-3</v>
      </c>
      <c r="L1218" s="34">
        <f t="shared" ref="L1218:L1281" si="78">IF(G1218=30,1,M1217)</f>
        <v>0.98946042726668992</v>
      </c>
      <c r="M1218" s="34">
        <f t="shared" ref="M1218:M1281" si="79">L1218*(1-K1218)</f>
        <v>0.98783089926255851</v>
      </c>
    </row>
    <row r="1219" spans="1:13" ht="27.6">
      <c r="A1219" t="s">
        <v>164</v>
      </c>
      <c r="B1219" t="s">
        <v>112</v>
      </c>
      <c r="C1219" s="14" t="s">
        <v>294</v>
      </c>
      <c r="D1219" t="s">
        <v>112</v>
      </c>
      <c r="E1219" t="s">
        <v>392</v>
      </c>
      <c r="F1219" s="20">
        <v>2029</v>
      </c>
      <c r="G1219" s="20">
        <v>47</v>
      </c>
      <c r="H1219" s="11">
        <v>7493.3469277656704</v>
      </c>
      <c r="I1219" s="10">
        <v>4147575.2285462501</v>
      </c>
      <c r="J1219" s="34">
        <f t="shared" si="76"/>
        <v>1.8066813776376357E-3</v>
      </c>
      <c r="K1219" s="34">
        <f t="shared" si="77"/>
        <v>1.805050311257772E-3</v>
      </c>
      <c r="L1219" s="34">
        <f t="shared" si="78"/>
        <v>0.98783089926255851</v>
      </c>
      <c r="M1219" s="34">
        <f t="shared" si="79"/>
        <v>0.98604781479037462</v>
      </c>
    </row>
    <row r="1220" spans="1:13" ht="27.6">
      <c r="A1220" t="s">
        <v>164</v>
      </c>
      <c r="B1220" t="s">
        <v>112</v>
      </c>
      <c r="C1220" s="14" t="s">
        <v>294</v>
      </c>
      <c r="D1220" t="s">
        <v>112</v>
      </c>
      <c r="E1220" t="s">
        <v>392</v>
      </c>
      <c r="F1220" s="20">
        <v>2029</v>
      </c>
      <c r="G1220" s="20">
        <v>48</v>
      </c>
      <c r="H1220" s="11">
        <v>8058.7606472340303</v>
      </c>
      <c r="I1220" s="10">
        <v>4073477.6197889298</v>
      </c>
      <c r="J1220" s="34">
        <f t="shared" si="76"/>
        <v>1.9783490666757612E-3</v>
      </c>
      <c r="K1220" s="34">
        <f t="shared" si="77"/>
        <v>1.9763934240214498E-3</v>
      </c>
      <c r="L1220" s="34">
        <f t="shared" si="78"/>
        <v>0.98604781479037462</v>
      </c>
      <c r="M1220" s="34">
        <f t="shared" si="79"/>
        <v>0.98409899637345222</v>
      </c>
    </row>
    <row r="1221" spans="1:13" ht="27.6">
      <c r="A1221" t="s">
        <v>164</v>
      </c>
      <c r="B1221" t="s">
        <v>112</v>
      </c>
      <c r="C1221" s="14" t="s">
        <v>294</v>
      </c>
      <c r="D1221" t="s">
        <v>112</v>
      </c>
      <c r="E1221" t="s">
        <v>392</v>
      </c>
      <c r="F1221" s="20">
        <v>2029</v>
      </c>
      <c r="G1221" s="20">
        <v>49</v>
      </c>
      <c r="H1221" s="11">
        <v>8691.6619611494898</v>
      </c>
      <c r="I1221" s="10">
        <v>4015221.1147083901</v>
      </c>
      <c r="J1221" s="34">
        <f t="shared" si="76"/>
        <v>2.1646782861622633E-3</v>
      </c>
      <c r="K1221" s="34">
        <f t="shared" si="77"/>
        <v>2.1623370597596558E-3</v>
      </c>
      <c r="L1221" s="34">
        <f t="shared" si="78"/>
        <v>0.98409899637345222</v>
      </c>
      <c r="M1221" s="34">
        <f t="shared" si="79"/>
        <v>0.98197104264312163</v>
      </c>
    </row>
    <row r="1222" spans="1:13" ht="27.6">
      <c r="A1222" t="s">
        <v>164</v>
      </c>
      <c r="B1222" t="s">
        <v>112</v>
      </c>
      <c r="C1222" s="14" t="s">
        <v>294</v>
      </c>
      <c r="D1222" t="s">
        <v>112</v>
      </c>
      <c r="E1222" t="s">
        <v>392</v>
      </c>
      <c r="F1222" s="20">
        <v>2029</v>
      </c>
      <c r="G1222" s="20">
        <v>50</v>
      </c>
      <c r="H1222" s="11">
        <v>9969.8159150433803</v>
      </c>
      <c r="I1222" s="10">
        <v>3951465.16914741</v>
      </c>
      <c r="J1222" s="34">
        <f t="shared" si="76"/>
        <v>2.5230681502361623E-3</v>
      </c>
      <c r="K1222" s="34">
        <f t="shared" si="77"/>
        <v>2.5198878890250187E-3</v>
      </c>
      <c r="L1222" s="34">
        <f t="shared" si="78"/>
        <v>0.98197104264312163</v>
      </c>
      <c r="M1222" s="34">
        <f t="shared" si="79"/>
        <v>0.979496585705392</v>
      </c>
    </row>
    <row r="1223" spans="1:13" ht="27.6">
      <c r="A1223" t="s">
        <v>164</v>
      </c>
      <c r="B1223" t="s">
        <v>112</v>
      </c>
      <c r="C1223" s="14" t="s">
        <v>294</v>
      </c>
      <c r="D1223" t="s">
        <v>112</v>
      </c>
      <c r="E1223" t="s">
        <v>392</v>
      </c>
      <c r="F1223" s="20">
        <v>2029</v>
      </c>
      <c r="G1223" s="20">
        <v>51</v>
      </c>
      <c r="H1223" s="11">
        <v>10656.649430940901</v>
      </c>
      <c r="I1223" s="10">
        <v>3867320.5083915899</v>
      </c>
      <c r="J1223" s="34">
        <f t="shared" si="76"/>
        <v>2.7555640676321853E-3</v>
      </c>
      <c r="K1223" s="34">
        <f t="shared" si="77"/>
        <v>2.7517709857933781E-3</v>
      </c>
      <c r="L1223" s="34">
        <f t="shared" si="78"/>
        <v>0.979496585705392</v>
      </c>
      <c r="M1223" s="34">
        <f t="shared" si="79"/>
        <v>0.97680123542016417</v>
      </c>
    </row>
    <row r="1224" spans="1:13" ht="27.6">
      <c r="A1224" t="s">
        <v>164</v>
      </c>
      <c r="B1224" t="s">
        <v>112</v>
      </c>
      <c r="C1224" s="14" t="s">
        <v>294</v>
      </c>
      <c r="D1224" t="s">
        <v>112</v>
      </c>
      <c r="E1224" t="s">
        <v>392</v>
      </c>
      <c r="F1224" s="20">
        <v>2029</v>
      </c>
      <c r="G1224" s="20">
        <v>52</v>
      </c>
      <c r="H1224" s="11">
        <v>11447.4588542662</v>
      </c>
      <c r="I1224" s="10">
        <v>3801063.3864529398</v>
      </c>
      <c r="J1224" s="34">
        <f t="shared" si="76"/>
        <v>3.011646397443714E-3</v>
      </c>
      <c r="K1224" s="34">
        <f t="shared" si="77"/>
        <v>3.0071159396189984E-3</v>
      </c>
      <c r="L1224" s="34">
        <f t="shared" si="78"/>
        <v>0.97680123542016417</v>
      </c>
      <c r="M1224" s="34">
        <f t="shared" si="79"/>
        <v>0.97386388085529263</v>
      </c>
    </row>
    <row r="1225" spans="1:13" ht="27.6">
      <c r="A1225" t="s">
        <v>164</v>
      </c>
      <c r="B1225" t="s">
        <v>112</v>
      </c>
      <c r="C1225" s="14" t="s">
        <v>294</v>
      </c>
      <c r="D1225" t="s">
        <v>112</v>
      </c>
      <c r="E1225" t="s">
        <v>392</v>
      </c>
      <c r="F1225" s="20">
        <v>2029</v>
      </c>
      <c r="G1225" s="20">
        <v>53</v>
      </c>
      <c r="H1225" s="11">
        <v>12239.917800434199</v>
      </c>
      <c r="I1225" s="10">
        <v>3722902.8221413498</v>
      </c>
      <c r="J1225" s="34">
        <f t="shared" si="76"/>
        <v>3.2877349705824469E-3</v>
      </c>
      <c r="K1225" s="34">
        <f t="shared" si="77"/>
        <v>3.2823362880637363E-3</v>
      </c>
      <c r="L1225" s="34">
        <f t="shared" si="78"/>
        <v>0.97386388085529263</v>
      </c>
      <c r="M1225" s="34">
        <f t="shared" si="79"/>
        <v>0.97066733209952671</v>
      </c>
    </row>
    <row r="1226" spans="1:13" ht="27.6">
      <c r="A1226" t="s">
        <v>164</v>
      </c>
      <c r="B1226" t="s">
        <v>112</v>
      </c>
      <c r="C1226" s="14" t="s">
        <v>294</v>
      </c>
      <c r="D1226" t="s">
        <v>112</v>
      </c>
      <c r="E1226" t="s">
        <v>392</v>
      </c>
      <c r="F1226" s="20">
        <v>2029</v>
      </c>
      <c r="G1226" s="20">
        <v>54</v>
      </c>
      <c r="H1226" s="11">
        <v>13080.561328829301</v>
      </c>
      <c r="I1226" s="10">
        <v>3643978.7173793302</v>
      </c>
      <c r="J1226" s="34">
        <f t="shared" si="76"/>
        <v>3.589637136584748E-3</v>
      </c>
      <c r="K1226" s="34">
        <f t="shared" si="77"/>
        <v>3.5832020913271201E-3</v>
      </c>
      <c r="L1226" s="34">
        <f t="shared" si="78"/>
        <v>0.97066733209952671</v>
      </c>
      <c r="M1226" s="34">
        <f t="shared" si="79"/>
        <v>0.96718923488516473</v>
      </c>
    </row>
    <row r="1227" spans="1:13" ht="27.6">
      <c r="A1227" t="s">
        <v>164</v>
      </c>
      <c r="B1227" t="s">
        <v>112</v>
      </c>
      <c r="C1227" s="14" t="s">
        <v>294</v>
      </c>
      <c r="D1227" t="s">
        <v>112</v>
      </c>
      <c r="E1227" t="s">
        <v>392</v>
      </c>
      <c r="F1227" s="20">
        <v>2029</v>
      </c>
      <c r="G1227" s="20">
        <v>55</v>
      </c>
      <c r="H1227" s="11">
        <v>14034.430488854099</v>
      </c>
      <c r="I1227" s="10">
        <v>3537527.1870044498</v>
      </c>
      <c r="J1227" s="34">
        <f t="shared" si="76"/>
        <v>3.9672996833526371E-3</v>
      </c>
      <c r="K1227" s="34">
        <f t="shared" si="77"/>
        <v>3.9594403468469208E-3</v>
      </c>
      <c r="L1227" s="34">
        <f t="shared" si="78"/>
        <v>0.96718923488516473</v>
      </c>
      <c r="M1227" s="34">
        <f t="shared" si="79"/>
        <v>0.96335970680552441</v>
      </c>
    </row>
    <row r="1228" spans="1:13" ht="27.6">
      <c r="A1228" t="s">
        <v>164</v>
      </c>
      <c r="B1228" t="s">
        <v>112</v>
      </c>
      <c r="C1228" s="14" t="s">
        <v>294</v>
      </c>
      <c r="D1228" t="s">
        <v>112</v>
      </c>
      <c r="E1228" t="s">
        <v>392</v>
      </c>
      <c r="F1228" s="20">
        <v>2029</v>
      </c>
      <c r="G1228" s="20">
        <v>56</v>
      </c>
      <c r="H1228" s="11">
        <v>15121.5033797661</v>
      </c>
      <c r="I1228" s="10">
        <v>3490524.3422138002</v>
      </c>
      <c r="J1228" s="34">
        <f t="shared" si="76"/>
        <v>4.3321581221735777E-3</v>
      </c>
      <c r="K1228" s="34">
        <f t="shared" si="77"/>
        <v>4.3227878612100978E-3</v>
      </c>
      <c r="L1228" s="34">
        <f t="shared" si="78"/>
        <v>0.96335970680552441</v>
      </c>
      <c r="M1228" s="34">
        <f t="shared" si="79"/>
        <v>0.95919530715896661</v>
      </c>
    </row>
    <row r="1229" spans="1:13" ht="27.6">
      <c r="A1229" t="s">
        <v>164</v>
      </c>
      <c r="B1229" t="s">
        <v>112</v>
      </c>
      <c r="C1229" s="14" t="s">
        <v>294</v>
      </c>
      <c r="D1229" t="s">
        <v>112</v>
      </c>
      <c r="E1229" t="s">
        <v>392</v>
      </c>
      <c r="F1229" s="20">
        <v>2029</v>
      </c>
      <c r="G1229" s="20">
        <v>57</v>
      </c>
      <c r="H1229" s="11">
        <v>15543.983222116</v>
      </c>
      <c r="I1229" s="10">
        <v>3280677.4176622299</v>
      </c>
      <c r="J1229" s="34">
        <f t="shared" si="76"/>
        <v>4.7380407285494254E-3</v>
      </c>
      <c r="K1229" s="34">
        <f t="shared" si="77"/>
        <v>4.7268339200013942E-3</v>
      </c>
      <c r="L1229" s="34">
        <f t="shared" si="78"/>
        <v>0.95919530715896661</v>
      </c>
      <c r="M1229" s="34">
        <f t="shared" si="79"/>
        <v>0.95466135024518151</v>
      </c>
    </row>
    <row r="1230" spans="1:13" ht="27.6">
      <c r="A1230" t="s">
        <v>164</v>
      </c>
      <c r="B1230" t="s">
        <v>112</v>
      </c>
      <c r="C1230" s="14" t="s">
        <v>294</v>
      </c>
      <c r="D1230" t="s">
        <v>112</v>
      </c>
      <c r="E1230" t="s">
        <v>392</v>
      </c>
      <c r="F1230" s="20">
        <v>2029</v>
      </c>
      <c r="G1230" s="20">
        <v>58</v>
      </c>
      <c r="H1230" s="11">
        <v>16526.136918654101</v>
      </c>
      <c r="I1230" s="10">
        <v>3191825.8390693199</v>
      </c>
      <c r="J1230" s="34">
        <f t="shared" si="76"/>
        <v>5.1776436910708238E-3</v>
      </c>
      <c r="K1230" s="34">
        <f t="shared" si="77"/>
        <v>5.164262797768493E-3</v>
      </c>
      <c r="L1230" s="34">
        <f t="shared" si="78"/>
        <v>0.95466135024518151</v>
      </c>
      <c r="M1230" s="34">
        <f t="shared" si="79"/>
        <v>0.94973122814964284</v>
      </c>
    </row>
    <row r="1231" spans="1:13" ht="27.6">
      <c r="A1231" t="s">
        <v>164</v>
      </c>
      <c r="B1231" t="s">
        <v>112</v>
      </c>
      <c r="C1231" s="14" t="s">
        <v>294</v>
      </c>
      <c r="D1231" t="s">
        <v>112</v>
      </c>
      <c r="E1231" t="s">
        <v>392</v>
      </c>
      <c r="F1231" s="20">
        <v>2029</v>
      </c>
      <c r="G1231" s="20">
        <v>59</v>
      </c>
      <c r="H1231" s="11">
        <v>17587.5322128681</v>
      </c>
      <c r="I1231" s="10">
        <v>3107273.0835812101</v>
      </c>
      <c r="J1231" s="34">
        <f t="shared" si="76"/>
        <v>5.660117968324184E-3</v>
      </c>
      <c r="K1231" s="34">
        <f t="shared" si="77"/>
        <v>5.6441296800385787E-3</v>
      </c>
      <c r="L1231" s="34">
        <f t="shared" si="78"/>
        <v>0.94973122814964284</v>
      </c>
      <c r="M1231" s="34">
        <f t="shared" si="79"/>
        <v>0.9443708219367839</v>
      </c>
    </row>
    <row r="1232" spans="1:13" ht="27.6">
      <c r="A1232" t="s">
        <v>164</v>
      </c>
      <c r="B1232" t="s">
        <v>112</v>
      </c>
      <c r="C1232" s="14" t="s">
        <v>294</v>
      </c>
      <c r="D1232" t="s">
        <v>112</v>
      </c>
      <c r="E1232" t="s">
        <v>392</v>
      </c>
      <c r="F1232" s="20">
        <v>2029</v>
      </c>
      <c r="G1232" s="20">
        <v>60</v>
      </c>
      <c r="H1232" s="11">
        <v>19030.448933651001</v>
      </c>
      <c r="I1232" s="10">
        <v>3013434.69861547</v>
      </c>
      <c r="J1232" s="34">
        <f t="shared" si="76"/>
        <v>6.315202032549299E-3</v>
      </c>
      <c r="K1232" s="34">
        <f t="shared" si="77"/>
        <v>6.2953030549166566E-3</v>
      </c>
      <c r="L1232" s="34">
        <f t="shared" si="78"/>
        <v>0.9443708219367839</v>
      </c>
      <c r="M1232" s="34">
        <f t="shared" si="79"/>
        <v>0.93842572141647107</v>
      </c>
    </row>
    <row r="1233" spans="1:13" ht="27.6">
      <c r="A1233" t="s">
        <v>164</v>
      </c>
      <c r="B1233" t="s">
        <v>112</v>
      </c>
      <c r="C1233" s="14" t="s">
        <v>294</v>
      </c>
      <c r="D1233" t="s">
        <v>112</v>
      </c>
      <c r="E1233" t="s">
        <v>392</v>
      </c>
      <c r="F1233" s="20">
        <v>2029</v>
      </c>
      <c r="G1233" s="20">
        <v>61</v>
      </c>
      <c r="H1233" s="11">
        <v>20021.7307920977</v>
      </c>
      <c r="I1233" s="10">
        <v>2899296.7663607402</v>
      </c>
      <c r="J1233" s="34">
        <f t="shared" si="76"/>
        <v>6.9057196987907547E-3</v>
      </c>
      <c r="K1233" s="34">
        <f t="shared" si="77"/>
        <v>6.8819300096527591E-3</v>
      </c>
      <c r="L1233" s="34">
        <f t="shared" si="78"/>
        <v>0.93842572141647107</v>
      </c>
      <c r="M1233" s="34">
        <f t="shared" si="79"/>
        <v>0.93196754128242498</v>
      </c>
    </row>
    <row r="1234" spans="1:13" ht="27.6">
      <c r="A1234" t="s">
        <v>164</v>
      </c>
      <c r="B1234" t="s">
        <v>112</v>
      </c>
      <c r="C1234" s="14" t="s">
        <v>294</v>
      </c>
      <c r="D1234" t="s">
        <v>112</v>
      </c>
      <c r="E1234" t="s">
        <v>392</v>
      </c>
      <c r="F1234" s="20">
        <v>2029</v>
      </c>
      <c r="G1234" s="20">
        <v>62</v>
      </c>
      <c r="H1234" s="11">
        <v>20833.845366007201</v>
      </c>
      <c r="I1234" s="10">
        <v>2754827.1939582098</v>
      </c>
      <c r="J1234" s="34">
        <f t="shared" si="76"/>
        <v>7.5626686899632973E-3</v>
      </c>
      <c r="K1234" s="34">
        <f t="shared" si="77"/>
        <v>7.534143664839843E-3</v>
      </c>
      <c r="L1234" s="34">
        <f t="shared" si="78"/>
        <v>0.93196754128242498</v>
      </c>
      <c r="M1234" s="34">
        <f t="shared" si="79"/>
        <v>0.9249459639354356</v>
      </c>
    </row>
    <row r="1235" spans="1:13" ht="27.6">
      <c r="A1235" t="s">
        <v>164</v>
      </c>
      <c r="B1235" t="s">
        <v>112</v>
      </c>
      <c r="C1235" s="14" t="s">
        <v>294</v>
      </c>
      <c r="D1235" t="s">
        <v>112</v>
      </c>
      <c r="E1235" t="s">
        <v>392</v>
      </c>
      <c r="F1235" s="20">
        <v>2029</v>
      </c>
      <c r="G1235" s="20">
        <v>63</v>
      </c>
      <c r="H1235" s="11">
        <v>21906.149651128399</v>
      </c>
      <c r="I1235" s="10">
        <v>2646414.93847185</v>
      </c>
      <c r="J1235" s="34">
        <f t="shared" si="76"/>
        <v>8.2776700405787166E-3</v>
      </c>
      <c r="K1235" s="34">
        <f t="shared" si="77"/>
        <v>8.2435044653735856E-3</v>
      </c>
      <c r="L1235" s="34">
        <f t="shared" si="78"/>
        <v>0.9249459639354356</v>
      </c>
      <c r="M1235" s="34">
        <f t="shared" si="79"/>
        <v>0.91732116775150452</v>
      </c>
    </row>
    <row r="1236" spans="1:13" ht="27.6">
      <c r="A1236" t="s">
        <v>164</v>
      </c>
      <c r="B1236" t="s">
        <v>112</v>
      </c>
      <c r="C1236" s="14" t="s">
        <v>294</v>
      </c>
      <c r="D1236" t="s">
        <v>112</v>
      </c>
      <c r="E1236" t="s">
        <v>392</v>
      </c>
      <c r="F1236" s="20">
        <v>2029</v>
      </c>
      <c r="G1236" s="20">
        <v>64</v>
      </c>
      <c r="H1236" s="11">
        <v>22808.732530472898</v>
      </c>
      <c r="I1236" s="10">
        <v>2516681.7120682099</v>
      </c>
      <c r="J1236" s="34">
        <f t="shared" si="76"/>
        <v>9.0630183471745712E-3</v>
      </c>
      <c r="K1236" s="34">
        <f t="shared" si="77"/>
        <v>9.0220729859459281E-3</v>
      </c>
      <c r="L1236" s="34">
        <f t="shared" si="78"/>
        <v>0.91732116775150452</v>
      </c>
      <c r="M1236" s="34">
        <f t="shared" si="79"/>
        <v>0.90904502922449726</v>
      </c>
    </row>
    <row r="1237" spans="1:13" ht="27.6">
      <c r="A1237" t="s">
        <v>164</v>
      </c>
      <c r="B1237" t="s">
        <v>112</v>
      </c>
      <c r="C1237" s="14" t="s">
        <v>294</v>
      </c>
      <c r="D1237" t="s">
        <v>112</v>
      </c>
      <c r="E1237" t="s">
        <v>392</v>
      </c>
      <c r="F1237" s="20">
        <v>2029</v>
      </c>
      <c r="G1237" s="20">
        <v>65</v>
      </c>
      <c r="H1237" s="11">
        <v>23041.077458080999</v>
      </c>
      <c r="I1237" s="10">
        <v>2387169.4502878198</v>
      </c>
      <c r="J1237" s="34">
        <f t="shared" si="76"/>
        <v>9.6520493990499695E-3</v>
      </c>
      <c r="K1237" s="34">
        <f t="shared" si="77"/>
        <v>9.6056178767777167E-3</v>
      </c>
      <c r="L1237" s="34">
        <f t="shared" si="78"/>
        <v>0.90904502922449726</v>
      </c>
      <c r="M1237" s="34">
        <f t="shared" si="79"/>
        <v>0.90031309004098248</v>
      </c>
    </row>
    <row r="1238" spans="1:13" ht="27.6">
      <c r="A1238" t="s">
        <v>164</v>
      </c>
      <c r="B1238" t="s">
        <v>112</v>
      </c>
      <c r="C1238" s="14" t="s">
        <v>294</v>
      </c>
      <c r="D1238" t="s">
        <v>112</v>
      </c>
      <c r="E1238" t="s">
        <v>392</v>
      </c>
      <c r="F1238" s="20">
        <v>2029</v>
      </c>
      <c r="G1238" s="20">
        <v>66</v>
      </c>
      <c r="H1238" s="11">
        <v>23939.275820083301</v>
      </c>
      <c r="I1238" s="10">
        <v>2262682.9879529402</v>
      </c>
      <c r="J1238" s="34">
        <f t="shared" si="76"/>
        <v>1.0580039690730727E-2</v>
      </c>
      <c r="K1238" s="34">
        <f t="shared" si="77"/>
        <v>1.0524267933230469E-2</v>
      </c>
      <c r="L1238" s="34">
        <f t="shared" si="78"/>
        <v>0.90031309004098248</v>
      </c>
      <c r="M1238" s="34">
        <f t="shared" si="79"/>
        <v>0.89083795385759657</v>
      </c>
    </row>
    <row r="1239" spans="1:13" ht="27.6">
      <c r="A1239" t="s">
        <v>164</v>
      </c>
      <c r="B1239" t="s">
        <v>112</v>
      </c>
      <c r="C1239" s="14" t="s">
        <v>294</v>
      </c>
      <c r="D1239" t="s">
        <v>112</v>
      </c>
      <c r="E1239" t="s">
        <v>392</v>
      </c>
      <c r="F1239" s="20">
        <v>2029</v>
      </c>
      <c r="G1239" s="20">
        <v>67</v>
      </c>
      <c r="H1239" s="11">
        <v>24605.521765744201</v>
      </c>
      <c r="I1239" s="10">
        <v>2113115.7941273302</v>
      </c>
      <c r="J1239" s="34">
        <f t="shared" si="76"/>
        <v>1.1644189984347608E-2</v>
      </c>
      <c r="K1239" s="34">
        <f t="shared" si="77"/>
        <v>1.1576658773713167E-2</v>
      </c>
      <c r="L1239" s="34">
        <f t="shared" si="78"/>
        <v>0.89083795385759657</v>
      </c>
      <c r="M1239" s="34">
        <f t="shared" si="79"/>
        <v>0.88052502684311429</v>
      </c>
    </row>
    <row r="1240" spans="1:13" ht="27.6">
      <c r="A1240" t="s">
        <v>164</v>
      </c>
      <c r="B1240" t="s">
        <v>112</v>
      </c>
      <c r="C1240" s="14" t="s">
        <v>294</v>
      </c>
      <c r="D1240" t="s">
        <v>112</v>
      </c>
      <c r="E1240" t="s">
        <v>392</v>
      </c>
      <c r="F1240" s="20">
        <v>2029</v>
      </c>
      <c r="G1240" s="20">
        <v>68</v>
      </c>
      <c r="H1240" s="11">
        <v>25398.396633084001</v>
      </c>
      <c r="I1240" s="10">
        <v>1988245.5184629101</v>
      </c>
      <c r="J1240" s="34">
        <f t="shared" si="76"/>
        <v>1.2774275811127798E-2</v>
      </c>
      <c r="K1240" s="34">
        <f t="shared" si="77"/>
        <v>1.2693031065430183E-2</v>
      </c>
      <c r="L1240" s="34">
        <f t="shared" si="78"/>
        <v>0.88052502684311429</v>
      </c>
      <c r="M1240" s="34">
        <f t="shared" si="79"/>
        <v>0.86934849532350589</v>
      </c>
    </row>
    <row r="1241" spans="1:13" ht="27.6">
      <c r="A1241" t="s">
        <v>164</v>
      </c>
      <c r="B1241" t="s">
        <v>112</v>
      </c>
      <c r="C1241" s="14" t="s">
        <v>294</v>
      </c>
      <c r="D1241" t="s">
        <v>112</v>
      </c>
      <c r="E1241" t="s">
        <v>392</v>
      </c>
      <c r="F1241" s="20">
        <v>2029</v>
      </c>
      <c r="G1241" s="20">
        <v>69</v>
      </c>
      <c r="H1241" s="11">
        <v>26083.325614796599</v>
      </c>
      <c r="I1241" s="10">
        <v>1859982.1093349201</v>
      </c>
      <c r="J1241" s="34">
        <f t="shared" si="76"/>
        <v>1.402342822755607E-2</v>
      </c>
      <c r="K1241" s="34">
        <f t="shared" si="77"/>
        <v>1.3925557984174164E-2</v>
      </c>
      <c r="L1241" s="34">
        <f t="shared" si="78"/>
        <v>0.86934849532350589</v>
      </c>
      <c r="M1241" s="34">
        <f t="shared" si="79"/>
        <v>0.85724233244342385</v>
      </c>
    </row>
    <row r="1242" spans="1:13" ht="27.6">
      <c r="A1242" t="s">
        <v>164</v>
      </c>
      <c r="B1242" t="s">
        <v>112</v>
      </c>
      <c r="C1242" s="14" t="s">
        <v>294</v>
      </c>
      <c r="D1242" t="s">
        <v>112</v>
      </c>
      <c r="E1242" t="s">
        <v>392</v>
      </c>
      <c r="F1242" s="20">
        <v>2030</v>
      </c>
      <c r="G1242" s="20">
        <v>30</v>
      </c>
      <c r="H1242" s="11">
        <v>954.561909011068</v>
      </c>
      <c r="I1242" s="10">
        <v>4327148.80938421</v>
      </c>
      <c r="J1242" s="34">
        <f t="shared" si="76"/>
        <v>2.2059835495856457E-4</v>
      </c>
      <c r="K1242" s="34">
        <f t="shared" si="77"/>
        <v>2.2057402493058653E-4</v>
      </c>
      <c r="L1242" s="34">
        <f t="shared" si="78"/>
        <v>1</v>
      </c>
      <c r="M1242" s="34">
        <f t="shared" si="79"/>
        <v>0.99977942597506941</v>
      </c>
    </row>
    <row r="1243" spans="1:13" ht="27.6">
      <c r="A1243" t="s">
        <v>164</v>
      </c>
      <c r="B1243" t="s">
        <v>112</v>
      </c>
      <c r="C1243" s="14" t="s">
        <v>294</v>
      </c>
      <c r="D1243" t="s">
        <v>112</v>
      </c>
      <c r="E1243" t="s">
        <v>392</v>
      </c>
      <c r="F1243" s="20">
        <v>2030</v>
      </c>
      <c r="G1243" s="20">
        <v>31</v>
      </c>
      <c r="H1243" s="11">
        <v>1095.8151592634399</v>
      </c>
      <c r="I1243" s="10">
        <v>4347585.9586936599</v>
      </c>
      <c r="J1243" s="34">
        <f t="shared" si="76"/>
        <v>2.5205140730390636E-4</v>
      </c>
      <c r="K1243" s="34">
        <f t="shared" si="77"/>
        <v>2.520196450165324E-4</v>
      </c>
      <c r="L1243" s="34">
        <f t="shared" si="78"/>
        <v>0.99977942597506941</v>
      </c>
      <c r="M1243" s="34">
        <f t="shared" si="79"/>
        <v>0.99952746191904029</v>
      </c>
    </row>
    <row r="1244" spans="1:13" ht="27.6">
      <c r="A1244" t="s">
        <v>164</v>
      </c>
      <c r="B1244" t="s">
        <v>112</v>
      </c>
      <c r="C1244" s="14" t="s">
        <v>294</v>
      </c>
      <c r="D1244" t="s">
        <v>112</v>
      </c>
      <c r="E1244" t="s">
        <v>392</v>
      </c>
      <c r="F1244" s="20">
        <v>2030</v>
      </c>
      <c r="G1244" s="20">
        <v>32</v>
      </c>
      <c r="H1244" s="11">
        <v>1169.03203808486</v>
      </c>
      <c r="I1244" s="10">
        <v>4407855.66705833</v>
      </c>
      <c r="J1244" s="34">
        <f t="shared" si="76"/>
        <v>2.652155892538643E-4</v>
      </c>
      <c r="K1244" s="34">
        <f t="shared" si="77"/>
        <v>2.6518042270839981E-4</v>
      </c>
      <c r="L1244" s="34">
        <f t="shared" si="78"/>
        <v>0.99952746191904029</v>
      </c>
      <c r="M1244" s="34">
        <f t="shared" si="79"/>
        <v>0.99926240680417999</v>
      </c>
    </row>
    <row r="1245" spans="1:13" ht="27.6">
      <c r="A1245" t="s">
        <v>164</v>
      </c>
      <c r="B1245" t="s">
        <v>112</v>
      </c>
      <c r="C1245" s="14" t="s">
        <v>294</v>
      </c>
      <c r="D1245" t="s">
        <v>112</v>
      </c>
      <c r="E1245" t="s">
        <v>392</v>
      </c>
      <c r="F1245" s="20">
        <v>2030</v>
      </c>
      <c r="G1245" s="20">
        <v>33</v>
      </c>
      <c r="H1245" s="11">
        <v>1474.4902891393499</v>
      </c>
      <c r="I1245" s="10">
        <v>4548815.2080302602</v>
      </c>
      <c r="J1245" s="34">
        <f t="shared" si="76"/>
        <v>3.2414820600677632E-4</v>
      </c>
      <c r="K1245" s="34">
        <f t="shared" si="77"/>
        <v>3.2409567565305775E-4</v>
      </c>
      <c r="L1245" s="34">
        <f t="shared" si="78"/>
        <v>0.99926240680417999</v>
      </c>
      <c r="M1245" s="34">
        <f t="shared" si="79"/>
        <v>0.99893855017929212</v>
      </c>
    </row>
    <row r="1246" spans="1:13" ht="27.6">
      <c r="A1246" t="s">
        <v>164</v>
      </c>
      <c r="B1246" t="s">
        <v>112</v>
      </c>
      <c r="C1246" s="14" t="s">
        <v>294</v>
      </c>
      <c r="D1246" t="s">
        <v>112</v>
      </c>
      <c r="E1246" t="s">
        <v>392</v>
      </c>
      <c r="F1246" s="20">
        <v>2030</v>
      </c>
      <c r="G1246" s="20">
        <v>34</v>
      </c>
      <c r="H1246" s="11">
        <v>1547.2120886667001</v>
      </c>
      <c r="I1246" s="10">
        <v>4506005.5220751502</v>
      </c>
      <c r="J1246" s="34">
        <f t="shared" si="76"/>
        <v>3.4336666501779225E-4</v>
      </c>
      <c r="K1246" s="34">
        <f t="shared" si="77"/>
        <v>3.4330772143109645E-4</v>
      </c>
      <c r="L1246" s="34">
        <f t="shared" si="78"/>
        <v>0.99893855017929212</v>
      </c>
      <c r="M1246" s="34">
        <f t="shared" si="79"/>
        <v>0.99859560686178039</v>
      </c>
    </row>
    <row r="1247" spans="1:13" ht="27.6">
      <c r="A1247" t="s">
        <v>164</v>
      </c>
      <c r="B1247" t="s">
        <v>112</v>
      </c>
      <c r="C1247" s="14" t="s">
        <v>294</v>
      </c>
      <c r="D1247" t="s">
        <v>112</v>
      </c>
      <c r="E1247" t="s">
        <v>392</v>
      </c>
      <c r="F1247" s="20">
        <v>2030</v>
      </c>
      <c r="G1247" s="20">
        <v>35</v>
      </c>
      <c r="H1247" s="11">
        <v>2069.2213985969902</v>
      </c>
      <c r="I1247" s="10">
        <v>4433000.4280584101</v>
      </c>
      <c r="J1247" s="34">
        <f t="shared" si="76"/>
        <v>4.667767197810263E-4</v>
      </c>
      <c r="K1247" s="34">
        <f t="shared" si="77"/>
        <v>4.666677964761945E-4</v>
      </c>
      <c r="L1247" s="34">
        <f t="shared" si="78"/>
        <v>0.99859560686178039</v>
      </c>
      <c r="M1247" s="34">
        <f t="shared" si="79"/>
        <v>0.99812959445035543</v>
      </c>
    </row>
    <row r="1248" spans="1:13" ht="27.6">
      <c r="A1248" t="s">
        <v>164</v>
      </c>
      <c r="B1248" t="s">
        <v>112</v>
      </c>
      <c r="C1248" s="14" t="s">
        <v>294</v>
      </c>
      <c r="D1248" t="s">
        <v>112</v>
      </c>
      <c r="E1248" t="s">
        <v>392</v>
      </c>
      <c r="F1248" s="20">
        <v>2030</v>
      </c>
      <c r="G1248" s="20">
        <v>36</v>
      </c>
      <c r="H1248" s="11">
        <v>2183.9802198142602</v>
      </c>
      <c r="I1248" s="10">
        <v>4375259.1812233403</v>
      </c>
      <c r="J1248" s="34">
        <f t="shared" si="76"/>
        <v>4.9916590751627435E-4</v>
      </c>
      <c r="K1248" s="34">
        <f t="shared" si="77"/>
        <v>4.9904134494127561E-4</v>
      </c>
      <c r="L1248" s="34">
        <f t="shared" si="78"/>
        <v>0.99812959445035543</v>
      </c>
      <c r="M1248" s="34">
        <f t="shared" si="79"/>
        <v>0.99763148651511524</v>
      </c>
    </row>
    <row r="1249" spans="1:13" ht="27.6">
      <c r="A1249" t="s">
        <v>164</v>
      </c>
      <c r="B1249" t="s">
        <v>112</v>
      </c>
      <c r="C1249" s="14" t="s">
        <v>294</v>
      </c>
      <c r="D1249" t="s">
        <v>112</v>
      </c>
      <c r="E1249" t="s">
        <v>392</v>
      </c>
      <c r="F1249" s="20">
        <v>2030</v>
      </c>
      <c r="G1249" s="20">
        <v>37</v>
      </c>
      <c r="H1249" s="11">
        <v>2313.1873215447299</v>
      </c>
      <c r="I1249" s="10">
        <v>4321578.0387858003</v>
      </c>
      <c r="J1249" s="34">
        <f t="shared" si="76"/>
        <v>5.3526450310142915E-4</v>
      </c>
      <c r="K1249" s="34">
        <f t="shared" si="77"/>
        <v>5.3512127461352588E-4</v>
      </c>
      <c r="L1249" s="34">
        <f t="shared" si="78"/>
        <v>0.99763148651511524</v>
      </c>
      <c r="M1249" s="34">
        <f t="shared" si="79"/>
        <v>0.99709763268245666</v>
      </c>
    </row>
    <row r="1250" spans="1:13" ht="27.6">
      <c r="A1250" t="s">
        <v>164</v>
      </c>
      <c r="B1250" t="s">
        <v>112</v>
      </c>
      <c r="C1250" s="14" t="s">
        <v>294</v>
      </c>
      <c r="D1250" t="s">
        <v>112</v>
      </c>
      <c r="E1250" t="s">
        <v>392</v>
      </c>
      <c r="F1250" s="20">
        <v>2030</v>
      </c>
      <c r="G1250" s="20">
        <v>38</v>
      </c>
      <c r="H1250" s="11">
        <v>2505.2270280912398</v>
      </c>
      <c r="I1250" s="10">
        <v>4359270.4407309303</v>
      </c>
      <c r="J1250" s="34">
        <f t="shared" si="76"/>
        <v>5.7468951792566045E-4</v>
      </c>
      <c r="K1250" s="34">
        <f t="shared" si="77"/>
        <v>5.7452441553373923E-4</v>
      </c>
      <c r="L1250" s="34">
        <f t="shared" si="78"/>
        <v>0.99709763268245666</v>
      </c>
      <c r="M1250" s="34">
        <f t="shared" si="79"/>
        <v>0.99652477574780973</v>
      </c>
    </row>
    <row r="1251" spans="1:13" ht="27.6">
      <c r="A1251" t="s">
        <v>164</v>
      </c>
      <c r="B1251" t="s">
        <v>112</v>
      </c>
      <c r="C1251" s="14" t="s">
        <v>294</v>
      </c>
      <c r="D1251" t="s">
        <v>112</v>
      </c>
      <c r="E1251" t="s">
        <v>392</v>
      </c>
      <c r="F1251" s="20">
        <v>2030</v>
      </c>
      <c r="G1251" s="20">
        <v>39</v>
      </c>
      <c r="H1251" s="11">
        <v>2707.01984507836</v>
      </c>
      <c r="I1251" s="10">
        <v>4377237.8515259102</v>
      </c>
      <c r="J1251" s="34">
        <f t="shared" si="76"/>
        <v>6.1843106015696395E-4</v>
      </c>
      <c r="K1251" s="34">
        <f t="shared" si="77"/>
        <v>6.18239871083337E-4</v>
      </c>
      <c r="L1251" s="34">
        <f t="shared" si="78"/>
        <v>0.99652477574780973</v>
      </c>
      <c r="M1251" s="34">
        <f t="shared" si="79"/>
        <v>0.99590868439892011</v>
      </c>
    </row>
    <row r="1252" spans="1:13" ht="27.6">
      <c r="A1252" t="s">
        <v>164</v>
      </c>
      <c r="B1252" t="s">
        <v>112</v>
      </c>
      <c r="C1252" s="14" t="s">
        <v>294</v>
      </c>
      <c r="D1252" t="s">
        <v>112</v>
      </c>
      <c r="E1252" t="s">
        <v>392</v>
      </c>
      <c r="F1252" s="20">
        <v>2030</v>
      </c>
      <c r="G1252" s="20">
        <v>40</v>
      </c>
      <c r="H1252" s="11">
        <v>5117.9545902281998</v>
      </c>
      <c r="I1252" s="10">
        <v>6445507.7158863703</v>
      </c>
      <c r="J1252" s="34">
        <f t="shared" si="76"/>
        <v>7.9403435940567969E-4</v>
      </c>
      <c r="K1252" s="34">
        <f t="shared" si="77"/>
        <v>7.9371919754567255E-4</v>
      </c>
      <c r="L1252" s="34">
        <f t="shared" si="78"/>
        <v>0.99590868439892011</v>
      </c>
      <c r="M1252" s="34">
        <f t="shared" si="79"/>
        <v>0.99511821255711019</v>
      </c>
    </row>
    <row r="1253" spans="1:13" ht="27.6">
      <c r="A1253" t="s">
        <v>164</v>
      </c>
      <c r="B1253" t="s">
        <v>112</v>
      </c>
      <c r="C1253" s="14" t="s">
        <v>294</v>
      </c>
      <c r="D1253" t="s">
        <v>112</v>
      </c>
      <c r="E1253" t="s">
        <v>392</v>
      </c>
      <c r="F1253" s="20">
        <v>2030</v>
      </c>
      <c r="G1253" s="20">
        <v>41</v>
      </c>
      <c r="H1253" s="11">
        <v>3899.01871072117</v>
      </c>
      <c r="I1253" s="10">
        <v>4334862.1884234399</v>
      </c>
      <c r="J1253" s="34">
        <f t="shared" si="76"/>
        <v>8.9945620904253402E-4</v>
      </c>
      <c r="K1253" s="34">
        <f t="shared" si="77"/>
        <v>8.9905181955918234E-4</v>
      </c>
      <c r="L1253" s="34">
        <f t="shared" si="78"/>
        <v>0.99511821255711019</v>
      </c>
      <c r="M1253" s="34">
        <f t="shared" si="79"/>
        <v>0.99422354971743421</v>
      </c>
    </row>
    <row r="1254" spans="1:13" ht="27.6">
      <c r="A1254" t="s">
        <v>164</v>
      </c>
      <c r="B1254" t="s">
        <v>112</v>
      </c>
      <c r="C1254" s="14" t="s">
        <v>294</v>
      </c>
      <c r="D1254" t="s">
        <v>112</v>
      </c>
      <c r="E1254" t="s">
        <v>392</v>
      </c>
      <c r="F1254" s="20">
        <v>2030</v>
      </c>
      <c r="G1254" s="20">
        <v>42</v>
      </c>
      <c r="H1254" s="11">
        <v>4210.9443670180299</v>
      </c>
      <c r="I1254" s="10">
        <v>4318004.0013851402</v>
      </c>
      <c r="J1254" s="34">
        <f t="shared" si="76"/>
        <v>9.7520622159387362E-4</v>
      </c>
      <c r="K1254" s="34">
        <f t="shared" si="77"/>
        <v>9.7473086254351582E-4</v>
      </c>
      <c r="L1254" s="34">
        <f t="shared" si="78"/>
        <v>0.99422354971743421</v>
      </c>
      <c r="M1254" s="34">
        <f t="shared" si="79"/>
        <v>0.99325444933925711</v>
      </c>
    </row>
    <row r="1255" spans="1:13" ht="27.6">
      <c r="A1255" t="s">
        <v>164</v>
      </c>
      <c r="B1255" t="s">
        <v>112</v>
      </c>
      <c r="C1255" s="14" t="s">
        <v>294</v>
      </c>
      <c r="D1255" t="s">
        <v>112</v>
      </c>
      <c r="E1255" t="s">
        <v>392</v>
      </c>
      <c r="F1255" s="20">
        <v>2030</v>
      </c>
      <c r="G1255" s="20">
        <v>43</v>
      </c>
      <c r="H1255" s="11">
        <v>4441.4576753518204</v>
      </c>
      <c r="I1255" s="10">
        <v>4185589.6639859001</v>
      </c>
      <c r="J1255" s="34">
        <f t="shared" si="76"/>
        <v>1.0611306964864442E-3</v>
      </c>
      <c r="K1255" s="34">
        <f t="shared" si="77"/>
        <v>1.0605678963946374E-3</v>
      </c>
      <c r="L1255" s="34">
        <f t="shared" si="78"/>
        <v>0.99325444933925711</v>
      </c>
      <c r="M1255" s="34">
        <f t="shared" si="79"/>
        <v>0.99220103555733674</v>
      </c>
    </row>
    <row r="1256" spans="1:13" ht="27.6">
      <c r="A1256" t="s">
        <v>164</v>
      </c>
      <c r="B1256" t="s">
        <v>112</v>
      </c>
      <c r="C1256" s="14" t="s">
        <v>294</v>
      </c>
      <c r="D1256" t="s">
        <v>112</v>
      </c>
      <c r="E1256" t="s">
        <v>392</v>
      </c>
      <c r="F1256" s="20">
        <v>2030</v>
      </c>
      <c r="G1256" s="20">
        <v>44</v>
      </c>
      <c r="H1256" s="11">
        <v>4806.0872962652902</v>
      </c>
      <c r="I1256" s="10">
        <v>4150797.3694706899</v>
      </c>
      <c r="J1256" s="34">
        <f t="shared" si="76"/>
        <v>1.1578708543120626E-3</v>
      </c>
      <c r="K1256" s="34">
        <f t="shared" si="77"/>
        <v>1.1572007804990792E-3</v>
      </c>
      <c r="L1256" s="34">
        <f t="shared" si="78"/>
        <v>0.99220103555733674</v>
      </c>
      <c r="M1256" s="34">
        <f t="shared" si="79"/>
        <v>0.9910528597445778</v>
      </c>
    </row>
    <row r="1257" spans="1:13" ht="27.6">
      <c r="A1257" t="s">
        <v>164</v>
      </c>
      <c r="B1257" t="s">
        <v>112</v>
      </c>
      <c r="C1257" s="14" t="s">
        <v>294</v>
      </c>
      <c r="D1257" t="s">
        <v>112</v>
      </c>
      <c r="E1257" t="s">
        <v>392</v>
      </c>
      <c r="F1257" s="20">
        <v>2030</v>
      </c>
      <c r="G1257" s="20">
        <v>45</v>
      </c>
      <c r="H1257" s="11">
        <v>6304.0705807260101</v>
      </c>
      <c r="I1257" s="10">
        <v>4209505.0049958602</v>
      </c>
      <c r="J1257" s="34">
        <f t="shared" si="76"/>
        <v>1.4975800178986152E-3</v>
      </c>
      <c r="K1257" s="34">
        <f t="shared" si="77"/>
        <v>1.4964592045160208E-3</v>
      </c>
      <c r="L1257" s="34">
        <f t="shared" si="78"/>
        <v>0.9910528597445778</v>
      </c>
      <c r="M1257" s="34">
        <f t="shared" si="79"/>
        <v>0.98956978957045105</v>
      </c>
    </row>
    <row r="1258" spans="1:13" ht="27.6">
      <c r="A1258" t="s">
        <v>164</v>
      </c>
      <c r="B1258" t="s">
        <v>112</v>
      </c>
      <c r="C1258" s="14" t="s">
        <v>294</v>
      </c>
      <c r="D1258" t="s">
        <v>112</v>
      </c>
      <c r="E1258" t="s">
        <v>392</v>
      </c>
      <c r="F1258" s="20">
        <v>2030</v>
      </c>
      <c r="G1258" s="20">
        <v>46</v>
      </c>
      <c r="H1258" s="11">
        <v>7040.1957266888703</v>
      </c>
      <c r="I1258" s="10">
        <v>4292137.7789613297</v>
      </c>
      <c r="J1258" s="34">
        <f t="shared" si="76"/>
        <v>1.6402538989306521E-3</v>
      </c>
      <c r="K1258" s="34">
        <f t="shared" si="77"/>
        <v>1.6389094177015062E-3</v>
      </c>
      <c r="L1258" s="34">
        <f t="shared" si="78"/>
        <v>0.98956978957045105</v>
      </c>
      <c r="M1258" s="34">
        <f t="shared" si="79"/>
        <v>0.9879479743228512</v>
      </c>
    </row>
    <row r="1259" spans="1:13" ht="27.6">
      <c r="A1259" t="s">
        <v>164</v>
      </c>
      <c r="B1259" t="s">
        <v>112</v>
      </c>
      <c r="C1259" s="14" t="s">
        <v>294</v>
      </c>
      <c r="D1259" t="s">
        <v>112</v>
      </c>
      <c r="E1259" t="s">
        <v>392</v>
      </c>
      <c r="F1259" s="20">
        <v>2030</v>
      </c>
      <c r="G1259" s="20">
        <v>47</v>
      </c>
      <c r="H1259" s="11">
        <v>7668.8709571623003</v>
      </c>
      <c r="I1259" s="10">
        <v>4266832.2253415603</v>
      </c>
      <c r="J1259" s="34">
        <f t="shared" si="76"/>
        <v>1.7973218894371706E-3</v>
      </c>
      <c r="K1259" s="34">
        <f t="shared" si="77"/>
        <v>1.7957076736833111E-3</v>
      </c>
      <c r="L1259" s="34">
        <f t="shared" si="78"/>
        <v>0.9879479743228512</v>
      </c>
      <c r="M1259" s="34">
        <f t="shared" si="79"/>
        <v>0.98617390856415976</v>
      </c>
    </row>
    <row r="1260" spans="1:13" ht="27.6">
      <c r="A1260" t="s">
        <v>164</v>
      </c>
      <c r="B1260" t="s">
        <v>112</v>
      </c>
      <c r="C1260" s="14" t="s">
        <v>294</v>
      </c>
      <c r="D1260" t="s">
        <v>112</v>
      </c>
      <c r="E1260" t="s">
        <v>392</v>
      </c>
      <c r="F1260" s="20">
        <v>2030</v>
      </c>
      <c r="G1260" s="20">
        <v>48</v>
      </c>
      <c r="H1260" s="11">
        <v>8136.1314530412901</v>
      </c>
      <c r="I1260" s="10">
        <v>4129226.8768294798</v>
      </c>
      <c r="J1260" s="34">
        <f t="shared" si="76"/>
        <v>1.9703764641017759E-3</v>
      </c>
      <c r="K1260" s="34">
        <f t="shared" si="77"/>
        <v>1.9684365467282916E-3</v>
      </c>
      <c r="L1260" s="34">
        <f t="shared" si="78"/>
        <v>0.98617390856415976</v>
      </c>
      <c r="M1260" s="34">
        <f t="shared" si="79"/>
        <v>0.98423268780111217</v>
      </c>
    </row>
    <row r="1261" spans="1:13" ht="27.6">
      <c r="A1261" t="s">
        <v>164</v>
      </c>
      <c r="B1261" t="s">
        <v>112</v>
      </c>
      <c r="C1261" s="14" t="s">
        <v>294</v>
      </c>
      <c r="D1261" t="s">
        <v>112</v>
      </c>
      <c r="E1261" t="s">
        <v>392</v>
      </c>
      <c r="F1261" s="20">
        <v>2030</v>
      </c>
      <c r="G1261" s="20">
        <v>49</v>
      </c>
      <c r="H1261" s="11">
        <v>8744.2117626178406</v>
      </c>
      <c r="I1261" s="10">
        <v>4053745.6943000802</v>
      </c>
      <c r="J1261" s="34">
        <f t="shared" si="76"/>
        <v>2.1570696393000094E-3</v>
      </c>
      <c r="K1261" s="34">
        <f t="shared" si="77"/>
        <v>2.1547448364732658E-3</v>
      </c>
      <c r="L1261" s="34">
        <f t="shared" si="78"/>
        <v>0.98423268780111217</v>
      </c>
      <c r="M1261" s="34">
        <f t="shared" si="79"/>
        <v>0.98211191749918447</v>
      </c>
    </row>
    <row r="1262" spans="1:13" ht="27.6">
      <c r="A1262" t="s">
        <v>164</v>
      </c>
      <c r="B1262" t="s">
        <v>112</v>
      </c>
      <c r="C1262" s="14" t="s">
        <v>294</v>
      </c>
      <c r="D1262" t="s">
        <v>112</v>
      </c>
      <c r="E1262" t="s">
        <v>392</v>
      </c>
      <c r="F1262" s="20">
        <v>2030</v>
      </c>
      <c r="G1262" s="20">
        <v>50</v>
      </c>
      <c r="H1262" s="11">
        <v>10030.980368831901</v>
      </c>
      <c r="I1262" s="10">
        <v>3993936.4374374901</v>
      </c>
      <c r="J1262" s="34">
        <f t="shared" si="76"/>
        <v>2.5115523308798021E-3</v>
      </c>
      <c r="K1262" s="34">
        <f t="shared" si="77"/>
        <v>2.5084010221021469E-3</v>
      </c>
      <c r="L1262" s="34">
        <f t="shared" si="78"/>
        <v>0.98211191749918447</v>
      </c>
      <c r="M1262" s="34">
        <f t="shared" si="79"/>
        <v>0.9796483869615108</v>
      </c>
    </row>
    <row r="1263" spans="1:13" ht="27.6">
      <c r="A1263" t="s">
        <v>164</v>
      </c>
      <c r="B1263" t="s">
        <v>112</v>
      </c>
      <c r="C1263" s="14" t="s">
        <v>294</v>
      </c>
      <c r="D1263" t="s">
        <v>112</v>
      </c>
      <c r="E1263" t="s">
        <v>392</v>
      </c>
      <c r="F1263" s="20">
        <v>2030</v>
      </c>
      <c r="G1263" s="20">
        <v>51</v>
      </c>
      <c r="H1263" s="11">
        <v>10778.3750459237</v>
      </c>
      <c r="I1263" s="10">
        <v>3927681.7423788002</v>
      </c>
      <c r="J1263" s="34">
        <f t="shared" si="76"/>
        <v>2.7442078439369115E-3</v>
      </c>
      <c r="K1263" s="34">
        <f t="shared" si="77"/>
        <v>2.7404459475202092E-3</v>
      </c>
      <c r="L1263" s="34">
        <f t="shared" si="78"/>
        <v>0.9796483869615108</v>
      </c>
      <c r="M1263" s="34">
        <f t="shared" si="79"/>
        <v>0.97696371350946742</v>
      </c>
    </row>
    <row r="1264" spans="1:13" ht="27.6">
      <c r="A1264" t="s">
        <v>164</v>
      </c>
      <c r="B1264" t="s">
        <v>112</v>
      </c>
      <c r="C1264" s="14" t="s">
        <v>294</v>
      </c>
      <c r="D1264" t="s">
        <v>112</v>
      </c>
      <c r="E1264" t="s">
        <v>392</v>
      </c>
      <c r="F1264" s="20">
        <v>2030</v>
      </c>
      <c r="G1264" s="20">
        <v>52</v>
      </c>
      <c r="H1264" s="11">
        <v>11518.2292636781</v>
      </c>
      <c r="I1264" s="10">
        <v>3842752.6901234002</v>
      </c>
      <c r="J1264" s="34">
        <f t="shared" si="76"/>
        <v>2.9973902024145668E-3</v>
      </c>
      <c r="K1264" s="34">
        <f t="shared" si="77"/>
        <v>2.9929025133066389E-3</v>
      </c>
      <c r="L1264" s="34">
        <f t="shared" si="78"/>
        <v>0.97696371350946742</v>
      </c>
      <c r="M1264" s="34">
        <f t="shared" si="79"/>
        <v>0.97403975635589557</v>
      </c>
    </row>
    <row r="1265" spans="1:13" ht="27.6">
      <c r="A1265" t="s">
        <v>164</v>
      </c>
      <c r="B1265" t="s">
        <v>112</v>
      </c>
      <c r="C1265" s="14" t="s">
        <v>294</v>
      </c>
      <c r="D1265" t="s">
        <v>112</v>
      </c>
      <c r="E1265" t="s">
        <v>392</v>
      </c>
      <c r="F1265" s="20">
        <v>2030</v>
      </c>
      <c r="G1265" s="20">
        <v>53</v>
      </c>
      <c r="H1265" s="11">
        <v>12369.665213516801</v>
      </c>
      <c r="I1265" s="10">
        <v>3774680.7665756498</v>
      </c>
      <c r="J1265" s="34">
        <f t="shared" si="76"/>
        <v>3.2770096276879142E-3</v>
      </c>
      <c r="K1265" s="34">
        <f t="shared" si="77"/>
        <v>3.2716460920235724E-3</v>
      </c>
      <c r="L1265" s="34">
        <f t="shared" si="78"/>
        <v>0.97403975635589557</v>
      </c>
      <c r="M1265" s="34">
        <f t="shared" si="79"/>
        <v>0.97085304299353825</v>
      </c>
    </row>
    <row r="1266" spans="1:13" ht="27.6">
      <c r="A1266" t="s">
        <v>164</v>
      </c>
      <c r="B1266" t="s">
        <v>112</v>
      </c>
      <c r="C1266" s="14" t="s">
        <v>294</v>
      </c>
      <c r="D1266" t="s">
        <v>112</v>
      </c>
      <c r="E1266" t="s">
        <v>392</v>
      </c>
      <c r="F1266" s="20">
        <v>2030</v>
      </c>
      <c r="G1266" s="20">
        <v>54</v>
      </c>
      <c r="H1266" s="11">
        <v>13222.0731587838</v>
      </c>
      <c r="I1266" s="10">
        <v>3694700.6529049398</v>
      </c>
      <c r="J1266" s="34">
        <f t="shared" si="76"/>
        <v>3.5786588416541979E-3</v>
      </c>
      <c r="K1266" s="34">
        <f t="shared" si="77"/>
        <v>3.5722630738002081E-3</v>
      </c>
      <c r="L1266" s="34">
        <f t="shared" si="78"/>
        <v>0.97085304299353825</v>
      </c>
      <c r="M1266" s="34">
        <f t="shared" si="79"/>
        <v>0.96738490051796588</v>
      </c>
    </row>
    <row r="1267" spans="1:13" ht="27.6">
      <c r="A1267" t="s">
        <v>164</v>
      </c>
      <c r="B1267" t="s">
        <v>112</v>
      </c>
      <c r="C1267" s="14" t="s">
        <v>294</v>
      </c>
      <c r="D1267" t="s">
        <v>112</v>
      </c>
      <c r="E1267" t="s">
        <v>392</v>
      </c>
      <c r="F1267" s="20">
        <v>2030</v>
      </c>
      <c r="G1267" s="20">
        <v>55</v>
      </c>
      <c r="H1267" s="11">
        <v>14266.7977168917</v>
      </c>
      <c r="I1267" s="10">
        <v>3613848.5512818401</v>
      </c>
      <c r="J1267" s="34">
        <f t="shared" si="76"/>
        <v>3.9478128411970211E-3</v>
      </c>
      <c r="K1267" s="34">
        <f t="shared" si="77"/>
        <v>3.9400304725623059E-3</v>
      </c>
      <c r="L1267" s="34">
        <f t="shared" si="78"/>
        <v>0.96738490051796588</v>
      </c>
      <c r="M1267" s="34">
        <f t="shared" si="79"/>
        <v>0.96357337453122849</v>
      </c>
    </row>
    <row r="1268" spans="1:13" ht="27.6">
      <c r="A1268" t="s">
        <v>164</v>
      </c>
      <c r="B1268" t="s">
        <v>112</v>
      </c>
      <c r="C1268" s="14" t="s">
        <v>294</v>
      </c>
      <c r="D1268" t="s">
        <v>112</v>
      </c>
      <c r="E1268" t="s">
        <v>392</v>
      </c>
      <c r="F1268" s="20">
        <v>2030</v>
      </c>
      <c r="G1268" s="20">
        <v>56</v>
      </c>
      <c r="H1268" s="11">
        <v>15111.1298706774</v>
      </c>
      <c r="I1268" s="10">
        <v>3505138.0067696301</v>
      </c>
      <c r="J1268" s="34">
        <f t="shared" si="76"/>
        <v>4.311136919999326E-3</v>
      </c>
      <c r="K1268" s="34">
        <f t="shared" si="77"/>
        <v>4.3018573092414858E-3</v>
      </c>
      <c r="L1268" s="34">
        <f t="shared" si="78"/>
        <v>0.96357337453122849</v>
      </c>
      <c r="M1268" s="34">
        <f t="shared" si="79"/>
        <v>0.95942821936701084</v>
      </c>
    </row>
    <row r="1269" spans="1:13" ht="27.6">
      <c r="A1269" t="s">
        <v>164</v>
      </c>
      <c r="B1269" t="s">
        <v>112</v>
      </c>
      <c r="C1269" s="14" t="s">
        <v>294</v>
      </c>
      <c r="D1269" t="s">
        <v>112</v>
      </c>
      <c r="E1269" t="s">
        <v>392</v>
      </c>
      <c r="F1269" s="20">
        <v>2030</v>
      </c>
      <c r="G1269" s="20">
        <v>57</v>
      </c>
      <c r="H1269" s="11">
        <v>16276.5004916135</v>
      </c>
      <c r="I1269" s="10">
        <v>3456075.4889346301</v>
      </c>
      <c r="J1269" s="34">
        <f t="shared" si="76"/>
        <v>4.7095326892384794E-3</v>
      </c>
      <c r="K1269" s="34">
        <f t="shared" si="77"/>
        <v>4.6984602290204291E-3</v>
      </c>
      <c r="L1269" s="34">
        <f t="shared" si="78"/>
        <v>0.95942821936701084</v>
      </c>
      <c r="M1269" s="34">
        <f t="shared" si="79"/>
        <v>0.954920384035715</v>
      </c>
    </row>
    <row r="1270" spans="1:13" ht="27.6">
      <c r="A1270" t="s">
        <v>164</v>
      </c>
      <c r="B1270" t="s">
        <v>112</v>
      </c>
      <c r="C1270" s="14" t="s">
        <v>294</v>
      </c>
      <c r="D1270" t="s">
        <v>112</v>
      </c>
      <c r="E1270" t="s">
        <v>392</v>
      </c>
      <c r="F1270" s="20">
        <v>2030</v>
      </c>
      <c r="G1270" s="20">
        <v>58</v>
      </c>
      <c r="H1270" s="11">
        <v>16724.1934650478</v>
      </c>
      <c r="I1270" s="10">
        <v>3245279.0755265299</v>
      </c>
      <c r="J1270" s="34">
        <f t="shared" si="76"/>
        <v>5.1533914575079753E-3</v>
      </c>
      <c r="K1270" s="34">
        <f t="shared" si="77"/>
        <v>5.1401355165441309E-3</v>
      </c>
      <c r="L1270" s="34">
        <f t="shared" si="78"/>
        <v>0.954920384035715</v>
      </c>
      <c r="M1270" s="34">
        <f t="shared" si="79"/>
        <v>0.95001196385426101</v>
      </c>
    </row>
    <row r="1271" spans="1:13" ht="27.6">
      <c r="A1271" t="s">
        <v>164</v>
      </c>
      <c r="B1271" t="s">
        <v>112</v>
      </c>
      <c r="C1271" s="14" t="s">
        <v>294</v>
      </c>
      <c r="D1271" t="s">
        <v>112</v>
      </c>
      <c r="E1271" t="s">
        <v>392</v>
      </c>
      <c r="F1271" s="20">
        <v>2030</v>
      </c>
      <c r="G1271" s="20">
        <v>59</v>
      </c>
      <c r="H1271" s="11">
        <v>17772.396986845601</v>
      </c>
      <c r="I1271" s="10">
        <v>3154199.9986649598</v>
      </c>
      <c r="J1271" s="34">
        <f t="shared" si="76"/>
        <v>5.6345181010614134E-3</v>
      </c>
      <c r="K1271" s="34">
        <f t="shared" si="77"/>
        <v>5.6186739759165327E-3</v>
      </c>
      <c r="L1271" s="34">
        <f t="shared" si="78"/>
        <v>0.95001196385426101</v>
      </c>
      <c r="M1271" s="34">
        <f t="shared" si="79"/>
        <v>0.94467415635614371</v>
      </c>
    </row>
    <row r="1272" spans="1:13" ht="27.6">
      <c r="A1272" t="s">
        <v>164</v>
      </c>
      <c r="B1272" t="s">
        <v>112</v>
      </c>
      <c r="C1272" s="14" t="s">
        <v>294</v>
      </c>
      <c r="D1272" t="s">
        <v>112</v>
      </c>
      <c r="E1272" t="s">
        <v>392</v>
      </c>
      <c r="F1272" s="20">
        <v>2030</v>
      </c>
      <c r="G1272" s="20">
        <v>60</v>
      </c>
      <c r="H1272" s="11">
        <v>19245.7996489906</v>
      </c>
      <c r="I1272" s="10">
        <v>3067240.1849758802</v>
      </c>
      <c r="J1272" s="34">
        <f t="shared" si="76"/>
        <v>6.2746307717476465E-3</v>
      </c>
      <c r="K1272" s="34">
        <f t="shared" si="77"/>
        <v>6.2549863846536047E-3</v>
      </c>
      <c r="L1272" s="34">
        <f t="shared" si="78"/>
        <v>0.94467415635614371</v>
      </c>
      <c r="M1272" s="34">
        <f t="shared" si="79"/>
        <v>0.93876523237020193</v>
      </c>
    </row>
    <row r="1273" spans="1:13" ht="27.6">
      <c r="A1273" t="s">
        <v>164</v>
      </c>
      <c r="B1273" t="s">
        <v>112</v>
      </c>
      <c r="C1273" s="14" t="s">
        <v>294</v>
      </c>
      <c r="D1273" t="s">
        <v>112</v>
      </c>
      <c r="E1273" t="s">
        <v>392</v>
      </c>
      <c r="F1273" s="20">
        <v>2030</v>
      </c>
      <c r="G1273" s="20">
        <v>61</v>
      </c>
      <c r="H1273" s="11">
        <v>20385.619342821999</v>
      </c>
      <c r="I1273" s="10">
        <v>2970404.3206186001</v>
      </c>
      <c r="J1273" s="34">
        <f t="shared" si="76"/>
        <v>6.8629106150022712E-3</v>
      </c>
      <c r="K1273" s="34">
        <f t="shared" si="77"/>
        <v>6.8394146249668442E-3</v>
      </c>
      <c r="L1273" s="34">
        <f t="shared" si="78"/>
        <v>0.93876523237020193</v>
      </c>
      <c r="M1273" s="34">
        <f t="shared" si="79"/>
        <v>0.93234462771051874</v>
      </c>
    </row>
    <row r="1274" spans="1:13" ht="27.6">
      <c r="A1274" t="s">
        <v>164</v>
      </c>
      <c r="B1274" t="s">
        <v>112</v>
      </c>
      <c r="C1274" s="14" t="s">
        <v>294</v>
      </c>
      <c r="D1274" t="s">
        <v>112</v>
      </c>
      <c r="E1274" t="s">
        <v>392</v>
      </c>
      <c r="F1274" s="20">
        <v>2030</v>
      </c>
      <c r="G1274" s="20">
        <v>62</v>
      </c>
      <c r="H1274" s="11">
        <v>21437.121688965301</v>
      </c>
      <c r="I1274" s="10">
        <v>2854592.5392561899</v>
      </c>
      <c r="J1274" s="34">
        <f t="shared" si="76"/>
        <v>7.5096958301975689E-3</v>
      </c>
      <c r="K1274" s="34">
        <f t="shared" si="77"/>
        <v>7.4815685176942148E-3</v>
      </c>
      <c r="L1274" s="34">
        <f t="shared" si="78"/>
        <v>0.93234462771051874</v>
      </c>
      <c r="M1274" s="34">
        <f t="shared" si="79"/>
        <v>0.92536922749619843</v>
      </c>
    </row>
    <row r="1275" spans="1:13" ht="27.6">
      <c r="A1275" t="s">
        <v>164</v>
      </c>
      <c r="B1275" t="s">
        <v>112</v>
      </c>
      <c r="C1275" s="14" t="s">
        <v>294</v>
      </c>
      <c r="D1275" t="s">
        <v>112</v>
      </c>
      <c r="E1275" t="s">
        <v>392</v>
      </c>
      <c r="F1275" s="20">
        <v>2030</v>
      </c>
      <c r="G1275" s="20">
        <v>63</v>
      </c>
      <c r="H1275" s="11">
        <v>22289.094825336801</v>
      </c>
      <c r="I1275" s="10">
        <v>2708322.2067359202</v>
      </c>
      <c r="J1275" s="34">
        <f t="shared" si="76"/>
        <v>8.2298534383764103E-3</v>
      </c>
      <c r="K1275" s="34">
        <f t="shared" si="77"/>
        <v>8.196080905737313E-3</v>
      </c>
      <c r="L1275" s="34">
        <f t="shared" si="78"/>
        <v>0.92536922749619843</v>
      </c>
      <c r="M1275" s="34">
        <f t="shared" si="79"/>
        <v>0.91778482643995996</v>
      </c>
    </row>
    <row r="1276" spans="1:13" ht="27.6">
      <c r="A1276" t="s">
        <v>164</v>
      </c>
      <c r="B1276" t="s">
        <v>112</v>
      </c>
      <c r="C1276" s="14" t="s">
        <v>294</v>
      </c>
      <c r="D1276" t="s">
        <v>112</v>
      </c>
      <c r="E1276" t="s">
        <v>392</v>
      </c>
      <c r="F1276" s="20">
        <v>2030</v>
      </c>
      <c r="G1276" s="20">
        <v>64</v>
      </c>
      <c r="H1276" s="11">
        <v>23413.198951242401</v>
      </c>
      <c r="I1276" s="10">
        <v>2597529.6636665501</v>
      </c>
      <c r="J1276" s="34">
        <f t="shared" si="76"/>
        <v>9.0136406443164299E-3</v>
      </c>
      <c r="K1276" s="34">
        <f t="shared" si="77"/>
        <v>8.9731395642267398E-3</v>
      </c>
      <c r="L1276" s="34">
        <f t="shared" si="78"/>
        <v>0.91778482643995996</v>
      </c>
      <c r="M1276" s="34">
        <f t="shared" si="79"/>
        <v>0.90954941510238463</v>
      </c>
    </row>
    <row r="1277" spans="1:13" ht="27.6">
      <c r="A1277" t="s">
        <v>164</v>
      </c>
      <c r="B1277" t="s">
        <v>112</v>
      </c>
      <c r="C1277" s="14" t="s">
        <v>294</v>
      </c>
      <c r="D1277" t="s">
        <v>112</v>
      </c>
      <c r="E1277" t="s">
        <v>392</v>
      </c>
      <c r="F1277" s="20">
        <v>2030</v>
      </c>
      <c r="G1277" s="20">
        <v>65</v>
      </c>
      <c r="H1277" s="11">
        <v>23639.7363776807</v>
      </c>
      <c r="I1277" s="10">
        <v>2465795.6449430399</v>
      </c>
      <c r="J1277" s="34">
        <f t="shared" si="76"/>
        <v>9.5870622637208771E-3</v>
      </c>
      <c r="K1277" s="34">
        <f t="shared" si="77"/>
        <v>9.5412528916122286E-3</v>
      </c>
      <c r="L1277" s="34">
        <f t="shared" si="78"/>
        <v>0.90954941510238463</v>
      </c>
      <c r="M1277" s="34">
        <f t="shared" si="79"/>
        <v>0.90087117411547479</v>
      </c>
    </row>
    <row r="1278" spans="1:13" ht="27.6">
      <c r="A1278" t="s">
        <v>164</v>
      </c>
      <c r="B1278" t="s">
        <v>112</v>
      </c>
      <c r="C1278" s="14" t="s">
        <v>294</v>
      </c>
      <c r="D1278" t="s">
        <v>112</v>
      </c>
      <c r="E1278" t="s">
        <v>392</v>
      </c>
      <c r="F1278" s="20">
        <v>2030</v>
      </c>
      <c r="G1278" s="20">
        <v>66</v>
      </c>
      <c r="H1278" s="11">
        <v>24535.005644634399</v>
      </c>
      <c r="I1278" s="10">
        <v>2334531.2427789001</v>
      </c>
      <c r="J1278" s="34">
        <f t="shared" si="76"/>
        <v>1.050960689454267E-2</v>
      </c>
      <c r="K1278" s="34">
        <f t="shared" si="77"/>
        <v>1.0454573936318101E-2</v>
      </c>
      <c r="L1278" s="34">
        <f t="shared" si="78"/>
        <v>0.90087117411547479</v>
      </c>
      <c r="M1278" s="34">
        <f t="shared" si="79"/>
        <v>0.89145294981858691</v>
      </c>
    </row>
    <row r="1279" spans="1:13" ht="27.6">
      <c r="A1279" t="s">
        <v>164</v>
      </c>
      <c r="B1279" t="s">
        <v>112</v>
      </c>
      <c r="C1279" s="14" t="s">
        <v>294</v>
      </c>
      <c r="D1279" t="s">
        <v>112</v>
      </c>
      <c r="E1279" t="s">
        <v>392</v>
      </c>
      <c r="F1279" s="20">
        <v>2030</v>
      </c>
      <c r="G1279" s="20">
        <v>67</v>
      </c>
      <c r="H1279" s="11">
        <v>25447.6212169176</v>
      </c>
      <c r="I1279" s="10">
        <v>2207801.2202221798</v>
      </c>
      <c r="J1279" s="34">
        <f t="shared" si="76"/>
        <v>1.1526228441144128E-2</v>
      </c>
      <c r="K1279" s="34">
        <f t="shared" si="77"/>
        <v>1.1460055953854686E-2</v>
      </c>
      <c r="L1279" s="34">
        <f t="shared" si="78"/>
        <v>0.89145294981858691</v>
      </c>
      <c r="M1279" s="34">
        <f t="shared" si="79"/>
        <v>0.88123684913343714</v>
      </c>
    </row>
    <row r="1280" spans="1:13" ht="27.6">
      <c r="A1280" t="s">
        <v>164</v>
      </c>
      <c r="B1280" t="s">
        <v>112</v>
      </c>
      <c r="C1280" s="14" t="s">
        <v>294</v>
      </c>
      <c r="D1280" t="s">
        <v>112</v>
      </c>
      <c r="E1280" t="s">
        <v>392</v>
      </c>
      <c r="F1280" s="20">
        <v>2030</v>
      </c>
      <c r="G1280" s="20">
        <v>68</v>
      </c>
      <c r="H1280" s="11">
        <v>26105.710603154199</v>
      </c>
      <c r="I1280" s="10">
        <v>2056706.14326311</v>
      </c>
      <c r="J1280" s="34">
        <f t="shared" si="76"/>
        <v>1.2692970597022499E-2</v>
      </c>
      <c r="K1280" s="34">
        <f t="shared" si="77"/>
        <v>1.2612754597529863E-2</v>
      </c>
      <c r="L1280" s="34">
        <f t="shared" si="78"/>
        <v>0.88123684913343714</v>
      </c>
      <c r="M1280" s="34">
        <f t="shared" si="79"/>
        <v>0.87012202501301661</v>
      </c>
    </row>
    <row r="1281" spans="1:13" ht="27.6">
      <c r="A1281" t="s">
        <v>164</v>
      </c>
      <c r="B1281" t="s">
        <v>112</v>
      </c>
      <c r="C1281" s="14" t="s">
        <v>294</v>
      </c>
      <c r="D1281" t="s">
        <v>112</v>
      </c>
      <c r="E1281" t="s">
        <v>392</v>
      </c>
      <c r="F1281" s="20">
        <v>2030</v>
      </c>
      <c r="G1281" s="20">
        <v>69</v>
      </c>
      <c r="H1281" s="11">
        <v>26898.684369652401</v>
      </c>
      <c r="I1281" s="10">
        <v>1930061.7294360599</v>
      </c>
      <c r="J1281" s="34">
        <f t="shared" si="76"/>
        <v>1.3936696406861486E-2</v>
      </c>
      <c r="K1281" s="34">
        <f t="shared" si="77"/>
        <v>1.3840030243542967E-2</v>
      </c>
      <c r="L1281" s="34">
        <f t="shared" si="78"/>
        <v>0.87012202501301661</v>
      </c>
      <c r="M1281" s="34">
        <f t="shared" si="79"/>
        <v>0.85807950987126358</v>
      </c>
    </row>
    <row r="1282" spans="1:13" ht="27.6">
      <c r="A1282" t="s">
        <v>164</v>
      </c>
      <c r="B1282" t="s">
        <v>112</v>
      </c>
      <c r="C1282" s="14" t="s">
        <v>294</v>
      </c>
      <c r="D1282" t="s">
        <v>112</v>
      </c>
      <c r="E1282" t="s">
        <v>392</v>
      </c>
      <c r="F1282" s="20">
        <v>2031</v>
      </c>
      <c r="G1282" s="20">
        <v>30</v>
      </c>
      <c r="H1282" s="11">
        <v>957.92264178158405</v>
      </c>
      <c r="I1282" s="10">
        <v>4340985.1983189201</v>
      </c>
      <c r="J1282" s="34">
        <f t="shared" ref="J1282:J1345" si="80">IF(I1282&gt;0,H1282/I1282,0)</f>
        <v>2.2066940982718553E-4</v>
      </c>
      <c r="K1282" s="34">
        <f t="shared" ref="K1282:K1345" si="81">1-EXP(-J1282)</f>
        <v>2.2064506412378115E-4</v>
      </c>
      <c r="L1282" s="34">
        <f t="shared" ref="L1282:L1345" si="82">IF(G1282=30,1,M1281)</f>
        <v>1</v>
      </c>
      <c r="M1282" s="34">
        <f t="shared" ref="M1282:M1345" si="83">L1282*(1-K1282)</f>
        <v>0.99977935493587622</v>
      </c>
    </row>
    <row r="1283" spans="1:13" ht="27.6">
      <c r="A1283" t="s">
        <v>164</v>
      </c>
      <c r="B1283" t="s">
        <v>112</v>
      </c>
      <c r="C1283" s="14" t="s">
        <v>294</v>
      </c>
      <c r="D1283" t="s">
        <v>112</v>
      </c>
      <c r="E1283" t="s">
        <v>392</v>
      </c>
      <c r="F1283" s="20">
        <v>2031</v>
      </c>
      <c r="G1283" s="20">
        <v>31</v>
      </c>
      <c r="H1283" s="11">
        <v>1090.6336178195399</v>
      </c>
      <c r="I1283" s="10">
        <v>4321257.8039026503</v>
      </c>
      <c r="J1283" s="34">
        <f t="shared" si="80"/>
        <v>2.5238800074241295E-4</v>
      </c>
      <c r="K1283" s="34">
        <f t="shared" si="81"/>
        <v>2.5235615357033225E-4</v>
      </c>
      <c r="L1283" s="34">
        <f t="shared" si="82"/>
        <v>0.99977935493587622</v>
      </c>
      <c r="M1283" s="34">
        <f t="shared" si="83"/>
        <v>0.99952705446344559</v>
      </c>
    </row>
    <row r="1284" spans="1:13" ht="27.6">
      <c r="A1284" t="s">
        <v>164</v>
      </c>
      <c r="B1284" t="s">
        <v>112</v>
      </c>
      <c r="C1284" s="14" t="s">
        <v>294</v>
      </c>
      <c r="D1284" t="s">
        <v>112</v>
      </c>
      <c r="E1284" t="s">
        <v>392</v>
      </c>
      <c r="F1284" s="20">
        <v>2031</v>
      </c>
      <c r="G1284" s="20">
        <v>32</v>
      </c>
      <c r="H1284" s="11">
        <v>1152.2530210585401</v>
      </c>
      <c r="I1284" s="10">
        <v>4341803.4076682404</v>
      </c>
      <c r="J1284" s="34">
        <f t="shared" si="80"/>
        <v>2.6538581157854773E-4</v>
      </c>
      <c r="K1284" s="34">
        <f t="shared" si="81"/>
        <v>2.6535059987897736E-4</v>
      </c>
      <c r="L1284" s="34">
        <f t="shared" si="82"/>
        <v>0.99952705446344559</v>
      </c>
      <c r="M1284" s="34">
        <f t="shared" si="83"/>
        <v>0.99926182935994845</v>
      </c>
    </row>
    <row r="1285" spans="1:13" ht="27.6">
      <c r="A1285" t="s">
        <v>164</v>
      </c>
      <c r="B1285" t="s">
        <v>112</v>
      </c>
      <c r="C1285" s="14" t="s">
        <v>294</v>
      </c>
      <c r="D1285" t="s">
        <v>112</v>
      </c>
      <c r="E1285" t="s">
        <v>392</v>
      </c>
      <c r="F1285" s="20">
        <v>2031</v>
      </c>
      <c r="G1285" s="20">
        <v>33</v>
      </c>
      <c r="H1285" s="11">
        <v>1236.8419987401801</v>
      </c>
      <c r="I1285" s="10">
        <v>4401743.7760918802</v>
      </c>
      <c r="J1285" s="34">
        <f t="shared" si="80"/>
        <v>2.8098909469881031E-4</v>
      </c>
      <c r="K1285" s="34">
        <f t="shared" si="81"/>
        <v>2.8094962096048004E-4</v>
      </c>
      <c r="L1285" s="34">
        <f t="shared" si="82"/>
        <v>0.99926182935994845</v>
      </c>
      <c r="M1285" s="34">
        <f t="shared" si="83"/>
        <v>0.99898108712774947</v>
      </c>
    </row>
    <row r="1286" spans="1:13" ht="27.6">
      <c r="A1286" t="s">
        <v>164</v>
      </c>
      <c r="B1286" t="s">
        <v>112</v>
      </c>
      <c r="C1286" s="14" t="s">
        <v>294</v>
      </c>
      <c r="D1286" t="s">
        <v>112</v>
      </c>
      <c r="E1286" t="s">
        <v>392</v>
      </c>
      <c r="F1286" s="20">
        <v>2031</v>
      </c>
      <c r="G1286" s="20">
        <v>34</v>
      </c>
      <c r="H1286" s="11">
        <v>1563.0502467747399</v>
      </c>
      <c r="I1286" s="10">
        <v>4541981.9060670901</v>
      </c>
      <c r="J1286" s="34">
        <f t="shared" si="80"/>
        <v>3.4413396598670902E-4</v>
      </c>
      <c r="K1286" s="34">
        <f t="shared" si="81"/>
        <v>3.440747586853643E-4</v>
      </c>
      <c r="L1286" s="34">
        <f t="shared" si="82"/>
        <v>0.99898108712774947</v>
      </c>
      <c r="M1286" s="34">
        <f t="shared" si="83"/>
        <v>0.99863736295126471</v>
      </c>
    </row>
    <row r="1287" spans="1:13" ht="27.6">
      <c r="A1287" t="s">
        <v>164</v>
      </c>
      <c r="B1287" t="s">
        <v>112</v>
      </c>
      <c r="C1287" s="14" t="s">
        <v>294</v>
      </c>
      <c r="D1287" t="s">
        <v>112</v>
      </c>
      <c r="E1287" t="s">
        <v>392</v>
      </c>
      <c r="F1287" s="20">
        <v>2031</v>
      </c>
      <c r="G1287" s="20">
        <v>35</v>
      </c>
      <c r="H1287" s="11">
        <v>2096.0435497230301</v>
      </c>
      <c r="I1287" s="10">
        <v>4498869.9602184799</v>
      </c>
      <c r="J1287" s="34">
        <f t="shared" si="80"/>
        <v>4.6590445339772377E-4</v>
      </c>
      <c r="K1287" s="34">
        <f t="shared" si="81"/>
        <v>4.6579593677131825E-4</v>
      </c>
      <c r="L1287" s="34">
        <f t="shared" si="82"/>
        <v>0.99863736295126471</v>
      </c>
      <c r="M1287" s="34">
        <f t="shared" si="83"/>
        <v>0.99817220172529397</v>
      </c>
    </row>
    <row r="1288" spans="1:13" ht="27.6">
      <c r="A1288" t="s">
        <v>164</v>
      </c>
      <c r="B1288" t="s">
        <v>112</v>
      </c>
      <c r="C1288" s="14" t="s">
        <v>294</v>
      </c>
      <c r="D1288" t="s">
        <v>112</v>
      </c>
      <c r="E1288" t="s">
        <v>392</v>
      </c>
      <c r="F1288" s="20">
        <v>2031</v>
      </c>
      <c r="G1288" s="20">
        <v>36</v>
      </c>
      <c r="H1288" s="11">
        <v>2204.38821950991</v>
      </c>
      <c r="I1288" s="10">
        <v>4425056.2507785503</v>
      </c>
      <c r="J1288" s="34">
        <f t="shared" si="80"/>
        <v>4.9816049663144212E-4</v>
      </c>
      <c r="K1288" s="34">
        <f t="shared" si="81"/>
        <v>4.9803643529289232E-4</v>
      </c>
      <c r="L1288" s="34">
        <f t="shared" si="82"/>
        <v>0.99817220172529397</v>
      </c>
      <c r="M1288" s="34">
        <f t="shared" si="83"/>
        <v>0.99767507560013824</v>
      </c>
    </row>
    <row r="1289" spans="1:13" ht="27.6">
      <c r="A1289" t="s">
        <v>164</v>
      </c>
      <c r="B1289" t="s">
        <v>112</v>
      </c>
      <c r="C1289" s="14" t="s">
        <v>294</v>
      </c>
      <c r="D1289" t="s">
        <v>112</v>
      </c>
      <c r="E1289" t="s">
        <v>392</v>
      </c>
      <c r="F1289" s="20">
        <v>2031</v>
      </c>
      <c r="G1289" s="20">
        <v>37</v>
      </c>
      <c r="H1289" s="11">
        <v>2332.8748528303199</v>
      </c>
      <c r="I1289" s="10">
        <v>4367393.6547434004</v>
      </c>
      <c r="J1289" s="34">
        <f t="shared" si="80"/>
        <v>5.3415721990084368E-4</v>
      </c>
      <c r="K1289" s="34">
        <f t="shared" si="81"/>
        <v>5.340145833310217E-4</v>
      </c>
      <c r="L1289" s="34">
        <f t="shared" si="82"/>
        <v>0.99767507560013824</v>
      </c>
      <c r="M1289" s="34">
        <f t="shared" si="83"/>
        <v>0.99714230256034186</v>
      </c>
    </row>
    <row r="1290" spans="1:13" ht="27.6">
      <c r="A1290" t="s">
        <v>164</v>
      </c>
      <c r="B1290" t="s">
        <v>112</v>
      </c>
      <c r="C1290" s="14" t="s">
        <v>294</v>
      </c>
      <c r="D1290" t="s">
        <v>112</v>
      </c>
      <c r="E1290" t="s">
        <v>392</v>
      </c>
      <c r="F1290" s="20">
        <v>2031</v>
      </c>
      <c r="G1290" s="20">
        <v>38</v>
      </c>
      <c r="H1290" s="11">
        <v>2475.5770471894298</v>
      </c>
      <c r="I1290" s="10">
        <v>4313262.3853920298</v>
      </c>
      <c r="J1290" s="34">
        <f t="shared" si="80"/>
        <v>5.7394538657643619E-4</v>
      </c>
      <c r="K1290" s="34">
        <f t="shared" si="81"/>
        <v>5.7378071142943909E-4</v>
      </c>
      <c r="L1290" s="34">
        <f t="shared" si="82"/>
        <v>0.99714230256034186</v>
      </c>
      <c r="M1290" s="34">
        <f t="shared" si="83"/>
        <v>0.99657016154058242</v>
      </c>
    </row>
    <row r="1291" spans="1:13" ht="27.6">
      <c r="A1291" t="s">
        <v>164</v>
      </c>
      <c r="B1291" t="s">
        <v>112</v>
      </c>
      <c r="C1291" s="14" t="s">
        <v>294</v>
      </c>
      <c r="D1291" t="s">
        <v>112</v>
      </c>
      <c r="E1291" t="s">
        <v>392</v>
      </c>
      <c r="F1291" s="20">
        <v>2031</v>
      </c>
      <c r="G1291" s="20">
        <v>39</v>
      </c>
      <c r="H1291" s="11">
        <v>2685.2725767063298</v>
      </c>
      <c r="I1291" s="10">
        <v>4350275.6554862903</v>
      </c>
      <c r="J1291" s="34">
        <f t="shared" si="80"/>
        <v>6.1726492511338571E-4</v>
      </c>
      <c r="K1291" s="34">
        <f t="shared" si="81"/>
        <v>6.1707445631142832E-4</v>
      </c>
      <c r="L1291" s="34">
        <f t="shared" si="82"/>
        <v>0.99657016154058242</v>
      </c>
      <c r="M1291" s="34">
        <f t="shared" si="83"/>
        <v>0.99595520354997358</v>
      </c>
    </row>
    <row r="1292" spans="1:13" ht="27.6">
      <c r="A1292" t="s">
        <v>164</v>
      </c>
      <c r="B1292" t="s">
        <v>112</v>
      </c>
      <c r="C1292" s="14" t="s">
        <v>294</v>
      </c>
      <c r="D1292" t="s">
        <v>112</v>
      </c>
      <c r="E1292" t="s">
        <v>392</v>
      </c>
      <c r="F1292" s="20">
        <v>2031</v>
      </c>
      <c r="G1292" s="20">
        <v>40</v>
      </c>
      <c r="H1292" s="11">
        <v>3624.7261145485299</v>
      </c>
      <c r="I1292" s="10">
        <v>4367529.2312012902</v>
      </c>
      <c r="J1292" s="34">
        <f t="shared" si="80"/>
        <v>8.2992601140566334E-4</v>
      </c>
      <c r="K1292" s="34">
        <f t="shared" si="81"/>
        <v>8.2958171806601921E-4</v>
      </c>
      <c r="L1292" s="34">
        <f t="shared" si="82"/>
        <v>0.99595520354997358</v>
      </c>
      <c r="M1292" s="34">
        <f t="shared" si="83"/>
        <v>0.99512897732109584</v>
      </c>
    </row>
    <row r="1293" spans="1:13" ht="27.6">
      <c r="A1293" t="s">
        <v>164</v>
      </c>
      <c r="B1293" t="s">
        <v>112</v>
      </c>
      <c r="C1293" s="14" t="s">
        <v>294</v>
      </c>
      <c r="D1293" t="s">
        <v>112</v>
      </c>
      <c r="E1293" t="s">
        <v>392</v>
      </c>
      <c r="F1293" s="20">
        <v>2031</v>
      </c>
      <c r="G1293" s="20">
        <v>41</v>
      </c>
      <c r="H1293" s="11">
        <v>5487.4708872804704</v>
      </c>
      <c r="I1293" s="10">
        <v>6429574.6623857198</v>
      </c>
      <c r="J1293" s="34">
        <f t="shared" si="80"/>
        <v>8.5347339060906429E-4</v>
      </c>
      <c r="K1293" s="34">
        <f t="shared" si="81"/>
        <v>8.5310928578674616E-4</v>
      </c>
      <c r="L1293" s="34">
        <f t="shared" si="82"/>
        <v>0.99512897732109584</v>
      </c>
      <c r="M1293" s="34">
        <f t="shared" si="83"/>
        <v>0.99428002354998779</v>
      </c>
    </row>
    <row r="1294" spans="1:13" ht="27.6">
      <c r="A1294" t="s">
        <v>164</v>
      </c>
      <c r="B1294" t="s">
        <v>112</v>
      </c>
      <c r="C1294" s="14" t="s">
        <v>294</v>
      </c>
      <c r="D1294" t="s">
        <v>112</v>
      </c>
      <c r="E1294" t="s">
        <v>392</v>
      </c>
      <c r="F1294" s="20">
        <v>2031</v>
      </c>
      <c r="G1294" s="20">
        <v>42</v>
      </c>
      <c r="H1294" s="11">
        <v>4205.0636301173799</v>
      </c>
      <c r="I1294" s="10">
        <v>4323626.1725662099</v>
      </c>
      <c r="J1294" s="34">
        <f t="shared" si="80"/>
        <v>9.725779848403362E-4</v>
      </c>
      <c r="K1294" s="34">
        <f t="shared" si="81"/>
        <v>9.7210518416301905E-4</v>
      </c>
      <c r="L1294" s="34">
        <f t="shared" si="82"/>
        <v>0.99428002354998779</v>
      </c>
      <c r="M1294" s="34">
        <f t="shared" si="83"/>
        <v>0.99331347878458509</v>
      </c>
    </row>
    <row r="1295" spans="1:13" ht="27.6">
      <c r="A1295" t="s">
        <v>164</v>
      </c>
      <c r="B1295" t="s">
        <v>112</v>
      </c>
      <c r="C1295" s="14" t="s">
        <v>294</v>
      </c>
      <c r="D1295" t="s">
        <v>112</v>
      </c>
      <c r="E1295" t="s">
        <v>392</v>
      </c>
      <c r="F1295" s="20">
        <v>2031</v>
      </c>
      <c r="G1295" s="20">
        <v>43</v>
      </c>
      <c r="H1295" s="11">
        <v>4555.4828000995503</v>
      </c>
      <c r="I1295" s="10">
        <v>4305892.70859998</v>
      </c>
      <c r="J1295" s="34">
        <f t="shared" si="80"/>
        <v>1.0579647725548467E-3</v>
      </c>
      <c r="K1295" s="34">
        <f t="shared" si="81"/>
        <v>1.0574053251340976E-3</v>
      </c>
      <c r="L1295" s="34">
        <f t="shared" si="82"/>
        <v>0.99331347878458509</v>
      </c>
      <c r="M1295" s="34">
        <f t="shared" si="83"/>
        <v>0.99226314382259084</v>
      </c>
    </row>
    <row r="1296" spans="1:13" ht="27.6">
      <c r="A1296" t="s">
        <v>164</v>
      </c>
      <c r="B1296" t="s">
        <v>112</v>
      </c>
      <c r="C1296" s="14" t="s">
        <v>294</v>
      </c>
      <c r="D1296" t="s">
        <v>112</v>
      </c>
      <c r="E1296" t="s">
        <v>392</v>
      </c>
      <c r="F1296" s="20">
        <v>2031</v>
      </c>
      <c r="G1296" s="20">
        <v>44</v>
      </c>
      <c r="H1296" s="11">
        <v>4817.9931019230398</v>
      </c>
      <c r="I1296" s="10">
        <v>4172843.3660037201</v>
      </c>
      <c r="J1296" s="34">
        <f t="shared" si="80"/>
        <v>1.1546067463675666E-3</v>
      </c>
      <c r="K1296" s="34">
        <f t="shared" si="81"/>
        <v>1.1539404444617096E-3</v>
      </c>
      <c r="L1296" s="34">
        <f t="shared" si="82"/>
        <v>0.99226314382259084</v>
      </c>
      <c r="M1296" s="34">
        <f t="shared" si="83"/>
        <v>0.99111813124938519</v>
      </c>
    </row>
    <row r="1297" spans="1:13" ht="27.6">
      <c r="A1297" t="s">
        <v>164</v>
      </c>
      <c r="B1297" t="s">
        <v>112</v>
      </c>
      <c r="C1297" s="14" t="s">
        <v>294</v>
      </c>
      <c r="D1297" t="s">
        <v>112</v>
      </c>
      <c r="E1297" t="s">
        <v>392</v>
      </c>
      <c r="F1297" s="20">
        <v>2031</v>
      </c>
      <c r="G1297" s="20">
        <v>45</v>
      </c>
      <c r="H1297" s="11">
        <v>6172.4075016922097</v>
      </c>
      <c r="I1297" s="10">
        <v>4137031.8304463699</v>
      </c>
      <c r="J1297" s="34">
        <f t="shared" si="80"/>
        <v>1.4919893669336913E-3</v>
      </c>
      <c r="K1297" s="34">
        <f t="shared" si="81"/>
        <v>1.490876904127858E-3</v>
      </c>
      <c r="L1297" s="34">
        <f t="shared" si="82"/>
        <v>0.99111813124938519</v>
      </c>
      <c r="M1297" s="34">
        <f t="shared" si="83"/>
        <v>0.98964049611824312</v>
      </c>
    </row>
    <row r="1298" spans="1:13" ht="27.6">
      <c r="A1298" t="s">
        <v>164</v>
      </c>
      <c r="B1298" t="s">
        <v>112</v>
      </c>
      <c r="C1298" s="14" t="s">
        <v>294</v>
      </c>
      <c r="D1298" t="s">
        <v>112</v>
      </c>
      <c r="E1298" t="s">
        <v>392</v>
      </c>
      <c r="F1298" s="20">
        <v>2031</v>
      </c>
      <c r="G1298" s="20">
        <v>46</v>
      </c>
      <c r="H1298" s="11">
        <v>6852.0011436813502</v>
      </c>
      <c r="I1298" s="10">
        <v>4193221.3548385301</v>
      </c>
      <c r="J1298" s="34">
        <f t="shared" si="80"/>
        <v>1.6340661662840364E-3</v>
      </c>
      <c r="K1298" s="34">
        <f t="shared" si="81"/>
        <v>1.6327318070754604E-3</v>
      </c>
      <c r="L1298" s="34">
        <f t="shared" si="82"/>
        <v>0.98964049611824312</v>
      </c>
      <c r="M1298" s="34">
        <f t="shared" si="83"/>
        <v>0.98802467860266097</v>
      </c>
    </row>
    <row r="1299" spans="1:13" ht="27.6">
      <c r="A1299" t="s">
        <v>164</v>
      </c>
      <c r="B1299" t="s">
        <v>112</v>
      </c>
      <c r="C1299" s="14" t="s">
        <v>294</v>
      </c>
      <c r="D1299" t="s">
        <v>112</v>
      </c>
      <c r="E1299" t="s">
        <v>392</v>
      </c>
      <c r="F1299" s="20">
        <v>2031</v>
      </c>
      <c r="G1299" s="20">
        <v>47</v>
      </c>
      <c r="H1299" s="11">
        <v>7654.8561507162003</v>
      </c>
      <c r="I1299" s="10">
        <v>4275022.8335680403</v>
      </c>
      <c r="J1299" s="34">
        <f t="shared" si="80"/>
        <v>1.7906000619714274E-3</v>
      </c>
      <c r="K1299" s="34">
        <f t="shared" si="81"/>
        <v>1.7889978941038054E-3</v>
      </c>
      <c r="L1299" s="34">
        <f t="shared" si="82"/>
        <v>0.98802467860266097</v>
      </c>
      <c r="M1299" s="34">
        <f t="shared" si="83"/>
        <v>0.98625710453331816</v>
      </c>
    </row>
    <row r="1300" spans="1:13" ht="27.6">
      <c r="A1300" t="s">
        <v>164</v>
      </c>
      <c r="B1300" t="s">
        <v>112</v>
      </c>
      <c r="C1300" s="14" t="s">
        <v>294</v>
      </c>
      <c r="D1300" t="s">
        <v>112</v>
      </c>
      <c r="E1300" t="s">
        <v>392</v>
      </c>
      <c r="F1300" s="20">
        <v>2031</v>
      </c>
      <c r="G1300" s="20">
        <v>48</v>
      </c>
      <c r="H1300" s="11">
        <v>8334.1493803789199</v>
      </c>
      <c r="I1300" s="10">
        <v>4248197.6239111302</v>
      </c>
      <c r="J1300" s="34">
        <f t="shared" si="80"/>
        <v>1.9618083051197678E-3</v>
      </c>
      <c r="K1300" s="34">
        <f t="shared" si="81"/>
        <v>1.9598852169890879E-3</v>
      </c>
      <c r="L1300" s="34">
        <f t="shared" si="82"/>
        <v>0.98625710453331816</v>
      </c>
      <c r="M1300" s="34">
        <f t="shared" si="83"/>
        <v>0.98432415381399285</v>
      </c>
    </row>
    <row r="1301" spans="1:13" ht="27.6">
      <c r="A1301" t="s">
        <v>164</v>
      </c>
      <c r="B1301" t="s">
        <v>112</v>
      </c>
      <c r="C1301" s="14" t="s">
        <v>294</v>
      </c>
      <c r="D1301" t="s">
        <v>112</v>
      </c>
      <c r="E1301" t="s">
        <v>392</v>
      </c>
      <c r="F1301" s="20">
        <v>2031</v>
      </c>
      <c r="G1301" s="20">
        <v>49</v>
      </c>
      <c r="H1301" s="11">
        <v>8834.2486171392902</v>
      </c>
      <c r="I1301" s="10">
        <v>4109462.6212376701</v>
      </c>
      <c r="J1301" s="34">
        <f t="shared" si="80"/>
        <v>2.1497332939552642E-3</v>
      </c>
      <c r="K1301" s="34">
        <f t="shared" si="81"/>
        <v>2.1474242722276937E-3</v>
      </c>
      <c r="L1301" s="34">
        <f t="shared" si="82"/>
        <v>0.98432415381399285</v>
      </c>
      <c r="M1301" s="34">
        <f t="shared" si="83"/>
        <v>0.98221039223435269</v>
      </c>
    </row>
    <row r="1302" spans="1:13" ht="27.6">
      <c r="A1302" t="s">
        <v>164</v>
      </c>
      <c r="B1302" t="s">
        <v>112</v>
      </c>
      <c r="C1302" s="14" t="s">
        <v>294</v>
      </c>
      <c r="D1302" t="s">
        <v>112</v>
      </c>
      <c r="E1302" t="s">
        <v>392</v>
      </c>
      <c r="F1302" s="20">
        <v>2031</v>
      </c>
      <c r="G1302" s="20">
        <v>50</v>
      </c>
      <c r="H1302" s="11">
        <v>10079.483387730101</v>
      </c>
      <c r="I1302" s="10">
        <v>4032502.4963938398</v>
      </c>
      <c r="J1302" s="34">
        <f t="shared" si="80"/>
        <v>2.4995603590435259E-3</v>
      </c>
      <c r="K1302" s="34">
        <f t="shared" si="81"/>
        <v>2.4964390592167041E-3</v>
      </c>
      <c r="L1302" s="34">
        <f t="shared" si="82"/>
        <v>0.98221039223435269</v>
      </c>
      <c r="M1302" s="34">
        <f t="shared" si="83"/>
        <v>0.97975836384681025</v>
      </c>
    </row>
    <row r="1303" spans="1:13" ht="27.6">
      <c r="A1303" t="s">
        <v>164</v>
      </c>
      <c r="B1303" t="s">
        <v>112</v>
      </c>
      <c r="C1303" s="14" t="s">
        <v>294</v>
      </c>
      <c r="D1303" t="s">
        <v>112</v>
      </c>
      <c r="E1303" t="s">
        <v>392</v>
      </c>
      <c r="F1303" s="20">
        <v>2031</v>
      </c>
      <c r="G1303" s="20">
        <v>51</v>
      </c>
      <c r="H1303" s="11">
        <v>10844.984818826601</v>
      </c>
      <c r="I1303" s="10">
        <v>3970169.4589666999</v>
      </c>
      <c r="J1303" s="34">
        <f t="shared" si="80"/>
        <v>2.7316176125260863E-3</v>
      </c>
      <c r="K1303" s="34">
        <f t="shared" si="81"/>
        <v>2.7278901399179212E-3</v>
      </c>
      <c r="L1303" s="34">
        <f t="shared" si="82"/>
        <v>0.97975836384681025</v>
      </c>
      <c r="M1303" s="34">
        <f t="shared" si="83"/>
        <v>0.97708569066657047</v>
      </c>
    </row>
    <row r="1304" spans="1:13" ht="27.6">
      <c r="A1304" t="s">
        <v>164</v>
      </c>
      <c r="B1304" t="s">
        <v>112</v>
      </c>
      <c r="C1304" s="14" t="s">
        <v>294</v>
      </c>
      <c r="D1304" t="s">
        <v>112</v>
      </c>
      <c r="E1304" t="s">
        <v>392</v>
      </c>
      <c r="F1304" s="20">
        <v>2031</v>
      </c>
      <c r="G1304" s="20">
        <v>52</v>
      </c>
      <c r="H1304" s="11">
        <v>11646.233442574299</v>
      </c>
      <c r="I1304" s="10">
        <v>3902990.9211574001</v>
      </c>
      <c r="J1304" s="34">
        <f t="shared" si="80"/>
        <v>2.983925322357835E-3</v>
      </c>
      <c r="K1304" s="34">
        <f t="shared" si="81"/>
        <v>2.9794778419427459E-3</v>
      </c>
      <c r="L1304" s="34">
        <f t="shared" si="82"/>
        <v>0.97708569066657047</v>
      </c>
      <c r="M1304" s="34">
        <f t="shared" si="83"/>
        <v>0.97417448550155006</v>
      </c>
    </row>
    <row r="1305" spans="1:13" ht="27.6">
      <c r="A1305" t="s">
        <v>164</v>
      </c>
      <c r="B1305" t="s">
        <v>112</v>
      </c>
      <c r="C1305" s="14" t="s">
        <v>294</v>
      </c>
      <c r="D1305" t="s">
        <v>112</v>
      </c>
      <c r="E1305" t="s">
        <v>392</v>
      </c>
      <c r="F1305" s="20">
        <v>2031</v>
      </c>
      <c r="G1305" s="20">
        <v>53</v>
      </c>
      <c r="H1305" s="11">
        <v>12437.1071380012</v>
      </c>
      <c r="I1305" s="10">
        <v>3816370.0809210599</v>
      </c>
      <c r="J1305" s="34">
        <f t="shared" si="80"/>
        <v>3.258883932713248E-3</v>
      </c>
      <c r="K1305" s="34">
        <f t="shared" si="81"/>
        <v>3.2535795341740448E-3</v>
      </c>
      <c r="L1305" s="34">
        <f t="shared" si="82"/>
        <v>0.97417448550155006</v>
      </c>
      <c r="M1305" s="34">
        <f t="shared" si="83"/>
        <v>0.97100493133280763</v>
      </c>
    </row>
    <row r="1306" spans="1:13" ht="27.6">
      <c r="A1306" t="s">
        <v>164</v>
      </c>
      <c r="B1306" t="s">
        <v>112</v>
      </c>
      <c r="C1306" s="14" t="s">
        <v>294</v>
      </c>
      <c r="D1306" t="s">
        <v>112</v>
      </c>
      <c r="E1306" t="s">
        <v>392</v>
      </c>
      <c r="F1306" s="20">
        <v>2031</v>
      </c>
      <c r="G1306" s="20">
        <v>54</v>
      </c>
      <c r="H1306" s="11">
        <v>13348.376204582801</v>
      </c>
      <c r="I1306" s="10">
        <v>3746359.1885956801</v>
      </c>
      <c r="J1306" s="34">
        <f t="shared" si="80"/>
        <v>3.5630262696691476E-3</v>
      </c>
      <c r="K1306" s="34">
        <f t="shared" si="81"/>
        <v>3.556686223721961E-3</v>
      </c>
      <c r="L1306" s="34">
        <f t="shared" si="82"/>
        <v>0.97100493133280763</v>
      </c>
      <c r="M1306" s="34">
        <f t="shared" si="83"/>
        <v>0.96755137147037018</v>
      </c>
    </row>
    <row r="1307" spans="1:13" ht="27.6">
      <c r="A1307" t="s">
        <v>164</v>
      </c>
      <c r="B1307" t="s">
        <v>112</v>
      </c>
      <c r="C1307" s="14" t="s">
        <v>294</v>
      </c>
      <c r="D1307" t="s">
        <v>112</v>
      </c>
      <c r="E1307" t="s">
        <v>392</v>
      </c>
      <c r="F1307" s="20">
        <v>2031</v>
      </c>
      <c r="G1307" s="20">
        <v>55</v>
      </c>
      <c r="H1307" s="11">
        <v>14373.893370321601</v>
      </c>
      <c r="I1307" s="10">
        <v>3664435.0555588598</v>
      </c>
      <c r="J1307" s="34">
        <f t="shared" si="80"/>
        <v>3.922540078454044E-3</v>
      </c>
      <c r="K1307" s="34">
        <f t="shared" si="81"/>
        <v>3.9148569671740852E-3</v>
      </c>
      <c r="L1307" s="34">
        <f t="shared" si="82"/>
        <v>0.96755137147037018</v>
      </c>
      <c r="M1307" s="34">
        <f t="shared" si="83"/>
        <v>0.96376354624267058</v>
      </c>
    </row>
    <row r="1308" spans="1:13" ht="27.6">
      <c r="A1308" t="s">
        <v>164</v>
      </c>
      <c r="B1308" t="s">
        <v>112</v>
      </c>
      <c r="C1308" s="14" t="s">
        <v>294</v>
      </c>
      <c r="D1308" t="s">
        <v>112</v>
      </c>
      <c r="E1308" t="s">
        <v>392</v>
      </c>
      <c r="F1308" s="20">
        <v>2031</v>
      </c>
      <c r="G1308" s="20">
        <v>56</v>
      </c>
      <c r="H1308" s="11">
        <v>15337.059594054301</v>
      </c>
      <c r="I1308" s="10">
        <v>3581089.29983345</v>
      </c>
      <c r="J1308" s="34">
        <f t="shared" si="80"/>
        <v>4.2827917178070926E-3</v>
      </c>
      <c r="K1308" s="34">
        <f t="shared" si="81"/>
        <v>4.2736336440636347E-3</v>
      </c>
      <c r="L1308" s="34">
        <f t="shared" si="82"/>
        <v>0.96376354624267058</v>
      </c>
      <c r="M1308" s="34">
        <f t="shared" si="83"/>
        <v>0.95964477392652581</v>
      </c>
    </row>
    <row r="1309" spans="1:13" ht="27.6">
      <c r="A1309" t="s">
        <v>164</v>
      </c>
      <c r="B1309" t="s">
        <v>112</v>
      </c>
      <c r="C1309" s="14" t="s">
        <v>294</v>
      </c>
      <c r="D1309" t="s">
        <v>112</v>
      </c>
      <c r="E1309" t="s">
        <v>392</v>
      </c>
      <c r="F1309" s="20">
        <v>2031</v>
      </c>
      <c r="G1309" s="20">
        <v>57</v>
      </c>
      <c r="H1309" s="11">
        <v>16237.722553538901</v>
      </c>
      <c r="I1309" s="10">
        <v>3470861.33800933</v>
      </c>
      <c r="J1309" s="34">
        <f t="shared" si="80"/>
        <v>4.6782976823994491E-3</v>
      </c>
      <c r="K1309" s="34">
        <f t="shared" si="81"/>
        <v>4.6673714930928201E-3</v>
      </c>
      <c r="L1309" s="34">
        <f t="shared" si="82"/>
        <v>0.95964477392652581</v>
      </c>
      <c r="M1309" s="34">
        <f t="shared" si="83"/>
        <v>0.95516575526520564</v>
      </c>
    </row>
    <row r="1310" spans="1:13" ht="27.6">
      <c r="A1310" t="s">
        <v>164</v>
      </c>
      <c r="B1310" t="s">
        <v>112</v>
      </c>
      <c r="C1310" s="14" t="s">
        <v>294</v>
      </c>
      <c r="D1310" t="s">
        <v>112</v>
      </c>
      <c r="E1310" t="s">
        <v>392</v>
      </c>
      <c r="F1310" s="20">
        <v>2031</v>
      </c>
      <c r="G1310" s="20">
        <v>58</v>
      </c>
      <c r="H1310" s="11">
        <v>17480.680037902999</v>
      </c>
      <c r="I1310" s="10">
        <v>3419165.6931578498</v>
      </c>
      <c r="J1310" s="34">
        <f t="shared" si="80"/>
        <v>5.1125571576960665E-3</v>
      </c>
      <c r="K1310" s="34">
        <f t="shared" si="81"/>
        <v>5.0995102811211002E-3</v>
      </c>
      <c r="L1310" s="34">
        <f t="shared" si="82"/>
        <v>0.95516575526520564</v>
      </c>
      <c r="M1310" s="34">
        <f t="shared" si="83"/>
        <v>0.95029487767605592</v>
      </c>
    </row>
    <row r="1311" spans="1:13" ht="27.6">
      <c r="A1311" t="s">
        <v>164</v>
      </c>
      <c r="B1311" t="s">
        <v>112</v>
      </c>
      <c r="C1311" s="14" t="s">
        <v>294</v>
      </c>
      <c r="D1311" t="s">
        <v>112</v>
      </c>
      <c r="E1311" t="s">
        <v>392</v>
      </c>
      <c r="F1311" s="20">
        <v>2031</v>
      </c>
      <c r="G1311" s="20">
        <v>59</v>
      </c>
      <c r="H1311" s="11">
        <v>17951.872147433802</v>
      </c>
      <c r="I1311" s="10">
        <v>3207368.7512822901</v>
      </c>
      <c r="J1311" s="34">
        <f t="shared" si="80"/>
        <v>5.5970714749455398E-3</v>
      </c>
      <c r="K1311" s="34">
        <f t="shared" si="81"/>
        <v>5.5814370529900792E-3</v>
      </c>
      <c r="L1311" s="34">
        <f t="shared" si="82"/>
        <v>0.95029487767605592</v>
      </c>
      <c r="M1311" s="34">
        <f t="shared" si="83"/>
        <v>0.94499086663452814</v>
      </c>
    </row>
    <row r="1312" spans="1:13" ht="27.6">
      <c r="A1312" t="s">
        <v>164</v>
      </c>
      <c r="B1312" t="s">
        <v>112</v>
      </c>
      <c r="C1312" s="14" t="s">
        <v>294</v>
      </c>
      <c r="D1312" t="s">
        <v>112</v>
      </c>
      <c r="E1312" t="s">
        <v>392</v>
      </c>
      <c r="F1312" s="20">
        <v>2031</v>
      </c>
      <c r="G1312" s="20">
        <v>60</v>
      </c>
      <c r="H1312" s="11">
        <v>19366.595563848801</v>
      </c>
      <c r="I1312" s="10">
        <v>3113924.3722484899</v>
      </c>
      <c r="J1312" s="34">
        <f t="shared" si="80"/>
        <v>6.2193532175814047E-3</v>
      </c>
      <c r="K1312" s="34">
        <f t="shared" si="81"/>
        <v>6.2000530725604408E-3</v>
      </c>
      <c r="L1312" s="34">
        <f t="shared" si="82"/>
        <v>0.94499086663452814</v>
      </c>
      <c r="M1312" s="34">
        <f t="shared" si="83"/>
        <v>0.93913187310830915</v>
      </c>
    </row>
    <row r="1313" spans="1:13" ht="27.6">
      <c r="A1313" t="s">
        <v>164</v>
      </c>
      <c r="B1313" t="s">
        <v>112</v>
      </c>
      <c r="C1313" s="14" t="s">
        <v>294</v>
      </c>
      <c r="D1313" t="s">
        <v>112</v>
      </c>
      <c r="E1313" t="s">
        <v>392</v>
      </c>
      <c r="F1313" s="20">
        <v>2031</v>
      </c>
      <c r="G1313" s="20">
        <v>61</v>
      </c>
      <c r="H1313" s="11">
        <v>20574.1447652631</v>
      </c>
      <c r="I1313" s="10">
        <v>3023852.4786443599</v>
      </c>
      <c r="J1313" s="34">
        <f t="shared" si="80"/>
        <v>6.8039512213528379E-3</v>
      </c>
      <c r="K1313" s="34">
        <f t="shared" si="81"/>
        <v>6.7808567528052643E-3</v>
      </c>
      <c r="L1313" s="34">
        <f t="shared" si="82"/>
        <v>0.93913187310830915</v>
      </c>
      <c r="M1313" s="34">
        <f t="shared" si="83"/>
        <v>0.932763754404768</v>
      </c>
    </row>
    <row r="1314" spans="1:13" ht="27.6">
      <c r="A1314" t="s">
        <v>164</v>
      </c>
      <c r="B1314" t="s">
        <v>112</v>
      </c>
      <c r="C1314" s="14" t="s">
        <v>294</v>
      </c>
      <c r="D1314" t="s">
        <v>112</v>
      </c>
      <c r="E1314" t="s">
        <v>392</v>
      </c>
      <c r="F1314" s="20">
        <v>2031</v>
      </c>
      <c r="G1314" s="20">
        <v>62</v>
      </c>
      <c r="H1314" s="11">
        <v>21780.414933629501</v>
      </c>
      <c r="I1314" s="10">
        <v>2924989.7160988902</v>
      </c>
      <c r="J1314" s="34">
        <f t="shared" si="80"/>
        <v>7.4463218840572273E-3</v>
      </c>
      <c r="K1314" s="34">
        <f t="shared" si="81"/>
        <v>7.4186667149275243E-3</v>
      </c>
      <c r="L1314" s="34">
        <f t="shared" si="82"/>
        <v>0.932763754404768</v>
      </c>
      <c r="M1314" s="34">
        <f t="shared" si="83"/>
        <v>0.92584389098707454</v>
      </c>
    </row>
    <row r="1315" spans="1:13" ht="27.6">
      <c r="A1315" t="s">
        <v>164</v>
      </c>
      <c r="B1315" t="s">
        <v>112</v>
      </c>
      <c r="C1315" s="14" t="s">
        <v>294</v>
      </c>
      <c r="D1315" t="s">
        <v>112</v>
      </c>
      <c r="E1315" t="s">
        <v>392</v>
      </c>
      <c r="F1315" s="20">
        <v>2031</v>
      </c>
      <c r="G1315" s="20">
        <v>63</v>
      </c>
      <c r="H1315" s="11">
        <v>22884.063863639502</v>
      </c>
      <c r="I1315" s="10">
        <v>2806848.10316126</v>
      </c>
      <c r="J1315" s="34">
        <f t="shared" si="80"/>
        <v>8.1529398893605744E-3</v>
      </c>
      <c r="K1315" s="34">
        <f t="shared" si="81"/>
        <v>8.1197948127125219E-3</v>
      </c>
      <c r="L1315" s="34">
        <f t="shared" si="82"/>
        <v>0.92584389098707454</v>
      </c>
      <c r="M1315" s="34">
        <f t="shared" si="83"/>
        <v>0.91832622856365609</v>
      </c>
    </row>
    <row r="1316" spans="1:13" ht="27.6">
      <c r="A1316" t="s">
        <v>164</v>
      </c>
      <c r="B1316" t="s">
        <v>112</v>
      </c>
      <c r="C1316" s="14" t="s">
        <v>294</v>
      </c>
      <c r="D1316" t="s">
        <v>112</v>
      </c>
      <c r="E1316" t="s">
        <v>392</v>
      </c>
      <c r="F1316" s="20">
        <v>2031</v>
      </c>
      <c r="G1316" s="20">
        <v>64</v>
      </c>
      <c r="H1316" s="11">
        <v>23767.395037930299</v>
      </c>
      <c r="I1316" s="10">
        <v>2658693.3612450599</v>
      </c>
      <c r="J1316" s="34">
        <f t="shared" si="80"/>
        <v>8.939502157104753E-3</v>
      </c>
      <c r="K1316" s="34">
        <f t="shared" si="81"/>
        <v>8.8996636083434888E-3</v>
      </c>
      <c r="L1316" s="34">
        <f t="shared" si="82"/>
        <v>0.91832622856365609</v>
      </c>
      <c r="M1316" s="34">
        <f t="shared" si="83"/>
        <v>0.91015343404672078</v>
      </c>
    </row>
    <row r="1317" spans="1:13" ht="27.6">
      <c r="A1317" t="s">
        <v>164</v>
      </c>
      <c r="B1317" t="s">
        <v>112</v>
      </c>
      <c r="C1317" s="14" t="s">
        <v>294</v>
      </c>
      <c r="D1317" t="s">
        <v>112</v>
      </c>
      <c r="E1317" t="s">
        <v>392</v>
      </c>
      <c r="F1317" s="20">
        <v>2031</v>
      </c>
      <c r="G1317" s="20">
        <v>65</v>
      </c>
      <c r="H1317" s="11">
        <v>24174.578041977999</v>
      </c>
      <c r="I1317" s="10">
        <v>2545410.8587836302</v>
      </c>
      <c r="J1317" s="34">
        <f t="shared" si="80"/>
        <v>9.4973186582264571E-3</v>
      </c>
      <c r="K1317" s="34">
        <f t="shared" si="81"/>
        <v>9.4523615638987257E-3</v>
      </c>
      <c r="L1317" s="34">
        <f t="shared" si="82"/>
        <v>0.91015343404672078</v>
      </c>
      <c r="M1317" s="34">
        <f t="shared" si="83"/>
        <v>0.90155033470948709</v>
      </c>
    </row>
    <row r="1318" spans="1:13" ht="27.6">
      <c r="A1318" t="s">
        <v>164</v>
      </c>
      <c r="B1318" t="s">
        <v>112</v>
      </c>
      <c r="C1318" s="14" t="s">
        <v>294</v>
      </c>
      <c r="D1318" t="s">
        <v>112</v>
      </c>
      <c r="E1318" t="s">
        <v>392</v>
      </c>
      <c r="F1318" s="20">
        <v>2031</v>
      </c>
      <c r="G1318" s="20">
        <v>66</v>
      </c>
      <c r="H1318" s="11">
        <v>25110.001240983202</v>
      </c>
      <c r="I1318" s="10">
        <v>2411863.7345262598</v>
      </c>
      <c r="J1318" s="34">
        <f t="shared" si="80"/>
        <v>1.0411036445189275E-2</v>
      </c>
      <c r="K1318" s="34">
        <f t="shared" si="81"/>
        <v>1.0357029191579659E-2</v>
      </c>
      <c r="L1318" s="34">
        <f t="shared" si="82"/>
        <v>0.90155033470948709</v>
      </c>
      <c r="M1318" s="34">
        <f t="shared" si="83"/>
        <v>0.89221295157522251</v>
      </c>
    </row>
    <row r="1319" spans="1:13" ht="27.6">
      <c r="A1319" t="s">
        <v>164</v>
      </c>
      <c r="B1319" t="s">
        <v>112</v>
      </c>
      <c r="C1319" s="14" t="s">
        <v>294</v>
      </c>
      <c r="D1319" t="s">
        <v>112</v>
      </c>
      <c r="E1319" t="s">
        <v>392</v>
      </c>
      <c r="F1319" s="20">
        <v>2031</v>
      </c>
      <c r="G1319" s="20">
        <v>67</v>
      </c>
      <c r="H1319" s="11">
        <v>26016.2114906118</v>
      </c>
      <c r="I1319" s="10">
        <v>2278335.9610916101</v>
      </c>
      <c r="J1319" s="34">
        <f t="shared" si="80"/>
        <v>1.1418953102134576E-2</v>
      </c>
      <c r="K1319" s="34">
        <f t="shared" si="81"/>
        <v>1.1354004307971177E-2</v>
      </c>
      <c r="L1319" s="34">
        <f t="shared" si="82"/>
        <v>0.89221295157522251</v>
      </c>
      <c r="M1319" s="34">
        <f t="shared" si="83"/>
        <v>0.8820827618794097</v>
      </c>
    </row>
    <row r="1320" spans="1:13" ht="27.6">
      <c r="A1320" t="s">
        <v>164</v>
      </c>
      <c r="B1320" t="s">
        <v>112</v>
      </c>
      <c r="C1320" s="14" t="s">
        <v>294</v>
      </c>
      <c r="D1320" t="s">
        <v>112</v>
      </c>
      <c r="E1320" t="s">
        <v>392</v>
      </c>
      <c r="F1320" s="20">
        <v>2031</v>
      </c>
      <c r="G1320" s="20">
        <v>68</v>
      </c>
      <c r="H1320" s="11">
        <v>26939.044277934401</v>
      </c>
      <c r="I1320" s="10">
        <v>2149554.0919683799</v>
      </c>
      <c r="J1320" s="34">
        <f t="shared" si="80"/>
        <v>1.2532387241888807E-2</v>
      </c>
      <c r="K1320" s="34">
        <f t="shared" si="81"/>
        <v>1.2454183909281102E-2</v>
      </c>
      <c r="L1320" s="34">
        <f t="shared" si="82"/>
        <v>0.8820827618794097</v>
      </c>
      <c r="M1320" s="34">
        <f t="shared" si="83"/>
        <v>0.87109714093975688</v>
      </c>
    </row>
    <row r="1321" spans="1:13" ht="27.6">
      <c r="A1321" t="s">
        <v>164</v>
      </c>
      <c r="B1321" t="s">
        <v>112</v>
      </c>
      <c r="C1321" s="14" t="s">
        <v>294</v>
      </c>
      <c r="D1321" t="s">
        <v>112</v>
      </c>
      <c r="E1321" t="s">
        <v>392</v>
      </c>
      <c r="F1321" s="20">
        <v>2031</v>
      </c>
      <c r="G1321" s="20">
        <v>69</v>
      </c>
      <c r="H1321" s="11">
        <v>27581.0278495446</v>
      </c>
      <c r="I1321" s="10">
        <v>1996957.5013172401</v>
      </c>
      <c r="J1321" s="34">
        <f t="shared" si="80"/>
        <v>1.3811524697622011E-2</v>
      </c>
      <c r="K1321" s="34">
        <f t="shared" si="81"/>
        <v>1.3716583188666753E-2</v>
      </c>
      <c r="L1321" s="34">
        <f t="shared" si="82"/>
        <v>0.87109714093975688</v>
      </c>
      <c r="M1321" s="34">
        <f t="shared" si="83"/>
        <v>0.85914866454064698</v>
      </c>
    </row>
    <row r="1322" spans="1:13" ht="27.6">
      <c r="A1322" t="s">
        <v>164</v>
      </c>
      <c r="B1322" t="s">
        <v>112</v>
      </c>
      <c r="C1322" s="14" t="s">
        <v>294</v>
      </c>
      <c r="D1322" t="s">
        <v>112</v>
      </c>
      <c r="E1322" t="s">
        <v>392</v>
      </c>
      <c r="F1322" s="20">
        <v>2032</v>
      </c>
      <c r="G1322" s="20">
        <v>30</v>
      </c>
      <c r="H1322" s="11">
        <v>961.48051166488199</v>
      </c>
      <c r="I1322" s="10">
        <v>4354849.4681992698</v>
      </c>
      <c r="J1322" s="34">
        <f t="shared" si="80"/>
        <v>2.2078386834860085E-4</v>
      </c>
      <c r="K1322" s="34">
        <f t="shared" si="81"/>
        <v>2.2075949738398215E-4</v>
      </c>
      <c r="L1322" s="34">
        <f t="shared" si="82"/>
        <v>1</v>
      </c>
      <c r="M1322" s="34">
        <f t="shared" si="83"/>
        <v>0.99977924050261602</v>
      </c>
    </row>
    <row r="1323" spans="1:13" ht="27.6">
      <c r="A1323" t="s">
        <v>164</v>
      </c>
      <c r="B1323" t="s">
        <v>112</v>
      </c>
      <c r="C1323" s="14" t="s">
        <v>294</v>
      </c>
      <c r="D1323" t="s">
        <v>112</v>
      </c>
      <c r="E1323" t="s">
        <v>392</v>
      </c>
      <c r="F1323" s="20">
        <v>2032</v>
      </c>
      <c r="G1323" s="20">
        <v>31</v>
      </c>
      <c r="H1323" s="11">
        <v>1094.02467032201</v>
      </c>
      <c r="I1323" s="10">
        <v>4335139.8462389996</v>
      </c>
      <c r="J1323" s="34">
        <f t="shared" si="80"/>
        <v>2.5236202501544296E-4</v>
      </c>
      <c r="K1323" s="34">
        <f t="shared" si="81"/>
        <v>2.523301843980752E-4</v>
      </c>
      <c r="L1323" s="34">
        <f t="shared" si="82"/>
        <v>0.99977924050261602</v>
      </c>
      <c r="M1323" s="34">
        <f t="shared" si="83"/>
        <v>0.99952696602250257</v>
      </c>
    </row>
    <row r="1324" spans="1:13" ht="27.6">
      <c r="A1324" t="s">
        <v>164</v>
      </c>
      <c r="B1324" t="s">
        <v>112</v>
      </c>
      <c r="C1324" s="14" t="s">
        <v>294</v>
      </c>
      <c r="D1324" t="s">
        <v>112</v>
      </c>
      <c r="E1324" t="s">
        <v>392</v>
      </c>
      <c r="F1324" s="20">
        <v>2032</v>
      </c>
      <c r="G1324" s="20">
        <v>32</v>
      </c>
      <c r="H1324" s="11">
        <v>1145.4312316790799</v>
      </c>
      <c r="I1324" s="10">
        <v>4315575.1586579503</v>
      </c>
      <c r="J1324" s="34">
        <f t="shared" si="80"/>
        <v>2.6541797780560124E-4</v>
      </c>
      <c r="K1324" s="34">
        <f t="shared" si="81"/>
        <v>2.6538275757026497E-4</v>
      </c>
      <c r="L1324" s="34">
        <f t="shared" si="82"/>
        <v>0.99952696602250257</v>
      </c>
      <c r="M1324" s="34">
        <f t="shared" si="83"/>
        <v>0.99926170879999365</v>
      </c>
    </row>
    <row r="1325" spans="1:13" ht="27.6">
      <c r="A1325" t="s">
        <v>164</v>
      </c>
      <c r="B1325" t="s">
        <v>112</v>
      </c>
      <c r="C1325" s="14" t="s">
        <v>294</v>
      </c>
      <c r="D1325" t="s">
        <v>112</v>
      </c>
      <c r="E1325" t="s">
        <v>392</v>
      </c>
      <c r="F1325" s="20">
        <v>2032</v>
      </c>
      <c r="G1325" s="20">
        <v>33</v>
      </c>
      <c r="H1325" s="11">
        <v>1217.6641300419501</v>
      </c>
      <c r="I1325" s="10">
        <v>4335851.7089147801</v>
      </c>
      <c r="J1325" s="34">
        <f t="shared" si="80"/>
        <v>2.8083620284761058E-4</v>
      </c>
      <c r="K1325" s="34">
        <f t="shared" si="81"/>
        <v>2.8079677205250508E-4</v>
      </c>
      <c r="L1325" s="34">
        <f t="shared" si="82"/>
        <v>0.99926170879999365</v>
      </c>
      <c r="M1325" s="34">
        <f t="shared" si="83"/>
        <v>0.99898111933772693</v>
      </c>
    </row>
    <row r="1326" spans="1:13" ht="27.6">
      <c r="A1326" t="s">
        <v>164</v>
      </c>
      <c r="B1326" t="s">
        <v>112</v>
      </c>
      <c r="C1326" s="14" t="s">
        <v>294</v>
      </c>
      <c r="D1326" t="s">
        <v>112</v>
      </c>
      <c r="E1326" t="s">
        <v>392</v>
      </c>
      <c r="F1326" s="20">
        <v>2032</v>
      </c>
      <c r="G1326" s="20">
        <v>34</v>
      </c>
      <c r="H1326" s="11">
        <v>1314.72650440902</v>
      </c>
      <c r="I1326" s="10">
        <v>4395417.2579028299</v>
      </c>
      <c r="J1326" s="34">
        <f t="shared" si="80"/>
        <v>2.9911301413880118E-4</v>
      </c>
      <c r="K1326" s="34">
        <f t="shared" si="81"/>
        <v>2.990682843010406E-4</v>
      </c>
      <c r="L1326" s="34">
        <f t="shared" si="82"/>
        <v>0.99898111933772693</v>
      </c>
      <c r="M1326" s="34">
        <f t="shared" si="83"/>
        <v>0.99868235576831743</v>
      </c>
    </row>
    <row r="1327" spans="1:13" ht="27.6">
      <c r="A1327" t="s">
        <v>164</v>
      </c>
      <c r="B1327" t="s">
        <v>112</v>
      </c>
      <c r="C1327" s="14" t="s">
        <v>294</v>
      </c>
      <c r="D1327" t="s">
        <v>112</v>
      </c>
      <c r="E1327" t="s">
        <v>392</v>
      </c>
      <c r="F1327" s="20">
        <v>2032</v>
      </c>
      <c r="G1327" s="20">
        <v>35</v>
      </c>
      <c r="H1327" s="11">
        <v>2106.8388825658999</v>
      </c>
      <c r="I1327" s="10">
        <v>4534866.5943115205</v>
      </c>
      <c r="J1327" s="34">
        <f t="shared" si="80"/>
        <v>4.6458673893708184E-4</v>
      </c>
      <c r="K1327" s="34">
        <f t="shared" si="81"/>
        <v>4.6447883522893196E-4</v>
      </c>
      <c r="L1327" s="34">
        <f t="shared" si="82"/>
        <v>0.99868235576831743</v>
      </c>
      <c r="M1327" s="34">
        <f t="shared" si="83"/>
        <v>0.99821848895094645</v>
      </c>
    </row>
    <row r="1328" spans="1:13" ht="27.6">
      <c r="A1328" t="s">
        <v>164</v>
      </c>
      <c r="B1328" t="s">
        <v>112</v>
      </c>
      <c r="C1328" s="14" t="s">
        <v>294</v>
      </c>
      <c r="D1328" t="s">
        <v>112</v>
      </c>
      <c r="E1328" t="s">
        <v>392</v>
      </c>
      <c r="F1328" s="20">
        <v>2032</v>
      </c>
      <c r="G1328" s="20">
        <v>36</v>
      </c>
      <c r="H1328" s="11">
        <v>2230.5186232696101</v>
      </c>
      <c r="I1328" s="10">
        <v>4490897.5409769304</v>
      </c>
      <c r="J1328" s="34">
        <f t="shared" si="80"/>
        <v>4.9667546474115119E-4</v>
      </c>
      <c r="K1328" s="34">
        <f t="shared" si="81"/>
        <v>4.9655214190047481E-4</v>
      </c>
      <c r="L1328" s="34">
        <f t="shared" si="82"/>
        <v>0.99821848895094645</v>
      </c>
      <c r="M1328" s="34">
        <f t="shared" si="83"/>
        <v>0.99772282142217317</v>
      </c>
    </row>
    <row r="1329" spans="1:13" ht="27.6">
      <c r="A1329" t="s">
        <v>164</v>
      </c>
      <c r="B1329" t="s">
        <v>112</v>
      </c>
      <c r="C1329" s="14" t="s">
        <v>294</v>
      </c>
      <c r="D1329" t="s">
        <v>112</v>
      </c>
      <c r="E1329" t="s">
        <v>392</v>
      </c>
      <c r="F1329" s="20">
        <v>2032</v>
      </c>
      <c r="G1329" s="20">
        <v>37</v>
      </c>
      <c r="H1329" s="11">
        <v>2352.3436000445899</v>
      </c>
      <c r="I1329" s="10">
        <v>4417189.1617759904</v>
      </c>
      <c r="J1329" s="34">
        <f t="shared" si="80"/>
        <v>5.3254309785972544E-4</v>
      </c>
      <c r="K1329" s="34">
        <f t="shared" si="81"/>
        <v>5.3240132195253587E-4</v>
      </c>
      <c r="L1329" s="34">
        <f t="shared" si="82"/>
        <v>0.99772282142217317</v>
      </c>
      <c r="M1329" s="34">
        <f t="shared" si="83"/>
        <v>0.99719163247310583</v>
      </c>
    </row>
    <row r="1330" spans="1:13" ht="27.6">
      <c r="A1330" t="s">
        <v>164</v>
      </c>
      <c r="B1330" t="s">
        <v>112</v>
      </c>
      <c r="C1330" s="14" t="s">
        <v>294</v>
      </c>
      <c r="D1330" t="s">
        <v>112</v>
      </c>
      <c r="E1330" t="s">
        <v>392</v>
      </c>
      <c r="F1330" s="20">
        <v>2032</v>
      </c>
      <c r="G1330" s="20">
        <v>38</v>
      </c>
      <c r="H1330" s="11">
        <v>2494.4352015099698</v>
      </c>
      <c r="I1330" s="10">
        <v>4359083.6728743901</v>
      </c>
      <c r="J1330" s="34">
        <f t="shared" si="80"/>
        <v>5.7223843098775241E-4</v>
      </c>
      <c r="K1330" s="34">
        <f t="shared" si="81"/>
        <v>5.7207473380294083E-4</v>
      </c>
      <c r="L1330" s="34">
        <f t="shared" si="82"/>
        <v>0.99719163247310583</v>
      </c>
      <c r="M1330" s="34">
        <f t="shared" si="83"/>
        <v>0.99662116433540826</v>
      </c>
    </row>
    <row r="1331" spans="1:13" ht="27.6">
      <c r="A1331" t="s">
        <v>164</v>
      </c>
      <c r="B1331" t="s">
        <v>112</v>
      </c>
      <c r="C1331" s="14" t="s">
        <v>294</v>
      </c>
      <c r="D1331" t="s">
        <v>112</v>
      </c>
      <c r="E1331" t="s">
        <v>392</v>
      </c>
      <c r="F1331" s="20">
        <v>2032</v>
      </c>
      <c r="G1331" s="20">
        <v>39</v>
      </c>
      <c r="H1331" s="11">
        <v>2651.4538737951598</v>
      </c>
      <c r="I1331" s="10">
        <v>4304456.3415038297</v>
      </c>
      <c r="J1331" s="34">
        <f t="shared" si="80"/>
        <v>6.1597880508850334E-4</v>
      </c>
      <c r="K1331" s="34">
        <f t="shared" si="81"/>
        <v>6.1578912909177053E-4</v>
      </c>
      <c r="L1331" s="34">
        <f t="shared" si="82"/>
        <v>0.99662116433540826</v>
      </c>
      <c r="M1331" s="34">
        <f t="shared" si="83"/>
        <v>0.99600745585658779</v>
      </c>
    </row>
    <row r="1332" spans="1:13" ht="27.6">
      <c r="A1332" t="s">
        <v>164</v>
      </c>
      <c r="B1332" t="s">
        <v>112</v>
      </c>
      <c r="C1332" s="14" t="s">
        <v>294</v>
      </c>
      <c r="D1332" t="s">
        <v>112</v>
      </c>
      <c r="E1332" t="s">
        <v>392</v>
      </c>
      <c r="F1332" s="20">
        <v>2032</v>
      </c>
      <c r="G1332" s="20">
        <v>40</v>
      </c>
      <c r="H1332" s="11">
        <v>3589.6133181717701</v>
      </c>
      <c r="I1332" s="10">
        <v>4340733.7753657</v>
      </c>
      <c r="J1332" s="34">
        <f t="shared" si="80"/>
        <v>8.2696002656125825E-4</v>
      </c>
      <c r="K1332" s="34">
        <f t="shared" si="81"/>
        <v>8.2661818935358955E-4</v>
      </c>
      <c r="L1332" s="34">
        <f t="shared" si="82"/>
        <v>0.99600745585658779</v>
      </c>
      <c r="M1332" s="34">
        <f t="shared" si="83"/>
        <v>0.99518413797684491</v>
      </c>
    </row>
    <row r="1333" spans="1:13" ht="27.6">
      <c r="A1333" t="s">
        <v>164</v>
      </c>
      <c r="B1333" t="s">
        <v>112</v>
      </c>
      <c r="C1333" s="14" t="s">
        <v>294</v>
      </c>
      <c r="D1333" t="s">
        <v>112</v>
      </c>
      <c r="E1333" t="s">
        <v>392</v>
      </c>
      <c r="F1333" s="20">
        <v>2032</v>
      </c>
      <c r="G1333" s="20">
        <v>41</v>
      </c>
      <c r="H1333" s="11">
        <v>3894.4463920446501</v>
      </c>
      <c r="I1333" s="10">
        <v>4356395.5256717596</v>
      </c>
      <c r="J1333" s="34">
        <f t="shared" si="80"/>
        <v>8.9396069964150539E-4</v>
      </c>
      <c r="K1333" s="34">
        <f t="shared" si="81"/>
        <v>8.9356123581907365E-4</v>
      </c>
      <c r="L1333" s="34">
        <f t="shared" si="82"/>
        <v>0.99518413797684491</v>
      </c>
      <c r="M1333" s="34">
        <f t="shared" si="83"/>
        <v>0.99429488000864674</v>
      </c>
    </row>
    <row r="1334" spans="1:13" ht="27.6">
      <c r="A1334" t="s">
        <v>164</v>
      </c>
      <c r="B1334" t="s">
        <v>112</v>
      </c>
      <c r="C1334" s="14" t="s">
        <v>294</v>
      </c>
      <c r="D1334" t="s">
        <v>112</v>
      </c>
      <c r="E1334" t="s">
        <v>392</v>
      </c>
      <c r="F1334" s="20">
        <v>2032</v>
      </c>
      <c r="G1334" s="20">
        <v>42</v>
      </c>
      <c r="H1334" s="11">
        <v>5895.9867398527704</v>
      </c>
      <c r="I1334" s="10">
        <v>6413762.2820050102</v>
      </c>
      <c r="J1334" s="34">
        <f t="shared" si="80"/>
        <v>9.1927116731392523E-4</v>
      </c>
      <c r="K1334" s="34">
        <f t="shared" si="81"/>
        <v>9.1884876701775475E-4</v>
      </c>
      <c r="L1334" s="34">
        <f t="shared" si="82"/>
        <v>0.99429488000864674</v>
      </c>
      <c r="M1334" s="34">
        <f t="shared" si="83"/>
        <v>0.99338127338409876</v>
      </c>
    </row>
    <row r="1335" spans="1:13" ht="27.6">
      <c r="A1335" t="s">
        <v>164</v>
      </c>
      <c r="B1335" t="s">
        <v>112</v>
      </c>
      <c r="C1335" s="14" t="s">
        <v>294</v>
      </c>
      <c r="D1335" t="s">
        <v>112</v>
      </c>
      <c r="E1335" t="s">
        <v>392</v>
      </c>
      <c r="F1335" s="20">
        <v>2032</v>
      </c>
      <c r="G1335" s="20">
        <v>43</v>
      </c>
      <c r="H1335" s="11">
        <v>4545.0062007135202</v>
      </c>
      <c r="I1335" s="10">
        <v>4311630.1064522797</v>
      </c>
      <c r="J1335" s="34">
        <f t="shared" si="80"/>
        <v>1.0541271139915267E-3</v>
      </c>
      <c r="K1335" s="34">
        <f t="shared" si="81"/>
        <v>1.05357171717535E-3</v>
      </c>
      <c r="L1335" s="34">
        <f t="shared" si="82"/>
        <v>0.99338127338409876</v>
      </c>
      <c r="M1335" s="34">
        <f t="shared" si="83"/>
        <v>0.99233467497008965</v>
      </c>
    </row>
    <row r="1336" spans="1:13" ht="27.6">
      <c r="A1336" t="s">
        <v>164</v>
      </c>
      <c r="B1336" t="s">
        <v>112</v>
      </c>
      <c r="C1336" s="14" t="s">
        <v>294</v>
      </c>
      <c r="D1336" t="s">
        <v>112</v>
      </c>
      <c r="E1336" t="s">
        <v>392</v>
      </c>
      <c r="F1336" s="20">
        <v>2032</v>
      </c>
      <c r="G1336" s="20">
        <v>44</v>
      </c>
      <c r="H1336" s="11">
        <v>4936.9644336088804</v>
      </c>
      <c r="I1336" s="10">
        <v>4292924.33985826</v>
      </c>
      <c r="J1336" s="34">
        <f t="shared" si="80"/>
        <v>1.1500236302258904E-3</v>
      </c>
      <c r="K1336" s="34">
        <f t="shared" si="81"/>
        <v>1.1493626064728035E-3</v>
      </c>
      <c r="L1336" s="34">
        <f t="shared" si="82"/>
        <v>0.99233467497008965</v>
      </c>
      <c r="M1336" s="34">
        <f t="shared" si="83"/>
        <v>0.99119412260157269</v>
      </c>
    </row>
    <row r="1337" spans="1:13" ht="27.6">
      <c r="A1337" t="s">
        <v>164</v>
      </c>
      <c r="B1337" t="s">
        <v>112</v>
      </c>
      <c r="C1337" s="14" t="s">
        <v>294</v>
      </c>
      <c r="D1337" t="s">
        <v>112</v>
      </c>
      <c r="E1337" t="s">
        <v>392</v>
      </c>
      <c r="F1337" s="20">
        <v>2032</v>
      </c>
      <c r="G1337" s="20">
        <v>45</v>
      </c>
      <c r="H1337" s="11">
        <v>6178.1762302562502</v>
      </c>
      <c r="I1337" s="10">
        <v>4159154.89416938</v>
      </c>
      <c r="J1337" s="34">
        <f t="shared" si="80"/>
        <v>1.4854402847360381E-3</v>
      </c>
      <c r="K1337" s="34">
        <f t="shared" si="81"/>
        <v>1.4843375643922574E-3</v>
      </c>
      <c r="L1337" s="34">
        <f t="shared" si="82"/>
        <v>0.99119412260157269</v>
      </c>
      <c r="M1337" s="34">
        <f t="shared" si="83"/>
        <v>0.98972285593179032</v>
      </c>
    </row>
    <row r="1338" spans="1:13" ht="27.6">
      <c r="A1338" t="s">
        <v>164</v>
      </c>
      <c r="B1338" t="s">
        <v>112</v>
      </c>
      <c r="C1338" s="14" t="s">
        <v>294</v>
      </c>
      <c r="D1338" t="s">
        <v>112</v>
      </c>
      <c r="E1338" t="s">
        <v>392</v>
      </c>
      <c r="F1338" s="20">
        <v>2032</v>
      </c>
      <c r="G1338" s="20">
        <v>46</v>
      </c>
      <c r="H1338" s="11">
        <v>6703.0419505981799</v>
      </c>
      <c r="I1338" s="10">
        <v>4121203.7430670001</v>
      </c>
      <c r="J1338" s="34">
        <f t="shared" si="80"/>
        <v>1.6264767210003978E-3</v>
      </c>
      <c r="K1338" s="34">
        <f t="shared" si="81"/>
        <v>1.6251547245677012E-3</v>
      </c>
      <c r="L1338" s="34">
        <f t="shared" si="82"/>
        <v>0.98972285593179032</v>
      </c>
      <c r="M1338" s="34">
        <f t="shared" si="83"/>
        <v>0.98811440315646015</v>
      </c>
    </row>
    <row r="1339" spans="1:13" ht="27.6">
      <c r="A1339" t="s">
        <v>164</v>
      </c>
      <c r="B1339" t="s">
        <v>112</v>
      </c>
      <c r="C1339" s="14" t="s">
        <v>294</v>
      </c>
      <c r="D1339" t="s">
        <v>112</v>
      </c>
      <c r="E1339" t="s">
        <v>392</v>
      </c>
      <c r="F1339" s="20">
        <v>2032</v>
      </c>
      <c r="G1339" s="20">
        <v>47</v>
      </c>
      <c r="H1339" s="11">
        <v>7444.6021764077404</v>
      </c>
      <c r="I1339" s="10">
        <v>4176687.5692656399</v>
      </c>
      <c r="J1339" s="34">
        <f t="shared" si="80"/>
        <v>1.7824177779514107E-3</v>
      </c>
      <c r="K1339" s="34">
        <f t="shared" si="81"/>
        <v>1.7808302147575006E-3</v>
      </c>
      <c r="L1339" s="34">
        <f t="shared" si="82"/>
        <v>0.98811440315646015</v>
      </c>
      <c r="M1339" s="34">
        <f t="shared" si="83"/>
        <v>0.98635473917168204</v>
      </c>
    </row>
    <row r="1340" spans="1:13" ht="27.6">
      <c r="A1340" t="s">
        <v>164</v>
      </c>
      <c r="B1340" t="s">
        <v>112</v>
      </c>
      <c r="C1340" s="14" t="s">
        <v>294</v>
      </c>
      <c r="D1340" t="s">
        <v>112</v>
      </c>
      <c r="E1340" t="s">
        <v>392</v>
      </c>
      <c r="F1340" s="20">
        <v>2032</v>
      </c>
      <c r="G1340" s="20">
        <v>48</v>
      </c>
      <c r="H1340" s="11">
        <v>8313.696765441</v>
      </c>
      <c r="I1340" s="10">
        <v>4256561.8234037897</v>
      </c>
      <c r="J1340" s="34">
        <f t="shared" si="80"/>
        <v>1.9531483648915719E-3</v>
      </c>
      <c r="K1340" s="34">
        <f t="shared" si="81"/>
        <v>1.9512422118258543E-3</v>
      </c>
      <c r="L1340" s="34">
        <f t="shared" si="82"/>
        <v>0.98635473917168204</v>
      </c>
      <c r="M1340" s="34">
        <f t="shared" si="83"/>
        <v>0.98443012216877579</v>
      </c>
    </row>
    <row r="1341" spans="1:13" ht="27.6">
      <c r="A1341" t="s">
        <v>164</v>
      </c>
      <c r="B1341" t="s">
        <v>112</v>
      </c>
      <c r="C1341" s="14" t="s">
        <v>294</v>
      </c>
      <c r="D1341" t="s">
        <v>112</v>
      </c>
      <c r="E1341" t="s">
        <v>392</v>
      </c>
      <c r="F1341" s="20">
        <v>2032</v>
      </c>
      <c r="G1341" s="20">
        <v>49</v>
      </c>
      <c r="H1341" s="11">
        <v>9044.1694614196495</v>
      </c>
      <c r="I1341" s="10">
        <v>4228102.3963135397</v>
      </c>
      <c r="J1341" s="34">
        <f t="shared" si="80"/>
        <v>2.1390611233316425E-3</v>
      </c>
      <c r="K1341" s="34">
        <f t="shared" si="81"/>
        <v>2.1367749624567889E-3</v>
      </c>
      <c r="L1341" s="34">
        <f t="shared" si="82"/>
        <v>0.98443012216877579</v>
      </c>
      <c r="M1341" s="34">
        <f t="shared" si="83"/>
        <v>0.98232661653143727</v>
      </c>
    </row>
    <row r="1342" spans="1:13" ht="27.6">
      <c r="A1342" t="s">
        <v>164</v>
      </c>
      <c r="B1342" t="s">
        <v>112</v>
      </c>
      <c r="C1342" s="14" t="s">
        <v>294</v>
      </c>
      <c r="D1342" t="s">
        <v>112</v>
      </c>
      <c r="E1342" t="s">
        <v>392</v>
      </c>
      <c r="F1342" s="20">
        <v>2032</v>
      </c>
      <c r="G1342" s="20">
        <v>50</v>
      </c>
      <c r="H1342" s="11">
        <v>10162.620978177099</v>
      </c>
      <c r="I1342" s="10">
        <v>4088165.1357087698</v>
      </c>
      <c r="J1342" s="34">
        <f t="shared" si="80"/>
        <v>2.4858636187197938E-3</v>
      </c>
      <c r="K1342" s="34">
        <f t="shared" si="81"/>
        <v>2.482776418403887E-3</v>
      </c>
      <c r="L1342" s="34">
        <f t="shared" si="82"/>
        <v>0.98232661653143727</v>
      </c>
      <c r="M1342" s="34">
        <f t="shared" si="83"/>
        <v>0.97988771917274253</v>
      </c>
    </row>
    <row r="1343" spans="1:13" ht="27.6">
      <c r="A1343" t="s">
        <v>164</v>
      </c>
      <c r="B1343" t="s">
        <v>112</v>
      </c>
      <c r="C1343" s="14" t="s">
        <v>294</v>
      </c>
      <c r="D1343" t="s">
        <v>112</v>
      </c>
      <c r="E1343" t="s">
        <v>392</v>
      </c>
      <c r="F1343" s="20">
        <v>2032</v>
      </c>
      <c r="G1343" s="20">
        <v>51</v>
      </c>
      <c r="H1343" s="11">
        <v>10892.463341344201</v>
      </c>
      <c r="I1343" s="10">
        <v>4008776.6510123899</v>
      </c>
      <c r="J1343" s="34">
        <f t="shared" si="80"/>
        <v>2.7171539573284486E-3</v>
      </c>
      <c r="K1343" s="34">
        <f t="shared" si="81"/>
        <v>2.7134658356688934E-3</v>
      </c>
      <c r="L1343" s="34">
        <f t="shared" si="82"/>
        <v>0.97988771917274253</v>
      </c>
      <c r="M1343" s="34">
        <f t="shared" si="83"/>
        <v>0.97722882732397576</v>
      </c>
    </row>
    <row r="1344" spans="1:13" ht="27.6">
      <c r="A1344" t="s">
        <v>164</v>
      </c>
      <c r="B1344" t="s">
        <v>112</v>
      </c>
      <c r="C1344" s="14" t="s">
        <v>294</v>
      </c>
      <c r="D1344" t="s">
        <v>112</v>
      </c>
      <c r="E1344" t="s">
        <v>392</v>
      </c>
      <c r="F1344" s="20">
        <v>2032</v>
      </c>
      <c r="G1344" s="20">
        <v>52</v>
      </c>
      <c r="H1344" s="11">
        <v>11712.033277852501</v>
      </c>
      <c r="I1344" s="10">
        <v>3945478.5733231199</v>
      </c>
      <c r="J1344" s="34">
        <f t="shared" si="80"/>
        <v>2.9684696191336606E-3</v>
      </c>
      <c r="K1344" s="34">
        <f t="shared" si="81"/>
        <v>2.9640680695597332E-3</v>
      </c>
      <c r="L1344" s="34">
        <f t="shared" si="82"/>
        <v>0.97722882732397576</v>
      </c>
      <c r="M1344" s="34">
        <f t="shared" si="83"/>
        <v>0.97433225456025141</v>
      </c>
    </row>
    <row r="1345" spans="1:13" ht="27.6">
      <c r="A1345" t="s">
        <v>164</v>
      </c>
      <c r="B1345" t="s">
        <v>112</v>
      </c>
      <c r="C1345" s="14" t="s">
        <v>294</v>
      </c>
      <c r="D1345" t="s">
        <v>112</v>
      </c>
      <c r="E1345" t="s">
        <v>392</v>
      </c>
      <c r="F1345" s="20">
        <v>2032</v>
      </c>
      <c r="G1345" s="20">
        <v>53</v>
      </c>
      <c r="H1345" s="11">
        <v>12567.449911916099</v>
      </c>
      <c r="I1345" s="10">
        <v>3876478.03991294</v>
      </c>
      <c r="J1345" s="34">
        <f t="shared" si="80"/>
        <v>3.2419762945950664E-3</v>
      </c>
      <c r="K1345" s="34">
        <f t="shared" si="81"/>
        <v>3.2367267639313857E-3</v>
      </c>
      <c r="L1345" s="34">
        <f t="shared" si="82"/>
        <v>0.97433225456025141</v>
      </c>
      <c r="M1345" s="34">
        <f t="shared" si="83"/>
        <v>0.97117860727495464</v>
      </c>
    </row>
    <row r="1346" spans="1:13" ht="27.6">
      <c r="A1346" t="s">
        <v>164</v>
      </c>
      <c r="B1346" t="s">
        <v>112</v>
      </c>
      <c r="C1346" s="14" t="s">
        <v>294</v>
      </c>
      <c r="D1346" t="s">
        <v>112</v>
      </c>
      <c r="E1346" t="s">
        <v>392</v>
      </c>
      <c r="F1346" s="20">
        <v>2032</v>
      </c>
      <c r="G1346" s="20">
        <v>54</v>
      </c>
      <c r="H1346" s="11">
        <v>13411.0410164482</v>
      </c>
      <c r="I1346" s="10">
        <v>3788061.7952749301</v>
      </c>
      <c r="J1346" s="34">
        <f t="shared" ref="J1346:J1409" si="84">IF(I1346&gt;0,H1346/I1346,0)</f>
        <v>3.540343780340799E-3</v>
      </c>
      <c r="K1346" s="34">
        <f t="shared" ref="K1346:K1409" si="85">1-EXP(-J1346)</f>
        <v>3.5340841525562938E-3</v>
      </c>
      <c r="L1346" s="34">
        <f t="shared" ref="L1346:L1409" si="86">IF(G1346=30,1,M1345)</f>
        <v>0.97117860727495464</v>
      </c>
      <c r="M1346" s="34">
        <f t="shared" ref="M1346:M1409" si="87">L1346*(1-K1346)</f>
        <v>0.96774638034968252</v>
      </c>
    </row>
    <row r="1347" spans="1:13" ht="27.6">
      <c r="A1347" t="s">
        <v>164</v>
      </c>
      <c r="B1347" t="s">
        <v>112</v>
      </c>
      <c r="C1347" s="14" t="s">
        <v>294</v>
      </c>
      <c r="D1347" t="s">
        <v>112</v>
      </c>
      <c r="E1347" t="s">
        <v>392</v>
      </c>
      <c r="F1347" s="20">
        <v>2032</v>
      </c>
      <c r="G1347" s="20">
        <v>55</v>
      </c>
      <c r="H1347" s="11">
        <v>14472.814548832999</v>
      </c>
      <c r="I1347" s="10">
        <v>3715989.5528437402</v>
      </c>
      <c r="J1347" s="34">
        <f t="shared" si="84"/>
        <v>3.8947403761556243E-3</v>
      </c>
      <c r="K1347" s="34">
        <f t="shared" si="85"/>
        <v>3.8871657118313419E-3</v>
      </c>
      <c r="L1347" s="34">
        <f t="shared" si="86"/>
        <v>0.96774638034968252</v>
      </c>
      <c r="M1347" s="34">
        <f t="shared" si="87"/>
        <v>0.96398458980223833</v>
      </c>
    </row>
    <row r="1348" spans="1:13" ht="27.6">
      <c r="A1348" t="s">
        <v>164</v>
      </c>
      <c r="B1348" t="s">
        <v>112</v>
      </c>
      <c r="C1348" s="14" t="s">
        <v>294</v>
      </c>
      <c r="D1348" t="s">
        <v>112</v>
      </c>
      <c r="E1348" t="s">
        <v>392</v>
      </c>
      <c r="F1348" s="20">
        <v>2032</v>
      </c>
      <c r="G1348" s="20">
        <v>56</v>
      </c>
      <c r="H1348" s="11">
        <v>15441.5931500849</v>
      </c>
      <c r="I1348" s="10">
        <v>3631591.0030440399</v>
      </c>
      <c r="J1348" s="34">
        <f t="shared" si="84"/>
        <v>4.252018781063612E-3</v>
      </c>
      <c r="K1348" s="34">
        <f t="shared" si="85"/>
        <v>4.2429917481098256E-3</v>
      </c>
      <c r="L1348" s="34">
        <f t="shared" si="86"/>
        <v>0.96398458980223833</v>
      </c>
      <c r="M1348" s="34">
        <f t="shared" si="87"/>
        <v>0.95989441114240237</v>
      </c>
    </row>
    <row r="1349" spans="1:13" ht="27.6">
      <c r="A1349" t="s">
        <v>164</v>
      </c>
      <c r="B1349" t="s">
        <v>112</v>
      </c>
      <c r="C1349" s="14" t="s">
        <v>294</v>
      </c>
      <c r="D1349" t="s">
        <v>112</v>
      </c>
      <c r="E1349" t="s">
        <v>392</v>
      </c>
      <c r="F1349" s="20">
        <v>2032</v>
      </c>
      <c r="G1349" s="20">
        <v>57</v>
      </c>
      <c r="H1349" s="11">
        <v>16470.272069612001</v>
      </c>
      <c r="I1349" s="10">
        <v>3546445.9618490902</v>
      </c>
      <c r="J1349" s="34">
        <f t="shared" si="84"/>
        <v>4.6441627045191256E-3</v>
      </c>
      <c r="K1349" s="34">
        <f t="shared" si="85"/>
        <v>4.6333952559494129E-3</v>
      </c>
      <c r="L1349" s="34">
        <f t="shared" si="86"/>
        <v>0.95989441114240237</v>
      </c>
      <c r="M1349" s="34">
        <f t="shared" si="87"/>
        <v>0.95544684093160281</v>
      </c>
    </row>
    <row r="1350" spans="1:13" ht="27.6">
      <c r="A1350" t="s">
        <v>164</v>
      </c>
      <c r="B1350" t="s">
        <v>112</v>
      </c>
      <c r="C1350" s="14" t="s">
        <v>294</v>
      </c>
      <c r="D1350" t="s">
        <v>112</v>
      </c>
      <c r="E1350" t="s">
        <v>392</v>
      </c>
      <c r="F1350" s="20">
        <v>2032</v>
      </c>
      <c r="G1350" s="20">
        <v>58</v>
      </c>
      <c r="H1350" s="11">
        <v>17429.979801794201</v>
      </c>
      <c r="I1350" s="10">
        <v>3434194.8998142998</v>
      </c>
      <c r="J1350" s="34">
        <f t="shared" si="84"/>
        <v>5.0754195117862144E-3</v>
      </c>
      <c r="K1350" s="34">
        <f t="shared" si="85"/>
        <v>5.0625613329241537E-3</v>
      </c>
      <c r="L1350" s="34">
        <f t="shared" si="86"/>
        <v>0.95544684093160281</v>
      </c>
      <c r="M1350" s="34">
        <f t="shared" si="87"/>
        <v>0.95060983269903798</v>
      </c>
    </row>
    <row r="1351" spans="1:13" ht="27.6">
      <c r="A1351" t="s">
        <v>164</v>
      </c>
      <c r="B1351" t="s">
        <v>112</v>
      </c>
      <c r="C1351" s="14" t="s">
        <v>294</v>
      </c>
      <c r="D1351" t="s">
        <v>112</v>
      </c>
      <c r="E1351" t="s">
        <v>392</v>
      </c>
      <c r="F1351" s="20">
        <v>2032</v>
      </c>
      <c r="G1351" s="20">
        <v>59</v>
      </c>
      <c r="H1351" s="11">
        <v>18755.567441429201</v>
      </c>
      <c r="I1351" s="10">
        <v>3379704.8769524102</v>
      </c>
      <c r="J1351" s="34">
        <f t="shared" si="84"/>
        <v>5.5494689992996388E-3</v>
      </c>
      <c r="K1351" s="34">
        <f t="shared" si="85"/>
        <v>5.5340991408736606E-3</v>
      </c>
      <c r="L1351" s="34">
        <f t="shared" si="86"/>
        <v>0.95060983269903798</v>
      </c>
      <c r="M1351" s="34">
        <f t="shared" si="87"/>
        <v>0.94534906364059224</v>
      </c>
    </row>
    <row r="1352" spans="1:13" ht="27.6">
      <c r="A1352" t="s">
        <v>164</v>
      </c>
      <c r="B1352" t="s">
        <v>112</v>
      </c>
      <c r="C1352" s="14" t="s">
        <v>294</v>
      </c>
      <c r="D1352" t="s">
        <v>112</v>
      </c>
      <c r="E1352" t="s">
        <v>392</v>
      </c>
      <c r="F1352" s="20">
        <v>2032</v>
      </c>
      <c r="G1352" s="20">
        <v>60</v>
      </c>
      <c r="H1352" s="11">
        <v>19512.393165535301</v>
      </c>
      <c r="I1352" s="10">
        <v>3166861.0294743502</v>
      </c>
      <c r="J1352" s="34">
        <f t="shared" si="84"/>
        <v>6.1614301934727004E-3</v>
      </c>
      <c r="K1352" s="34">
        <f t="shared" si="85"/>
        <v>6.142487507105554E-3</v>
      </c>
      <c r="L1352" s="34">
        <f t="shared" si="86"/>
        <v>0.94534906364059224</v>
      </c>
      <c r="M1352" s="34">
        <f t="shared" si="87"/>
        <v>0.93954226882732594</v>
      </c>
    </row>
    <row r="1353" spans="1:13" ht="27.6">
      <c r="A1353" t="s">
        <v>164</v>
      </c>
      <c r="B1353" t="s">
        <v>112</v>
      </c>
      <c r="C1353" s="14" t="s">
        <v>294</v>
      </c>
      <c r="D1353" t="s">
        <v>112</v>
      </c>
      <c r="E1353" t="s">
        <v>392</v>
      </c>
      <c r="F1353" s="20">
        <v>2032</v>
      </c>
      <c r="G1353" s="20">
        <v>61</v>
      </c>
      <c r="H1353" s="11">
        <v>20698.989218687799</v>
      </c>
      <c r="I1353" s="10">
        <v>3070389.9783450798</v>
      </c>
      <c r="J1353" s="34">
        <f t="shared" si="84"/>
        <v>6.7414854023997361E-3</v>
      </c>
      <c r="K1353" s="34">
        <f t="shared" si="85"/>
        <v>6.7188125678222521E-3</v>
      </c>
      <c r="L1353" s="34">
        <f t="shared" si="86"/>
        <v>0.93954226882732594</v>
      </c>
      <c r="M1353" s="34">
        <f t="shared" si="87"/>
        <v>0.93322966042352873</v>
      </c>
    </row>
    <row r="1354" spans="1:13" ht="27.6">
      <c r="A1354" t="s">
        <v>164</v>
      </c>
      <c r="B1354" t="s">
        <v>112</v>
      </c>
      <c r="C1354" s="14" t="s">
        <v>294</v>
      </c>
      <c r="D1354" t="s">
        <v>112</v>
      </c>
      <c r="E1354" t="s">
        <v>392</v>
      </c>
      <c r="F1354" s="20">
        <v>2032</v>
      </c>
      <c r="G1354" s="20">
        <v>62</v>
      </c>
      <c r="H1354" s="11">
        <v>21977.545360524298</v>
      </c>
      <c r="I1354" s="10">
        <v>2978118.1332823499</v>
      </c>
      <c r="J1354" s="34">
        <f t="shared" si="84"/>
        <v>7.3796754785887628E-3</v>
      </c>
      <c r="K1354" s="34">
        <f t="shared" si="85"/>
        <v>7.3525125324841456E-3</v>
      </c>
      <c r="L1354" s="34">
        <f t="shared" si="86"/>
        <v>0.93322966042352873</v>
      </c>
      <c r="M1354" s="34">
        <f t="shared" si="87"/>
        <v>0.92636807764957885</v>
      </c>
    </row>
    <row r="1355" spans="1:13" ht="27.6">
      <c r="A1355" t="s">
        <v>164</v>
      </c>
      <c r="B1355" t="s">
        <v>112</v>
      </c>
      <c r="C1355" s="14" t="s">
        <v>294</v>
      </c>
      <c r="D1355" t="s">
        <v>112</v>
      </c>
      <c r="E1355" t="s">
        <v>392</v>
      </c>
      <c r="F1355" s="20">
        <v>2032</v>
      </c>
      <c r="G1355" s="20">
        <v>63</v>
      </c>
      <c r="H1355" s="11">
        <v>23246.001776264999</v>
      </c>
      <c r="I1355" s="10">
        <v>2876586.8181613702</v>
      </c>
      <c r="J1355" s="34">
        <f t="shared" si="84"/>
        <v>8.0811055760601578E-3</v>
      </c>
      <c r="K1355" s="34">
        <f t="shared" si="85"/>
        <v>8.0485412201007911E-3</v>
      </c>
      <c r="L1355" s="34">
        <f t="shared" si="86"/>
        <v>0.92636807764957885</v>
      </c>
      <c r="M1355" s="34">
        <f t="shared" si="87"/>
        <v>0.91891216599163072</v>
      </c>
    </row>
    <row r="1356" spans="1:13" ht="27.6">
      <c r="A1356" t="s">
        <v>164</v>
      </c>
      <c r="B1356" t="s">
        <v>112</v>
      </c>
      <c r="C1356" s="14" t="s">
        <v>294</v>
      </c>
      <c r="D1356" t="s">
        <v>112</v>
      </c>
      <c r="E1356" t="s">
        <v>392</v>
      </c>
      <c r="F1356" s="20">
        <v>2032</v>
      </c>
      <c r="G1356" s="20">
        <v>64</v>
      </c>
      <c r="H1356" s="11">
        <v>24397.190855689001</v>
      </c>
      <c r="I1356" s="10">
        <v>2756005.5367685701</v>
      </c>
      <c r="J1356" s="34">
        <f t="shared" si="84"/>
        <v>8.8523736727665753E-3</v>
      </c>
      <c r="K1356" s="34">
        <f t="shared" si="85"/>
        <v>8.8133067761912987E-3</v>
      </c>
      <c r="L1356" s="34">
        <f t="shared" si="86"/>
        <v>0.91891216599163072</v>
      </c>
      <c r="M1356" s="34">
        <f t="shared" si="87"/>
        <v>0.91081351117237208</v>
      </c>
    </row>
    <row r="1357" spans="1:13" ht="27.6">
      <c r="A1357" t="s">
        <v>164</v>
      </c>
      <c r="B1357" t="s">
        <v>112</v>
      </c>
      <c r="C1357" s="14" t="s">
        <v>294</v>
      </c>
      <c r="D1357" t="s">
        <v>112</v>
      </c>
      <c r="E1357" t="s">
        <v>392</v>
      </c>
      <c r="F1357" s="20">
        <v>2032</v>
      </c>
      <c r="G1357" s="20">
        <v>65</v>
      </c>
      <c r="H1357" s="11">
        <v>24502.443116829501</v>
      </c>
      <c r="I1357" s="10">
        <v>2605900.3300319999</v>
      </c>
      <c r="J1357" s="34">
        <f t="shared" si="84"/>
        <v>9.402678542401741E-3</v>
      </c>
      <c r="K1357" s="34">
        <f t="shared" si="85"/>
        <v>9.3586115844827011E-3</v>
      </c>
      <c r="L1357" s="34">
        <f t="shared" si="86"/>
        <v>0.91081351117237208</v>
      </c>
      <c r="M1357" s="34">
        <f t="shared" si="87"/>
        <v>0.90228956129541094</v>
      </c>
    </row>
    <row r="1358" spans="1:13" ht="27.6">
      <c r="A1358" t="s">
        <v>164</v>
      </c>
      <c r="B1358" t="s">
        <v>112</v>
      </c>
      <c r="C1358" s="14" t="s">
        <v>294</v>
      </c>
      <c r="D1358" t="s">
        <v>112</v>
      </c>
      <c r="E1358" t="s">
        <v>392</v>
      </c>
      <c r="F1358" s="20">
        <v>2032</v>
      </c>
      <c r="G1358" s="20">
        <v>66</v>
      </c>
      <c r="H1358" s="11">
        <v>25674.592160259901</v>
      </c>
      <c r="I1358" s="10">
        <v>2490329.2413494098</v>
      </c>
      <c r="J1358" s="34">
        <f t="shared" si="84"/>
        <v>1.0309717981847199E-2</v>
      </c>
      <c r="K1358" s="34">
        <f t="shared" si="85"/>
        <v>1.0256755006792684E-2</v>
      </c>
      <c r="L1358" s="34">
        <f t="shared" si="86"/>
        <v>0.90228956129541094</v>
      </c>
      <c r="M1358" s="34">
        <f t="shared" si="87"/>
        <v>0.89303499832001743</v>
      </c>
    </row>
    <row r="1359" spans="1:13" ht="27.6">
      <c r="A1359" t="s">
        <v>164</v>
      </c>
      <c r="B1359" t="s">
        <v>112</v>
      </c>
      <c r="C1359" s="14" t="s">
        <v>294</v>
      </c>
      <c r="D1359" t="s">
        <v>112</v>
      </c>
      <c r="E1359" t="s">
        <v>392</v>
      </c>
      <c r="F1359" s="20">
        <v>2032</v>
      </c>
      <c r="G1359" s="20">
        <v>67</v>
      </c>
      <c r="H1359" s="11">
        <v>26622.978545721198</v>
      </c>
      <c r="I1359" s="10">
        <v>2354401.7839621599</v>
      </c>
      <c r="J1359" s="34">
        <f t="shared" si="84"/>
        <v>1.1307746505746398E-2</v>
      </c>
      <c r="K1359" s="34">
        <f t="shared" si="85"/>
        <v>1.124405423828434E-2</v>
      </c>
      <c r="L1359" s="34">
        <f t="shared" si="86"/>
        <v>0.89303499832001743</v>
      </c>
      <c r="M1359" s="34">
        <f t="shared" si="87"/>
        <v>0.88299366436222093</v>
      </c>
    </row>
    <row r="1360" spans="1:13" ht="27.6">
      <c r="A1360" t="s">
        <v>164</v>
      </c>
      <c r="B1360" t="s">
        <v>112</v>
      </c>
      <c r="C1360" s="14" t="s">
        <v>294</v>
      </c>
      <c r="D1360" t="s">
        <v>112</v>
      </c>
      <c r="E1360" t="s">
        <v>392</v>
      </c>
      <c r="F1360" s="20">
        <v>2032</v>
      </c>
      <c r="G1360" s="20">
        <v>68</v>
      </c>
      <c r="H1360" s="11">
        <v>27539.206666625501</v>
      </c>
      <c r="I1360" s="10">
        <v>2218840.5848261998</v>
      </c>
      <c r="J1360" s="34">
        <f t="shared" si="84"/>
        <v>1.2411530082402304E-2</v>
      </c>
      <c r="K1360" s="34">
        <f t="shared" si="85"/>
        <v>1.2334824714524295E-2</v>
      </c>
      <c r="L1360" s="34">
        <f t="shared" si="86"/>
        <v>0.88299366436222093</v>
      </c>
      <c r="M1360" s="34">
        <f t="shared" si="87"/>
        <v>0.8721020922882774</v>
      </c>
    </row>
    <row r="1361" spans="1:13" ht="27.6">
      <c r="A1361" t="s">
        <v>164</v>
      </c>
      <c r="B1361" t="s">
        <v>112</v>
      </c>
      <c r="C1361" s="14" t="s">
        <v>294</v>
      </c>
      <c r="D1361" t="s">
        <v>112</v>
      </c>
      <c r="E1361" t="s">
        <v>392</v>
      </c>
      <c r="F1361" s="20">
        <v>2032</v>
      </c>
      <c r="G1361" s="20">
        <v>69</v>
      </c>
      <c r="H1361" s="11">
        <v>28467.7530711322</v>
      </c>
      <c r="I1361" s="10">
        <v>2087996.6924727301</v>
      </c>
      <c r="J1361" s="34">
        <f t="shared" si="84"/>
        <v>1.3634002953050174E-2</v>
      </c>
      <c r="K1361" s="34">
        <f t="shared" si="85"/>
        <v>1.3541480894099678E-2</v>
      </c>
      <c r="L1361" s="34">
        <f t="shared" si="86"/>
        <v>0.8721020922882774</v>
      </c>
      <c r="M1361" s="34">
        <f t="shared" si="87"/>
        <v>0.86029253846785136</v>
      </c>
    </row>
    <row r="1362" spans="1:13" ht="27.6">
      <c r="A1362" t="s">
        <v>164</v>
      </c>
      <c r="B1362" t="s">
        <v>112</v>
      </c>
      <c r="C1362" s="14" t="s">
        <v>294</v>
      </c>
      <c r="D1362" t="s">
        <v>112</v>
      </c>
      <c r="E1362" t="s">
        <v>392</v>
      </c>
      <c r="F1362" s="20">
        <v>2033</v>
      </c>
      <c r="G1362" s="20">
        <v>30</v>
      </c>
      <c r="H1362" s="11">
        <v>767.90044983263203</v>
      </c>
      <c r="I1362" s="10">
        <v>4369790.3200793499</v>
      </c>
      <c r="J1362" s="34">
        <f t="shared" si="84"/>
        <v>1.7572935852416092E-4</v>
      </c>
      <c r="K1362" s="34">
        <f t="shared" si="85"/>
        <v>1.7571391902482247E-4</v>
      </c>
      <c r="L1362" s="34">
        <f t="shared" si="86"/>
        <v>1</v>
      </c>
      <c r="M1362" s="34">
        <f t="shared" si="87"/>
        <v>0.99982428608097518</v>
      </c>
    </row>
    <row r="1363" spans="1:13" ht="27.6">
      <c r="A1363" t="s">
        <v>164</v>
      </c>
      <c r="B1363" t="s">
        <v>112</v>
      </c>
      <c r="C1363" s="14" t="s">
        <v>294</v>
      </c>
      <c r="D1363" t="s">
        <v>112</v>
      </c>
      <c r="E1363" t="s">
        <v>392</v>
      </c>
      <c r="F1363" s="20">
        <v>2033</v>
      </c>
      <c r="G1363" s="20">
        <v>31</v>
      </c>
      <c r="H1363" s="11">
        <v>1096.5975193414199</v>
      </c>
      <c r="I1363" s="10">
        <v>4349053.5516867796</v>
      </c>
      <c r="J1363" s="34">
        <f t="shared" si="84"/>
        <v>2.5214624430552364E-4</v>
      </c>
      <c r="K1363" s="34">
        <f t="shared" si="85"/>
        <v>2.5211445811290645E-4</v>
      </c>
      <c r="L1363" s="34">
        <f t="shared" si="86"/>
        <v>0.99982428608097518</v>
      </c>
      <c r="M1363" s="34">
        <f t="shared" si="87"/>
        <v>0.9995722159228817</v>
      </c>
    </row>
    <row r="1364" spans="1:13" ht="27.6">
      <c r="A1364" t="s">
        <v>164</v>
      </c>
      <c r="B1364" t="s">
        <v>112</v>
      </c>
      <c r="C1364" s="14" t="s">
        <v>294</v>
      </c>
      <c r="D1364" t="s">
        <v>112</v>
      </c>
      <c r="E1364" t="s">
        <v>392</v>
      </c>
      <c r="F1364" s="20">
        <v>2033</v>
      </c>
      <c r="G1364" s="20">
        <v>32</v>
      </c>
      <c r="H1364" s="11">
        <v>1147.23799002757</v>
      </c>
      <c r="I1364" s="10">
        <v>4329508.5534053901</v>
      </c>
      <c r="J1364" s="34">
        <f t="shared" si="84"/>
        <v>2.6498111179967668E-4</v>
      </c>
      <c r="K1364" s="34">
        <f t="shared" si="85"/>
        <v>2.6494600740556429E-4</v>
      </c>
      <c r="L1364" s="34">
        <f t="shared" si="86"/>
        <v>0.9995722159228817</v>
      </c>
      <c r="M1364" s="34">
        <f t="shared" si="87"/>
        <v>0.99930738325515944</v>
      </c>
    </row>
    <row r="1365" spans="1:13" ht="27.6">
      <c r="A1365" t="s">
        <v>164</v>
      </c>
      <c r="B1365" t="s">
        <v>112</v>
      </c>
      <c r="C1365" s="14" t="s">
        <v>294</v>
      </c>
      <c r="D1365" t="s">
        <v>112</v>
      </c>
      <c r="E1365" t="s">
        <v>392</v>
      </c>
      <c r="F1365" s="20">
        <v>2033</v>
      </c>
      <c r="G1365" s="20">
        <v>33</v>
      </c>
      <c r="H1365" s="11">
        <v>1208.6061036035401</v>
      </c>
      <c r="I1365" s="10">
        <v>4309731.4179562796</v>
      </c>
      <c r="J1365" s="34">
        <f t="shared" si="84"/>
        <v>2.8043652524794085E-4</v>
      </c>
      <c r="K1365" s="34">
        <f t="shared" si="85"/>
        <v>2.8039720660111289E-4</v>
      </c>
      <c r="L1365" s="34">
        <f t="shared" si="86"/>
        <v>0.99930738325515944</v>
      </c>
      <c r="M1365" s="34">
        <f t="shared" si="87"/>
        <v>0.99902718025635884</v>
      </c>
    </row>
    <row r="1366" spans="1:13" ht="27.6">
      <c r="A1366" t="s">
        <v>164</v>
      </c>
      <c r="B1366" t="s">
        <v>112</v>
      </c>
      <c r="C1366" s="14" t="s">
        <v>294</v>
      </c>
      <c r="D1366" t="s">
        <v>112</v>
      </c>
      <c r="E1366" t="s">
        <v>392</v>
      </c>
      <c r="F1366" s="20">
        <v>2033</v>
      </c>
      <c r="G1366" s="20">
        <v>34</v>
      </c>
      <c r="H1366" s="11">
        <v>1292.3798904328501</v>
      </c>
      <c r="I1366" s="10">
        <v>4329696.6050328501</v>
      </c>
      <c r="J1366" s="34">
        <f t="shared" si="84"/>
        <v>2.9849202111080589E-4</v>
      </c>
      <c r="K1366" s="34">
        <f t="shared" si="85"/>
        <v>2.9844747679963479E-4</v>
      </c>
      <c r="L1366" s="34">
        <f t="shared" si="86"/>
        <v>0.99902718025635884</v>
      </c>
      <c r="M1366" s="34">
        <f t="shared" si="87"/>
        <v>0.9987290231151571</v>
      </c>
    </row>
    <row r="1367" spans="1:13" ht="27.6">
      <c r="A1367" t="s">
        <v>164</v>
      </c>
      <c r="B1367" t="s">
        <v>112</v>
      </c>
      <c r="C1367" s="14" t="s">
        <v>294</v>
      </c>
      <c r="D1367" t="s">
        <v>112</v>
      </c>
      <c r="E1367" t="s">
        <v>392</v>
      </c>
      <c r="F1367" s="20">
        <v>2033</v>
      </c>
      <c r="G1367" s="20">
        <v>35</v>
      </c>
      <c r="H1367" s="11">
        <v>1777.1056617797899</v>
      </c>
      <c r="I1367" s="10">
        <v>4388834.2651571799</v>
      </c>
      <c r="J1367" s="34">
        <f t="shared" si="84"/>
        <v>4.0491519032472402E-4</v>
      </c>
      <c r="K1367" s="34">
        <f t="shared" si="85"/>
        <v>4.0483322323270343E-4</v>
      </c>
      <c r="L1367" s="34">
        <f t="shared" si="86"/>
        <v>0.9987290231151571</v>
      </c>
      <c r="M1367" s="34">
        <f t="shared" si="87"/>
        <v>0.99832470442559329</v>
      </c>
    </row>
    <row r="1368" spans="1:13" ht="27.6">
      <c r="A1368" t="s">
        <v>164</v>
      </c>
      <c r="B1368" t="s">
        <v>112</v>
      </c>
      <c r="C1368" s="14" t="s">
        <v>294</v>
      </c>
      <c r="D1368" t="s">
        <v>112</v>
      </c>
      <c r="E1368" t="s">
        <v>392</v>
      </c>
      <c r="F1368" s="20">
        <v>2033</v>
      </c>
      <c r="G1368" s="20">
        <v>36</v>
      </c>
      <c r="H1368" s="11">
        <v>2238.8740491633298</v>
      </c>
      <c r="I1368" s="10">
        <v>4526926.38645251</v>
      </c>
      <c r="J1368" s="34">
        <f t="shared" si="84"/>
        <v>4.945682474235694E-4</v>
      </c>
      <c r="K1368" s="34">
        <f t="shared" si="85"/>
        <v>4.9444596870706903E-4</v>
      </c>
      <c r="L1368" s="34">
        <f t="shared" si="86"/>
        <v>0.99832470442559329</v>
      </c>
      <c r="M1368" s="34">
        <f t="shared" si="87"/>
        <v>0.99783108680002941</v>
      </c>
    </row>
    <row r="1369" spans="1:13" ht="27.6">
      <c r="A1369" t="s">
        <v>164</v>
      </c>
      <c r="B1369" t="s">
        <v>112</v>
      </c>
      <c r="C1369" s="14" t="s">
        <v>294</v>
      </c>
      <c r="D1369" t="s">
        <v>112</v>
      </c>
      <c r="E1369" t="s">
        <v>392</v>
      </c>
      <c r="F1369" s="20">
        <v>2033</v>
      </c>
      <c r="G1369" s="20">
        <v>37</v>
      </c>
      <c r="H1369" s="11">
        <v>2377.1765609488898</v>
      </c>
      <c r="I1369" s="10">
        <v>4483008.2000181898</v>
      </c>
      <c r="J1369" s="34">
        <f t="shared" si="84"/>
        <v>5.3026371018889597E-4</v>
      </c>
      <c r="K1369" s="34">
        <f t="shared" si="85"/>
        <v>5.3012314523437354E-4</v>
      </c>
      <c r="L1369" s="34">
        <f t="shared" si="86"/>
        <v>0.99783108680002941</v>
      </c>
      <c r="M1369" s="34">
        <f t="shared" si="87"/>
        <v>0.99730211344588238</v>
      </c>
    </row>
    <row r="1370" spans="1:13" ht="27.6">
      <c r="A1370" t="s">
        <v>164</v>
      </c>
      <c r="B1370" t="s">
        <v>112</v>
      </c>
      <c r="C1370" s="14" t="s">
        <v>294</v>
      </c>
      <c r="D1370" t="s">
        <v>112</v>
      </c>
      <c r="E1370" t="s">
        <v>392</v>
      </c>
      <c r="F1370" s="20">
        <v>2033</v>
      </c>
      <c r="G1370" s="20">
        <v>38</v>
      </c>
      <c r="H1370" s="11">
        <v>2512.3116331001302</v>
      </c>
      <c r="I1370" s="10">
        <v>4408885.0063789003</v>
      </c>
      <c r="J1370" s="34">
        <f t="shared" si="84"/>
        <v>5.6982924922406597E-4</v>
      </c>
      <c r="K1370" s="34">
        <f t="shared" si="85"/>
        <v>5.6966692737081548E-4</v>
      </c>
      <c r="L1370" s="34">
        <f t="shared" si="86"/>
        <v>0.99730211344588238</v>
      </c>
      <c r="M1370" s="34">
        <f t="shared" si="87"/>
        <v>0.99673398341525521</v>
      </c>
    </row>
    <row r="1371" spans="1:13" ht="27.6">
      <c r="A1371" t="s">
        <v>164</v>
      </c>
      <c r="B1371" t="s">
        <v>112</v>
      </c>
      <c r="C1371" s="14" t="s">
        <v>294</v>
      </c>
      <c r="D1371" t="s">
        <v>112</v>
      </c>
      <c r="E1371" t="s">
        <v>392</v>
      </c>
      <c r="F1371" s="20">
        <v>2033</v>
      </c>
      <c r="G1371" s="20">
        <v>39</v>
      </c>
      <c r="H1371" s="11">
        <v>2668.7698574487699</v>
      </c>
      <c r="I1371" s="10">
        <v>4350290.6281185402</v>
      </c>
      <c r="J1371" s="34">
        <f t="shared" si="84"/>
        <v>6.1346932552020959E-4</v>
      </c>
      <c r="K1371" s="34">
        <f t="shared" si="85"/>
        <v>6.1328119168690964E-4</v>
      </c>
      <c r="L1371" s="34">
        <f t="shared" si="86"/>
        <v>0.99673398341525521</v>
      </c>
      <c r="M1371" s="34">
        <f t="shared" si="87"/>
        <v>0.99612270521011148</v>
      </c>
    </row>
    <row r="1372" spans="1:13" ht="27.6">
      <c r="A1372" t="s">
        <v>164</v>
      </c>
      <c r="B1372" t="s">
        <v>112</v>
      </c>
      <c r="C1372" s="14" t="s">
        <v>294</v>
      </c>
      <c r="D1372" t="s">
        <v>112</v>
      </c>
      <c r="E1372" t="s">
        <v>392</v>
      </c>
      <c r="F1372" s="20">
        <v>2033</v>
      </c>
      <c r="G1372" s="20">
        <v>40</v>
      </c>
      <c r="H1372" s="11">
        <v>3537.8472708807299</v>
      </c>
      <c r="I1372" s="10">
        <v>4295120.9848832199</v>
      </c>
      <c r="J1372" s="34">
        <f t="shared" si="84"/>
        <v>8.2368978274005946E-4</v>
      </c>
      <c r="K1372" s="34">
        <f t="shared" si="85"/>
        <v>8.2335064343252995E-4</v>
      </c>
      <c r="L1372" s="34">
        <f t="shared" si="86"/>
        <v>0.99612270521011148</v>
      </c>
      <c r="M1372" s="34">
        <f t="shared" si="87"/>
        <v>0.99530254693983899</v>
      </c>
    </row>
    <row r="1373" spans="1:13" ht="27.6">
      <c r="A1373" t="s">
        <v>164</v>
      </c>
      <c r="B1373" t="s">
        <v>112</v>
      </c>
      <c r="C1373" s="14" t="s">
        <v>294</v>
      </c>
      <c r="D1373" t="s">
        <v>112</v>
      </c>
      <c r="E1373" t="s">
        <v>392</v>
      </c>
      <c r="F1373" s="20">
        <v>2033</v>
      </c>
      <c r="G1373" s="20">
        <v>41</v>
      </c>
      <c r="H1373" s="11">
        <v>3852.5822540979598</v>
      </c>
      <c r="I1373" s="10">
        <v>4329794.6716414401</v>
      </c>
      <c r="J1373" s="34">
        <f t="shared" si="84"/>
        <v>8.8978405357901939E-4</v>
      </c>
      <c r="K1373" s="34">
        <f t="shared" si="85"/>
        <v>8.8938831313123412E-4</v>
      </c>
      <c r="L1373" s="34">
        <f t="shared" si="86"/>
        <v>0.99530254693983899</v>
      </c>
      <c r="M1373" s="34">
        <f t="shared" si="87"/>
        <v>0.99441733648656094</v>
      </c>
    </row>
    <row r="1374" spans="1:13" ht="27.6">
      <c r="A1374" t="s">
        <v>164</v>
      </c>
      <c r="B1374" t="s">
        <v>112</v>
      </c>
      <c r="C1374" s="14" t="s">
        <v>294</v>
      </c>
      <c r="D1374" t="s">
        <v>112</v>
      </c>
      <c r="E1374" t="s">
        <v>392</v>
      </c>
      <c r="F1374" s="20">
        <v>2033</v>
      </c>
      <c r="G1374" s="20">
        <v>42</v>
      </c>
      <c r="H1374" s="11">
        <v>4191.9215895177304</v>
      </c>
      <c r="I1374" s="10">
        <v>4345354.4415902896</v>
      </c>
      <c r="J1374" s="34">
        <f t="shared" si="84"/>
        <v>9.6469037126085239E-4</v>
      </c>
      <c r="K1374" s="34">
        <f t="shared" si="85"/>
        <v>9.6422520709649184E-4</v>
      </c>
      <c r="L1374" s="34">
        <f t="shared" si="86"/>
        <v>0.99441733648656094</v>
      </c>
      <c r="M1374" s="34">
        <f t="shared" si="87"/>
        <v>0.99345849422434684</v>
      </c>
    </row>
    <row r="1375" spans="1:13" ht="27.6">
      <c r="A1375" t="s">
        <v>164</v>
      </c>
      <c r="B1375" t="s">
        <v>112</v>
      </c>
      <c r="C1375" s="14" t="s">
        <v>294</v>
      </c>
      <c r="D1375" t="s">
        <v>112</v>
      </c>
      <c r="E1375" t="s">
        <v>392</v>
      </c>
      <c r="F1375" s="20">
        <v>2033</v>
      </c>
      <c r="G1375" s="20">
        <v>43</v>
      </c>
      <c r="H1375" s="11">
        <v>6347.8527480128396</v>
      </c>
      <c r="I1375" s="10">
        <v>6396929.4190234402</v>
      </c>
      <c r="J1375" s="34">
        <f t="shared" si="84"/>
        <v>9.9232808933851077E-4</v>
      </c>
      <c r="K1375" s="34">
        <f t="shared" si="85"/>
        <v>9.9183589463969213E-4</v>
      </c>
      <c r="L1375" s="34">
        <f t="shared" si="86"/>
        <v>0.99345849422434684</v>
      </c>
      <c r="M1375" s="34">
        <f t="shared" si="87"/>
        <v>0.99247314642994044</v>
      </c>
    </row>
    <row r="1376" spans="1:13" ht="27.6">
      <c r="A1376" t="s">
        <v>164</v>
      </c>
      <c r="B1376" t="s">
        <v>112</v>
      </c>
      <c r="C1376" s="14" t="s">
        <v>294</v>
      </c>
      <c r="D1376" t="s">
        <v>112</v>
      </c>
      <c r="E1376" t="s">
        <v>392</v>
      </c>
      <c r="F1376" s="20">
        <v>2033</v>
      </c>
      <c r="G1376" s="20">
        <v>44</v>
      </c>
      <c r="H1376" s="11">
        <v>4919.5656568280201</v>
      </c>
      <c r="I1376" s="10">
        <v>4298794.5674268203</v>
      </c>
      <c r="J1376" s="34">
        <f t="shared" si="84"/>
        <v>1.1444058513763271E-3</v>
      </c>
      <c r="K1376" s="34">
        <f t="shared" si="85"/>
        <v>1.1437512687265672E-3</v>
      </c>
      <c r="L1376" s="34">
        <f t="shared" si="86"/>
        <v>0.99247314642994044</v>
      </c>
      <c r="M1376" s="34">
        <f t="shared" si="87"/>
        <v>0.9913380040095342</v>
      </c>
    </row>
    <row r="1377" spans="1:13" ht="27.6">
      <c r="A1377" t="s">
        <v>164</v>
      </c>
      <c r="B1377" t="s">
        <v>112</v>
      </c>
      <c r="C1377" s="14" t="s">
        <v>294</v>
      </c>
      <c r="D1377" t="s">
        <v>112</v>
      </c>
      <c r="E1377" t="s">
        <v>392</v>
      </c>
      <c r="F1377" s="20">
        <v>2033</v>
      </c>
      <c r="G1377" s="20">
        <v>45</v>
      </c>
      <c r="H1377" s="11">
        <v>6318.8303444922403</v>
      </c>
      <c r="I1377" s="10">
        <v>4279008.5907237995</v>
      </c>
      <c r="J1377" s="34">
        <f t="shared" si="84"/>
        <v>1.4767042903794222E-3</v>
      </c>
      <c r="K1377" s="34">
        <f t="shared" si="85"/>
        <v>1.4756144990979436E-3</v>
      </c>
      <c r="L1377" s="34">
        <f t="shared" si="86"/>
        <v>0.9913380040095342</v>
      </c>
      <c r="M1377" s="34">
        <f t="shared" si="87"/>
        <v>0.98987517127731095</v>
      </c>
    </row>
    <row r="1378" spans="1:13" ht="27.6">
      <c r="A1378" t="s">
        <v>164</v>
      </c>
      <c r="B1378" t="s">
        <v>112</v>
      </c>
      <c r="C1378" s="14" t="s">
        <v>294</v>
      </c>
      <c r="D1378" t="s">
        <v>112</v>
      </c>
      <c r="E1378" t="s">
        <v>392</v>
      </c>
      <c r="F1378" s="20">
        <v>2033</v>
      </c>
      <c r="G1378" s="20">
        <v>46</v>
      </c>
      <c r="H1378" s="11">
        <v>6701.6221419828698</v>
      </c>
      <c r="I1378" s="10">
        <v>4143425.7570701502</v>
      </c>
      <c r="J1378" s="34">
        <f t="shared" si="84"/>
        <v>1.6174109384119002E-3</v>
      </c>
      <c r="K1378" s="34">
        <f t="shared" si="85"/>
        <v>1.6161036342510204E-3</v>
      </c>
      <c r="L1378" s="34">
        <f t="shared" si="86"/>
        <v>0.98987517127731095</v>
      </c>
      <c r="M1378" s="34">
        <f t="shared" si="87"/>
        <v>0.98827543041555488</v>
      </c>
    </row>
    <row r="1379" spans="1:13" ht="27.6">
      <c r="A1379" t="s">
        <v>164</v>
      </c>
      <c r="B1379" t="s">
        <v>112</v>
      </c>
      <c r="C1379" s="14" t="s">
        <v>294</v>
      </c>
      <c r="D1379" t="s">
        <v>112</v>
      </c>
      <c r="E1379" t="s">
        <v>392</v>
      </c>
      <c r="F1379" s="20">
        <v>2033</v>
      </c>
      <c r="G1379" s="20">
        <v>47</v>
      </c>
      <c r="H1379" s="11">
        <v>7275.2310980939401</v>
      </c>
      <c r="I1379" s="10">
        <v>4105147.60468926</v>
      </c>
      <c r="J1379" s="34">
        <f t="shared" si="84"/>
        <v>1.7722215614813784E-3</v>
      </c>
      <c r="K1379" s="34">
        <f t="shared" si="85"/>
        <v>1.7706521041288559E-3</v>
      </c>
      <c r="L1379" s="34">
        <f t="shared" si="86"/>
        <v>0.98827543041555488</v>
      </c>
      <c r="M1379" s="34">
        <f t="shared" si="87"/>
        <v>0.98652553844523072</v>
      </c>
    </row>
    <row r="1380" spans="1:13" ht="27.6">
      <c r="A1380" t="s">
        <v>164</v>
      </c>
      <c r="B1380" t="s">
        <v>112</v>
      </c>
      <c r="C1380" s="14" t="s">
        <v>294</v>
      </c>
      <c r="D1380" t="s">
        <v>112</v>
      </c>
      <c r="E1380" t="s">
        <v>392</v>
      </c>
      <c r="F1380" s="20">
        <v>2033</v>
      </c>
      <c r="G1380" s="20">
        <v>48</v>
      </c>
      <c r="H1380" s="11">
        <v>8078.0829622496503</v>
      </c>
      <c r="I1380" s="10">
        <v>4158866.4055601698</v>
      </c>
      <c r="J1380" s="34">
        <f t="shared" si="84"/>
        <v>1.942376160833084E-3</v>
      </c>
      <c r="K1380" s="34">
        <f t="shared" si="85"/>
        <v>1.9404909690393657E-3</v>
      </c>
      <c r="L1380" s="34">
        <f t="shared" si="86"/>
        <v>0.98652553844523072</v>
      </c>
      <c r="M1380" s="34">
        <f t="shared" si="87"/>
        <v>0.98461119454715107</v>
      </c>
    </row>
    <row r="1381" spans="1:13" ht="27.6">
      <c r="A1381" t="s">
        <v>164</v>
      </c>
      <c r="B1381" t="s">
        <v>112</v>
      </c>
      <c r="C1381" s="14" t="s">
        <v>294</v>
      </c>
      <c r="D1381" t="s">
        <v>112</v>
      </c>
      <c r="E1381" t="s">
        <v>392</v>
      </c>
      <c r="F1381" s="20">
        <v>2033</v>
      </c>
      <c r="G1381" s="20">
        <v>49</v>
      </c>
      <c r="H1381" s="11">
        <v>9014.8765682324993</v>
      </c>
      <c r="I1381" s="10">
        <v>4236665.9331433102</v>
      </c>
      <c r="J1381" s="34">
        <f t="shared" si="84"/>
        <v>2.1278233192070658E-3</v>
      </c>
      <c r="K1381" s="34">
        <f t="shared" si="85"/>
        <v>2.1255611079812331E-3</v>
      </c>
      <c r="L1381" s="34">
        <f t="shared" si="86"/>
        <v>0.98461119454715107</v>
      </c>
      <c r="M1381" s="34">
        <f t="shared" si="87"/>
        <v>0.98251834328553866</v>
      </c>
    </row>
    <row r="1382" spans="1:13" ht="27.6">
      <c r="A1382" t="s">
        <v>164</v>
      </c>
      <c r="B1382" t="s">
        <v>112</v>
      </c>
      <c r="C1382" s="14" t="s">
        <v>294</v>
      </c>
      <c r="D1382" t="s">
        <v>112</v>
      </c>
      <c r="E1382" t="s">
        <v>392</v>
      </c>
      <c r="F1382" s="20">
        <v>2033</v>
      </c>
      <c r="G1382" s="20">
        <v>50</v>
      </c>
      <c r="H1382" s="11">
        <v>10380.428709268401</v>
      </c>
      <c r="I1382" s="10">
        <v>4206459.6923164297</v>
      </c>
      <c r="J1382" s="34">
        <f t="shared" si="84"/>
        <v>2.4677352140636028E-3</v>
      </c>
      <c r="K1382" s="34">
        <f t="shared" si="85"/>
        <v>2.4646928586107286E-3</v>
      </c>
      <c r="L1382" s="34">
        <f t="shared" si="86"/>
        <v>0.98251834328553866</v>
      </c>
      <c r="M1382" s="34">
        <f t="shared" si="87"/>
        <v>0.9800967373413888</v>
      </c>
    </row>
    <row r="1383" spans="1:13" ht="27.6">
      <c r="A1383" t="s">
        <v>164</v>
      </c>
      <c r="B1383" t="s">
        <v>112</v>
      </c>
      <c r="C1383" s="14" t="s">
        <v>294</v>
      </c>
      <c r="D1383" t="s">
        <v>112</v>
      </c>
      <c r="E1383" t="s">
        <v>392</v>
      </c>
      <c r="F1383" s="20">
        <v>2033</v>
      </c>
      <c r="G1383" s="20">
        <v>51</v>
      </c>
      <c r="H1383" s="11">
        <v>10974.297593257101</v>
      </c>
      <c r="I1383" s="10">
        <v>4064398.3409979302</v>
      </c>
      <c r="J1383" s="34">
        <f t="shared" si="84"/>
        <v>2.7001038462589732E-3</v>
      </c>
      <c r="K1383" s="34">
        <f t="shared" si="85"/>
        <v>2.6964618445337596E-3</v>
      </c>
      <c r="L1383" s="34">
        <f t="shared" si="86"/>
        <v>0.9800967373413888</v>
      </c>
      <c r="M1383" s="34">
        <f t="shared" si="87"/>
        <v>0.97745394388519569</v>
      </c>
    </row>
    <row r="1384" spans="1:13" ht="27.6">
      <c r="A1384" t="s">
        <v>164</v>
      </c>
      <c r="B1384" t="s">
        <v>112</v>
      </c>
      <c r="C1384" s="14" t="s">
        <v>294</v>
      </c>
      <c r="D1384" t="s">
        <v>112</v>
      </c>
      <c r="E1384" t="s">
        <v>392</v>
      </c>
      <c r="F1384" s="20">
        <v>2033</v>
      </c>
      <c r="G1384" s="20">
        <v>52</v>
      </c>
      <c r="H1384" s="11">
        <v>11753.816987300699</v>
      </c>
      <c r="I1384" s="10">
        <v>3984128.1612110701</v>
      </c>
      <c r="J1384" s="34">
        <f t="shared" si="84"/>
        <v>2.9501603642508949E-3</v>
      </c>
      <c r="K1384" s="34">
        <f t="shared" si="85"/>
        <v>2.9458129174361192E-3</v>
      </c>
      <c r="L1384" s="34">
        <f t="shared" si="86"/>
        <v>0.97745394388519569</v>
      </c>
      <c r="M1384" s="34">
        <f t="shared" si="87"/>
        <v>0.97457454743109984</v>
      </c>
    </row>
    <row r="1385" spans="1:13" ht="27.6">
      <c r="A1385" t="s">
        <v>164</v>
      </c>
      <c r="B1385" t="s">
        <v>112</v>
      </c>
      <c r="C1385" s="14" t="s">
        <v>294</v>
      </c>
      <c r="D1385" t="s">
        <v>112</v>
      </c>
      <c r="E1385" t="s">
        <v>392</v>
      </c>
      <c r="F1385" s="20">
        <v>2033</v>
      </c>
      <c r="G1385" s="20">
        <v>53</v>
      </c>
      <c r="H1385" s="11">
        <v>12626.9595622323</v>
      </c>
      <c r="I1385" s="10">
        <v>3918976.88415313</v>
      </c>
      <c r="J1385" s="34">
        <f t="shared" si="84"/>
        <v>3.2220040932854133E-3</v>
      </c>
      <c r="K1385" s="34">
        <f t="shared" si="85"/>
        <v>3.2168190083800008E-3</v>
      </c>
      <c r="L1385" s="34">
        <f t="shared" si="86"/>
        <v>0.97457454743109984</v>
      </c>
      <c r="M1385" s="34">
        <f t="shared" si="87"/>
        <v>0.9714395175018401</v>
      </c>
    </row>
    <row r="1386" spans="1:13" ht="27.6">
      <c r="A1386" t="s">
        <v>164</v>
      </c>
      <c r="B1386" t="s">
        <v>112</v>
      </c>
      <c r="C1386" s="14" t="s">
        <v>294</v>
      </c>
      <c r="D1386" t="s">
        <v>112</v>
      </c>
      <c r="E1386" t="s">
        <v>392</v>
      </c>
      <c r="F1386" s="20">
        <v>2033</v>
      </c>
      <c r="G1386" s="20">
        <v>54</v>
      </c>
      <c r="H1386" s="11">
        <v>13538.0106726468</v>
      </c>
      <c r="I1386" s="10">
        <v>3848044.3577085799</v>
      </c>
      <c r="J1386" s="34">
        <f t="shared" si="84"/>
        <v>3.5181534863356844E-3</v>
      </c>
      <c r="K1386" s="34">
        <f t="shared" si="85"/>
        <v>3.51197203558129E-3</v>
      </c>
      <c r="L1386" s="34">
        <f t="shared" si="86"/>
        <v>0.9714395175018401</v>
      </c>
      <c r="M1386" s="34">
        <f t="shared" si="87"/>
        <v>0.96802784908211503</v>
      </c>
    </row>
    <row r="1387" spans="1:13" ht="27.6">
      <c r="A1387" t="s">
        <v>164</v>
      </c>
      <c r="B1387" t="s">
        <v>112</v>
      </c>
      <c r="C1387" s="14" t="s">
        <v>294</v>
      </c>
      <c r="D1387" t="s">
        <v>112</v>
      </c>
      <c r="E1387" t="s">
        <v>392</v>
      </c>
      <c r="F1387" s="20">
        <v>2033</v>
      </c>
      <c r="G1387" s="20">
        <v>55</v>
      </c>
      <c r="H1387" s="11">
        <v>14499.594597891301</v>
      </c>
      <c r="I1387" s="10">
        <v>3757725.5895678801</v>
      </c>
      <c r="J1387" s="34">
        <f t="shared" si="84"/>
        <v>3.858609217805785E-3</v>
      </c>
      <c r="K1387" s="34">
        <f t="shared" si="85"/>
        <v>3.8511743510805108E-3</v>
      </c>
      <c r="L1387" s="34">
        <f t="shared" si="86"/>
        <v>0.96802784908211503</v>
      </c>
      <c r="M1387" s="34">
        <f t="shared" si="87"/>
        <v>0.96429980505859836</v>
      </c>
    </row>
    <row r="1388" spans="1:13" ht="27.6">
      <c r="A1388" t="s">
        <v>164</v>
      </c>
      <c r="B1388" t="s">
        <v>112</v>
      </c>
      <c r="C1388" s="14" t="s">
        <v>294</v>
      </c>
      <c r="D1388" t="s">
        <v>112</v>
      </c>
      <c r="E1388" t="s">
        <v>392</v>
      </c>
      <c r="F1388" s="20">
        <v>2033</v>
      </c>
      <c r="G1388" s="20">
        <v>56</v>
      </c>
      <c r="H1388" s="11">
        <v>15532.895113914599</v>
      </c>
      <c r="I1388" s="10">
        <v>3683079.1575520299</v>
      </c>
      <c r="J1388" s="34">
        <f t="shared" si="84"/>
        <v>4.217366624354223E-3</v>
      </c>
      <c r="K1388" s="34">
        <f t="shared" si="85"/>
        <v>4.208486022369895E-3</v>
      </c>
      <c r="L1388" s="34">
        <f t="shared" si="86"/>
        <v>0.96429980505859836</v>
      </c>
      <c r="M1388" s="34">
        <f t="shared" si="87"/>
        <v>0.96024156280763528</v>
      </c>
    </row>
    <row r="1389" spans="1:13" ht="27.6">
      <c r="A1389" t="s">
        <v>164</v>
      </c>
      <c r="B1389" t="s">
        <v>112</v>
      </c>
      <c r="C1389" s="14" t="s">
        <v>294</v>
      </c>
      <c r="D1389" t="s">
        <v>112</v>
      </c>
      <c r="E1389" t="s">
        <v>392</v>
      </c>
      <c r="F1389" s="20">
        <v>2033</v>
      </c>
      <c r="G1389" s="20">
        <v>57</v>
      </c>
      <c r="H1389" s="11">
        <v>16567.698698231801</v>
      </c>
      <c r="I1389" s="10">
        <v>3596856.2108838102</v>
      </c>
      <c r="J1389" s="34">
        <f t="shared" si="84"/>
        <v>4.6061609713780663E-3</v>
      </c>
      <c r="K1389" s="34">
        <f t="shared" si="85"/>
        <v>4.5955688811291084E-3</v>
      </c>
      <c r="L1389" s="34">
        <f t="shared" si="86"/>
        <v>0.96024156280763528</v>
      </c>
      <c r="M1389" s="34">
        <f t="shared" si="87"/>
        <v>0.95582870656322971</v>
      </c>
    </row>
    <row r="1390" spans="1:13" ht="27.6">
      <c r="A1390" t="s">
        <v>164</v>
      </c>
      <c r="B1390" t="s">
        <v>112</v>
      </c>
      <c r="C1390" s="14" t="s">
        <v>294</v>
      </c>
      <c r="D1390" t="s">
        <v>112</v>
      </c>
      <c r="E1390" t="s">
        <v>392</v>
      </c>
      <c r="F1390" s="20">
        <v>2033</v>
      </c>
      <c r="G1390" s="20">
        <v>58</v>
      </c>
      <c r="H1390" s="11">
        <v>17665.559309279499</v>
      </c>
      <c r="I1390" s="10">
        <v>3509409.5834240601</v>
      </c>
      <c r="J1390" s="34">
        <f t="shared" si="84"/>
        <v>5.033769609771103E-3</v>
      </c>
      <c r="K1390" s="34">
        <f t="shared" si="85"/>
        <v>5.0211214231143941E-3</v>
      </c>
      <c r="L1390" s="34">
        <f t="shared" si="86"/>
        <v>0.95582870656322971</v>
      </c>
      <c r="M1390" s="34">
        <f t="shared" si="87"/>
        <v>0.95102937456787739</v>
      </c>
    </row>
    <row r="1391" spans="1:13" ht="27.6">
      <c r="A1391" t="s">
        <v>164</v>
      </c>
      <c r="B1391" t="s">
        <v>112</v>
      </c>
      <c r="C1391" s="14" t="s">
        <v>294</v>
      </c>
      <c r="D1391" t="s">
        <v>112</v>
      </c>
      <c r="E1391" t="s">
        <v>392</v>
      </c>
      <c r="F1391" s="20">
        <v>2033</v>
      </c>
      <c r="G1391" s="20">
        <v>59</v>
      </c>
      <c r="H1391" s="11">
        <v>18688.218682424798</v>
      </c>
      <c r="I1391" s="10">
        <v>3395014.3733229698</v>
      </c>
      <c r="J1391" s="34">
        <f t="shared" si="84"/>
        <v>5.5046066459309732E-3</v>
      </c>
      <c r="K1391" s="34">
        <f t="shared" si="85"/>
        <v>5.4894840594549299E-3</v>
      </c>
      <c r="L1391" s="34">
        <f t="shared" si="86"/>
        <v>0.95102937456787739</v>
      </c>
      <c r="M1391" s="34">
        <f t="shared" si="87"/>
        <v>0.94580871397611366</v>
      </c>
    </row>
    <row r="1392" spans="1:13" ht="27.6">
      <c r="A1392" t="s">
        <v>164</v>
      </c>
      <c r="B1392" t="s">
        <v>112</v>
      </c>
      <c r="C1392" s="14" t="s">
        <v>294</v>
      </c>
      <c r="D1392" t="s">
        <v>112</v>
      </c>
      <c r="E1392" t="s">
        <v>392</v>
      </c>
      <c r="F1392" s="20">
        <v>2033</v>
      </c>
      <c r="G1392" s="20">
        <v>60</v>
      </c>
      <c r="H1392" s="11">
        <v>20331.273721723799</v>
      </c>
      <c r="I1392" s="10">
        <v>3337558.84722151</v>
      </c>
      <c r="J1392" s="34">
        <f t="shared" si="84"/>
        <v>6.091659998339629E-3</v>
      </c>
      <c r="K1392" s="34">
        <f t="shared" si="85"/>
        <v>6.0731434554786023E-3</v>
      </c>
      <c r="L1392" s="34">
        <f t="shared" si="86"/>
        <v>0.94580871397611366</v>
      </c>
      <c r="M1392" s="34">
        <f t="shared" si="87"/>
        <v>0.94006468197469495</v>
      </c>
    </row>
    <row r="1393" spans="1:13" ht="27.6">
      <c r="A1393" t="s">
        <v>164</v>
      </c>
      <c r="B1393" t="s">
        <v>112</v>
      </c>
      <c r="C1393" s="14" t="s">
        <v>294</v>
      </c>
      <c r="D1393" t="s">
        <v>112</v>
      </c>
      <c r="E1393" t="s">
        <v>392</v>
      </c>
      <c r="F1393" s="20">
        <v>2033</v>
      </c>
      <c r="G1393" s="20">
        <v>61</v>
      </c>
      <c r="H1393" s="11">
        <v>20845.022371069601</v>
      </c>
      <c r="I1393" s="10">
        <v>3123124.30714858</v>
      </c>
      <c r="J1393" s="34">
        <f t="shared" si="84"/>
        <v>6.6744132865147326E-3</v>
      </c>
      <c r="K1393" s="34">
        <f t="shared" si="85"/>
        <v>6.652188862640962E-3</v>
      </c>
      <c r="L1393" s="34">
        <f t="shared" si="86"/>
        <v>0.94006468197469495</v>
      </c>
      <c r="M1393" s="34">
        <f t="shared" si="87"/>
        <v>0.93381119416710079</v>
      </c>
    </row>
    <row r="1394" spans="1:13" ht="27.6">
      <c r="A1394" t="s">
        <v>164</v>
      </c>
      <c r="B1394" t="s">
        <v>112</v>
      </c>
      <c r="C1394" s="14" t="s">
        <v>294</v>
      </c>
      <c r="D1394" t="s">
        <v>112</v>
      </c>
      <c r="E1394" t="s">
        <v>392</v>
      </c>
      <c r="F1394" s="20">
        <v>2033</v>
      </c>
      <c r="G1394" s="20">
        <v>62</v>
      </c>
      <c r="H1394" s="11">
        <v>22100.750097446398</v>
      </c>
      <c r="I1394" s="10">
        <v>3024477.90526143</v>
      </c>
      <c r="J1394" s="34">
        <f t="shared" si="84"/>
        <v>7.3072942801134643E-3</v>
      </c>
      <c r="K1394" s="34">
        <f t="shared" si="85"/>
        <v>7.2806609173561299E-3</v>
      </c>
      <c r="L1394" s="34">
        <f t="shared" si="86"/>
        <v>0.93381119416710079</v>
      </c>
      <c r="M1394" s="34">
        <f t="shared" si="87"/>
        <v>0.92701243150153867</v>
      </c>
    </row>
    <row r="1395" spans="1:13" ht="27.6">
      <c r="A1395" t="s">
        <v>164</v>
      </c>
      <c r="B1395" t="s">
        <v>112</v>
      </c>
      <c r="C1395" s="14" t="s">
        <v>294</v>
      </c>
      <c r="D1395" t="s">
        <v>112</v>
      </c>
      <c r="E1395" t="s">
        <v>392</v>
      </c>
      <c r="F1395" s="20">
        <v>2033</v>
      </c>
      <c r="G1395" s="20">
        <v>63</v>
      </c>
      <c r="H1395" s="11">
        <v>23445.605329179401</v>
      </c>
      <c r="I1395" s="10">
        <v>2929383.1104137599</v>
      </c>
      <c r="J1395" s="34">
        <f t="shared" si="84"/>
        <v>8.0035981793681581E-3</v>
      </c>
      <c r="K1395" s="34">
        <f t="shared" si="85"/>
        <v>7.9716546652860432E-3</v>
      </c>
      <c r="L1395" s="34">
        <f t="shared" si="86"/>
        <v>0.92701243150153867</v>
      </c>
      <c r="M1395" s="34">
        <f t="shared" si="87"/>
        <v>0.91962260852718125</v>
      </c>
    </row>
    <row r="1396" spans="1:13" ht="27.6">
      <c r="A1396" t="s">
        <v>164</v>
      </c>
      <c r="B1396" t="s">
        <v>112</v>
      </c>
      <c r="C1396" s="14" t="s">
        <v>294</v>
      </c>
      <c r="D1396" t="s">
        <v>112</v>
      </c>
      <c r="E1396" t="s">
        <v>392</v>
      </c>
      <c r="F1396" s="20">
        <v>2033</v>
      </c>
      <c r="G1396" s="20">
        <v>64</v>
      </c>
      <c r="H1396" s="11">
        <v>24771.364322658701</v>
      </c>
      <c r="I1396" s="10">
        <v>2825051.6407660898</v>
      </c>
      <c r="J1396" s="34">
        <f t="shared" si="84"/>
        <v>8.7684642521937296E-3</v>
      </c>
      <c r="K1396" s="34">
        <f t="shared" si="85"/>
        <v>8.7301333856166785E-3</v>
      </c>
      <c r="L1396" s="34">
        <f t="shared" si="86"/>
        <v>0.91962260852718125</v>
      </c>
      <c r="M1396" s="34">
        <f t="shared" si="87"/>
        <v>0.91159418049031016</v>
      </c>
    </row>
    <row r="1397" spans="1:13" ht="27.6">
      <c r="A1397" t="s">
        <v>164</v>
      </c>
      <c r="B1397" t="s">
        <v>112</v>
      </c>
      <c r="C1397" s="14" t="s">
        <v>294</v>
      </c>
      <c r="D1397" t="s">
        <v>112</v>
      </c>
      <c r="E1397" t="s">
        <v>392</v>
      </c>
      <c r="F1397" s="20">
        <v>2033</v>
      </c>
      <c r="G1397" s="20">
        <v>65</v>
      </c>
      <c r="H1397" s="11">
        <v>25111.695642720799</v>
      </c>
      <c r="I1397" s="10">
        <v>2701930.22367656</v>
      </c>
      <c r="J1397" s="34">
        <f t="shared" si="84"/>
        <v>9.2939837685929987E-3</v>
      </c>
      <c r="K1397" s="34">
        <f t="shared" si="85"/>
        <v>9.2509281906383301E-3</v>
      </c>
      <c r="L1397" s="34">
        <f t="shared" si="86"/>
        <v>0.91159418049031016</v>
      </c>
      <c r="M1397" s="34">
        <f t="shared" si="87"/>
        <v>0.90316108818759055</v>
      </c>
    </row>
    <row r="1398" spans="1:13" ht="27.6">
      <c r="A1398" t="s">
        <v>164</v>
      </c>
      <c r="B1398" t="s">
        <v>112</v>
      </c>
      <c r="C1398" s="14" t="s">
        <v>294</v>
      </c>
      <c r="D1398" t="s">
        <v>112</v>
      </c>
      <c r="E1398" t="s">
        <v>392</v>
      </c>
      <c r="F1398" s="20">
        <v>2033</v>
      </c>
      <c r="G1398" s="20">
        <v>66</v>
      </c>
      <c r="H1398" s="11">
        <v>26013.326030164098</v>
      </c>
      <c r="I1398" s="10">
        <v>2550143.2453954299</v>
      </c>
      <c r="J1398" s="34">
        <f t="shared" si="84"/>
        <v>1.0200731302892134E-2</v>
      </c>
      <c r="K1398" s="34">
        <f t="shared" si="85"/>
        <v>1.0148880299156393E-2</v>
      </c>
      <c r="L1398" s="34">
        <f t="shared" si="86"/>
        <v>0.90316108818759055</v>
      </c>
      <c r="M1398" s="34">
        <f t="shared" si="87"/>
        <v>0.89399501441271889</v>
      </c>
    </row>
    <row r="1399" spans="1:13" ht="27.6">
      <c r="A1399" t="s">
        <v>164</v>
      </c>
      <c r="B1399" t="s">
        <v>112</v>
      </c>
      <c r="C1399" s="14" t="s">
        <v>294</v>
      </c>
      <c r="D1399" t="s">
        <v>112</v>
      </c>
      <c r="E1399" t="s">
        <v>392</v>
      </c>
      <c r="F1399" s="20">
        <v>2033</v>
      </c>
      <c r="G1399" s="20">
        <v>67</v>
      </c>
      <c r="H1399" s="11">
        <v>27212.202641280601</v>
      </c>
      <c r="I1399" s="10">
        <v>2431625.06497656</v>
      </c>
      <c r="J1399" s="34">
        <f t="shared" si="84"/>
        <v>1.119095333948736E-2</v>
      </c>
      <c r="K1399" s="34">
        <f t="shared" si="85"/>
        <v>1.1128567556825009E-2</v>
      </c>
      <c r="L1399" s="34">
        <f t="shared" si="86"/>
        <v>0.89399501441271889</v>
      </c>
      <c r="M1399" s="34">
        <f t="shared" si="87"/>
        <v>0.8840461304993622</v>
      </c>
    </row>
    <row r="1400" spans="1:13" ht="27.6">
      <c r="A1400" t="s">
        <v>164</v>
      </c>
      <c r="B1400" t="s">
        <v>112</v>
      </c>
      <c r="C1400" s="14" t="s">
        <v>294</v>
      </c>
      <c r="D1400" t="s">
        <v>112</v>
      </c>
      <c r="E1400" t="s">
        <v>392</v>
      </c>
      <c r="F1400" s="20">
        <v>2033</v>
      </c>
      <c r="G1400" s="20">
        <v>68</v>
      </c>
      <c r="H1400" s="11">
        <v>28173.350167434499</v>
      </c>
      <c r="I1400" s="10">
        <v>2293572.63059919</v>
      </c>
      <c r="J1400" s="34">
        <f t="shared" si="84"/>
        <v>1.2283609331383713E-2</v>
      </c>
      <c r="K1400" s="34">
        <f t="shared" si="85"/>
        <v>1.2208473762264749E-2</v>
      </c>
      <c r="L1400" s="34">
        <f t="shared" si="86"/>
        <v>0.8840461304993622</v>
      </c>
      <c r="M1400" s="34">
        <f t="shared" si="87"/>
        <v>0.87325327651052909</v>
      </c>
    </row>
    <row r="1401" spans="1:13" ht="27.6">
      <c r="A1401" t="s">
        <v>164</v>
      </c>
      <c r="B1401" t="s">
        <v>112</v>
      </c>
      <c r="C1401" s="14" t="s">
        <v>294</v>
      </c>
      <c r="D1401" t="s">
        <v>112</v>
      </c>
      <c r="E1401" t="s">
        <v>392</v>
      </c>
      <c r="F1401" s="20">
        <v>2033</v>
      </c>
      <c r="G1401" s="20">
        <v>69</v>
      </c>
      <c r="H1401" s="11">
        <v>29095.283972848501</v>
      </c>
      <c r="I1401" s="10">
        <v>2155969.0861391299</v>
      </c>
      <c r="J1401" s="34">
        <f t="shared" si="84"/>
        <v>1.3495223173608581E-2</v>
      </c>
      <c r="K1401" s="34">
        <f t="shared" si="85"/>
        <v>1.3404570898440049E-2</v>
      </c>
      <c r="L1401" s="34">
        <f t="shared" si="86"/>
        <v>0.87325327651052909</v>
      </c>
      <c r="M1401" s="34">
        <f t="shared" si="87"/>
        <v>0.86154769105324858</v>
      </c>
    </row>
    <row r="1402" spans="1:13" ht="27.6">
      <c r="A1402" t="s">
        <v>164</v>
      </c>
      <c r="B1402" t="s">
        <v>112</v>
      </c>
      <c r="C1402" s="14" t="s">
        <v>294</v>
      </c>
      <c r="D1402" t="s">
        <v>112</v>
      </c>
      <c r="E1402" t="s">
        <v>392</v>
      </c>
      <c r="F1402" s="20">
        <v>2034</v>
      </c>
      <c r="G1402" s="20">
        <v>30</v>
      </c>
      <c r="H1402" s="11">
        <v>782.69300377007596</v>
      </c>
      <c r="I1402" s="10">
        <v>4429661.5258210599</v>
      </c>
      <c r="J1402" s="34">
        <f t="shared" si="84"/>
        <v>1.7669363656966993E-4</v>
      </c>
      <c r="K1402" s="34">
        <f t="shared" si="85"/>
        <v>1.7667802716847536E-4</v>
      </c>
      <c r="L1402" s="34">
        <f t="shared" si="86"/>
        <v>1</v>
      </c>
      <c r="M1402" s="34">
        <f t="shared" si="87"/>
        <v>0.99982332197283152</v>
      </c>
    </row>
    <row r="1403" spans="1:13" ht="27.6">
      <c r="A1403" t="s">
        <v>164</v>
      </c>
      <c r="B1403" t="s">
        <v>112</v>
      </c>
      <c r="C1403" s="14" t="s">
        <v>294</v>
      </c>
      <c r="D1403" t="s">
        <v>112</v>
      </c>
      <c r="E1403" t="s">
        <v>392</v>
      </c>
      <c r="F1403" s="20">
        <v>2034</v>
      </c>
      <c r="G1403" s="20">
        <v>31</v>
      </c>
      <c r="H1403" s="11">
        <v>966.15116005014204</v>
      </c>
      <c r="I1403" s="10">
        <v>4364271.6984957103</v>
      </c>
      <c r="J1403" s="34">
        <f t="shared" si="84"/>
        <v>2.2137740883161738E-4</v>
      </c>
      <c r="K1403" s="34">
        <f t="shared" si="85"/>
        <v>2.2135290666114305E-4</v>
      </c>
      <c r="L1403" s="34">
        <f t="shared" si="86"/>
        <v>0.99982332197283152</v>
      </c>
      <c r="M1403" s="34">
        <f t="shared" si="87"/>
        <v>0.99960200817436529</v>
      </c>
    </row>
    <row r="1404" spans="1:13" ht="27.6">
      <c r="A1404" t="s">
        <v>164</v>
      </c>
      <c r="B1404" t="s">
        <v>112</v>
      </c>
      <c r="C1404" s="14" t="s">
        <v>294</v>
      </c>
      <c r="D1404" t="s">
        <v>112</v>
      </c>
      <c r="E1404" t="s">
        <v>392</v>
      </c>
      <c r="F1404" s="20">
        <v>2034</v>
      </c>
      <c r="G1404" s="20">
        <v>32</v>
      </c>
      <c r="H1404" s="11">
        <v>1155.94909233987</v>
      </c>
      <c r="I1404" s="10">
        <v>4343479.4834572403</v>
      </c>
      <c r="J1404" s="34">
        <f t="shared" si="84"/>
        <v>2.6613435075323062E-4</v>
      </c>
      <c r="K1404" s="34">
        <f t="shared" si="85"/>
        <v>2.6609894014828495E-4</v>
      </c>
      <c r="L1404" s="34">
        <f t="shared" si="86"/>
        <v>0.99960200817436529</v>
      </c>
      <c r="M1404" s="34">
        <f t="shared" si="87"/>
        <v>0.99933601513941994</v>
      </c>
    </row>
    <row r="1405" spans="1:13" ht="27.6">
      <c r="A1405" t="s">
        <v>164</v>
      </c>
      <c r="B1405" t="s">
        <v>112</v>
      </c>
      <c r="C1405" s="14" t="s">
        <v>294</v>
      </c>
      <c r="D1405" t="s">
        <v>112</v>
      </c>
      <c r="E1405" t="s">
        <v>392</v>
      </c>
      <c r="F1405" s="20">
        <v>2034</v>
      </c>
      <c r="G1405" s="20">
        <v>33</v>
      </c>
      <c r="H1405" s="11">
        <v>1216.5329661356</v>
      </c>
      <c r="I1405" s="10">
        <v>4323724.6528478898</v>
      </c>
      <c r="J1405" s="34">
        <f t="shared" si="84"/>
        <v>2.8136226605787935E-4</v>
      </c>
      <c r="K1405" s="34">
        <f t="shared" si="85"/>
        <v>2.8132268740754807E-4</v>
      </c>
      <c r="L1405" s="34">
        <f t="shared" si="86"/>
        <v>0.99933601513941994</v>
      </c>
      <c r="M1405" s="34">
        <f t="shared" si="87"/>
        <v>0.99905487924601777</v>
      </c>
    </row>
    <row r="1406" spans="1:13" ht="27.6">
      <c r="A1406" t="s">
        <v>164</v>
      </c>
      <c r="B1406" t="s">
        <v>112</v>
      </c>
      <c r="C1406" s="14" t="s">
        <v>294</v>
      </c>
      <c r="D1406" t="s">
        <v>112</v>
      </c>
      <c r="E1406" t="s">
        <v>392</v>
      </c>
      <c r="F1406" s="20">
        <v>2034</v>
      </c>
      <c r="G1406" s="20">
        <v>34</v>
      </c>
      <c r="H1406" s="11">
        <v>1288.8298214383699</v>
      </c>
      <c r="I1406" s="10">
        <v>4303695.4853078797</v>
      </c>
      <c r="J1406" s="34">
        <f t="shared" si="84"/>
        <v>2.994704959582355E-4</v>
      </c>
      <c r="K1406" s="34">
        <f t="shared" si="85"/>
        <v>2.9942565914509167E-4</v>
      </c>
      <c r="L1406" s="34">
        <f t="shared" si="86"/>
        <v>0.99905487924601777</v>
      </c>
      <c r="M1406" s="34">
        <f t="shared" si="87"/>
        <v>0.99875573658027739</v>
      </c>
    </row>
    <row r="1407" spans="1:13" ht="27.6">
      <c r="A1407" t="s">
        <v>164</v>
      </c>
      <c r="B1407" t="s">
        <v>112</v>
      </c>
      <c r="C1407" s="14" t="s">
        <v>294</v>
      </c>
      <c r="D1407" t="s">
        <v>112</v>
      </c>
      <c r="E1407" t="s">
        <v>392</v>
      </c>
      <c r="F1407" s="20">
        <v>2034</v>
      </c>
      <c r="G1407" s="20">
        <v>35</v>
      </c>
      <c r="H1407" s="11">
        <v>1748.95163844485</v>
      </c>
      <c r="I1407" s="10">
        <v>4323300.1514178198</v>
      </c>
      <c r="J1407" s="34">
        <f t="shared" si="84"/>
        <v>4.0454087784566243E-4</v>
      </c>
      <c r="K1407" s="34">
        <f t="shared" si="85"/>
        <v>4.0445906221764361E-4</v>
      </c>
      <c r="L1407" s="34">
        <f t="shared" si="86"/>
        <v>0.99875573658027739</v>
      </c>
      <c r="M1407" s="34">
        <f t="shared" si="87"/>
        <v>0.99835178077167563</v>
      </c>
    </row>
    <row r="1408" spans="1:13" ht="27.6">
      <c r="A1408" t="s">
        <v>164</v>
      </c>
      <c r="B1408" t="s">
        <v>112</v>
      </c>
      <c r="C1408" s="14" t="s">
        <v>294</v>
      </c>
      <c r="D1408" t="s">
        <v>112</v>
      </c>
      <c r="E1408" t="s">
        <v>392</v>
      </c>
      <c r="F1408" s="20">
        <v>2034</v>
      </c>
      <c r="G1408" s="20">
        <v>36</v>
      </c>
      <c r="H1408" s="11">
        <v>1981.7595721456501</v>
      </c>
      <c r="I1408" s="10">
        <v>4381537.9422475798</v>
      </c>
      <c r="J1408" s="34">
        <f t="shared" si="84"/>
        <v>4.5229770876503581E-4</v>
      </c>
      <c r="K1408" s="34">
        <f t="shared" si="85"/>
        <v>4.5219543757590852E-4</v>
      </c>
      <c r="L1408" s="34">
        <f t="shared" si="86"/>
        <v>0.99835178077167563</v>
      </c>
      <c r="M1408" s="34">
        <f t="shared" si="87"/>
        <v>0.99790033065131489</v>
      </c>
    </row>
    <row r="1409" spans="1:13" ht="27.6">
      <c r="A1409" t="s">
        <v>164</v>
      </c>
      <c r="B1409" t="s">
        <v>112</v>
      </c>
      <c r="C1409" s="14" t="s">
        <v>294</v>
      </c>
      <c r="D1409" t="s">
        <v>112</v>
      </c>
      <c r="E1409" t="s">
        <v>392</v>
      </c>
      <c r="F1409" s="20">
        <v>2034</v>
      </c>
      <c r="G1409" s="20">
        <v>37</v>
      </c>
      <c r="H1409" s="11">
        <v>2395.9247508658</v>
      </c>
      <c r="I1409" s="10">
        <v>4519076.9851769097</v>
      </c>
      <c r="J1409" s="34">
        <f t="shared" si="84"/>
        <v>5.3018011393138635E-4</v>
      </c>
      <c r="K1409" s="34">
        <f t="shared" si="85"/>
        <v>5.3003959328967731E-4</v>
      </c>
      <c r="L1409" s="34">
        <f t="shared" si="86"/>
        <v>0.99790033065131489</v>
      </c>
      <c r="M1409" s="34">
        <f t="shared" si="87"/>
        <v>0.99737140396591284</v>
      </c>
    </row>
    <row r="1410" spans="1:13" ht="27.6">
      <c r="A1410" t="s">
        <v>164</v>
      </c>
      <c r="B1410" t="s">
        <v>112</v>
      </c>
      <c r="C1410" s="14" t="s">
        <v>294</v>
      </c>
      <c r="D1410" t="s">
        <v>112</v>
      </c>
      <c r="E1410" t="s">
        <v>392</v>
      </c>
      <c r="F1410" s="20">
        <v>2034</v>
      </c>
      <c r="G1410" s="20">
        <v>38</v>
      </c>
      <c r="H1410" s="11">
        <v>2548.8579382286598</v>
      </c>
      <c r="I1410" s="10">
        <v>4474690.4582749596</v>
      </c>
      <c r="J1410" s="34">
        <f t="shared" ref="J1410:J1473" si="88">IF(I1410&gt;0,H1410/I1410,0)</f>
        <v>5.6961659404062366E-4</v>
      </c>
      <c r="K1410" s="34">
        <f t="shared" ref="K1410:K1473" si="89">1-EXP(-J1410)</f>
        <v>5.6945439330735592E-4</v>
      </c>
      <c r="L1410" s="34">
        <f t="shared" ref="L1410:L1473" si="90">IF(G1410=30,1,M1409)</f>
        <v>0.99737140396591284</v>
      </c>
      <c r="M1410" s="34">
        <f t="shared" ref="M1410:M1473" si="91">L1410*(1-K1410)</f>
        <v>0.99680344643816532</v>
      </c>
    </row>
    <row r="1411" spans="1:13" ht="27.6">
      <c r="A1411" t="s">
        <v>164</v>
      </c>
      <c r="B1411" t="s">
        <v>112</v>
      </c>
      <c r="C1411" s="14" t="s">
        <v>294</v>
      </c>
      <c r="D1411" t="s">
        <v>112</v>
      </c>
      <c r="E1411" t="s">
        <v>392</v>
      </c>
      <c r="F1411" s="20">
        <v>2034</v>
      </c>
      <c r="G1411" s="20">
        <v>39</v>
      </c>
      <c r="H1411" s="11">
        <v>2697.9763261640601</v>
      </c>
      <c r="I1411" s="10">
        <v>4400107.5650399998</v>
      </c>
      <c r="J1411" s="34">
        <f t="shared" si="88"/>
        <v>6.1316144805190318E-4</v>
      </c>
      <c r="K1411" s="34">
        <f t="shared" si="89"/>
        <v>6.1297350298672448E-4</v>
      </c>
      <c r="L1411" s="34">
        <f t="shared" si="90"/>
        <v>0.99680344643816532</v>
      </c>
      <c r="M1411" s="34">
        <f t="shared" si="91"/>
        <v>0.99619243233781285</v>
      </c>
    </row>
    <row r="1412" spans="1:13" ht="27.6">
      <c r="A1412" t="s">
        <v>164</v>
      </c>
      <c r="B1412" t="s">
        <v>112</v>
      </c>
      <c r="C1412" s="14" t="s">
        <v>294</v>
      </c>
      <c r="D1412" t="s">
        <v>112</v>
      </c>
      <c r="E1412" t="s">
        <v>392</v>
      </c>
      <c r="F1412" s="20">
        <v>2034</v>
      </c>
      <c r="G1412" s="20">
        <v>40</v>
      </c>
      <c r="H1412" s="11">
        <v>3570.3884496160699</v>
      </c>
      <c r="I1412" s="10">
        <v>4340978.0741775297</v>
      </c>
      <c r="J1412" s="34">
        <f t="shared" si="88"/>
        <v>8.2248479227634409E-4</v>
      </c>
      <c r="K1412" s="34">
        <f t="shared" si="89"/>
        <v>8.2214664437307849E-4</v>
      </c>
      <c r="L1412" s="34">
        <f t="shared" si="90"/>
        <v>0.99619243233781285</v>
      </c>
      <c r="M1412" s="34">
        <f t="shared" si="91"/>
        <v>0.99537341607241647</v>
      </c>
    </row>
    <row r="1413" spans="1:13" ht="27.6">
      <c r="A1413" t="s">
        <v>164</v>
      </c>
      <c r="B1413" t="s">
        <v>112</v>
      </c>
      <c r="C1413" s="14" t="s">
        <v>294</v>
      </c>
      <c r="D1413" t="s">
        <v>112</v>
      </c>
      <c r="E1413" t="s">
        <v>392</v>
      </c>
      <c r="F1413" s="20">
        <v>2034</v>
      </c>
      <c r="G1413" s="20">
        <v>41</v>
      </c>
      <c r="H1413" s="11">
        <v>3809.37966579364</v>
      </c>
      <c r="I1413" s="10">
        <v>4284424.2240754599</v>
      </c>
      <c r="J1413" s="34">
        <f t="shared" si="88"/>
        <v>8.8912289413069733E-4</v>
      </c>
      <c r="K1413" s="34">
        <f t="shared" si="89"/>
        <v>8.8872774149206801E-4</v>
      </c>
      <c r="L1413" s="34">
        <f t="shared" si="90"/>
        <v>0.99537341607241647</v>
      </c>
      <c r="M1413" s="34">
        <f t="shared" si="91"/>
        <v>0.99448880010440921</v>
      </c>
    </row>
    <row r="1414" spans="1:13" ht="27.6">
      <c r="A1414" t="s">
        <v>164</v>
      </c>
      <c r="B1414" t="s">
        <v>112</v>
      </c>
      <c r="C1414" s="14" t="s">
        <v>294</v>
      </c>
      <c r="D1414" t="s">
        <v>112</v>
      </c>
      <c r="E1414" t="s">
        <v>392</v>
      </c>
      <c r="F1414" s="20">
        <v>2034</v>
      </c>
      <c r="G1414" s="20">
        <v>42</v>
      </c>
      <c r="H1414" s="11">
        <v>4158.9373660044103</v>
      </c>
      <c r="I1414" s="10">
        <v>4318959.0836716201</v>
      </c>
      <c r="J1414" s="34">
        <f t="shared" si="88"/>
        <v>9.6294900818296879E-4</v>
      </c>
      <c r="K1414" s="34">
        <f t="shared" si="89"/>
        <v>9.6248552157007783E-4</v>
      </c>
      <c r="L1414" s="34">
        <f t="shared" si="90"/>
        <v>0.99448880010440921</v>
      </c>
      <c r="M1414" s="34">
        <f t="shared" si="91"/>
        <v>0.99353161903294507</v>
      </c>
    </row>
    <row r="1415" spans="1:13" ht="27.6">
      <c r="A1415" t="s">
        <v>164</v>
      </c>
      <c r="B1415" t="s">
        <v>112</v>
      </c>
      <c r="C1415" s="14" t="s">
        <v>294</v>
      </c>
      <c r="D1415" t="s">
        <v>112</v>
      </c>
      <c r="E1415" t="s">
        <v>392</v>
      </c>
      <c r="F1415" s="20">
        <v>2034</v>
      </c>
      <c r="G1415" s="20">
        <v>43</v>
      </c>
      <c r="H1415" s="11">
        <v>4537.1514713070101</v>
      </c>
      <c r="I1415" s="10">
        <v>4333585.5973389801</v>
      </c>
      <c r="J1415" s="34">
        <f t="shared" si="88"/>
        <v>1.0469740055655133E-3</v>
      </c>
      <c r="K1415" s="34">
        <f t="shared" si="89"/>
        <v>1.0464261195055613E-3</v>
      </c>
      <c r="L1415" s="34">
        <f t="shared" si="90"/>
        <v>0.99353161903294507</v>
      </c>
      <c r="M1415" s="34">
        <f t="shared" si="91"/>
        <v>0.99249196159623432</v>
      </c>
    </row>
    <row r="1416" spans="1:13" ht="27.6">
      <c r="A1416" t="s">
        <v>164</v>
      </c>
      <c r="B1416" t="s">
        <v>112</v>
      </c>
      <c r="C1416" s="14" t="s">
        <v>294</v>
      </c>
      <c r="D1416" t="s">
        <v>112</v>
      </c>
      <c r="E1416" t="s">
        <v>392</v>
      </c>
      <c r="F1416" s="20">
        <v>2034</v>
      </c>
      <c r="G1416" s="20">
        <v>44</v>
      </c>
      <c r="H1416" s="11">
        <v>6868.5061175938499</v>
      </c>
      <c r="I1416" s="10">
        <v>6378974.4619427901</v>
      </c>
      <c r="J1416" s="34">
        <f t="shared" si="88"/>
        <v>1.076741435252896E-3</v>
      </c>
      <c r="K1416" s="34">
        <f t="shared" si="89"/>
        <v>1.0761619571950654E-3</v>
      </c>
      <c r="L1416" s="34">
        <f t="shared" si="90"/>
        <v>0.99249196159623432</v>
      </c>
      <c r="M1416" s="34">
        <f t="shared" si="91"/>
        <v>0.99142387950434252</v>
      </c>
    </row>
    <row r="1417" spans="1:13" ht="27.6">
      <c r="A1417" t="s">
        <v>164</v>
      </c>
      <c r="B1417" t="s">
        <v>112</v>
      </c>
      <c r="C1417" s="14" t="s">
        <v>294</v>
      </c>
      <c r="D1417" t="s">
        <v>112</v>
      </c>
      <c r="E1417" t="s">
        <v>392</v>
      </c>
      <c r="F1417" s="20">
        <v>2034</v>
      </c>
      <c r="G1417" s="20">
        <v>45</v>
      </c>
      <c r="H1417" s="11">
        <v>6305.7464562990299</v>
      </c>
      <c r="I1417" s="10">
        <v>4285036.0439143199</v>
      </c>
      <c r="J1417" s="34">
        <f t="shared" si="88"/>
        <v>1.4715737257927053E-3</v>
      </c>
      <c r="K1417" s="34">
        <f t="shared" si="89"/>
        <v>1.470491492104764E-3</v>
      </c>
      <c r="L1417" s="34">
        <f t="shared" si="90"/>
        <v>0.99142387950434252</v>
      </c>
      <c r="M1417" s="34">
        <f t="shared" si="91"/>
        <v>0.98996599912446193</v>
      </c>
    </row>
    <row r="1418" spans="1:13" ht="27.6">
      <c r="A1418" t="s">
        <v>164</v>
      </c>
      <c r="B1418" t="s">
        <v>112</v>
      </c>
      <c r="C1418" s="14" t="s">
        <v>294</v>
      </c>
      <c r="D1418" t="s">
        <v>112</v>
      </c>
      <c r="E1418" t="s">
        <v>392</v>
      </c>
      <c r="F1418" s="20">
        <v>2034</v>
      </c>
      <c r="G1418" s="20">
        <v>46</v>
      </c>
      <c r="H1418" s="11">
        <v>6867.3389148482202</v>
      </c>
      <c r="I1418" s="10">
        <v>4263033.5378495604</v>
      </c>
      <c r="J1418" s="34">
        <f t="shared" si="88"/>
        <v>1.6109042666158269E-3</v>
      </c>
      <c r="K1418" s="34">
        <f t="shared" si="89"/>
        <v>1.6096074567767404E-3</v>
      </c>
      <c r="L1418" s="34">
        <f t="shared" si="90"/>
        <v>0.98996599912446193</v>
      </c>
      <c r="M1418" s="34">
        <f t="shared" si="91"/>
        <v>0.98837254247031581</v>
      </c>
    </row>
    <row r="1419" spans="1:13" ht="27.6">
      <c r="A1419" t="s">
        <v>164</v>
      </c>
      <c r="B1419" t="s">
        <v>112</v>
      </c>
      <c r="C1419" s="14" t="s">
        <v>294</v>
      </c>
      <c r="D1419" t="s">
        <v>112</v>
      </c>
      <c r="E1419" t="s">
        <v>392</v>
      </c>
      <c r="F1419" s="20">
        <v>2034</v>
      </c>
      <c r="G1419" s="20">
        <v>47</v>
      </c>
      <c r="H1419" s="11">
        <v>7287.1781366580599</v>
      </c>
      <c r="I1419" s="10">
        <v>4127488.96735927</v>
      </c>
      <c r="J1419" s="34">
        <f t="shared" si="88"/>
        <v>1.7655233470727676E-3</v>
      </c>
      <c r="K1419" s="34">
        <f t="shared" si="89"/>
        <v>1.7639657275343446E-3</v>
      </c>
      <c r="L1419" s="34">
        <f t="shared" si="90"/>
        <v>0.98837254247031581</v>
      </c>
      <c r="M1419" s="34">
        <f t="shared" si="91"/>
        <v>0.98662908717936215</v>
      </c>
    </row>
    <row r="1420" spans="1:13" ht="27.6">
      <c r="A1420" t="s">
        <v>164</v>
      </c>
      <c r="B1420" t="s">
        <v>112</v>
      </c>
      <c r="C1420" s="14" t="s">
        <v>294</v>
      </c>
      <c r="D1420" t="s">
        <v>112</v>
      </c>
      <c r="E1420" t="s">
        <v>392</v>
      </c>
      <c r="F1420" s="20">
        <v>2034</v>
      </c>
      <c r="G1420" s="20">
        <v>48</v>
      </c>
      <c r="H1420" s="11">
        <v>7908.2958569189504</v>
      </c>
      <c r="I1420" s="10">
        <v>4087858.1122416202</v>
      </c>
      <c r="J1420" s="34">
        <f t="shared" si="88"/>
        <v>1.9345817882564307E-3</v>
      </c>
      <c r="K1420" s="34">
        <f t="shared" si="89"/>
        <v>1.9327116910551334E-3</v>
      </c>
      <c r="L1420" s="34">
        <f t="shared" si="90"/>
        <v>0.98662908717936215</v>
      </c>
      <c r="M1420" s="34">
        <f t="shared" si="91"/>
        <v>0.98472221760783551</v>
      </c>
    </row>
    <row r="1421" spans="1:13" ht="27.6">
      <c r="A1421" t="s">
        <v>164</v>
      </c>
      <c r="B1421" t="s">
        <v>112</v>
      </c>
      <c r="C1421" s="14" t="s">
        <v>294</v>
      </c>
      <c r="D1421" t="s">
        <v>112</v>
      </c>
      <c r="E1421" t="s">
        <v>392</v>
      </c>
      <c r="F1421" s="20">
        <v>2034</v>
      </c>
      <c r="G1421" s="20">
        <v>49</v>
      </c>
      <c r="H1421" s="11">
        <v>8774.1629087559995</v>
      </c>
      <c r="I1421" s="10">
        <v>4139676.3634214099</v>
      </c>
      <c r="J1421" s="34">
        <f t="shared" si="88"/>
        <v>2.1195287115401995E-3</v>
      </c>
      <c r="K1421" s="34">
        <f t="shared" si="89"/>
        <v>2.1172840966826589E-3</v>
      </c>
      <c r="L1421" s="34">
        <f t="shared" si="90"/>
        <v>0.98472221760783551</v>
      </c>
      <c r="M1421" s="34">
        <f t="shared" si="91"/>
        <v>0.98263728091684432</v>
      </c>
    </row>
    <row r="1422" spans="1:13" ht="27.6">
      <c r="A1422" t="s">
        <v>164</v>
      </c>
      <c r="B1422" t="s">
        <v>112</v>
      </c>
      <c r="C1422" s="14" t="s">
        <v>294</v>
      </c>
      <c r="D1422" t="s">
        <v>112</v>
      </c>
      <c r="E1422" t="s">
        <v>392</v>
      </c>
      <c r="F1422" s="20">
        <v>2034</v>
      </c>
      <c r="G1422" s="20">
        <v>50</v>
      </c>
      <c r="H1422" s="11">
        <v>10347.1644992363</v>
      </c>
      <c r="I1422" s="10">
        <v>4215253.4720759103</v>
      </c>
      <c r="J1422" s="34">
        <f t="shared" si="88"/>
        <v>2.4546956826633185E-3</v>
      </c>
      <c r="K1422" s="34">
        <f t="shared" si="89"/>
        <v>2.4516853808448369E-3</v>
      </c>
      <c r="L1422" s="34">
        <f t="shared" si="90"/>
        <v>0.98263728091684432</v>
      </c>
      <c r="M1422" s="34">
        <f t="shared" si="91"/>
        <v>0.98022816346054742</v>
      </c>
    </row>
    <row r="1423" spans="1:13" ht="27.6">
      <c r="A1423" t="s">
        <v>164</v>
      </c>
      <c r="B1423" t="s">
        <v>112</v>
      </c>
      <c r="C1423" s="14" t="s">
        <v>294</v>
      </c>
      <c r="D1423" t="s">
        <v>112</v>
      </c>
      <c r="E1423" t="s">
        <v>392</v>
      </c>
      <c r="F1423" s="20">
        <v>2034</v>
      </c>
      <c r="G1423" s="20">
        <v>51</v>
      </c>
      <c r="H1423" s="11">
        <v>11224.725198316601</v>
      </c>
      <c r="I1423" s="10">
        <v>4182333.8311487399</v>
      </c>
      <c r="J1423" s="34">
        <f t="shared" si="88"/>
        <v>2.6838424792201641E-3</v>
      </c>
      <c r="K1423" s="34">
        <f t="shared" si="89"/>
        <v>2.6802441937904264E-3</v>
      </c>
      <c r="L1423" s="34">
        <f t="shared" si="90"/>
        <v>0.98022816346054742</v>
      </c>
      <c r="M1423" s="34">
        <f t="shared" si="91"/>
        <v>0.97760091261684245</v>
      </c>
    </row>
    <row r="1424" spans="1:13" ht="27.6">
      <c r="A1424" t="s">
        <v>164</v>
      </c>
      <c r="B1424" t="s">
        <v>112</v>
      </c>
      <c r="C1424" s="14" t="s">
        <v>294</v>
      </c>
      <c r="D1424" t="s">
        <v>112</v>
      </c>
      <c r="E1424" t="s">
        <v>392</v>
      </c>
      <c r="F1424" s="20">
        <v>2034</v>
      </c>
      <c r="G1424" s="20">
        <v>52</v>
      </c>
      <c r="H1424" s="11">
        <v>11856.072340447799</v>
      </c>
      <c r="I1424" s="10">
        <v>4039712.9515056801</v>
      </c>
      <c r="J1424" s="34">
        <f t="shared" si="88"/>
        <v>2.9348798993326518E-3</v>
      </c>
      <c r="K1424" s="34">
        <f t="shared" si="89"/>
        <v>2.9305773495058585E-3</v>
      </c>
      <c r="L1424" s="34">
        <f t="shared" si="90"/>
        <v>0.97760091261684245</v>
      </c>
      <c r="M1424" s="34">
        <f t="shared" si="91"/>
        <v>0.97473597752547125</v>
      </c>
    </row>
    <row r="1425" spans="1:13" ht="27.6">
      <c r="A1425" t="s">
        <v>164</v>
      </c>
      <c r="B1425" t="s">
        <v>112</v>
      </c>
      <c r="C1425" s="14" t="s">
        <v>294</v>
      </c>
      <c r="D1425" t="s">
        <v>112</v>
      </c>
      <c r="E1425" t="s">
        <v>392</v>
      </c>
      <c r="F1425" s="20">
        <v>2034</v>
      </c>
      <c r="G1425" s="20">
        <v>53</v>
      </c>
      <c r="H1425" s="11">
        <v>12683.784579651599</v>
      </c>
      <c r="I1425" s="10">
        <v>3957689.8170771101</v>
      </c>
      <c r="J1425" s="34">
        <f t="shared" si="88"/>
        <v>3.2048455452274452E-3</v>
      </c>
      <c r="K1425" s="34">
        <f t="shared" si="89"/>
        <v>3.1997155095303542E-3</v>
      </c>
      <c r="L1425" s="34">
        <f t="shared" si="90"/>
        <v>0.97473597752547125</v>
      </c>
      <c r="M1425" s="34">
        <f t="shared" si="91"/>
        <v>0.97161709970048582</v>
      </c>
    </row>
    <row r="1426" spans="1:13" ht="27.6">
      <c r="A1426" t="s">
        <v>164</v>
      </c>
      <c r="B1426" t="s">
        <v>112</v>
      </c>
      <c r="C1426" s="14" t="s">
        <v>294</v>
      </c>
      <c r="D1426" t="s">
        <v>112</v>
      </c>
      <c r="E1426" t="s">
        <v>392</v>
      </c>
      <c r="F1426" s="20">
        <v>2034</v>
      </c>
      <c r="G1426" s="20">
        <v>54</v>
      </c>
      <c r="H1426" s="11">
        <v>13611.537126204899</v>
      </c>
      <c r="I1426" s="10">
        <v>3890576.79344405</v>
      </c>
      <c r="J1426" s="34">
        <f t="shared" si="88"/>
        <v>3.498591044171519E-3</v>
      </c>
      <c r="K1426" s="34">
        <f t="shared" si="89"/>
        <v>3.4924781054931353E-3</v>
      </c>
      <c r="L1426" s="34">
        <f t="shared" si="90"/>
        <v>0.97161709970048582</v>
      </c>
      <c r="M1426" s="34">
        <f t="shared" si="91"/>
        <v>0.96822374825285917</v>
      </c>
    </row>
    <row r="1427" spans="1:13" ht="27.6">
      <c r="A1427" t="s">
        <v>164</v>
      </c>
      <c r="B1427" t="s">
        <v>112</v>
      </c>
      <c r="C1427" s="14" t="s">
        <v>294</v>
      </c>
      <c r="D1427" t="s">
        <v>112</v>
      </c>
      <c r="E1427" t="s">
        <v>392</v>
      </c>
      <c r="F1427" s="20">
        <v>2034</v>
      </c>
      <c r="G1427" s="20">
        <v>55</v>
      </c>
      <c r="H1427" s="11">
        <v>14617.704126258999</v>
      </c>
      <c r="I1427" s="10">
        <v>3817599.8178590601</v>
      </c>
      <c r="J1427" s="34">
        <f t="shared" si="88"/>
        <v>3.8290299726744859E-3</v>
      </c>
      <c r="K1427" s="34">
        <f t="shared" si="89"/>
        <v>3.8217085849939769E-3</v>
      </c>
      <c r="L1427" s="34">
        <f t="shared" si="90"/>
        <v>0.96822374825285917</v>
      </c>
      <c r="M1427" s="34">
        <f t="shared" si="91"/>
        <v>0.96452347924196613</v>
      </c>
    </row>
    <row r="1428" spans="1:13" ht="27.6">
      <c r="A1428" t="s">
        <v>164</v>
      </c>
      <c r="B1428" t="s">
        <v>112</v>
      </c>
      <c r="C1428" s="14" t="s">
        <v>294</v>
      </c>
      <c r="D1428" t="s">
        <v>112</v>
      </c>
      <c r="E1428" t="s">
        <v>392</v>
      </c>
      <c r="F1428" s="20">
        <v>2034</v>
      </c>
      <c r="G1428" s="20">
        <v>56</v>
      </c>
      <c r="H1428" s="11">
        <v>15568.2645139447</v>
      </c>
      <c r="I1428" s="10">
        <v>3724905.4425386698</v>
      </c>
      <c r="J1428" s="34">
        <f t="shared" si="88"/>
        <v>4.1795059644075998E-3</v>
      </c>
      <c r="K1428" s="34">
        <f t="shared" si="89"/>
        <v>4.1707839847739958E-3</v>
      </c>
      <c r="L1428" s="34">
        <f t="shared" si="90"/>
        <v>0.96452347924196613</v>
      </c>
      <c r="M1428" s="34">
        <f t="shared" si="91"/>
        <v>0.96050066016180524</v>
      </c>
    </row>
    <row r="1429" spans="1:13" ht="27.6">
      <c r="A1429" t="s">
        <v>164</v>
      </c>
      <c r="B1429" t="s">
        <v>112</v>
      </c>
      <c r="C1429" s="14" t="s">
        <v>294</v>
      </c>
      <c r="D1429" t="s">
        <v>112</v>
      </c>
      <c r="E1429" t="s">
        <v>392</v>
      </c>
      <c r="F1429" s="20">
        <v>2034</v>
      </c>
      <c r="G1429" s="20">
        <v>57</v>
      </c>
      <c r="H1429" s="11">
        <v>16672.5680367034</v>
      </c>
      <c r="I1429" s="10">
        <v>3648281.6396305598</v>
      </c>
      <c r="J1429" s="34">
        <f t="shared" si="88"/>
        <v>4.5699783305084233E-3</v>
      </c>
      <c r="K1429" s="34">
        <f t="shared" si="89"/>
        <v>4.5595518684864444E-3</v>
      </c>
      <c r="L1429" s="34">
        <f t="shared" si="90"/>
        <v>0.96050066016180524</v>
      </c>
      <c r="M1429" s="34">
        <f t="shared" si="91"/>
        <v>0.95612120758208197</v>
      </c>
    </row>
    <row r="1430" spans="1:13" ht="27.6">
      <c r="A1430" t="s">
        <v>164</v>
      </c>
      <c r="B1430" t="s">
        <v>112</v>
      </c>
      <c r="C1430" s="14" t="s">
        <v>294</v>
      </c>
      <c r="D1430" t="s">
        <v>112</v>
      </c>
      <c r="E1430" t="s">
        <v>392</v>
      </c>
      <c r="F1430" s="20">
        <v>2034</v>
      </c>
      <c r="G1430" s="20">
        <v>58</v>
      </c>
      <c r="H1430" s="11">
        <v>17777.268190216</v>
      </c>
      <c r="I1430" s="10">
        <v>3559753.98871241</v>
      </c>
      <c r="J1430" s="34">
        <f t="shared" si="88"/>
        <v>4.9939597642381381E-3</v>
      </c>
      <c r="K1430" s="34">
        <f t="shared" si="89"/>
        <v>4.9815106792060471E-3</v>
      </c>
      <c r="L1430" s="34">
        <f t="shared" si="90"/>
        <v>0.95612120758208197</v>
      </c>
      <c r="M1430" s="34">
        <f t="shared" si="91"/>
        <v>0.95135827957589647</v>
      </c>
    </row>
    <row r="1431" spans="1:13" ht="27.6">
      <c r="A1431" t="s">
        <v>164</v>
      </c>
      <c r="B1431" t="s">
        <v>112</v>
      </c>
      <c r="C1431" s="14" t="s">
        <v>294</v>
      </c>
      <c r="D1431" t="s">
        <v>112</v>
      </c>
      <c r="E1431" t="s">
        <v>392</v>
      </c>
      <c r="F1431" s="20">
        <v>2034</v>
      </c>
      <c r="G1431" s="20">
        <v>59</v>
      </c>
      <c r="H1431" s="11">
        <v>18948.3148180102</v>
      </c>
      <c r="I1431" s="10">
        <v>3469864.2998573901</v>
      </c>
      <c r="J1431" s="34">
        <f t="shared" si="88"/>
        <v>5.4608230122396911E-3</v>
      </c>
      <c r="K1431" s="34">
        <f t="shared" si="89"/>
        <v>5.4459398220673139E-3</v>
      </c>
      <c r="L1431" s="34">
        <f t="shared" si="90"/>
        <v>0.95135827957589647</v>
      </c>
      <c r="M1431" s="34">
        <f t="shared" si="91"/>
        <v>0.94617723963610068</v>
      </c>
    </row>
    <row r="1432" spans="1:13" ht="27.6">
      <c r="A1432" t="s">
        <v>164</v>
      </c>
      <c r="B1432" t="s">
        <v>112</v>
      </c>
      <c r="C1432" s="14" t="s">
        <v>294</v>
      </c>
      <c r="D1432" t="s">
        <v>112</v>
      </c>
      <c r="E1432" t="s">
        <v>392</v>
      </c>
      <c r="F1432" s="20">
        <v>2034</v>
      </c>
      <c r="G1432" s="20">
        <v>60</v>
      </c>
      <c r="H1432" s="11">
        <v>20222.045317260901</v>
      </c>
      <c r="I1432" s="10">
        <v>3353195.72370935</v>
      </c>
      <c r="J1432" s="34">
        <f t="shared" si="88"/>
        <v>6.030678488069585E-3</v>
      </c>
      <c r="K1432" s="34">
        <f t="shared" si="89"/>
        <v>6.0125304465509233E-3</v>
      </c>
      <c r="L1432" s="34">
        <f t="shared" si="90"/>
        <v>0.94617723963610068</v>
      </c>
      <c r="M1432" s="34">
        <f t="shared" si="91"/>
        <v>0.94048832017495509</v>
      </c>
    </row>
    <row r="1433" spans="1:13" ht="27.6">
      <c r="A1433" t="s">
        <v>164</v>
      </c>
      <c r="B1433" t="s">
        <v>112</v>
      </c>
      <c r="C1433" s="14" t="s">
        <v>294</v>
      </c>
      <c r="D1433" t="s">
        <v>112</v>
      </c>
      <c r="E1433" t="s">
        <v>392</v>
      </c>
      <c r="F1433" s="20">
        <v>2034</v>
      </c>
      <c r="G1433" s="20">
        <v>61</v>
      </c>
      <c r="H1433" s="11">
        <v>21728.375563526301</v>
      </c>
      <c r="I1433" s="10">
        <v>3292113.15578824</v>
      </c>
      <c r="J1433" s="34">
        <f t="shared" si="88"/>
        <v>6.6001302310411663E-3</v>
      </c>
      <c r="K1433" s="34">
        <f t="shared" si="89"/>
        <v>6.5783972113808709E-3</v>
      </c>
      <c r="L1433" s="34">
        <f t="shared" si="90"/>
        <v>0.94048832017495509</v>
      </c>
      <c r="M1433" s="34">
        <f t="shared" si="91"/>
        <v>0.93430141443217984</v>
      </c>
    </row>
    <row r="1434" spans="1:13" ht="27.6">
      <c r="A1434" t="s">
        <v>164</v>
      </c>
      <c r="B1434" t="s">
        <v>112</v>
      </c>
      <c r="C1434" s="14" t="s">
        <v>294</v>
      </c>
      <c r="D1434" t="s">
        <v>112</v>
      </c>
      <c r="E1434" t="s">
        <v>392</v>
      </c>
      <c r="F1434" s="20">
        <v>2034</v>
      </c>
      <c r="G1434" s="20">
        <v>62</v>
      </c>
      <c r="H1434" s="11">
        <v>22263.865163139999</v>
      </c>
      <c r="I1434" s="10">
        <v>3076987.6486239298</v>
      </c>
      <c r="J1434" s="34">
        <f t="shared" si="88"/>
        <v>7.2356043330549921E-3</v>
      </c>
      <c r="K1434" s="34">
        <f t="shared" si="89"/>
        <v>7.2094903694175372E-3</v>
      </c>
      <c r="L1434" s="34">
        <f t="shared" si="90"/>
        <v>0.93430141443217984</v>
      </c>
      <c r="M1434" s="34">
        <f t="shared" si="91"/>
        <v>0.92756557738269785</v>
      </c>
    </row>
    <row r="1435" spans="1:13" ht="27.6">
      <c r="A1435" t="s">
        <v>164</v>
      </c>
      <c r="B1435" t="s">
        <v>112</v>
      </c>
      <c r="C1435" s="14" t="s">
        <v>294</v>
      </c>
      <c r="D1435" t="s">
        <v>112</v>
      </c>
      <c r="E1435" t="s">
        <v>392</v>
      </c>
      <c r="F1435" s="20">
        <v>2034</v>
      </c>
      <c r="G1435" s="20">
        <v>63</v>
      </c>
      <c r="H1435" s="11">
        <v>23582.475622329799</v>
      </c>
      <c r="I1435" s="10">
        <v>2975575.0580434701</v>
      </c>
      <c r="J1435" s="34">
        <f t="shared" si="88"/>
        <v>7.9253506170454281E-3</v>
      </c>
      <c r="K1435" s="34">
        <f t="shared" si="89"/>
        <v>7.8940278284928E-3</v>
      </c>
      <c r="L1435" s="34">
        <f t="shared" si="90"/>
        <v>0.92756557738269785</v>
      </c>
      <c r="M1435" s="34">
        <f t="shared" si="91"/>
        <v>0.92024334890208681</v>
      </c>
    </row>
    <row r="1436" spans="1:13" ht="27.6">
      <c r="A1436" t="s">
        <v>164</v>
      </c>
      <c r="B1436" t="s">
        <v>112</v>
      </c>
      <c r="C1436" s="14" t="s">
        <v>294</v>
      </c>
      <c r="D1436" t="s">
        <v>112</v>
      </c>
      <c r="E1436" t="s">
        <v>392</v>
      </c>
      <c r="F1436" s="20">
        <v>2034</v>
      </c>
      <c r="G1436" s="20">
        <v>64</v>
      </c>
      <c r="H1436" s="11">
        <v>24987.117911810899</v>
      </c>
      <c r="I1436" s="10">
        <v>2877516.6609167098</v>
      </c>
      <c r="J1436" s="34">
        <f t="shared" si="88"/>
        <v>8.6835701948118644E-3</v>
      </c>
      <c r="K1436" s="34">
        <f t="shared" si="89"/>
        <v>8.6459768925368774E-3</v>
      </c>
      <c r="L1436" s="34">
        <f t="shared" si="90"/>
        <v>0.92024334890208681</v>
      </c>
      <c r="M1436" s="34">
        <f t="shared" si="91"/>
        <v>0.91228694617196859</v>
      </c>
    </row>
    <row r="1437" spans="1:13" ht="27.6">
      <c r="A1437" t="s">
        <v>164</v>
      </c>
      <c r="B1437" t="s">
        <v>112</v>
      </c>
      <c r="C1437" s="14" t="s">
        <v>294</v>
      </c>
      <c r="D1437" t="s">
        <v>112</v>
      </c>
      <c r="E1437" t="s">
        <v>392</v>
      </c>
      <c r="F1437" s="20">
        <v>2034</v>
      </c>
      <c r="G1437" s="20">
        <v>65</v>
      </c>
      <c r="H1437" s="11">
        <v>25463.939359160799</v>
      </c>
      <c r="I1437" s="10">
        <v>2770263.69819981</v>
      </c>
      <c r="J1437" s="34">
        <f t="shared" si="88"/>
        <v>9.1918828433942713E-3</v>
      </c>
      <c r="K1437" s="34">
        <f t="shared" si="89"/>
        <v>9.1497666295101698E-3</v>
      </c>
      <c r="L1437" s="34">
        <f t="shared" si="90"/>
        <v>0.91228694617196859</v>
      </c>
      <c r="M1437" s="34">
        <f t="shared" si="91"/>
        <v>0.90393973351534662</v>
      </c>
    </row>
    <row r="1438" spans="1:13" ht="27.6">
      <c r="A1438" t="s">
        <v>164</v>
      </c>
      <c r="B1438" t="s">
        <v>112</v>
      </c>
      <c r="C1438" s="14" t="s">
        <v>294</v>
      </c>
      <c r="D1438" t="s">
        <v>112</v>
      </c>
      <c r="E1438" t="s">
        <v>392</v>
      </c>
      <c r="F1438" s="20">
        <v>2034</v>
      </c>
      <c r="G1438" s="20">
        <v>66</v>
      </c>
      <c r="H1438" s="11">
        <v>26661.047150542701</v>
      </c>
      <c r="I1438" s="10">
        <v>2644866.6421048599</v>
      </c>
      <c r="J1438" s="34">
        <f t="shared" si="88"/>
        <v>1.0080299220426888E-2</v>
      </c>
      <c r="K1438" s="34">
        <f t="shared" si="89"/>
        <v>1.0029663288848023E-2</v>
      </c>
      <c r="L1438" s="34">
        <f t="shared" si="90"/>
        <v>0.90393973351534662</v>
      </c>
      <c r="M1438" s="34">
        <f t="shared" si="91"/>
        <v>0.89487352235477668</v>
      </c>
    </row>
    <row r="1439" spans="1:13" ht="27.6">
      <c r="A1439" t="s">
        <v>164</v>
      </c>
      <c r="B1439" t="s">
        <v>112</v>
      </c>
      <c r="C1439" s="14" t="s">
        <v>294</v>
      </c>
      <c r="D1439" t="s">
        <v>112</v>
      </c>
      <c r="E1439" t="s">
        <v>392</v>
      </c>
      <c r="F1439" s="20">
        <v>2034</v>
      </c>
      <c r="G1439" s="20">
        <v>67</v>
      </c>
      <c r="H1439" s="11">
        <v>27569.410198395599</v>
      </c>
      <c r="I1439" s="10">
        <v>2490717.4658864401</v>
      </c>
      <c r="J1439" s="34">
        <f t="shared" si="88"/>
        <v>1.1068862918413637E-2</v>
      </c>
      <c r="K1439" s="34">
        <f t="shared" si="89"/>
        <v>1.1007828456856439E-2</v>
      </c>
      <c r="L1439" s="34">
        <f t="shared" si="90"/>
        <v>0.89487352235477668</v>
      </c>
      <c r="M1439" s="34">
        <f t="shared" si="91"/>
        <v>0.88502290813011242</v>
      </c>
    </row>
    <row r="1440" spans="1:13" ht="27.6">
      <c r="A1440" t="s">
        <v>164</v>
      </c>
      <c r="B1440" t="s">
        <v>112</v>
      </c>
      <c r="C1440" s="14" t="s">
        <v>294</v>
      </c>
      <c r="D1440" t="s">
        <v>112</v>
      </c>
      <c r="E1440" t="s">
        <v>392</v>
      </c>
      <c r="F1440" s="20">
        <v>2034</v>
      </c>
      <c r="G1440" s="20">
        <v>68</v>
      </c>
      <c r="H1440" s="11">
        <v>28793.501124063401</v>
      </c>
      <c r="I1440" s="10">
        <v>2369504.43718229</v>
      </c>
      <c r="J1440" s="34">
        <f t="shared" si="88"/>
        <v>1.215169749093332E-2</v>
      </c>
      <c r="K1440" s="34">
        <f t="shared" si="89"/>
        <v>1.207816376953097E-2</v>
      </c>
      <c r="L1440" s="34">
        <f t="shared" si="90"/>
        <v>0.88502290813011242</v>
      </c>
      <c r="M1440" s="34">
        <f t="shared" si="91"/>
        <v>0.87433345650593031</v>
      </c>
    </row>
    <row r="1441" spans="1:13" ht="27.6">
      <c r="A1441" t="s">
        <v>164</v>
      </c>
      <c r="B1441" t="s">
        <v>112</v>
      </c>
      <c r="C1441" s="14" t="s">
        <v>294</v>
      </c>
      <c r="D1441" t="s">
        <v>112</v>
      </c>
      <c r="E1441" t="s">
        <v>392</v>
      </c>
      <c r="F1441" s="20">
        <v>2034</v>
      </c>
      <c r="G1441" s="20">
        <v>69</v>
      </c>
      <c r="H1441" s="11">
        <v>29760.814647467101</v>
      </c>
      <c r="I1441" s="10">
        <v>2229313.0570105598</v>
      </c>
      <c r="J1441" s="34">
        <f t="shared" si="88"/>
        <v>1.3349769138021125E-2</v>
      </c>
      <c r="K1441" s="34">
        <f t="shared" si="89"/>
        <v>1.326105617464024E-2</v>
      </c>
      <c r="L1441" s="34">
        <f t="shared" si="90"/>
        <v>0.87433345650593031</v>
      </c>
      <c r="M1441" s="34">
        <f t="shared" si="91"/>
        <v>0.86273887142383776</v>
      </c>
    </row>
    <row r="1442" spans="1:13" ht="27.6">
      <c r="A1442" t="s">
        <v>164</v>
      </c>
      <c r="B1442" t="s">
        <v>112</v>
      </c>
      <c r="C1442" s="14" t="s">
        <v>294</v>
      </c>
      <c r="D1442" t="s">
        <v>112</v>
      </c>
      <c r="E1442" t="s">
        <v>392</v>
      </c>
      <c r="F1442" s="20">
        <v>2035</v>
      </c>
      <c r="G1442" s="20">
        <v>30</v>
      </c>
      <c r="H1442" s="11">
        <v>808.76044909437599</v>
      </c>
      <c r="I1442" s="10">
        <v>4552852.62019601</v>
      </c>
      <c r="J1442" s="34">
        <f t="shared" si="88"/>
        <v>1.7763817908508472E-4</v>
      </c>
      <c r="K1442" s="34">
        <f t="shared" si="89"/>
        <v>1.7762240235796867E-4</v>
      </c>
      <c r="L1442" s="34">
        <f t="shared" si="90"/>
        <v>1</v>
      </c>
      <c r="M1442" s="34">
        <f t="shared" si="91"/>
        <v>0.99982237759764203</v>
      </c>
    </row>
    <row r="1443" spans="1:13" ht="27.6">
      <c r="A1443" t="s">
        <v>164</v>
      </c>
      <c r="B1443" t="s">
        <v>112</v>
      </c>
      <c r="C1443" s="14" t="s">
        <v>294</v>
      </c>
      <c r="D1443" t="s">
        <v>112</v>
      </c>
      <c r="E1443" t="s">
        <v>392</v>
      </c>
      <c r="F1443" s="20">
        <v>2035</v>
      </c>
      <c r="G1443" s="20">
        <v>31</v>
      </c>
      <c r="H1443" s="11">
        <v>984.70028749717903</v>
      </c>
      <c r="I1443" s="10">
        <v>4424108.03798398</v>
      </c>
      <c r="J1443" s="34">
        <f t="shared" si="88"/>
        <v>2.2257600380525442E-4</v>
      </c>
      <c r="K1443" s="34">
        <f t="shared" si="89"/>
        <v>2.2255123560410706E-4</v>
      </c>
      <c r="L1443" s="34">
        <f t="shared" si="90"/>
        <v>0.99982237759764203</v>
      </c>
      <c r="M1443" s="34">
        <f t="shared" si="91"/>
        <v>0.99959986589212302</v>
      </c>
    </row>
    <row r="1444" spans="1:13" ht="27.6">
      <c r="A1444" t="s">
        <v>164</v>
      </c>
      <c r="B1444" t="s">
        <v>112</v>
      </c>
      <c r="C1444" s="14" t="s">
        <v>294</v>
      </c>
      <c r="D1444" t="s">
        <v>112</v>
      </c>
      <c r="E1444" t="s">
        <v>392</v>
      </c>
      <c r="F1444" s="20">
        <v>2035</v>
      </c>
      <c r="G1444" s="20">
        <v>32</v>
      </c>
      <c r="H1444" s="11">
        <v>1021.78689935896</v>
      </c>
      <c r="I1444" s="10">
        <v>4358877.5655704699</v>
      </c>
      <c r="J1444" s="34">
        <f t="shared" si="88"/>
        <v>2.3441514105139433E-4</v>
      </c>
      <c r="K1444" s="34">
        <f t="shared" si="89"/>
        <v>2.34387667969016E-4</v>
      </c>
      <c r="L1444" s="34">
        <f t="shared" si="90"/>
        <v>0.99959986589212302</v>
      </c>
      <c r="M1444" s="34">
        <f t="shared" si="91"/>
        <v>0.99936557201065446</v>
      </c>
    </row>
    <row r="1445" spans="1:13" ht="27.6">
      <c r="A1445" t="s">
        <v>164</v>
      </c>
      <c r="B1445" t="s">
        <v>112</v>
      </c>
      <c r="C1445" s="14" t="s">
        <v>294</v>
      </c>
      <c r="D1445" t="s">
        <v>112</v>
      </c>
      <c r="E1445" t="s">
        <v>392</v>
      </c>
      <c r="F1445" s="20">
        <v>2035</v>
      </c>
      <c r="G1445" s="20">
        <v>33</v>
      </c>
      <c r="H1445" s="11">
        <v>1225.1473853320599</v>
      </c>
      <c r="I1445" s="10">
        <v>4337721.4542309903</v>
      </c>
      <c r="J1445" s="34">
        <f t="shared" si="88"/>
        <v>2.8244030841054988E-4</v>
      </c>
      <c r="K1445" s="34">
        <f t="shared" si="89"/>
        <v>2.8240042590155223E-4</v>
      </c>
      <c r="L1445" s="34">
        <f t="shared" si="90"/>
        <v>0.99936557201065446</v>
      </c>
      <c r="M1445" s="34">
        <f t="shared" si="91"/>
        <v>0.99908335074748733</v>
      </c>
    </row>
    <row r="1446" spans="1:13" ht="27.6">
      <c r="A1446" t="s">
        <v>164</v>
      </c>
      <c r="B1446" t="s">
        <v>112</v>
      </c>
      <c r="C1446" s="14" t="s">
        <v>294</v>
      </c>
      <c r="D1446" t="s">
        <v>112</v>
      </c>
      <c r="E1446" t="s">
        <v>392</v>
      </c>
      <c r="F1446" s="20">
        <v>2035</v>
      </c>
      <c r="G1446" s="20">
        <v>34</v>
      </c>
      <c r="H1446" s="11">
        <v>1296.62150825137</v>
      </c>
      <c r="I1446" s="10">
        <v>4317717.9327642303</v>
      </c>
      <c r="J1446" s="34">
        <f t="shared" si="88"/>
        <v>3.0030250434197878E-4</v>
      </c>
      <c r="K1446" s="34">
        <f t="shared" si="89"/>
        <v>3.0025741805816963E-4</v>
      </c>
      <c r="L1446" s="34">
        <f t="shared" si="90"/>
        <v>0.99908335074748733</v>
      </c>
      <c r="M1446" s="34">
        <f t="shared" si="91"/>
        <v>0.99878336856016703</v>
      </c>
    </row>
    <row r="1447" spans="1:13" ht="27.6">
      <c r="A1447" t="s">
        <v>164</v>
      </c>
      <c r="B1447" t="s">
        <v>112</v>
      </c>
      <c r="C1447" s="14" t="s">
        <v>294</v>
      </c>
      <c r="D1447" t="s">
        <v>112</v>
      </c>
      <c r="E1447" t="s">
        <v>392</v>
      </c>
      <c r="F1447" s="20">
        <v>2035</v>
      </c>
      <c r="G1447" s="20">
        <v>35</v>
      </c>
      <c r="H1447" s="11">
        <v>1737.3901083132801</v>
      </c>
      <c r="I1447" s="10">
        <v>4297390.4487298699</v>
      </c>
      <c r="J1447" s="34">
        <f t="shared" si="88"/>
        <v>4.0428956340859843E-4</v>
      </c>
      <c r="K1447" s="34">
        <f t="shared" si="89"/>
        <v>4.0420784939543264E-4</v>
      </c>
      <c r="L1447" s="34">
        <f t="shared" si="90"/>
        <v>0.99878336856016703</v>
      </c>
      <c r="M1447" s="34">
        <f t="shared" si="91"/>
        <v>0.9983796524827494</v>
      </c>
    </row>
    <row r="1448" spans="1:13" ht="27.6">
      <c r="A1448" t="s">
        <v>164</v>
      </c>
      <c r="B1448" t="s">
        <v>112</v>
      </c>
      <c r="C1448" s="14" t="s">
        <v>294</v>
      </c>
      <c r="D1448" t="s">
        <v>112</v>
      </c>
      <c r="E1448" t="s">
        <v>392</v>
      </c>
      <c r="F1448" s="20">
        <v>2035</v>
      </c>
      <c r="G1448" s="20">
        <v>36</v>
      </c>
      <c r="H1448" s="11">
        <v>1950.6739828264799</v>
      </c>
      <c r="I1448" s="10">
        <v>4316177.3131216196</v>
      </c>
      <c r="J1448" s="34">
        <f t="shared" si="88"/>
        <v>4.5194482091739647E-4</v>
      </c>
      <c r="K1448" s="34">
        <f t="shared" si="89"/>
        <v>4.5184270924036873E-4</v>
      </c>
      <c r="L1448" s="34">
        <f t="shared" si="90"/>
        <v>0.9983796524827494</v>
      </c>
      <c r="M1448" s="34">
        <f t="shared" si="91"/>
        <v>0.99792854191572111</v>
      </c>
    </row>
    <row r="1449" spans="1:13" ht="27.6">
      <c r="A1449" t="s">
        <v>164</v>
      </c>
      <c r="B1449" t="s">
        <v>112</v>
      </c>
      <c r="C1449" s="14" t="s">
        <v>294</v>
      </c>
      <c r="D1449" t="s">
        <v>112</v>
      </c>
      <c r="E1449" t="s">
        <v>392</v>
      </c>
      <c r="F1449" s="20">
        <v>2035</v>
      </c>
      <c r="G1449" s="20">
        <v>37</v>
      </c>
      <c r="H1449" s="11">
        <v>2125.5516255091902</v>
      </c>
      <c r="I1449" s="10">
        <v>4374214.6409642603</v>
      </c>
      <c r="J1449" s="34">
        <f t="shared" si="88"/>
        <v>4.8592760071797242E-4</v>
      </c>
      <c r="K1449" s="34">
        <f t="shared" si="89"/>
        <v>4.8580955702237638E-4</v>
      </c>
      <c r="L1449" s="34">
        <f t="shared" si="90"/>
        <v>0.99792854191572111</v>
      </c>
      <c r="M1449" s="34">
        <f t="shared" si="91"/>
        <v>0.99744373869283309</v>
      </c>
    </row>
    <row r="1450" spans="1:13" ht="27.6">
      <c r="A1450" t="s">
        <v>164</v>
      </c>
      <c r="B1450" t="s">
        <v>112</v>
      </c>
      <c r="C1450" s="14" t="s">
        <v>294</v>
      </c>
      <c r="D1450" t="s">
        <v>112</v>
      </c>
      <c r="E1450" t="s">
        <v>392</v>
      </c>
      <c r="F1450" s="20">
        <v>2035</v>
      </c>
      <c r="G1450" s="20">
        <v>38</v>
      </c>
      <c r="H1450" s="11">
        <v>2567.97431961046</v>
      </c>
      <c r="I1450" s="10">
        <v>4510764.8237031503</v>
      </c>
      <c r="J1450" s="34">
        <f t="shared" si="88"/>
        <v>5.6929909227727371E-4</v>
      </c>
      <c r="K1450" s="34">
        <f t="shared" si="89"/>
        <v>5.6913707229644395E-4</v>
      </c>
      <c r="L1450" s="34">
        <f t="shared" si="90"/>
        <v>0.99744373869283309</v>
      </c>
      <c r="M1450" s="34">
        <f t="shared" si="91"/>
        <v>0.99687605648361299</v>
      </c>
    </row>
    <row r="1451" spans="1:13" ht="27.6">
      <c r="A1451" t="s">
        <v>164</v>
      </c>
      <c r="B1451" t="s">
        <v>112</v>
      </c>
      <c r="C1451" s="14" t="s">
        <v>294</v>
      </c>
      <c r="D1451" t="s">
        <v>112</v>
      </c>
      <c r="E1451" t="s">
        <v>392</v>
      </c>
      <c r="F1451" s="20">
        <v>2035</v>
      </c>
      <c r="G1451" s="20">
        <v>39</v>
      </c>
      <c r="H1451" s="11">
        <v>2736.3042006964502</v>
      </c>
      <c r="I1451" s="10">
        <v>4465861.3452594699</v>
      </c>
      <c r="J1451" s="34">
        <f t="shared" si="88"/>
        <v>6.127158881905387E-4</v>
      </c>
      <c r="K1451" s="34">
        <f t="shared" si="89"/>
        <v>6.1252821614254938E-4</v>
      </c>
      <c r="L1451" s="34">
        <f t="shared" si="90"/>
        <v>0.99687605648361299</v>
      </c>
      <c r="M1451" s="34">
        <f t="shared" si="91"/>
        <v>0.99626544177101983</v>
      </c>
    </row>
    <row r="1452" spans="1:13" ht="27.6">
      <c r="A1452" t="s">
        <v>164</v>
      </c>
      <c r="B1452" t="s">
        <v>112</v>
      </c>
      <c r="C1452" s="14" t="s">
        <v>294</v>
      </c>
      <c r="D1452" t="s">
        <v>112</v>
      </c>
      <c r="E1452" t="s">
        <v>392</v>
      </c>
      <c r="F1452" s="20">
        <v>2035</v>
      </c>
      <c r="G1452" s="20">
        <v>40</v>
      </c>
      <c r="H1452" s="11">
        <v>3605.2876878037</v>
      </c>
      <c r="I1452" s="10">
        <v>4390773.8031287799</v>
      </c>
      <c r="J1452" s="34">
        <f t="shared" si="88"/>
        <v>8.2110531069367373E-4</v>
      </c>
      <c r="K1452" s="34">
        <f t="shared" si="89"/>
        <v>8.2076829597588219E-4</v>
      </c>
      <c r="L1452" s="34">
        <f t="shared" si="90"/>
        <v>0.99626544177101983</v>
      </c>
      <c r="M1452" s="34">
        <f t="shared" si="91"/>
        <v>0.99544773868203773</v>
      </c>
    </row>
    <row r="1453" spans="1:13" ht="27.6">
      <c r="A1453" t="s">
        <v>164</v>
      </c>
      <c r="B1453" t="s">
        <v>112</v>
      </c>
      <c r="C1453" s="14" t="s">
        <v>294</v>
      </c>
      <c r="D1453" t="s">
        <v>112</v>
      </c>
      <c r="E1453" t="s">
        <v>392</v>
      </c>
      <c r="F1453" s="20">
        <v>2035</v>
      </c>
      <c r="G1453" s="20">
        <v>41</v>
      </c>
      <c r="H1453" s="11">
        <v>3842.9508266816702</v>
      </c>
      <c r="I1453" s="10">
        <v>4330263.3440181799</v>
      </c>
      <c r="J1453" s="34">
        <f t="shared" si="88"/>
        <v>8.8746353775234418E-4</v>
      </c>
      <c r="K1453" s="34">
        <f t="shared" si="89"/>
        <v>8.8706985845421471E-4</v>
      </c>
      <c r="L1453" s="34">
        <f t="shared" si="90"/>
        <v>0.99544773868203773</v>
      </c>
      <c r="M1453" s="34">
        <f t="shared" si="91"/>
        <v>0.99456470699738653</v>
      </c>
    </row>
    <row r="1454" spans="1:13" ht="27.6">
      <c r="A1454" t="s">
        <v>164</v>
      </c>
      <c r="B1454" t="s">
        <v>112</v>
      </c>
      <c r="C1454" s="14" t="s">
        <v>294</v>
      </c>
      <c r="D1454" t="s">
        <v>112</v>
      </c>
      <c r="E1454" t="s">
        <v>392</v>
      </c>
      <c r="F1454" s="20">
        <v>2035</v>
      </c>
      <c r="G1454" s="20">
        <v>42</v>
      </c>
      <c r="H1454" s="11">
        <v>4110.5277289032801</v>
      </c>
      <c r="I1454" s="10">
        <v>4273793.9509762703</v>
      </c>
      <c r="J1454" s="34">
        <f t="shared" si="88"/>
        <v>9.6179829351957999E-4</v>
      </c>
      <c r="K1454" s="34">
        <f t="shared" si="89"/>
        <v>9.6133591379143901E-4</v>
      </c>
      <c r="L1454" s="34">
        <f t="shared" si="90"/>
        <v>0.99456470699738653</v>
      </c>
      <c r="M1454" s="34">
        <f t="shared" si="91"/>
        <v>0.99360859622596043</v>
      </c>
    </row>
    <row r="1455" spans="1:13" ht="27.6">
      <c r="A1455" t="s">
        <v>164</v>
      </c>
      <c r="B1455" t="s">
        <v>112</v>
      </c>
      <c r="C1455" s="14" t="s">
        <v>294</v>
      </c>
      <c r="D1455" t="s">
        <v>112</v>
      </c>
      <c r="E1455" t="s">
        <v>392</v>
      </c>
      <c r="F1455" s="20">
        <v>2035</v>
      </c>
      <c r="G1455" s="20">
        <v>43</v>
      </c>
      <c r="H1455" s="11">
        <v>4498.8646002858404</v>
      </c>
      <c r="I1455" s="10">
        <v>4307371.9088962805</v>
      </c>
      <c r="J1455" s="34">
        <f t="shared" si="88"/>
        <v>1.0444569671344279E-3</v>
      </c>
      <c r="K1455" s="34">
        <f t="shared" si="89"/>
        <v>1.0439117118047347E-3</v>
      </c>
      <c r="L1455" s="34">
        <f t="shared" si="90"/>
        <v>0.99360859622596043</v>
      </c>
      <c r="M1455" s="34">
        <f t="shared" si="91"/>
        <v>0.99257135657541029</v>
      </c>
    </row>
    <row r="1456" spans="1:13" ht="27.6">
      <c r="A1456" t="s">
        <v>164</v>
      </c>
      <c r="B1456" t="s">
        <v>112</v>
      </c>
      <c r="C1456" s="14" t="s">
        <v>294</v>
      </c>
      <c r="D1456" t="s">
        <v>112</v>
      </c>
      <c r="E1456" t="s">
        <v>392</v>
      </c>
      <c r="F1456" s="20">
        <v>2035</v>
      </c>
      <c r="G1456" s="20">
        <v>44</v>
      </c>
      <c r="H1456" s="11">
        <v>4919.2228563418503</v>
      </c>
      <c r="I1456" s="10">
        <v>4320969.1177894399</v>
      </c>
      <c r="J1456" s="34">
        <f t="shared" si="88"/>
        <v>1.1384536020147421E-3</v>
      </c>
      <c r="K1456" s="34">
        <f t="shared" si="89"/>
        <v>1.1378058095633525E-3</v>
      </c>
      <c r="L1456" s="34">
        <f t="shared" si="90"/>
        <v>0.99257135657541029</v>
      </c>
      <c r="M1456" s="34">
        <f t="shared" si="91"/>
        <v>0.9914420031194926</v>
      </c>
    </row>
    <row r="1457" spans="1:13" ht="27.6">
      <c r="A1457" t="s">
        <v>164</v>
      </c>
      <c r="B1457" t="s">
        <v>112</v>
      </c>
      <c r="C1457" s="14" t="s">
        <v>294</v>
      </c>
      <c r="D1457" t="s">
        <v>112</v>
      </c>
      <c r="E1457" t="s">
        <v>392</v>
      </c>
      <c r="F1457" s="20">
        <v>2035</v>
      </c>
      <c r="G1457" s="20">
        <v>45</v>
      </c>
      <c r="H1457" s="11">
        <v>8675.8328237669193</v>
      </c>
      <c r="I1457" s="10">
        <v>6359717.2250442198</v>
      </c>
      <c r="J1457" s="34">
        <f t="shared" si="88"/>
        <v>1.3641853115107009E-3</v>
      </c>
      <c r="K1457" s="34">
        <f t="shared" si="89"/>
        <v>1.3632552337095039E-3</v>
      </c>
      <c r="L1457" s="34">
        <f t="shared" si="90"/>
        <v>0.9914420031194926</v>
      </c>
      <c r="M1457" s="34">
        <f t="shared" si="91"/>
        <v>0.9900904146198205</v>
      </c>
    </row>
    <row r="1458" spans="1:13" ht="27.6">
      <c r="A1458" t="s">
        <v>164</v>
      </c>
      <c r="B1458" t="s">
        <v>112</v>
      </c>
      <c r="C1458" s="14" t="s">
        <v>294</v>
      </c>
      <c r="D1458" t="s">
        <v>112</v>
      </c>
      <c r="E1458" t="s">
        <v>392</v>
      </c>
      <c r="F1458" s="20">
        <v>2035</v>
      </c>
      <c r="G1458" s="20">
        <v>46</v>
      </c>
      <c r="H1458" s="11">
        <v>6848.9458958330397</v>
      </c>
      <c r="I1458" s="10">
        <v>4269202.25384383</v>
      </c>
      <c r="J1458" s="34">
        <f t="shared" si="88"/>
        <v>1.6042683125791254E-3</v>
      </c>
      <c r="K1458" s="34">
        <f t="shared" si="89"/>
        <v>1.6029821620385798E-3</v>
      </c>
      <c r="L1458" s="34">
        <f t="shared" si="90"/>
        <v>0.9900904146198205</v>
      </c>
      <c r="M1458" s="34">
        <f t="shared" si="91"/>
        <v>0.98850331734637953</v>
      </c>
    </row>
    <row r="1459" spans="1:13" ht="27.6">
      <c r="A1459" t="s">
        <v>164</v>
      </c>
      <c r="B1459" t="s">
        <v>112</v>
      </c>
      <c r="C1459" s="14" t="s">
        <v>294</v>
      </c>
      <c r="D1459" t="s">
        <v>112</v>
      </c>
      <c r="E1459" t="s">
        <v>392</v>
      </c>
      <c r="F1459" s="20">
        <v>2035</v>
      </c>
      <c r="G1459" s="20">
        <v>47</v>
      </c>
      <c r="H1459" s="11">
        <v>7463.3561670460704</v>
      </c>
      <c r="I1459" s="10">
        <v>4246815.34461137</v>
      </c>
      <c r="J1459" s="34">
        <f t="shared" si="88"/>
        <v>1.7574006782555432E-3</v>
      </c>
      <c r="K1459" s="34">
        <f t="shared" si="89"/>
        <v>1.7558573538957178E-3</v>
      </c>
      <c r="L1459" s="34">
        <f t="shared" si="90"/>
        <v>0.98850331734637953</v>
      </c>
      <c r="M1459" s="34">
        <f t="shared" si="91"/>
        <v>0.98676764652726656</v>
      </c>
    </row>
    <row r="1460" spans="1:13" ht="27.6">
      <c r="A1460" t="s">
        <v>164</v>
      </c>
      <c r="B1460" t="s">
        <v>112</v>
      </c>
      <c r="C1460" s="14" t="s">
        <v>294</v>
      </c>
      <c r="D1460" t="s">
        <v>112</v>
      </c>
      <c r="E1460" t="s">
        <v>392</v>
      </c>
      <c r="F1460" s="20">
        <v>2035</v>
      </c>
      <c r="G1460" s="20">
        <v>48</v>
      </c>
      <c r="H1460" s="11">
        <v>7917.9703468637599</v>
      </c>
      <c r="I1460" s="10">
        <v>4110293.7213385501</v>
      </c>
      <c r="J1460" s="34">
        <f t="shared" si="88"/>
        <v>1.9263757978554411E-3</v>
      </c>
      <c r="K1460" s="34">
        <f t="shared" si="89"/>
        <v>1.9245215268635096E-3</v>
      </c>
      <c r="L1460" s="34">
        <f t="shared" si="90"/>
        <v>0.98676764652726656</v>
      </c>
      <c r="M1460" s="34">
        <f t="shared" si="91"/>
        <v>0.9848685909495124</v>
      </c>
    </row>
    <row r="1461" spans="1:13" ht="27.6">
      <c r="A1461" t="s">
        <v>164</v>
      </c>
      <c r="B1461" t="s">
        <v>112</v>
      </c>
      <c r="C1461" s="14" t="s">
        <v>294</v>
      </c>
      <c r="D1461" t="s">
        <v>112</v>
      </c>
      <c r="E1461" t="s">
        <v>392</v>
      </c>
      <c r="F1461" s="20">
        <v>2035</v>
      </c>
      <c r="G1461" s="20">
        <v>49</v>
      </c>
      <c r="H1461" s="11">
        <v>8586.7982776175904</v>
      </c>
      <c r="I1461" s="10">
        <v>4069205.0668997299</v>
      </c>
      <c r="J1461" s="34">
        <f t="shared" si="88"/>
        <v>2.1101905990104724E-3</v>
      </c>
      <c r="K1461" s="34">
        <f t="shared" si="89"/>
        <v>2.1079657120820494E-3</v>
      </c>
      <c r="L1461" s="34">
        <f t="shared" si="90"/>
        <v>0.9848685909495124</v>
      </c>
      <c r="M1461" s="34">
        <f t="shared" si="91"/>
        <v>0.98279252172888432</v>
      </c>
    </row>
    <row r="1462" spans="1:13" ht="27.6">
      <c r="A1462" t="s">
        <v>164</v>
      </c>
      <c r="B1462" t="s">
        <v>112</v>
      </c>
      <c r="C1462" s="14" t="s">
        <v>294</v>
      </c>
      <c r="D1462" t="s">
        <v>112</v>
      </c>
      <c r="E1462" t="s">
        <v>392</v>
      </c>
      <c r="F1462" s="20">
        <v>2035</v>
      </c>
      <c r="G1462" s="20">
        <v>50</v>
      </c>
      <c r="H1462" s="11">
        <v>10052.878667832299</v>
      </c>
      <c r="I1462" s="10">
        <v>4118985.8726014998</v>
      </c>
      <c r="J1462" s="34">
        <f t="shared" si="88"/>
        <v>2.4406198464290989E-3</v>
      </c>
      <c r="K1462" s="34">
        <f t="shared" si="89"/>
        <v>2.4376439553103202E-3</v>
      </c>
      <c r="L1462" s="34">
        <f t="shared" si="90"/>
        <v>0.98279252172888432</v>
      </c>
      <c r="M1462" s="34">
        <f t="shared" si="91"/>
        <v>0.98039682347896773</v>
      </c>
    </row>
    <row r="1463" spans="1:13" ht="27.6">
      <c r="A1463" t="s">
        <v>164</v>
      </c>
      <c r="B1463" t="s">
        <v>112</v>
      </c>
      <c r="C1463" s="14" t="s">
        <v>294</v>
      </c>
      <c r="D1463" t="s">
        <v>112</v>
      </c>
      <c r="E1463" t="s">
        <v>392</v>
      </c>
      <c r="F1463" s="20">
        <v>2035</v>
      </c>
      <c r="G1463" s="20">
        <v>51</v>
      </c>
      <c r="H1463" s="11">
        <v>11185.6840013742</v>
      </c>
      <c r="I1463" s="10">
        <v>4191353.5504849898</v>
      </c>
      <c r="J1463" s="34">
        <f t="shared" si="88"/>
        <v>2.6687521982200436E-3</v>
      </c>
      <c r="K1463" s="34">
        <f t="shared" si="89"/>
        <v>2.6651942448746579E-3</v>
      </c>
      <c r="L1463" s="34">
        <f t="shared" si="90"/>
        <v>0.98039682347896773</v>
      </c>
      <c r="M1463" s="34">
        <f t="shared" si="91"/>
        <v>0.97778387550733814</v>
      </c>
    </row>
    <row r="1464" spans="1:13" ht="27.6">
      <c r="A1464" t="s">
        <v>164</v>
      </c>
      <c r="B1464" t="s">
        <v>112</v>
      </c>
      <c r="C1464" s="14" t="s">
        <v>294</v>
      </c>
      <c r="D1464" t="s">
        <v>112</v>
      </c>
      <c r="E1464" t="s">
        <v>392</v>
      </c>
      <c r="F1464" s="20">
        <v>2035</v>
      </c>
      <c r="G1464" s="20">
        <v>52</v>
      </c>
      <c r="H1464" s="11">
        <v>12121.681351114999</v>
      </c>
      <c r="I1464" s="10">
        <v>4157228.0771663198</v>
      </c>
      <c r="J1464" s="34">
        <f t="shared" si="88"/>
        <v>2.9158085931569743E-3</v>
      </c>
      <c r="K1464" s="34">
        <f t="shared" si="89"/>
        <v>2.9115617519425152E-3</v>
      </c>
      <c r="L1464" s="34">
        <f t="shared" si="90"/>
        <v>0.97778387550733814</v>
      </c>
      <c r="M1464" s="34">
        <f t="shared" si="91"/>
        <v>0.97493699737374484</v>
      </c>
    </row>
    <row r="1465" spans="1:13" ht="27.6">
      <c r="A1465" t="s">
        <v>164</v>
      </c>
      <c r="B1465" t="s">
        <v>112</v>
      </c>
      <c r="C1465" s="14" t="s">
        <v>294</v>
      </c>
      <c r="D1465" t="s">
        <v>112</v>
      </c>
      <c r="E1465" t="s">
        <v>392</v>
      </c>
      <c r="F1465" s="20">
        <v>2035</v>
      </c>
      <c r="G1465" s="20">
        <v>53</v>
      </c>
      <c r="H1465" s="11">
        <v>12787.788658904199</v>
      </c>
      <c r="I1465" s="10">
        <v>4013199.2429209598</v>
      </c>
      <c r="J1465" s="34">
        <f t="shared" si="88"/>
        <v>3.1864325404379269E-3</v>
      </c>
      <c r="K1465" s="34">
        <f t="shared" si="89"/>
        <v>3.1813612521398582E-3</v>
      </c>
      <c r="L1465" s="34">
        <f t="shared" si="90"/>
        <v>0.97493699737374484</v>
      </c>
      <c r="M1465" s="34">
        <f t="shared" si="91"/>
        <v>0.97183537058702241</v>
      </c>
    </row>
    <row r="1466" spans="1:13" ht="27.6">
      <c r="A1466" t="s">
        <v>164</v>
      </c>
      <c r="B1466" t="s">
        <v>112</v>
      </c>
      <c r="C1466" s="14" t="s">
        <v>294</v>
      </c>
      <c r="D1466" t="s">
        <v>112</v>
      </c>
      <c r="E1466" t="s">
        <v>392</v>
      </c>
      <c r="F1466" s="20">
        <v>2035</v>
      </c>
      <c r="G1466" s="20">
        <v>54</v>
      </c>
      <c r="H1466" s="11">
        <v>13664.4403206307</v>
      </c>
      <c r="I1466" s="10">
        <v>3929325.9050972001</v>
      </c>
      <c r="J1466" s="34">
        <f t="shared" si="88"/>
        <v>3.4775533133825612E-3</v>
      </c>
      <c r="K1466" s="34">
        <f t="shared" si="89"/>
        <v>3.4715136279965808E-3</v>
      </c>
      <c r="L1466" s="34">
        <f t="shared" si="90"/>
        <v>0.97183537058702241</v>
      </c>
      <c r="M1466" s="34">
        <f t="shared" si="91"/>
        <v>0.9684616308538605</v>
      </c>
    </row>
    <row r="1467" spans="1:13" ht="27.6">
      <c r="A1467" t="s">
        <v>164</v>
      </c>
      <c r="B1467" t="s">
        <v>112</v>
      </c>
      <c r="C1467" s="14" t="s">
        <v>294</v>
      </c>
      <c r="D1467" t="s">
        <v>112</v>
      </c>
      <c r="E1467" t="s">
        <v>392</v>
      </c>
      <c r="F1467" s="20">
        <v>2035</v>
      </c>
      <c r="G1467" s="20">
        <v>55</v>
      </c>
      <c r="H1467" s="11">
        <v>14660.9874209964</v>
      </c>
      <c r="I1467" s="10">
        <v>3860141.53237182</v>
      </c>
      <c r="J1467" s="34">
        <f t="shared" si="88"/>
        <v>3.7980440090206028E-3</v>
      </c>
      <c r="K1467" s="34">
        <f t="shared" si="89"/>
        <v>3.7908405624280661E-3</v>
      </c>
      <c r="L1467" s="34">
        <f t="shared" si="90"/>
        <v>0.9684616308538605</v>
      </c>
      <c r="M1467" s="34">
        <f t="shared" si="91"/>
        <v>0.96479034722046442</v>
      </c>
    </row>
    <row r="1468" spans="1:13" ht="27.6">
      <c r="A1468" t="s">
        <v>164</v>
      </c>
      <c r="B1468" t="s">
        <v>112</v>
      </c>
      <c r="C1468" s="14" t="s">
        <v>294</v>
      </c>
      <c r="D1468" t="s">
        <v>112</v>
      </c>
      <c r="E1468" t="s">
        <v>392</v>
      </c>
      <c r="F1468" s="20">
        <v>2035</v>
      </c>
      <c r="G1468" s="20">
        <v>56</v>
      </c>
      <c r="H1468" s="11">
        <v>15685.8185516217</v>
      </c>
      <c r="I1468" s="10">
        <v>3784664.8748838501</v>
      </c>
      <c r="J1468" s="34">
        <f t="shared" si="88"/>
        <v>4.1445726557501582E-3</v>
      </c>
      <c r="K1468" s="34">
        <f t="shared" si="89"/>
        <v>4.1359957677705728E-3</v>
      </c>
      <c r="L1468" s="34">
        <f t="shared" si="90"/>
        <v>0.96479034722046442</v>
      </c>
      <c r="M1468" s="34">
        <f t="shared" si="91"/>
        <v>0.9607999784275747</v>
      </c>
    </row>
    <row r="1469" spans="1:13" ht="27.6">
      <c r="A1469" t="s">
        <v>164</v>
      </c>
      <c r="B1469" t="s">
        <v>112</v>
      </c>
      <c r="C1469" s="14" t="s">
        <v>294</v>
      </c>
      <c r="D1469" t="s">
        <v>112</v>
      </c>
      <c r="E1469" t="s">
        <v>392</v>
      </c>
      <c r="F1469" s="20">
        <v>2035</v>
      </c>
      <c r="G1469" s="20">
        <v>57</v>
      </c>
      <c r="H1469" s="11">
        <v>16701.1253430426</v>
      </c>
      <c r="I1469" s="10">
        <v>3690163.4401513999</v>
      </c>
      <c r="J1469" s="34">
        <f t="shared" si="88"/>
        <v>4.5258497662524636E-3</v>
      </c>
      <c r="K1469" s="34">
        <f t="shared" si="89"/>
        <v>4.5156235414682833E-3</v>
      </c>
      <c r="L1469" s="34">
        <f t="shared" si="90"/>
        <v>0.9607999784275747</v>
      </c>
      <c r="M1469" s="34">
        <f t="shared" si="91"/>
        <v>0.95646136742634491</v>
      </c>
    </row>
    <row r="1470" spans="1:13" ht="27.6">
      <c r="A1470" t="s">
        <v>164</v>
      </c>
      <c r="B1470" t="s">
        <v>112</v>
      </c>
      <c r="C1470" s="14" t="s">
        <v>294</v>
      </c>
      <c r="D1470" t="s">
        <v>112</v>
      </c>
      <c r="E1470" t="s">
        <v>392</v>
      </c>
      <c r="F1470" s="20">
        <v>2035</v>
      </c>
      <c r="G1470" s="20">
        <v>58</v>
      </c>
      <c r="H1470" s="11">
        <v>17881.832217173502</v>
      </c>
      <c r="I1470" s="10">
        <v>3611094.4651966202</v>
      </c>
      <c r="J1470" s="34">
        <f t="shared" si="88"/>
        <v>4.9519148251359456E-3</v>
      </c>
      <c r="K1470" s="34">
        <f t="shared" si="89"/>
        <v>4.9396743079194172E-3</v>
      </c>
      <c r="L1470" s="34">
        <f t="shared" si="90"/>
        <v>0.95646136742634491</v>
      </c>
      <c r="M1470" s="34">
        <f t="shared" si="91"/>
        <v>0.95173675978315153</v>
      </c>
    </row>
    <row r="1471" spans="1:13" ht="27.6">
      <c r="A1471" t="s">
        <v>164</v>
      </c>
      <c r="B1471" t="s">
        <v>112</v>
      </c>
      <c r="C1471" s="14" t="s">
        <v>294</v>
      </c>
      <c r="D1471" t="s">
        <v>112</v>
      </c>
      <c r="E1471" t="s">
        <v>392</v>
      </c>
      <c r="F1471" s="20">
        <v>2035</v>
      </c>
      <c r="G1471" s="20">
        <v>59</v>
      </c>
      <c r="H1471" s="11">
        <v>19061.421906602402</v>
      </c>
      <c r="I1471" s="10">
        <v>3520120.1477018702</v>
      </c>
      <c r="J1471" s="34">
        <f t="shared" si="88"/>
        <v>5.4149918488000347E-3</v>
      </c>
      <c r="K1471" s="34">
        <f t="shared" si="89"/>
        <v>5.4003572078415996E-3</v>
      </c>
      <c r="L1471" s="34">
        <f t="shared" si="90"/>
        <v>0.95173675978315153</v>
      </c>
      <c r="M1471" s="34">
        <f t="shared" si="91"/>
        <v>0.94659704131248879</v>
      </c>
    </row>
    <row r="1472" spans="1:13" ht="27.6">
      <c r="A1472" t="s">
        <v>164</v>
      </c>
      <c r="B1472" t="s">
        <v>112</v>
      </c>
      <c r="C1472" s="14" t="s">
        <v>294</v>
      </c>
      <c r="D1472" t="s">
        <v>112</v>
      </c>
      <c r="E1472" t="s">
        <v>392</v>
      </c>
      <c r="F1472" s="20">
        <v>2035</v>
      </c>
      <c r="G1472" s="20">
        <v>60</v>
      </c>
      <c r="H1472" s="11">
        <v>20454.2829290966</v>
      </c>
      <c r="I1472" s="10">
        <v>3427637.2991846199</v>
      </c>
      <c r="J1472" s="34">
        <f t="shared" si="88"/>
        <v>5.9674583813060815E-3</v>
      </c>
      <c r="K1472" s="34">
        <f t="shared" si="89"/>
        <v>5.9496884661867089E-3</v>
      </c>
      <c r="L1472" s="34">
        <f t="shared" si="90"/>
        <v>0.94659704131248879</v>
      </c>
      <c r="M1472" s="34">
        <f t="shared" si="91"/>
        <v>0.94096508381366539</v>
      </c>
    </row>
    <row r="1473" spans="1:13" ht="27.6">
      <c r="A1473" t="s">
        <v>164</v>
      </c>
      <c r="B1473" t="s">
        <v>112</v>
      </c>
      <c r="C1473" s="14" t="s">
        <v>294</v>
      </c>
      <c r="D1473" t="s">
        <v>112</v>
      </c>
      <c r="E1473" t="s">
        <v>392</v>
      </c>
      <c r="F1473" s="20">
        <v>2035</v>
      </c>
      <c r="G1473" s="20">
        <v>61</v>
      </c>
      <c r="H1473" s="11">
        <v>21609.005574923402</v>
      </c>
      <c r="I1473" s="10">
        <v>3308118.8473435799</v>
      </c>
      <c r="J1473" s="34">
        <f t="shared" si="88"/>
        <v>6.5321128327283156E-3</v>
      </c>
      <c r="K1473" s="34">
        <f t="shared" si="89"/>
        <v>6.5108249605131396E-3</v>
      </c>
      <c r="L1473" s="34">
        <f t="shared" si="90"/>
        <v>0.94096508381366539</v>
      </c>
      <c r="M1473" s="34">
        <f t="shared" si="91"/>
        <v>0.93483862485900004</v>
      </c>
    </row>
    <row r="1474" spans="1:13" ht="27.6">
      <c r="A1474" t="s">
        <v>164</v>
      </c>
      <c r="B1474" t="s">
        <v>112</v>
      </c>
      <c r="C1474" s="14" t="s">
        <v>294</v>
      </c>
      <c r="D1474" t="s">
        <v>112</v>
      </c>
      <c r="E1474" t="s">
        <v>392</v>
      </c>
      <c r="F1474" s="20">
        <v>2035</v>
      </c>
      <c r="G1474" s="20">
        <v>62</v>
      </c>
      <c r="H1474" s="11">
        <v>23204.630050406398</v>
      </c>
      <c r="I1474" s="10">
        <v>3244122.0285254898</v>
      </c>
      <c r="J1474" s="34">
        <f t="shared" ref="J1474:J1537" si="92">IF(I1474&gt;0,H1474/I1474,0)</f>
        <v>7.1528228119560932E-3</v>
      </c>
      <c r="K1474" s="34">
        <f t="shared" ref="K1474:K1537" si="93">1-EXP(-J1474)</f>
        <v>7.127302259116286E-3</v>
      </c>
      <c r="L1474" s="34">
        <f t="shared" ref="L1474:L1537" si="94">IF(G1474=30,1,M1473)</f>
        <v>0.93483862485900004</v>
      </c>
      <c r="M1474" s="34">
        <f t="shared" ref="M1474:M1537" si="95">L1474*(1-K1474)</f>
        <v>0.92817574741613329</v>
      </c>
    </row>
    <row r="1475" spans="1:13" ht="27.6">
      <c r="A1475" t="s">
        <v>164</v>
      </c>
      <c r="B1475" t="s">
        <v>112</v>
      </c>
      <c r="C1475" s="14" t="s">
        <v>294</v>
      </c>
      <c r="D1475" t="s">
        <v>112</v>
      </c>
      <c r="E1475" t="s">
        <v>392</v>
      </c>
      <c r="F1475" s="20">
        <v>2035</v>
      </c>
      <c r="G1475" s="20">
        <v>63</v>
      </c>
      <c r="H1475" s="11">
        <v>23753.5592301736</v>
      </c>
      <c r="I1475" s="10">
        <v>3027826.5725978902</v>
      </c>
      <c r="J1475" s="34">
        <f t="shared" si="92"/>
        <v>7.8450857936004335E-3</v>
      </c>
      <c r="K1475" s="34">
        <f t="shared" si="93"/>
        <v>7.8143934219196964E-3</v>
      </c>
      <c r="L1475" s="34">
        <f t="shared" si="94"/>
        <v>0.92817574741613329</v>
      </c>
      <c r="M1475" s="34">
        <f t="shared" si="95"/>
        <v>0.92092261696113931</v>
      </c>
    </row>
    <row r="1476" spans="1:13" ht="27.6">
      <c r="A1476" t="s">
        <v>164</v>
      </c>
      <c r="B1476" t="s">
        <v>112</v>
      </c>
      <c r="C1476" s="14" t="s">
        <v>294</v>
      </c>
      <c r="D1476" t="s">
        <v>112</v>
      </c>
      <c r="E1476" t="s">
        <v>392</v>
      </c>
      <c r="F1476" s="20">
        <v>2035</v>
      </c>
      <c r="G1476" s="20">
        <v>64</v>
      </c>
      <c r="H1476" s="11">
        <v>25129.3216682702</v>
      </c>
      <c r="I1476" s="10">
        <v>2923514.1081169699</v>
      </c>
      <c r="J1476" s="34">
        <f t="shared" si="92"/>
        <v>8.5955876178261201E-3</v>
      </c>
      <c r="K1476" s="34">
        <f t="shared" si="93"/>
        <v>8.5587511737631461E-3</v>
      </c>
      <c r="L1476" s="34">
        <f t="shared" si="94"/>
        <v>0.92092261696113931</v>
      </c>
      <c r="M1476" s="34">
        <f t="shared" si="95"/>
        <v>0.91304066943227813</v>
      </c>
    </row>
    <row r="1477" spans="1:13" ht="27.6">
      <c r="A1477" t="s">
        <v>164</v>
      </c>
      <c r="B1477" t="s">
        <v>112</v>
      </c>
      <c r="C1477" s="14" t="s">
        <v>294</v>
      </c>
      <c r="D1477" t="s">
        <v>112</v>
      </c>
      <c r="E1477" t="s">
        <v>392</v>
      </c>
      <c r="F1477" s="20">
        <v>2035</v>
      </c>
      <c r="G1477" s="20">
        <v>65</v>
      </c>
      <c r="H1477" s="11">
        <v>25648.391869407598</v>
      </c>
      <c r="I1477" s="10">
        <v>2822365.3324502502</v>
      </c>
      <c r="J1477" s="34">
        <f t="shared" si="92"/>
        <v>9.0875520523563194E-3</v>
      </c>
      <c r="K1477" s="34">
        <f t="shared" si="93"/>
        <v>9.0463850480151375E-3</v>
      </c>
      <c r="L1477" s="34">
        <f t="shared" si="94"/>
        <v>0.91304066943227813</v>
      </c>
      <c r="M1477" s="34">
        <f t="shared" si="95"/>
        <v>0.90478095197209618</v>
      </c>
    </row>
    <row r="1478" spans="1:13" ht="27.6">
      <c r="A1478" t="s">
        <v>164</v>
      </c>
      <c r="B1478" t="s">
        <v>112</v>
      </c>
      <c r="C1478" s="14" t="s">
        <v>294</v>
      </c>
      <c r="D1478" t="s">
        <v>112</v>
      </c>
      <c r="E1478" t="s">
        <v>392</v>
      </c>
      <c r="F1478" s="20">
        <v>2035</v>
      </c>
      <c r="G1478" s="20">
        <v>66</v>
      </c>
      <c r="H1478" s="11">
        <v>27033.550891303399</v>
      </c>
      <c r="I1478" s="10">
        <v>2712470.0438797302</v>
      </c>
      <c r="J1478" s="34">
        <f t="shared" si="92"/>
        <v>9.9663961090742485E-3</v>
      </c>
      <c r="K1478" s="34">
        <f t="shared" si="93"/>
        <v>9.9168961652085219E-3</v>
      </c>
      <c r="L1478" s="34">
        <f t="shared" si="94"/>
        <v>0.90478095197209618</v>
      </c>
      <c r="M1478" s="34">
        <f t="shared" si="95"/>
        <v>0.89580833321913034</v>
      </c>
    </row>
    <row r="1479" spans="1:13" ht="27.6">
      <c r="A1479" t="s">
        <v>164</v>
      </c>
      <c r="B1479" t="s">
        <v>112</v>
      </c>
      <c r="C1479" s="14" t="s">
        <v>294</v>
      </c>
      <c r="D1479" t="s">
        <v>112</v>
      </c>
      <c r="E1479" t="s">
        <v>392</v>
      </c>
      <c r="F1479" s="20">
        <v>2035</v>
      </c>
      <c r="G1479" s="20">
        <v>67</v>
      </c>
      <c r="H1479" s="11">
        <v>28256.090675560299</v>
      </c>
      <c r="I1479" s="10">
        <v>2584021.3977246298</v>
      </c>
      <c r="J1479" s="34">
        <f t="shared" si="92"/>
        <v>1.0934929060742806E-2</v>
      </c>
      <c r="K1479" s="34">
        <f t="shared" si="93"/>
        <v>1.0875360049311E-2</v>
      </c>
      <c r="L1479" s="34">
        <f t="shared" si="94"/>
        <v>0.89580833321913034</v>
      </c>
      <c r="M1479" s="34">
        <f t="shared" si="95"/>
        <v>0.88606609506019918</v>
      </c>
    </row>
    <row r="1480" spans="1:13" ht="27.6">
      <c r="A1480" t="s">
        <v>164</v>
      </c>
      <c r="B1480" t="s">
        <v>112</v>
      </c>
      <c r="C1480" s="14" t="s">
        <v>294</v>
      </c>
      <c r="D1480" t="s">
        <v>112</v>
      </c>
      <c r="E1480" t="s">
        <v>392</v>
      </c>
      <c r="F1480" s="20">
        <v>2035</v>
      </c>
      <c r="G1480" s="20">
        <v>68</v>
      </c>
      <c r="H1480" s="11">
        <v>29171.699195337798</v>
      </c>
      <c r="I1480" s="10">
        <v>2427833.7378996001</v>
      </c>
      <c r="J1480" s="34">
        <f t="shared" si="92"/>
        <v>1.2015525915121028E-2</v>
      </c>
      <c r="K1480" s="34">
        <f t="shared" si="93"/>
        <v>1.1943627736528128E-2</v>
      </c>
      <c r="L1480" s="34">
        <f t="shared" si="94"/>
        <v>0.88606609506019918</v>
      </c>
      <c r="M1480" s="34">
        <f t="shared" si="95"/>
        <v>0.87548325147084105</v>
      </c>
    </row>
    <row r="1481" spans="1:13" ht="27.6">
      <c r="A1481" t="s">
        <v>164</v>
      </c>
      <c r="B1481" t="s">
        <v>112</v>
      </c>
      <c r="C1481" s="14" t="s">
        <v>294</v>
      </c>
      <c r="D1481" t="s">
        <v>112</v>
      </c>
      <c r="E1481" t="s">
        <v>392</v>
      </c>
      <c r="F1481" s="20">
        <v>2035</v>
      </c>
      <c r="G1481" s="20">
        <v>69</v>
      </c>
      <c r="H1481" s="11">
        <v>30417.484601371601</v>
      </c>
      <c r="I1481" s="10">
        <v>2303884.82625638</v>
      </c>
      <c r="J1481" s="34">
        <f t="shared" si="92"/>
        <v>1.3202693231326789E-2</v>
      </c>
      <c r="K1481" s="34">
        <f t="shared" si="93"/>
        <v>1.3115919977049195E-2</v>
      </c>
      <c r="L1481" s="34">
        <f t="shared" si="94"/>
        <v>0.87548325147084105</v>
      </c>
      <c r="M1481" s="34">
        <f t="shared" si="95"/>
        <v>0.86400048320330269</v>
      </c>
    </row>
    <row r="1482" spans="1:13" ht="27.6">
      <c r="A1482" t="s">
        <v>164</v>
      </c>
      <c r="B1482" t="s">
        <v>112</v>
      </c>
      <c r="C1482" s="14" t="s">
        <v>294</v>
      </c>
      <c r="D1482" t="s">
        <v>112</v>
      </c>
      <c r="E1482" t="s">
        <v>392</v>
      </c>
      <c r="F1482" s="20">
        <v>2036</v>
      </c>
      <c r="G1482" s="20">
        <v>30</v>
      </c>
      <c r="H1482" s="11">
        <v>822.91207837396701</v>
      </c>
      <c r="I1482" s="10">
        <v>4608165.9518042197</v>
      </c>
      <c r="J1482" s="34">
        <f t="shared" si="92"/>
        <v>1.7857691909983731E-4</v>
      </c>
      <c r="K1482" s="34">
        <f t="shared" si="93"/>
        <v>1.7856097519086678E-4</v>
      </c>
      <c r="L1482" s="34">
        <f t="shared" si="94"/>
        <v>1</v>
      </c>
      <c r="M1482" s="34">
        <f t="shared" si="95"/>
        <v>0.99982143902480913</v>
      </c>
    </row>
    <row r="1483" spans="1:13" ht="27.6">
      <c r="A1483" t="s">
        <v>164</v>
      </c>
      <c r="B1483" t="s">
        <v>112</v>
      </c>
      <c r="C1483" s="14" t="s">
        <v>294</v>
      </c>
      <c r="D1483" t="s">
        <v>112</v>
      </c>
      <c r="E1483" t="s">
        <v>392</v>
      </c>
      <c r="F1483" s="20">
        <v>2036</v>
      </c>
      <c r="G1483" s="20">
        <v>31</v>
      </c>
      <c r="H1483" s="11">
        <v>1017.36280209297</v>
      </c>
      <c r="I1483" s="10">
        <v>4547185.9510991499</v>
      </c>
      <c r="J1483" s="34">
        <f t="shared" si="92"/>
        <v>2.2373459388592897E-4</v>
      </c>
      <c r="K1483" s="34">
        <f t="shared" si="93"/>
        <v>2.2370956716810664E-4</v>
      </c>
      <c r="L1483" s="34">
        <f t="shared" si="94"/>
        <v>0.99982143902480913</v>
      </c>
      <c r="M1483" s="34">
        <f t="shared" si="95"/>
        <v>0.99959776940343947</v>
      </c>
    </row>
    <row r="1484" spans="1:13" ht="27.6">
      <c r="A1484" t="s">
        <v>164</v>
      </c>
      <c r="B1484" t="s">
        <v>112</v>
      </c>
      <c r="C1484" s="14" t="s">
        <v>294</v>
      </c>
      <c r="D1484" t="s">
        <v>112</v>
      </c>
      <c r="E1484" t="s">
        <v>392</v>
      </c>
      <c r="F1484" s="20">
        <v>2036</v>
      </c>
      <c r="G1484" s="20">
        <v>32</v>
      </c>
      <c r="H1484" s="11">
        <v>1040.9581265408999</v>
      </c>
      <c r="I1484" s="10">
        <v>4418681.6055896599</v>
      </c>
      <c r="J1484" s="34">
        <f t="shared" si="92"/>
        <v>2.3558115733527426E-4</v>
      </c>
      <c r="K1484" s="34">
        <f t="shared" si="93"/>
        <v>2.3555341027337029E-4</v>
      </c>
      <c r="L1484" s="34">
        <f t="shared" si="94"/>
        <v>0.99959776940343947</v>
      </c>
      <c r="M1484" s="34">
        <f t="shared" si="95"/>
        <v>0.99936231073995485</v>
      </c>
    </row>
    <row r="1485" spans="1:13" ht="27.6">
      <c r="A1485" t="s">
        <v>164</v>
      </c>
      <c r="B1485" t="s">
        <v>112</v>
      </c>
      <c r="C1485" s="14" t="s">
        <v>294</v>
      </c>
      <c r="D1485" t="s">
        <v>112</v>
      </c>
      <c r="E1485" t="s">
        <v>392</v>
      </c>
      <c r="F1485" s="20">
        <v>2036</v>
      </c>
      <c r="G1485" s="20">
        <v>33</v>
      </c>
      <c r="H1485" s="11">
        <v>1086.6304011580401</v>
      </c>
      <c r="I1485" s="10">
        <v>4353305.0248415601</v>
      </c>
      <c r="J1485" s="34">
        <f t="shared" si="92"/>
        <v>2.4961044423887766E-4</v>
      </c>
      <c r="K1485" s="34">
        <f t="shared" si="93"/>
        <v>2.4957929414382019E-4</v>
      </c>
      <c r="L1485" s="34">
        <f t="shared" si="94"/>
        <v>0.99936231073995485</v>
      </c>
      <c r="M1485" s="34">
        <f t="shared" si="95"/>
        <v>0.99911289059984643</v>
      </c>
    </row>
    <row r="1486" spans="1:13" ht="27.6">
      <c r="A1486" t="s">
        <v>164</v>
      </c>
      <c r="B1486" t="s">
        <v>112</v>
      </c>
      <c r="C1486" s="14" t="s">
        <v>294</v>
      </c>
      <c r="D1486" t="s">
        <v>112</v>
      </c>
      <c r="E1486" t="s">
        <v>392</v>
      </c>
      <c r="F1486" s="20">
        <v>2036</v>
      </c>
      <c r="G1486" s="20">
        <v>34</v>
      </c>
      <c r="H1486" s="11">
        <v>1305.13883026096</v>
      </c>
      <c r="I1486" s="10">
        <v>4331742.6193698002</v>
      </c>
      <c r="J1486" s="34">
        <f t="shared" si="92"/>
        <v>3.0129648618200611E-4</v>
      </c>
      <c r="K1486" s="34">
        <f t="shared" si="93"/>
        <v>3.0125110095391427E-4</v>
      </c>
      <c r="L1486" s="34">
        <f t="shared" si="94"/>
        <v>0.99911289059984643</v>
      </c>
      <c r="M1486" s="34">
        <f t="shared" si="95"/>
        <v>0.99881190674157594</v>
      </c>
    </row>
    <row r="1487" spans="1:13" ht="27.6">
      <c r="A1487" t="s">
        <v>164</v>
      </c>
      <c r="B1487" t="s">
        <v>112</v>
      </c>
      <c r="C1487" s="14" t="s">
        <v>294</v>
      </c>
      <c r="D1487" t="s">
        <v>112</v>
      </c>
      <c r="E1487" t="s">
        <v>392</v>
      </c>
      <c r="F1487" s="20">
        <v>2036</v>
      </c>
      <c r="G1487" s="20">
        <v>35</v>
      </c>
      <c r="H1487" s="11">
        <v>1741.34105809623</v>
      </c>
      <c r="I1487" s="10">
        <v>4311444.8908079499</v>
      </c>
      <c r="J1487" s="34">
        <f t="shared" si="92"/>
        <v>4.0388804732464261E-4</v>
      </c>
      <c r="K1487" s="34">
        <f t="shared" si="93"/>
        <v>4.0380649552684833E-4</v>
      </c>
      <c r="L1487" s="34">
        <f t="shared" si="94"/>
        <v>0.99881190674157594</v>
      </c>
      <c r="M1487" s="34">
        <f t="shared" si="95"/>
        <v>0.99840858000582411</v>
      </c>
    </row>
    <row r="1488" spans="1:13" ht="27.6">
      <c r="A1488" t="s">
        <v>164</v>
      </c>
      <c r="B1488" t="s">
        <v>112</v>
      </c>
      <c r="C1488" s="14" t="s">
        <v>294</v>
      </c>
      <c r="D1488" t="s">
        <v>112</v>
      </c>
      <c r="E1488" t="s">
        <v>392</v>
      </c>
      <c r="F1488" s="20">
        <v>2036</v>
      </c>
      <c r="G1488" s="20">
        <v>36</v>
      </c>
      <c r="H1488" s="11">
        <v>1937.66651589762</v>
      </c>
      <c r="I1488" s="10">
        <v>4290372.8945665397</v>
      </c>
      <c r="J1488" s="34">
        <f t="shared" si="92"/>
        <v>4.5163125991951432E-4</v>
      </c>
      <c r="K1488" s="34">
        <f t="shared" si="93"/>
        <v>4.5152928987357566E-4</v>
      </c>
      <c r="L1488" s="34">
        <f t="shared" si="94"/>
        <v>0.99840858000582411</v>
      </c>
      <c r="M1488" s="34">
        <f t="shared" si="95"/>
        <v>0.9979577692886904</v>
      </c>
    </row>
    <row r="1489" spans="1:13" ht="27.6">
      <c r="A1489" t="s">
        <v>164</v>
      </c>
      <c r="B1489" t="s">
        <v>112</v>
      </c>
      <c r="C1489" s="14" t="s">
        <v>294</v>
      </c>
      <c r="D1489" t="s">
        <v>112</v>
      </c>
      <c r="E1489" t="s">
        <v>392</v>
      </c>
      <c r="F1489" s="20">
        <v>2036</v>
      </c>
      <c r="G1489" s="20">
        <v>37</v>
      </c>
      <c r="H1489" s="11">
        <v>2091.4892656014799</v>
      </c>
      <c r="I1489" s="10">
        <v>4309026.9049607199</v>
      </c>
      <c r="J1489" s="34">
        <f t="shared" si="92"/>
        <v>4.8537391660137373E-4</v>
      </c>
      <c r="K1489" s="34">
        <f t="shared" si="93"/>
        <v>4.8525614173766662E-4</v>
      </c>
      <c r="L1489" s="34">
        <f t="shared" si="94"/>
        <v>0.9979577692886904</v>
      </c>
      <c r="M1489" s="34">
        <f t="shared" si="95"/>
        <v>0.99747350415194824</v>
      </c>
    </row>
    <row r="1490" spans="1:13" ht="27.6">
      <c r="A1490" t="s">
        <v>164</v>
      </c>
      <c r="B1490" t="s">
        <v>112</v>
      </c>
      <c r="C1490" s="14" t="s">
        <v>294</v>
      </c>
      <c r="D1490" t="s">
        <v>112</v>
      </c>
      <c r="E1490" t="s">
        <v>392</v>
      </c>
      <c r="F1490" s="20">
        <v>2036</v>
      </c>
      <c r="G1490" s="20">
        <v>38</v>
      </c>
      <c r="H1490" s="11">
        <v>2284.0663085491901</v>
      </c>
      <c r="I1490" s="10">
        <v>4366458.3287434801</v>
      </c>
      <c r="J1490" s="34">
        <f t="shared" si="92"/>
        <v>5.230935775829258E-4</v>
      </c>
      <c r="K1490" s="34">
        <f t="shared" si="93"/>
        <v>5.2295678798974787E-4</v>
      </c>
      <c r="L1490" s="34">
        <f t="shared" si="94"/>
        <v>0.99747350415194824</v>
      </c>
      <c r="M1490" s="34">
        <f t="shared" si="95"/>
        <v>0.99695186861211205</v>
      </c>
    </row>
    <row r="1491" spans="1:13" ht="27.6">
      <c r="A1491" t="s">
        <v>164</v>
      </c>
      <c r="B1491" t="s">
        <v>112</v>
      </c>
      <c r="C1491" s="14" t="s">
        <v>294</v>
      </c>
      <c r="D1491" t="s">
        <v>112</v>
      </c>
      <c r="E1491" t="s">
        <v>392</v>
      </c>
      <c r="F1491" s="20">
        <v>2036</v>
      </c>
      <c r="G1491" s="20">
        <v>39</v>
      </c>
      <c r="H1491" s="11">
        <v>2756.3656222146601</v>
      </c>
      <c r="I1491" s="10">
        <v>4501943.9979882501</v>
      </c>
      <c r="J1491" s="34">
        <f t="shared" si="92"/>
        <v>6.122611972619776E-4</v>
      </c>
      <c r="K1491" s="34">
        <f t="shared" si="93"/>
        <v>6.1207380362171548E-4</v>
      </c>
      <c r="L1491" s="34">
        <f t="shared" si="94"/>
        <v>0.99695186861211205</v>
      </c>
      <c r="M1491" s="34">
        <f t="shared" si="95"/>
        <v>0.99634166048986283</v>
      </c>
    </row>
    <row r="1492" spans="1:13" ht="27.6">
      <c r="A1492" t="s">
        <v>164</v>
      </c>
      <c r="B1492" t="s">
        <v>112</v>
      </c>
      <c r="C1492" s="14" t="s">
        <v>294</v>
      </c>
      <c r="D1492" t="s">
        <v>112</v>
      </c>
      <c r="E1492" t="s">
        <v>392</v>
      </c>
      <c r="F1492" s="20">
        <v>2036</v>
      </c>
      <c r="G1492" s="20">
        <v>40</v>
      </c>
      <c r="H1492" s="11">
        <v>3653.1058289464499</v>
      </c>
      <c r="I1492" s="10">
        <v>4456474.5873214398</v>
      </c>
      <c r="J1492" s="34">
        <f t="shared" si="92"/>
        <v>8.1972998103466046E-4</v>
      </c>
      <c r="K1492" s="34">
        <f t="shared" si="93"/>
        <v>8.1939409419884424E-4</v>
      </c>
      <c r="L1492" s="34">
        <f t="shared" si="94"/>
        <v>0.99634166048986283</v>
      </c>
      <c r="M1492" s="34">
        <f t="shared" si="95"/>
        <v>0.99552526401745323</v>
      </c>
    </row>
    <row r="1493" spans="1:13" ht="27.6">
      <c r="A1493" t="s">
        <v>164</v>
      </c>
      <c r="B1493" t="s">
        <v>112</v>
      </c>
      <c r="C1493" s="14" t="s">
        <v>294</v>
      </c>
      <c r="D1493" t="s">
        <v>112</v>
      </c>
      <c r="E1493" t="s">
        <v>392</v>
      </c>
      <c r="F1493" s="20">
        <v>2036</v>
      </c>
      <c r="G1493" s="20">
        <v>41</v>
      </c>
      <c r="H1493" s="11">
        <v>3879.9252855708501</v>
      </c>
      <c r="I1493" s="10">
        <v>4380033.4737392301</v>
      </c>
      <c r="J1493" s="34">
        <f t="shared" si="92"/>
        <v>8.8582092096628701E-4</v>
      </c>
      <c r="K1493" s="34">
        <f t="shared" si="93"/>
        <v>8.8542869743613029E-4</v>
      </c>
      <c r="L1493" s="34">
        <f t="shared" si="94"/>
        <v>0.99552526401745323</v>
      </c>
      <c r="M1493" s="34">
        <f t="shared" si="95"/>
        <v>0.99464379737966946</v>
      </c>
    </row>
    <row r="1494" spans="1:13" ht="27.6">
      <c r="A1494" t="s">
        <v>164</v>
      </c>
      <c r="B1494" t="s">
        <v>112</v>
      </c>
      <c r="C1494" s="14" t="s">
        <v>294</v>
      </c>
      <c r="D1494" t="s">
        <v>112</v>
      </c>
      <c r="E1494" t="s">
        <v>392</v>
      </c>
      <c r="F1494" s="20">
        <v>2036</v>
      </c>
      <c r="G1494" s="20">
        <v>42</v>
      </c>
      <c r="H1494" s="11">
        <v>4145.8947085905902</v>
      </c>
      <c r="I1494" s="10">
        <v>4319620.22224293</v>
      </c>
      <c r="J1494" s="34">
        <f t="shared" si="92"/>
        <v>9.5978222512299149E-4</v>
      </c>
      <c r="K1494" s="34">
        <f t="shared" si="93"/>
        <v>9.59321781483502E-4</v>
      </c>
      <c r="L1494" s="34">
        <f t="shared" si="94"/>
        <v>0.99464379737966946</v>
      </c>
      <c r="M1494" s="34">
        <f t="shared" si="95"/>
        <v>0.99368961392002564</v>
      </c>
    </row>
    <row r="1495" spans="1:13" ht="27.6">
      <c r="A1495" t="s">
        <v>164</v>
      </c>
      <c r="B1495" t="s">
        <v>112</v>
      </c>
      <c r="C1495" s="14" t="s">
        <v>294</v>
      </c>
      <c r="D1495" t="s">
        <v>112</v>
      </c>
      <c r="E1495" t="s">
        <v>392</v>
      </c>
      <c r="F1495" s="20">
        <v>2036</v>
      </c>
      <c r="G1495" s="20">
        <v>43</v>
      </c>
      <c r="H1495" s="11">
        <v>4445.4812091426802</v>
      </c>
      <c r="I1495" s="10">
        <v>4262429.2497372804</v>
      </c>
      <c r="J1495" s="34">
        <f t="shared" si="92"/>
        <v>1.0429454540310981E-3</v>
      </c>
      <c r="K1495" s="34">
        <f t="shared" si="93"/>
        <v>1.0424017754465664E-3</v>
      </c>
      <c r="L1495" s="34">
        <f t="shared" si="94"/>
        <v>0.99368961392002564</v>
      </c>
      <c r="M1495" s="34">
        <f t="shared" si="95"/>
        <v>0.99265379010223254</v>
      </c>
    </row>
    <row r="1496" spans="1:13" ht="27.6">
      <c r="A1496" t="s">
        <v>164</v>
      </c>
      <c r="B1496" t="s">
        <v>112</v>
      </c>
      <c r="C1496" s="14" t="s">
        <v>294</v>
      </c>
      <c r="D1496" t="s">
        <v>112</v>
      </c>
      <c r="E1496" t="s">
        <v>392</v>
      </c>
      <c r="F1496" s="20">
        <v>2036</v>
      </c>
      <c r="G1496" s="20">
        <v>44</v>
      </c>
      <c r="H1496" s="11">
        <v>4876.2692371347903</v>
      </c>
      <c r="I1496" s="10">
        <v>4294954.9190160204</v>
      </c>
      <c r="J1496" s="34">
        <f t="shared" si="92"/>
        <v>1.1353481768912139E-3</v>
      </c>
      <c r="K1496" s="34">
        <f t="shared" si="93"/>
        <v>1.1347039129941949E-3</v>
      </c>
      <c r="L1496" s="34">
        <f t="shared" si="94"/>
        <v>0.99265379010223254</v>
      </c>
      <c r="M1496" s="34">
        <f t="shared" si="95"/>
        <v>0.99152742196235499</v>
      </c>
    </row>
    <row r="1497" spans="1:13" ht="27.6">
      <c r="A1497" t="s">
        <v>164</v>
      </c>
      <c r="B1497" t="s">
        <v>112</v>
      </c>
      <c r="C1497" s="14" t="s">
        <v>294</v>
      </c>
      <c r="D1497" t="s">
        <v>112</v>
      </c>
      <c r="E1497" t="s">
        <v>392</v>
      </c>
      <c r="F1497" s="20">
        <v>2036</v>
      </c>
      <c r="G1497" s="20">
        <v>45</v>
      </c>
      <c r="H1497" s="11">
        <v>6291.9092571771498</v>
      </c>
      <c r="I1497" s="10">
        <v>4307416.4693018999</v>
      </c>
      <c r="J1497" s="34">
        <f t="shared" si="92"/>
        <v>1.4607153271614982E-3</v>
      </c>
      <c r="K1497" s="34">
        <f t="shared" si="93"/>
        <v>1.4596490017904085E-3</v>
      </c>
      <c r="L1497" s="34">
        <f t="shared" si="94"/>
        <v>0.99152742196235499</v>
      </c>
      <c r="M1497" s="34">
        <f t="shared" si="95"/>
        <v>0.99008013995063981</v>
      </c>
    </row>
    <row r="1498" spans="1:13" ht="27.6">
      <c r="A1498" t="s">
        <v>164</v>
      </c>
      <c r="B1498" t="s">
        <v>112</v>
      </c>
      <c r="C1498" s="14" t="s">
        <v>294</v>
      </c>
      <c r="D1498" t="s">
        <v>112</v>
      </c>
      <c r="E1498" t="s">
        <v>392</v>
      </c>
      <c r="F1498" s="20">
        <v>2036</v>
      </c>
      <c r="G1498" s="20">
        <v>46</v>
      </c>
      <c r="H1498" s="11">
        <v>9391.4649035513994</v>
      </c>
      <c r="I1498" s="10">
        <v>6337687.3480376098</v>
      </c>
      <c r="J1498" s="34">
        <f t="shared" si="92"/>
        <v>1.481844147212367E-3</v>
      </c>
      <c r="K1498" s="34">
        <f t="shared" si="93"/>
        <v>1.4807467582941269E-3</v>
      </c>
      <c r="L1498" s="34">
        <f t="shared" si="94"/>
        <v>0.99008013995063981</v>
      </c>
      <c r="M1498" s="34">
        <f t="shared" si="95"/>
        <v>0.98861408199295653</v>
      </c>
    </row>
    <row r="1499" spans="1:13" ht="27.6">
      <c r="A1499" t="s">
        <v>164</v>
      </c>
      <c r="B1499" t="s">
        <v>112</v>
      </c>
      <c r="C1499" s="14" t="s">
        <v>294</v>
      </c>
      <c r="D1499" t="s">
        <v>112</v>
      </c>
      <c r="E1499" t="s">
        <v>392</v>
      </c>
      <c r="F1499" s="20">
        <v>2036</v>
      </c>
      <c r="G1499" s="20">
        <v>47</v>
      </c>
      <c r="H1499" s="11">
        <v>7443.02498608308</v>
      </c>
      <c r="I1499" s="10">
        <v>4253138.2360769799</v>
      </c>
      <c r="J1499" s="34">
        <f t="shared" si="92"/>
        <v>1.7500077761282444E-3</v>
      </c>
      <c r="K1499" s="34">
        <f t="shared" si="93"/>
        <v>1.7484774053704299E-3</v>
      </c>
      <c r="L1499" s="34">
        <f t="shared" si="94"/>
        <v>0.98861408199295653</v>
      </c>
      <c r="M1499" s="34">
        <f t="shared" si="95"/>
        <v>0.98688551260796087</v>
      </c>
    </row>
    <row r="1500" spans="1:13" ht="27.6">
      <c r="A1500" t="s">
        <v>164</v>
      </c>
      <c r="B1500" t="s">
        <v>112</v>
      </c>
      <c r="C1500" s="14" t="s">
        <v>294</v>
      </c>
      <c r="D1500" t="s">
        <v>112</v>
      </c>
      <c r="E1500" t="s">
        <v>392</v>
      </c>
      <c r="F1500" s="20">
        <v>2036</v>
      </c>
      <c r="G1500" s="20">
        <v>48</v>
      </c>
      <c r="H1500" s="11">
        <v>8110.0158853193498</v>
      </c>
      <c r="I1500" s="10">
        <v>4229324.81981612</v>
      </c>
      <c r="J1500" s="34">
        <f t="shared" si="92"/>
        <v>1.9175675151079912E-3</v>
      </c>
      <c r="K1500" s="34">
        <f t="shared" si="93"/>
        <v>1.9157301571274266E-3</v>
      </c>
      <c r="L1500" s="34">
        <f t="shared" si="94"/>
        <v>0.98688551260796087</v>
      </c>
      <c r="M1500" s="34">
        <f t="shared" si="95"/>
        <v>0.98499490626982567</v>
      </c>
    </row>
    <row r="1501" spans="1:13" ht="27.6">
      <c r="A1501" t="s">
        <v>164</v>
      </c>
      <c r="B1501" t="s">
        <v>112</v>
      </c>
      <c r="C1501" s="14" t="s">
        <v>294</v>
      </c>
      <c r="D1501" t="s">
        <v>112</v>
      </c>
      <c r="E1501" t="s">
        <v>392</v>
      </c>
      <c r="F1501" s="20">
        <v>2036</v>
      </c>
      <c r="G1501" s="20">
        <v>49</v>
      </c>
      <c r="H1501" s="11">
        <v>8599.1302919895497</v>
      </c>
      <c r="I1501" s="10">
        <v>4091749.2611489198</v>
      </c>
      <c r="J1501" s="34">
        <f t="shared" si="92"/>
        <v>2.1015780154561587E-3</v>
      </c>
      <c r="K1501" s="34">
        <f t="shared" si="93"/>
        <v>2.0993712465483538E-3</v>
      </c>
      <c r="L1501" s="34">
        <f t="shared" si="94"/>
        <v>0.98499490626982567</v>
      </c>
      <c r="M1501" s="34">
        <f t="shared" si="95"/>
        <v>0.98292703628560618</v>
      </c>
    </row>
    <row r="1502" spans="1:13" ht="27.6">
      <c r="A1502" t="s">
        <v>164</v>
      </c>
      <c r="B1502" t="s">
        <v>112</v>
      </c>
      <c r="C1502" s="14" t="s">
        <v>294</v>
      </c>
      <c r="D1502" t="s">
        <v>112</v>
      </c>
      <c r="E1502" t="s">
        <v>392</v>
      </c>
      <c r="F1502" s="20">
        <v>2036</v>
      </c>
      <c r="G1502" s="20">
        <v>50</v>
      </c>
      <c r="H1502" s="11">
        <v>9826.6209654335307</v>
      </c>
      <c r="I1502" s="10">
        <v>4049099.3662689002</v>
      </c>
      <c r="J1502" s="34">
        <f t="shared" si="92"/>
        <v>2.4268658475744965E-3</v>
      </c>
      <c r="K1502" s="34">
        <f t="shared" si="93"/>
        <v>2.4239233894517431E-3</v>
      </c>
      <c r="L1502" s="34">
        <f t="shared" si="94"/>
        <v>0.98292703628560618</v>
      </c>
      <c r="M1502" s="34">
        <f t="shared" si="95"/>
        <v>0.98054449645222896</v>
      </c>
    </row>
    <row r="1503" spans="1:13" ht="27.6">
      <c r="A1503" t="s">
        <v>164</v>
      </c>
      <c r="B1503" t="s">
        <v>112</v>
      </c>
      <c r="C1503" s="14" t="s">
        <v>294</v>
      </c>
      <c r="D1503" t="s">
        <v>112</v>
      </c>
      <c r="E1503" t="s">
        <v>392</v>
      </c>
      <c r="F1503" s="20">
        <v>2036</v>
      </c>
      <c r="G1503" s="20">
        <v>51</v>
      </c>
      <c r="H1503" s="11">
        <v>10871.113191242501</v>
      </c>
      <c r="I1503" s="10">
        <v>4095906.6861127499</v>
      </c>
      <c r="J1503" s="34">
        <f t="shared" si="92"/>
        <v>2.6541408348244892E-3</v>
      </c>
      <c r="K1503" s="34">
        <f t="shared" si="93"/>
        <v>2.6506217171388124E-3</v>
      </c>
      <c r="L1503" s="34">
        <f t="shared" si="94"/>
        <v>0.98054449645222896</v>
      </c>
      <c r="M1503" s="34">
        <f t="shared" si="95"/>
        <v>0.9779454439153118</v>
      </c>
    </row>
    <row r="1504" spans="1:13" ht="27.6">
      <c r="A1504" t="s">
        <v>164</v>
      </c>
      <c r="B1504" t="s">
        <v>112</v>
      </c>
      <c r="C1504" s="14" t="s">
        <v>294</v>
      </c>
      <c r="D1504" t="s">
        <v>112</v>
      </c>
      <c r="E1504" t="s">
        <v>392</v>
      </c>
      <c r="F1504" s="20">
        <v>2036</v>
      </c>
      <c r="G1504" s="20">
        <v>52</v>
      </c>
      <c r="H1504" s="11">
        <v>12082.652495910401</v>
      </c>
      <c r="I1504" s="10">
        <v>4166478.2784593501</v>
      </c>
      <c r="J1504" s="34">
        <f t="shared" si="92"/>
        <v>2.8999677157511153E-3</v>
      </c>
      <c r="K1504" s="34">
        <f t="shared" si="93"/>
        <v>2.8957668711273588E-3</v>
      </c>
      <c r="L1504" s="34">
        <f t="shared" si="94"/>
        <v>0.9779454439153118</v>
      </c>
      <c r="M1504" s="34">
        <f t="shared" si="95"/>
        <v>0.97511354189705191</v>
      </c>
    </row>
    <row r="1505" spans="1:13" ht="27.6">
      <c r="A1505" t="s">
        <v>164</v>
      </c>
      <c r="B1505" t="s">
        <v>112</v>
      </c>
      <c r="C1505" s="14" t="s">
        <v>294</v>
      </c>
      <c r="D1505" t="s">
        <v>112</v>
      </c>
      <c r="E1505" t="s">
        <v>392</v>
      </c>
      <c r="F1505" s="20">
        <v>2036</v>
      </c>
      <c r="G1505" s="20">
        <v>53</v>
      </c>
      <c r="H1505" s="11">
        <v>13075.9618672406</v>
      </c>
      <c r="I1505" s="10">
        <v>4130270.41404763</v>
      </c>
      <c r="J1505" s="34">
        <f t="shared" si="92"/>
        <v>3.1658851737085825E-3</v>
      </c>
      <c r="K1505" s="34">
        <f t="shared" si="93"/>
        <v>3.1608790435798673E-3</v>
      </c>
      <c r="L1505" s="34">
        <f t="shared" si="94"/>
        <v>0.97511354189705191</v>
      </c>
      <c r="M1505" s="34">
        <f t="shared" si="95"/>
        <v>0.97203132593735853</v>
      </c>
    </row>
    <row r="1506" spans="1:13" ht="27.6">
      <c r="A1506" t="s">
        <v>164</v>
      </c>
      <c r="B1506" t="s">
        <v>112</v>
      </c>
      <c r="C1506" s="14" t="s">
        <v>294</v>
      </c>
      <c r="D1506" t="s">
        <v>112</v>
      </c>
      <c r="E1506" t="s">
        <v>392</v>
      </c>
      <c r="F1506" s="20">
        <v>2036</v>
      </c>
      <c r="G1506" s="20">
        <v>54</v>
      </c>
      <c r="H1506" s="11">
        <v>13777.546640156201</v>
      </c>
      <c r="I1506" s="10">
        <v>3984764.4953213502</v>
      </c>
      <c r="J1506" s="34">
        <f t="shared" si="92"/>
        <v>3.4575560629324254E-3</v>
      </c>
      <c r="K1506" s="34">
        <f t="shared" si="93"/>
        <v>3.4515855990217004E-3</v>
      </c>
      <c r="L1506" s="34">
        <f t="shared" si="94"/>
        <v>0.97203132593735853</v>
      </c>
      <c r="M1506" s="34">
        <f t="shared" si="95"/>
        <v>0.96867627661095512</v>
      </c>
    </row>
    <row r="1507" spans="1:13" ht="27.6">
      <c r="A1507" t="s">
        <v>164</v>
      </c>
      <c r="B1507" t="s">
        <v>112</v>
      </c>
      <c r="C1507" s="14" t="s">
        <v>294</v>
      </c>
      <c r="D1507" t="s">
        <v>112</v>
      </c>
      <c r="E1507" t="s">
        <v>392</v>
      </c>
      <c r="F1507" s="20">
        <v>2036</v>
      </c>
      <c r="G1507" s="20">
        <v>55</v>
      </c>
      <c r="H1507" s="11">
        <v>14692.857231321799</v>
      </c>
      <c r="I1507" s="10">
        <v>3898943.7078316999</v>
      </c>
      <c r="J1507" s="34">
        <f t="shared" si="92"/>
        <v>3.7684199445631042E-3</v>
      </c>
      <c r="K1507" s="34">
        <f t="shared" si="93"/>
        <v>3.7613283609422288E-3</v>
      </c>
      <c r="L1507" s="34">
        <f t="shared" si="94"/>
        <v>0.96867627661095512</v>
      </c>
      <c r="M1507" s="34">
        <f t="shared" si="95"/>
        <v>0.96503276705916641</v>
      </c>
    </row>
    <row r="1508" spans="1:13" ht="27.6">
      <c r="A1508" t="s">
        <v>164</v>
      </c>
      <c r="B1508" t="s">
        <v>112</v>
      </c>
      <c r="C1508" s="14" t="s">
        <v>294</v>
      </c>
      <c r="D1508" t="s">
        <v>112</v>
      </c>
      <c r="E1508" t="s">
        <v>392</v>
      </c>
      <c r="F1508" s="20">
        <v>2036</v>
      </c>
      <c r="G1508" s="20">
        <v>56</v>
      </c>
      <c r="H1508" s="11">
        <v>15734.668513368701</v>
      </c>
      <c r="I1508" s="10">
        <v>3827259.0818837099</v>
      </c>
      <c r="J1508" s="34">
        <f t="shared" si="92"/>
        <v>4.111210706337751E-3</v>
      </c>
      <c r="K1508" s="34">
        <f t="shared" si="93"/>
        <v>4.102771249025472E-3</v>
      </c>
      <c r="L1508" s="34">
        <f t="shared" si="94"/>
        <v>0.96503276705916641</v>
      </c>
      <c r="M1508" s="34">
        <f t="shared" si="95"/>
        <v>0.96107345836810854</v>
      </c>
    </row>
    <row r="1509" spans="1:13" ht="27.6">
      <c r="A1509" t="s">
        <v>164</v>
      </c>
      <c r="B1509" t="s">
        <v>112</v>
      </c>
      <c r="C1509" s="14" t="s">
        <v>294</v>
      </c>
      <c r="D1509" t="s">
        <v>112</v>
      </c>
      <c r="E1509" t="s">
        <v>392</v>
      </c>
      <c r="F1509" s="20">
        <v>2036</v>
      </c>
      <c r="G1509" s="20">
        <v>57</v>
      </c>
      <c r="H1509" s="11">
        <v>16831.0237665145</v>
      </c>
      <c r="I1509" s="10">
        <v>3749797.1397367101</v>
      </c>
      <c r="J1509" s="34">
        <f t="shared" si="92"/>
        <v>4.4885158154705619E-3</v>
      </c>
      <c r="K1509" s="34">
        <f t="shared" si="93"/>
        <v>4.4784574829798141E-3</v>
      </c>
      <c r="L1509" s="34">
        <f t="shared" si="94"/>
        <v>0.96107345836810854</v>
      </c>
      <c r="M1509" s="34">
        <f t="shared" si="95"/>
        <v>0.95676933174678658</v>
      </c>
    </row>
    <row r="1510" spans="1:13" ht="27.6">
      <c r="A1510" t="s">
        <v>164</v>
      </c>
      <c r="B1510" t="s">
        <v>112</v>
      </c>
      <c r="C1510" s="14" t="s">
        <v>294</v>
      </c>
      <c r="D1510" t="s">
        <v>112</v>
      </c>
      <c r="E1510" t="s">
        <v>392</v>
      </c>
      <c r="F1510" s="20">
        <v>2036</v>
      </c>
      <c r="G1510" s="20">
        <v>58</v>
      </c>
      <c r="H1510" s="11">
        <v>17918.006512074098</v>
      </c>
      <c r="I1510" s="10">
        <v>3653055.1909245402</v>
      </c>
      <c r="J1510" s="34">
        <f t="shared" si="92"/>
        <v>4.904937258158229E-3</v>
      </c>
      <c r="K1510" s="34">
        <f t="shared" si="93"/>
        <v>4.8929276968098234E-3</v>
      </c>
      <c r="L1510" s="34">
        <f t="shared" si="94"/>
        <v>0.95676933174678658</v>
      </c>
      <c r="M1510" s="34">
        <f t="shared" si="95"/>
        <v>0.95208792858402447</v>
      </c>
    </row>
    <row r="1511" spans="1:13" ht="27.6">
      <c r="A1511" t="s">
        <v>164</v>
      </c>
      <c r="B1511" t="s">
        <v>112</v>
      </c>
      <c r="C1511" s="14" t="s">
        <v>294</v>
      </c>
      <c r="D1511" t="s">
        <v>112</v>
      </c>
      <c r="E1511" t="s">
        <v>392</v>
      </c>
      <c r="F1511" s="20">
        <v>2036</v>
      </c>
      <c r="G1511" s="20">
        <v>59</v>
      </c>
      <c r="H1511" s="11">
        <v>19182.060807326801</v>
      </c>
      <c r="I1511" s="10">
        <v>3571386.7157334699</v>
      </c>
      <c r="J1511" s="34">
        <f t="shared" si="92"/>
        <v>5.3710399724627147E-3</v>
      </c>
      <c r="K1511" s="34">
        <f t="shared" si="93"/>
        <v>5.3566417266547317E-3</v>
      </c>
      <c r="L1511" s="34">
        <f t="shared" si="94"/>
        <v>0.95208792858402447</v>
      </c>
      <c r="M1511" s="34">
        <f t="shared" si="95"/>
        <v>0.94698793465832698</v>
      </c>
    </row>
    <row r="1512" spans="1:13" ht="27.6">
      <c r="A1512" t="s">
        <v>164</v>
      </c>
      <c r="B1512" t="s">
        <v>112</v>
      </c>
      <c r="C1512" s="14" t="s">
        <v>294</v>
      </c>
      <c r="D1512" t="s">
        <v>112</v>
      </c>
      <c r="E1512" t="s">
        <v>392</v>
      </c>
      <c r="F1512" s="20">
        <v>2036</v>
      </c>
      <c r="G1512" s="20">
        <v>60</v>
      </c>
      <c r="H1512" s="11">
        <v>20544.182713831498</v>
      </c>
      <c r="I1512" s="10">
        <v>3477812.6291231499</v>
      </c>
      <c r="J1512" s="34">
        <f t="shared" si="92"/>
        <v>5.9072137877109378E-3</v>
      </c>
      <c r="K1512" s="34">
        <f t="shared" si="93"/>
        <v>5.8898005052104851E-3</v>
      </c>
      <c r="L1512" s="34">
        <f t="shared" si="94"/>
        <v>0.94698793465832698</v>
      </c>
      <c r="M1512" s="34">
        <f t="shared" si="95"/>
        <v>0.94141036464234817</v>
      </c>
    </row>
    <row r="1513" spans="1:13" ht="27.6">
      <c r="A1513" t="s">
        <v>164</v>
      </c>
      <c r="B1513" t="s">
        <v>112</v>
      </c>
      <c r="C1513" s="14" t="s">
        <v>294</v>
      </c>
      <c r="D1513" t="s">
        <v>112</v>
      </c>
      <c r="E1513" t="s">
        <v>392</v>
      </c>
      <c r="F1513" s="20">
        <v>2036</v>
      </c>
      <c r="G1513" s="20">
        <v>61</v>
      </c>
      <c r="H1513" s="11">
        <v>21872.2452059444</v>
      </c>
      <c r="I1513" s="10">
        <v>3382166.8577349498</v>
      </c>
      <c r="J1513" s="34">
        <f t="shared" si="92"/>
        <v>6.4669326280940281E-3</v>
      </c>
      <c r="K1513" s="34">
        <f t="shared" si="93"/>
        <v>6.4460670223371874E-3</v>
      </c>
      <c r="L1513" s="34">
        <f t="shared" si="94"/>
        <v>0.94141036464234817</v>
      </c>
      <c r="M1513" s="34">
        <f t="shared" si="95"/>
        <v>0.9353419703363407</v>
      </c>
    </row>
    <row r="1514" spans="1:13" ht="27.6">
      <c r="A1514" t="s">
        <v>164</v>
      </c>
      <c r="B1514" t="s">
        <v>112</v>
      </c>
      <c r="C1514" s="14" t="s">
        <v>294</v>
      </c>
      <c r="D1514" t="s">
        <v>112</v>
      </c>
      <c r="E1514" t="s">
        <v>392</v>
      </c>
      <c r="F1514" s="20">
        <v>2036</v>
      </c>
      <c r="G1514" s="20">
        <v>62</v>
      </c>
      <c r="H1514" s="11">
        <v>23093.152000866699</v>
      </c>
      <c r="I1514" s="10">
        <v>3260489.7675972302</v>
      </c>
      <c r="J1514" s="34">
        <f t="shared" si="92"/>
        <v>7.0827248808956874E-3</v>
      </c>
      <c r="K1514" s="34">
        <f t="shared" si="93"/>
        <v>7.0577014977920571E-3</v>
      </c>
      <c r="L1514" s="34">
        <f t="shared" si="94"/>
        <v>0.9353419703363407</v>
      </c>
      <c r="M1514" s="34">
        <f t="shared" si="95"/>
        <v>0.9287406059113501</v>
      </c>
    </row>
    <row r="1515" spans="1:13" ht="27.6">
      <c r="A1515" t="s">
        <v>164</v>
      </c>
      <c r="B1515" t="s">
        <v>112</v>
      </c>
      <c r="C1515" s="14" t="s">
        <v>294</v>
      </c>
      <c r="D1515" t="s">
        <v>112</v>
      </c>
      <c r="E1515" t="s">
        <v>392</v>
      </c>
      <c r="F1515" s="20">
        <v>2036</v>
      </c>
      <c r="G1515" s="20">
        <v>63</v>
      </c>
      <c r="H1515" s="11">
        <v>24774.411972600199</v>
      </c>
      <c r="I1515" s="10">
        <v>3192990.0510660498</v>
      </c>
      <c r="J1515" s="34">
        <f t="shared" si="92"/>
        <v>7.759000678479633E-3</v>
      </c>
      <c r="K1515" s="34">
        <f t="shared" si="93"/>
        <v>7.7289773332820388E-3</v>
      </c>
      <c r="L1515" s="34">
        <f t="shared" si="94"/>
        <v>0.9287406059113501</v>
      </c>
      <c r="M1515" s="34">
        <f t="shared" si="95"/>
        <v>0.92156239081976266</v>
      </c>
    </row>
    <row r="1516" spans="1:13" ht="27.6">
      <c r="A1516" t="s">
        <v>164</v>
      </c>
      <c r="B1516" t="s">
        <v>112</v>
      </c>
      <c r="C1516" s="14" t="s">
        <v>294</v>
      </c>
      <c r="D1516" t="s">
        <v>112</v>
      </c>
      <c r="E1516" t="s">
        <v>392</v>
      </c>
      <c r="F1516" s="20">
        <v>2036</v>
      </c>
      <c r="G1516" s="20">
        <v>64</v>
      </c>
      <c r="H1516" s="11">
        <v>25328.262566295401</v>
      </c>
      <c r="I1516" s="10">
        <v>2975495.4521471998</v>
      </c>
      <c r="J1516" s="34">
        <f t="shared" si="92"/>
        <v>8.5122840796203626E-3</v>
      </c>
      <c r="K1516" s="34">
        <f t="shared" si="93"/>
        <v>8.4761571696742033E-3</v>
      </c>
      <c r="L1516" s="34">
        <f t="shared" si="94"/>
        <v>0.92156239081976266</v>
      </c>
      <c r="M1516" s="34">
        <f t="shared" si="95"/>
        <v>0.91375108315351361</v>
      </c>
    </row>
    <row r="1517" spans="1:13" ht="27.6">
      <c r="A1517" t="s">
        <v>164</v>
      </c>
      <c r="B1517" t="s">
        <v>112</v>
      </c>
      <c r="C1517" s="14" t="s">
        <v>294</v>
      </c>
      <c r="D1517" t="s">
        <v>112</v>
      </c>
      <c r="E1517" t="s">
        <v>392</v>
      </c>
      <c r="F1517" s="20">
        <v>2036</v>
      </c>
      <c r="G1517" s="20">
        <v>65</v>
      </c>
      <c r="H1517" s="11">
        <v>25778.087466937101</v>
      </c>
      <c r="I1517" s="10">
        <v>2868161.82058969</v>
      </c>
      <c r="J1517" s="34">
        <f t="shared" si="92"/>
        <v>8.9876684369353897E-3</v>
      </c>
      <c r="K1517" s="34">
        <f t="shared" si="93"/>
        <v>8.9474000748330784E-3</v>
      </c>
      <c r="L1517" s="34">
        <f t="shared" si="94"/>
        <v>0.91375108315351361</v>
      </c>
      <c r="M1517" s="34">
        <f t="shared" si="95"/>
        <v>0.90557538664372705</v>
      </c>
    </row>
    <row r="1518" spans="1:13" ht="27.6">
      <c r="A1518" t="s">
        <v>164</v>
      </c>
      <c r="B1518" t="s">
        <v>112</v>
      </c>
      <c r="C1518" s="14" t="s">
        <v>294</v>
      </c>
      <c r="D1518" t="s">
        <v>112</v>
      </c>
      <c r="E1518" t="s">
        <v>392</v>
      </c>
      <c r="F1518" s="20">
        <v>2036</v>
      </c>
      <c r="G1518" s="20">
        <v>66</v>
      </c>
      <c r="H1518" s="11">
        <v>27249.222207425501</v>
      </c>
      <c r="I1518" s="10">
        <v>2764223.0622552</v>
      </c>
      <c r="J1518" s="34">
        <f t="shared" si="92"/>
        <v>9.857823190721135E-3</v>
      </c>
      <c r="K1518" s="34">
        <f t="shared" si="93"/>
        <v>9.8093941174132171E-3</v>
      </c>
      <c r="L1518" s="34">
        <f t="shared" si="94"/>
        <v>0.90557538664372705</v>
      </c>
      <c r="M1518" s="34">
        <f t="shared" si="95"/>
        <v>0.89669224077310983</v>
      </c>
    </row>
    <row r="1519" spans="1:13" ht="27.6">
      <c r="A1519" t="s">
        <v>164</v>
      </c>
      <c r="B1519" t="s">
        <v>112</v>
      </c>
      <c r="C1519" s="14" t="s">
        <v>294</v>
      </c>
      <c r="D1519" t="s">
        <v>112</v>
      </c>
      <c r="E1519" t="s">
        <v>392</v>
      </c>
      <c r="F1519" s="20">
        <v>2036</v>
      </c>
      <c r="G1519" s="20">
        <v>67</v>
      </c>
      <c r="H1519" s="11">
        <v>28671.8145272197</v>
      </c>
      <c r="I1519" s="10">
        <v>2650824.8558574799</v>
      </c>
      <c r="J1519" s="34">
        <f t="shared" si="92"/>
        <v>1.081618593694114E-2</v>
      </c>
      <c r="K1519" s="34">
        <f t="shared" si="93"/>
        <v>1.0757901326164276E-2</v>
      </c>
      <c r="L1519" s="34">
        <f t="shared" si="94"/>
        <v>0.89669224077310983</v>
      </c>
      <c r="M1519" s="34">
        <f t="shared" si="95"/>
        <v>0.88704571412693556</v>
      </c>
    </row>
    <row r="1520" spans="1:13" ht="27.6">
      <c r="A1520" t="s">
        <v>164</v>
      </c>
      <c r="B1520" t="s">
        <v>112</v>
      </c>
      <c r="C1520" s="14" t="s">
        <v>294</v>
      </c>
      <c r="D1520" t="s">
        <v>112</v>
      </c>
      <c r="E1520" t="s">
        <v>392</v>
      </c>
      <c r="F1520" s="20">
        <v>2036</v>
      </c>
      <c r="G1520" s="20">
        <v>68</v>
      </c>
      <c r="H1520" s="11">
        <v>29922.394349964601</v>
      </c>
      <c r="I1520" s="10">
        <v>2519636.2933821399</v>
      </c>
      <c r="J1520" s="34">
        <f t="shared" si="92"/>
        <v>1.187568000530719E-2</v>
      </c>
      <c r="K1520" s="34">
        <f t="shared" si="93"/>
        <v>1.180544243210202E-2</v>
      </c>
      <c r="L1520" s="34">
        <f t="shared" si="94"/>
        <v>0.88704571412693556</v>
      </c>
      <c r="M1520" s="34">
        <f t="shared" si="95"/>
        <v>0.87657374701416724</v>
      </c>
    </row>
    <row r="1521" spans="1:13" ht="27.6">
      <c r="A1521" t="s">
        <v>164</v>
      </c>
      <c r="B1521" t="s">
        <v>112</v>
      </c>
      <c r="C1521" s="14" t="s">
        <v>294</v>
      </c>
      <c r="D1521" t="s">
        <v>112</v>
      </c>
      <c r="E1521" t="s">
        <v>392</v>
      </c>
      <c r="F1521" s="20">
        <v>2036</v>
      </c>
      <c r="G1521" s="20">
        <v>69</v>
      </c>
      <c r="H1521" s="11">
        <v>30841.392217704899</v>
      </c>
      <c r="I1521" s="10">
        <v>2361408.7688455</v>
      </c>
      <c r="J1521" s="34">
        <f t="shared" si="92"/>
        <v>1.3060590197089574E-2</v>
      </c>
      <c r="K1521" s="34">
        <f t="shared" si="93"/>
        <v>1.2975670790156046E-2</v>
      </c>
      <c r="L1521" s="34">
        <f t="shared" si="94"/>
        <v>0.87657374701416724</v>
      </c>
      <c r="M1521" s="34">
        <f t="shared" si="95"/>
        <v>0.86519961464961792</v>
      </c>
    </row>
    <row r="1522" spans="1:13" ht="27.6">
      <c r="A1522" t="s">
        <v>164</v>
      </c>
      <c r="B1522" t="s">
        <v>112</v>
      </c>
      <c r="C1522" s="14" t="s">
        <v>294</v>
      </c>
      <c r="D1522" t="s">
        <v>112</v>
      </c>
      <c r="E1522" t="s">
        <v>392</v>
      </c>
      <c r="F1522" s="20">
        <v>2037</v>
      </c>
      <c r="G1522" s="20">
        <v>30</v>
      </c>
      <c r="H1522" s="11">
        <v>840.82043533845695</v>
      </c>
      <c r="I1522" s="10">
        <v>4685527.8972926298</v>
      </c>
      <c r="J1522" s="34">
        <f t="shared" si="92"/>
        <v>1.7945052377647691E-4</v>
      </c>
      <c r="K1522" s="34">
        <f t="shared" si="93"/>
        <v>1.7943442349432903E-4</v>
      </c>
      <c r="L1522" s="34">
        <f t="shared" si="94"/>
        <v>1</v>
      </c>
      <c r="M1522" s="34">
        <f t="shared" si="95"/>
        <v>0.99982056557650567</v>
      </c>
    </row>
    <row r="1523" spans="1:13" ht="27.6">
      <c r="A1523" t="s">
        <v>164</v>
      </c>
      <c r="B1523" t="s">
        <v>112</v>
      </c>
      <c r="C1523" s="14" t="s">
        <v>294</v>
      </c>
      <c r="D1523" t="s">
        <v>112</v>
      </c>
      <c r="E1523" t="s">
        <v>392</v>
      </c>
      <c r="F1523" s="20">
        <v>2037</v>
      </c>
      <c r="G1523" s="20">
        <v>31</v>
      </c>
      <c r="H1523" s="11">
        <v>1034.6991322374099</v>
      </c>
      <c r="I1523" s="10">
        <v>4602471.4985064697</v>
      </c>
      <c r="J1523" s="34">
        <f t="shared" si="92"/>
        <v>2.2481380548976265E-4</v>
      </c>
      <c r="K1523" s="34">
        <f t="shared" si="93"/>
        <v>2.2478853675977906E-4</v>
      </c>
      <c r="L1523" s="34">
        <f t="shared" si="94"/>
        <v>0.99982056557650567</v>
      </c>
      <c r="M1523" s="34">
        <f t="shared" si="95"/>
        <v>0.99959581737454739</v>
      </c>
    </row>
    <row r="1524" spans="1:13" ht="27.6">
      <c r="A1524" t="s">
        <v>164</v>
      </c>
      <c r="B1524" t="s">
        <v>112</v>
      </c>
      <c r="C1524" s="14" t="s">
        <v>294</v>
      </c>
      <c r="D1524" t="s">
        <v>112</v>
      </c>
      <c r="E1524" t="s">
        <v>392</v>
      </c>
      <c r="F1524" s="20">
        <v>2037</v>
      </c>
      <c r="G1524" s="20">
        <v>32</v>
      </c>
      <c r="H1524" s="11">
        <v>1074.7759569775401</v>
      </c>
      <c r="I1524" s="10">
        <v>4541650.9556190204</v>
      </c>
      <c r="J1524" s="34">
        <f t="shared" si="92"/>
        <v>2.3664873577477504E-4</v>
      </c>
      <c r="K1524" s="34">
        <f t="shared" si="93"/>
        <v>2.3662073667141126E-4</v>
      </c>
      <c r="L1524" s="34">
        <f t="shared" si="94"/>
        <v>0.99959581737454739</v>
      </c>
      <c r="M1524" s="34">
        <f t="shared" si="95"/>
        <v>0.99935929227586662</v>
      </c>
    </row>
    <row r="1525" spans="1:13" ht="27.6">
      <c r="A1525" t="s">
        <v>164</v>
      </c>
      <c r="B1525" t="s">
        <v>112</v>
      </c>
      <c r="C1525" s="14" t="s">
        <v>294</v>
      </c>
      <c r="D1525" t="s">
        <v>112</v>
      </c>
      <c r="E1525" t="s">
        <v>392</v>
      </c>
      <c r="F1525" s="20">
        <v>2037</v>
      </c>
      <c r="G1525" s="20">
        <v>33</v>
      </c>
      <c r="H1525" s="11">
        <v>1106.22121214188</v>
      </c>
      <c r="I1525" s="10">
        <v>4413076.3385402998</v>
      </c>
      <c r="J1525" s="34">
        <f t="shared" si="92"/>
        <v>2.5066895002042529E-4</v>
      </c>
      <c r="K1525" s="34">
        <f t="shared" si="93"/>
        <v>2.5063753518417276E-4</v>
      </c>
      <c r="L1525" s="34">
        <f t="shared" si="94"/>
        <v>0.99935929227586662</v>
      </c>
      <c r="M1525" s="34">
        <f t="shared" si="95"/>
        <v>0.9991088153260872</v>
      </c>
    </row>
    <row r="1526" spans="1:13" ht="27.6">
      <c r="A1526" t="s">
        <v>164</v>
      </c>
      <c r="B1526" t="s">
        <v>112</v>
      </c>
      <c r="C1526" s="14" t="s">
        <v>294</v>
      </c>
      <c r="D1526" t="s">
        <v>112</v>
      </c>
      <c r="E1526" t="s">
        <v>392</v>
      </c>
      <c r="F1526" s="20">
        <v>2037</v>
      </c>
      <c r="G1526" s="20">
        <v>34</v>
      </c>
      <c r="H1526" s="11">
        <v>1161.6987482633399</v>
      </c>
      <c r="I1526" s="10">
        <v>4347518.6522685802</v>
      </c>
      <c r="J1526" s="34">
        <f t="shared" si="92"/>
        <v>2.6720960648602473E-4</v>
      </c>
      <c r="K1526" s="34">
        <f t="shared" si="93"/>
        <v>2.6717390917874173E-4</v>
      </c>
      <c r="L1526" s="34">
        <f t="shared" si="94"/>
        <v>0.9991088153260872</v>
      </c>
      <c r="M1526" s="34">
        <f t="shared" si="95"/>
        <v>0.99884187951820158</v>
      </c>
    </row>
    <row r="1527" spans="1:13" ht="27.6">
      <c r="A1527" t="s">
        <v>164</v>
      </c>
      <c r="B1527" t="s">
        <v>112</v>
      </c>
      <c r="C1527" s="14" t="s">
        <v>294</v>
      </c>
      <c r="D1527" t="s">
        <v>112</v>
      </c>
      <c r="E1527" t="s">
        <v>392</v>
      </c>
      <c r="F1527" s="20">
        <v>2037</v>
      </c>
      <c r="G1527" s="20">
        <v>35</v>
      </c>
      <c r="H1527" s="11">
        <v>1745.9134009654599</v>
      </c>
      <c r="I1527" s="10">
        <v>4325500.2404620796</v>
      </c>
      <c r="J1527" s="34">
        <f t="shared" si="92"/>
        <v>4.0363271388442912E-4</v>
      </c>
      <c r="K1527" s="34">
        <f t="shared" si="93"/>
        <v>4.0355126515934092E-4</v>
      </c>
      <c r="L1527" s="34">
        <f t="shared" si="94"/>
        <v>0.99884187951820158</v>
      </c>
      <c r="M1527" s="34">
        <f t="shared" si="95"/>
        <v>0.99843879561402793</v>
      </c>
    </row>
    <row r="1528" spans="1:13" ht="27.6">
      <c r="A1528" t="s">
        <v>164</v>
      </c>
      <c r="B1528" t="s">
        <v>112</v>
      </c>
      <c r="C1528" s="14" t="s">
        <v>294</v>
      </c>
      <c r="D1528" t="s">
        <v>112</v>
      </c>
      <c r="E1528" t="s">
        <v>392</v>
      </c>
      <c r="F1528" s="20">
        <v>2037</v>
      </c>
      <c r="G1528" s="20">
        <v>36</v>
      </c>
      <c r="H1528" s="11">
        <v>1941.4512146013301</v>
      </c>
      <c r="I1528" s="10">
        <v>4304466.31836404</v>
      </c>
      <c r="J1528" s="34">
        <f t="shared" si="92"/>
        <v>4.5103180534101616E-4</v>
      </c>
      <c r="K1528" s="34">
        <f t="shared" si="93"/>
        <v>4.5093010578678427E-4</v>
      </c>
      <c r="L1528" s="34">
        <f t="shared" si="94"/>
        <v>0.99843879561402793</v>
      </c>
      <c r="M1528" s="34">
        <f t="shared" si="95"/>
        <v>0.99798856950230008</v>
      </c>
    </row>
    <row r="1529" spans="1:13" ht="27.6">
      <c r="A1529" t="s">
        <v>164</v>
      </c>
      <c r="B1529" t="s">
        <v>112</v>
      </c>
      <c r="C1529" s="14" t="s">
        <v>294</v>
      </c>
      <c r="D1529" t="s">
        <v>112</v>
      </c>
      <c r="E1529" t="s">
        <v>392</v>
      </c>
      <c r="F1529" s="20">
        <v>2037</v>
      </c>
      <c r="G1529" s="20">
        <v>37</v>
      </c>
      <c r="H1529" s="11">
        <v>2076.3349357792599</v>
      </c>
      <c r="I1529" s="10">
        <v>4283327.1061852099</v>
      </c>
      <c r="J1529" s="34">
        <f t="shared" si="92"/>
        <v>4.84748160555142E-4</v>
      </c>
      <c r="K1529" s="34">
        <f t="shared" si="93"/>
        <v>4.8463068914772478E-4</v>
      </c>
      <c r="L1529" s="34">
        <f t="shared" si="94"/>
        <v>0.99798856950230008</v>
      </c>
      <c r="M1529" s="34">
        <f t="shared" si="95"/>
        <v>0.99750491361410065</v>
      </c>
    </row>
    <row r="1530" spans="1:13" ht="27.6">
      <c r="A1530" t="s">
        <v>164</v>
      </c>
      <c r="B1530" t="s">
        <v>112</v>
      </c>
      <c r="C1530" s="14" t="s">
        <v>294</v>
      </c>
      <c r="D1530" t="s">
        <v>112</v>
      </c>
      <c r="E1530" t="s">
        <v>392</v>
      </c>
      <c r="F1530" s="20">
        <v>2037</v>
      </c>
      <c r="G1530" s="20">
        <v>38</v>
      </c>
      <c r="H1530" s="11">
        <v>2246.33849225523</v>
      </c>
      <c r="I1530" s="10">
        <v>4301455.5473671397</v>
      </c>
      <c r="J1530" s="34">
        <f t="shared" si="92"/>
        <v>5.2222752682639761E-4</v>
      </c>
      <c r="K1530" s="34">
        <f t="shared" si="93"/>
        <v>5.2209118976553892E-4</v>
      </c>
      <c r="L1530" s="34">
        <f t="shared" si="94"/>
        <v>0.99750491361410065</v>
      </c>
      <c r="M1530" s="34">
        <f t="shared" si="95"/>
        <v>0.99698412508695489</v>
      </c>
    </row>
    <row r="1531" spans="1:13" ht="27.6">
      <c r="A1531" t="s">
        <v>164</v>
      </c>
      <c r="B1531" t="s">
        <v>112</v>
      </c>
      <c r="C1531" s="14" t="s">
        <v>294</v>
      </c>
      <c r="D1531" t="s">
        <v>112</v>
      </c>
      <c r="E1531" t="s">
        <v>392</v>
      </c>
      <c r="F1531" s="20">
        <v>2037</v>
      </c>
      <c r="G1531" s="20">
        <v>39</v>
      </c>
      <c r="H1531" s="11">
        <v>2457.7693765202398</v>
      </c>
      <c r="I1531" s="10">
        <v>4358223.93929822</v>
      </c>
      <c r="J1531" s="34">
        <f t="shared" si="92"/>
        <v>5.639382947623385E-4</v>
      </c>
      <c r="K1531" s="34">
        <f t="shared" si="93"/>
        <v>5.6377931144913074E-4</v>
      </c>
      <c r="L1531" s="34">
        <f t="shared" si="94"/>
        <v>0.99698412508695489</v>
      </c>
      <c r="M1531" s="34">
        <f t="shared" si="95"/>
        <v>0.99642204606338769</v>
      </c>
    </row>
    <row r="1532" spans="1:13" ht="27.6">
      <c r="A1532" t="s">
        <v>164</v>
      </c>
      <c r="B1532" t="s">
        <v>112</v>
      </c>
      <c r="C1532" s="14" t="s">
        <v>294</v>
      </c>
      <c r="D1532" t="s">
        <v>112</v>
      </c>
      <c r="E1532" t="s">
        <v>392</v>
      </c>
      <c r="F1532" s="20">
        <v>2037</v>
      </c>
      <c r="G1532" s="20">
        <v>40</v>
      </c>
      <c r="H1532" s="11">
        <v>3675.4956021897501</v>
      </c>
      <c r="I1532" s="10">
        <v>4492566.5799580803</v>
      </c>
      <c r="J1532" s="34">
        <f t="shared" si="92"/>
        <v>8.1812824290386943E-4</v>
      </c>
      <c r="K1532" s="34">
        <f t="shared" si="93"/>
        <v>8.177936672411068E-4</v>
      </c>
      <c r="L1532" s="34">
        <f t="shared" si="94"/>
        <v>0.99642204606338769</v>
      </c>
      <c r="M1532" s="34">
        <f t="shared" si="95"/>
        <v>0.99560717842421764</v>
      </c>
    </row>
    <row r="1533" spans="1:13" ht="27.6">
      <c r="A1533" t="s">
        <v>164</v>
      </c>
      <c r="B1533" t="s">
        <v>112</v>
      </c>
      <c r="C1533" s="14" t="s">
        <v>294</v>
      </c>
      <c r="D1533" t="s">
        <v>112</v>
      </c>
      <c r="E1533" t="s">
        <v>392</v>
      </c>
      <c r="F1533" s="20">
        <v>2037</v>
      </c>
      <c r="G1533" s="20">
        <v>41</v>
      </c>
      <c r="H1533" s="11">
        <v>3929.5537596343001</v>
      </c>
      <c r="I1533" s="10">
        <v>4445670.1221075598</v>
      </c>
      <c r="J1533" s="34">
        <f t="shared" si="92"/>
        <v>8.8390583459922029E-4</v>
      </c>
      <c r="K1533" s="34">
        <f t="shared" si="93"/>
        <v>8.8351530490926589E-4</v>
      </c>
      <c r="L1533" s="34">
        <f t="shared" si="94"/>
        <v>0.99560717842421764</v>
      </c>
      <c r="M1533" s="34">
        <f t="shared" si="95"/>
        <v>0.99472754424440235</v>
      </c>
    </row>
    <row r="1534" spans="1:13" ht="27.6">
      <c r="A1534" t="s">
        <v>164</v>
      </c>
      <c r="B1534" t="s">
        <v>112</v>
      </c>
      <c r="C1534" s="14" t="s">
        <v>294</v>
      </c>
      <c r="D1534" t="s">
        <v>112</v>
      </c>
      <c r="E1534" t="s">
        <v>392</v>
      </c>
      <c r="F1534" s="20">
        <v>2037</v>
      </c>
      <c r="G1534" s="20">
        <v>42</v>
      </c>
      <c r="H1534" s="11">
        <v>4183.5080747762904</v>
      </c>
      <c r="I1534" s="10">
        <v>4369367.6441009101</v>
      </c>
      <c r="J1534" s="34">
        <f t="shared" si="92"/>
        <v>9.5746305084316971E-4</v>
      </c>
      <c r="K1534" s="34">
        <f t="shared" si="93"/>
        <v>9.570048293513489E-4</v>
      </c>
      <c r="L1534" s="34">
        <f t="shared" si="94"/>
        <v>0.99472754424440235</v>
      </c>
      <c r="M1534" s="34">
        <f t="shared" si="95"/>
        <v>0.99377558518067166</v>
      </c>
    </row>
    <row r="1535" spans="1:13" ht="27.6">
      <c r="A1535" t="s">
        <v>164</v>
      </c>
      <c r="B1535" t="s">
        <v>112</v>
      </c>
      <c r="C1535" s="14" t="s">
        <v>294</v>
      </c>
      <c r="D1535" t="s">
        <v>112</v>
      </c>
      <c r="E1535" t="s">
        <v>392</v>
      </c>
      <c r="F1535" s="20">
        <v>2037</v>
      </c>
      <c r="G1535" s="20">
        <v>43</v>
      </c>
      <c r="H1535" s="11">
        <v>4480.8967384653397</v>
      </c>
      <c r="I1535" s="10">
        <v>4308242.2038056999</v>
      </c>
      <c r="J1535" s="34">
        <f t="shared" si="92"/>
        <v>1.0400754011710681E-3</v>
      </c>
      <c r="K1535" s="34">
        <f t="shared" si="93"/>
        <v>1.0395347102203356E-3</v>
      </c>
      <c r="L1535" s="34">
        <f t="shared" si="94"/>
        <v>0.99377558518067166</v>
      </c>
      <c r="M1535" s="34">
        <f t="shared" si="95"/>
        <v>0.99274252096570681</v>
      </c>
    </row>
    <row r="1536" spans="1:13" ht="27.6">
      <c r="A1536" t="s">
        <v>164</v>
      </c>
      <c r="B1536" t="s">
        <v>112</v>
      </c>
      <c r="C1536" s="14" t="s">
        <v>294</v>
      </c>
      <c r="D1536" t="s">
        <v>112</v>
      </c>
      <c r="E1536" t="s">
        <v>392</v>
      </c>
      <c r="F1536" s="20">
        <v>2037</v>
      </c>
      <c r="G1536" s="20">
        <v>44</v>
      </c>
      <c r="H1536" s="11">
        <v>4815.3009328338403</v>
      </c>
      <c r="I1536" s="10">
        <v>4250251.4455481796</v>
      </c>
      <c r="J1536" s="34">
        <f t="shared" si="92"/>
        <v>1.1329449550278978E-3</v>
      </c>
      <c r="K1536" s="34">
        <f t="shared" si="93"/>
        <v>1.13230341519166E-3</v>
      </c>
      <c r="L1536" s="34">
        <f t="shared" si="94"/>
        <v>0.99274252096570681</v>
      </c>
      <c r="M1536" s="34">
        <f t="shared" si="95"/>
        <v>0.99161843521881132</v>
      </c>
    </row>
    <row r="1537" spans="1:13" ht="27.6">
      <c r="A1537" t="s">
        <v>164</v>
      </c>
      <c r="B1537" t="s">
        <v>112</v>
      </c>
      <c r="C1537" s="14" t="s">
        <v>294</v>
      </c>
      <c r="D1537" t="s">
        <v>112</v>
      </c>
      <c r="E1537" t="s">
        <v>392</v>
      </c>
      <c r="F1537" s="20">
        <v>2037</v>
      </c>
      <c r="G1537" s="20">
        <v>45</v>
      </c>
      <c r="H1537" s="11">
        <v>6229.1403493219304</v>
      </c>
      <c r="I1537" s="10">
        <v>4281618.4862841899</v>
      </c>
      <c r="J1537" s="34">
        <f t="shared" si="92"/>
        <v>1.4548564682436013E-3</v>
      </c>
      <c r="K1537" s="34">
        <f t="shared" si="93"/>
        <v>1.4537986776120837E-3</v>
      </c>
      <c r="L1537" s="34">
        <f t="shared" si="94"/>
        <v>0.99161843521881132</v>
      </c>
      <c r="M1537" s="34">
        <f t="shared" si="95"/>
        <v>0.99017682164899445</v>
      </c>
    </row>
    <row r="1538" spans="1:13" ht="27.6">
      <c r="A1538" t="s">
        <v>164</v>
      </c>
      <c r="B1538" t="s">
        <v>112</v>
      </c>
      <c r="C1538" s="14" t="s">
        <v>294</v>
      </c>
      <c r="D1538" t="s">
        <v>112</v>
      </c>
      <c r="E1538" t="s">
        <v>392</v>
      </c>
      <c r="F1538" s="20">
        <v>2037</v>
      </c>
      <c r="G1538" s="20">
        <v>46</v>
      </c>
      <c r="H1538" s="11">
        <v>6828.73745255221</v>
      </c>
      <c r="I1538" s="10">
        <v>4291826.0979361897</v>
      </c>
      <c r="J1538" s="34">
        <f t="shared" ref="J1538:J1601" si="96">IF(I1538&gt;0,H1538/I1538,0)</f>
        <v>1.5911030169269778E-3</v>
      </c>
      <c r="K1538" s="34">
        <f t="shared" ref="K1538:K1601" si="97">1-EXP(-J1538)</f>
        <v>1.5898378835965676E-3</v>
      </c>
      <c r="L1538" s="34">
        <f t="shared" ref="L1538:L1601" si="98">IF(G1538=30,1,M1537)</f>
        <v>0.99017682164899445</v>
      </c>
      <c r="M1538" s="34">
        <f t="shared" ref="M1538:M1601" si="99">L1538*(1-K1538)</f>
        <v>0.98860260102647768</v>
      </c>
    </row>
    <row r="1539" spans="1:13" ht="27.6">
      <c r="A1539" t="s">
        <v>164</v>
      </c>
      <c r="B1539" t="s">
        <v>112</v>
      </c>
      <c r="C1539" s="14" t="s">
        <v>294</v>
      </c>
      <c r="D1539" t="s">
        <v>112</v>
      </c>
      <c r="E1539" t="s">
        <v>392</v>
      </c>
      <c r="F1539" s="20">
        <v>2037</v>
      </c>
      <c r="G1539" s="20">
        <v>47</v>
      </c>
      <c r="H1539" s="11">
        <v>10163.8196516879</v>
      </c>
      <c r="I1539" s="10">
        <v>6315324.83889989</v>
      </c>
      <c r="J1539" s="34">
        <f t="shared" si="96"/>
        <v>1.6093898431135025E-3</v>
      </c>
      <c r="K1539" s="34">
        <f t="shared" si="97"/>
        <v>1.6080954697568206E-3</v>
      </c>
      <c r="L1539" s="34">
        <f t="shared" si="98"/>
        <v>0.98860260102647768</v>
      </c>
      <c r="M1539" s="34">
        <f t="shared" si="99"/>
        <v>0.98701283366237724</v>
      </c>
    </row>
    <row r="1540" spans="1:13" ht="27.6">
      <c r="A1540" t="s">
        <v>164</v>
      </c>
      <c r="B1540" t="s">
        <v>112</v>
      </c>
      <c r="C1540" s="14" t="s">
        <v>294</v>
      </c>
      <c r="D1540" t="s">
        <v>112</v>
      </c>
      <c r="E1540" t="s">
        <v>392</v>
      </c>
      <c r="F1540" s="20">
        <v>2037</v>
      </c>
      <c r="G1540" s="20">
        <v>48</v>
      </c>
      <c r="H1540" s="11">
        <v>8084.86476626289</v>
      </c>
      <c r="I1540" s="10">
        <v>4235814.0294747604</v>
      </c>
      <c r="J1540" s="34">
        <f t="shared" si="96"/>
        <v>1.9086920979071904E-3</v>
      </c>
      <c r="K1540" s="34">
        <f t="shared" si="97"/>
        <v>1.9068717035198857E-3</v>
      </c>
      <c r="L1540" s="34">
        <f t="shared" si="98"/>
        <v>0.98701283366237724</v>
      </c>
      <c r="M1540" s="34">
        <f t="shared" si="99"/>
        <v>0.9851307268188555</v>
      </c>
    </row>
    <row r="1541" spans="1:13" ht="27.6">
      <c r="A1541" t="s">
        <v>164</v>
      </c>
      <c r="B1541" t="s">
        <v>112</v>
      </c>
      <c r="C1541" s="14" t="s">
        <v>294</v>
      </c>
      <c r="D1541" t="s">
        <v>112</v>
      </c>
      <c r="E1541" t="s">
        <v>392</v>
      </c>
      <c r="F1541" s="20">
        <v>2037</v>
      </c>
      <c r="G1541" s="20">
        <v>49</v>
      </c>
      <c r="H1541" s="11">
        <v>8805.0766613887299</v>
      </c>
      <c r="I1541" s="10">
        <v>4210459.78122692</v>
      </c>
      <c r="J1541" s="34">
        <f t="shared" si="96"/>
        <v>2.0912387527480306E-3</v>
      </c>
      <c r="K1541" s="34">
        <f t="shared" si="97"/>
        <v>2.0890536364529533E-3</v>
      </c>
      <c r="L1541" s="34">
        <f t="shared" si="98"/>
        <v>0.9851307268188555</v>
      </c>
      <c r="M1541" s="34">
        <f t="shared" si="99"/>
        <v>0.98307273589161304</v>
      </c>
    </row>
    <row r="1542" spans="1:13" ht="27.6">
      <c r="A1542" t="s">
        <v>164</v>
      </c>
      <c r="B1542" t="s">
        <v>112</v>
      </c>
      <c r="C1542" s="14" t="s">
        <v>294</v>
      </c>
      <c r="D1542" t="s">
        <v>112</v>
      </c>
      <c r="E1542" t="s">
        <v>392</v>
      </c>
      <c r="F1542" s="20">
        <v>2037</v>
      </c>
      <c r="G1542" s="20">
        <v>50</v>
      </c>
      <c r="H1542" s="11">
        <v>9824.3723474201197</v>
      </c>
      <c r="I1542" s="10">
        <v>4071755.5386668998</v>
      </c>
      <c r="J1542" s="34">
        <f t="shared" si="96"/>
        <v>2.4128099671319259E-3</v>
      </c>
      <c r="K1542" s="34">
        <f t="shared" si="97"/>
        <v>2.4099014808416364E-3</v>
      </c>
      <c r="L1542" s="34">
        <f t="shared" si="98"/>
        <v>0.98307273589161304</v>
      </c>
      <c r="M1542" s="34">
        <f t="shared" si="99"/>
        <v>0.98070362744961281</v>
      </c>
    </row>
    <row r="1543" spans="1:13" ht="27.6">
      <c r="A1543" t="s">
        <v>164</v>
      </c>
      <c r="B1543" t="s">
        <v>112</v>
      </c>
      <c r="C1543" s="14" t="s">
        <v>294</v>
      </c>
      <c r="D1543" t="s">
        <v>112</v>
      </c>
      <c r="E1543" t="s">
        <v>392</v>
      </c>
      <c r="F1543" s="20">
        <v>2037</v>
      </c>
      <c r="G1543" s="20">
        <v>51</v>
      </c>
      <c r="H1543" s="11">
        <v>10624.247138499501</v>
      </c>
      <c r="I1543" s="10">
        <v>4026674.2559221601</v>
      </c>
      <c r="J1543" s="34">
        <f t="shared" si="96"/>
        <v>2.6384669986339415E-3</v>
      </c>
      <c r="K1543" s="34">
        <f t="shared" si="97"/>
        <v>2.6349893038492E-3</v>
      </c>
      <c r="L1543" s="34">
        <f t="shared" si="98"/>
        <v>0.98070362744961281</v>
      </c>
      <c r="M1543" s="34">
        <f t="shared" si="99"/>
        <v>0.97811948388103698</v>
      </c>
    </row>
    <row r="1544" spans="1:13" ht="27.6">
      <c r="A1544" t="s">
        <v>164</v>
      </c>
      <c r="B1544" t="s">
        <v>112</v>
      </c>
      <c r="C1544" s="14" t="s">
        <v>294</v>
      </c>
      <c r="D1544" t="s">
        <v>112</v>
      </c>
      <c r="E1544" t="s">
        <v>392</v>
      </c>
      <c r="F1544" s="20">
        <v>2037</v>
      </c>
      <c r="G1544" s="20">
        <v>52</v>
      </c>
      <c r="H1544" s="11">
        <v>11739.497737891001</v>
      </c>
      <c r="I1544" s="10">
        <v>4071866.9964026301</v>
      </c>
      <c r="J1544" s="34">
        <f t="shared" si="96"/>
        <v>2.8830749502040433E-3</v>
      </c>
      <c r="K1544" s="34">
        <f t="shared" si="97"/>
        <v>2.8789228808207001E-3</v>
      </c>
      <c r="L1544" s="34">
        <f t="shared" si="98"/>
        <v>0.97811948388103698</v>
      </c>
      <c r="M1544" s="34">
        <f t="shared" si="99"/>
        <v>0.97530355331871532</v>
      </c>
    </row>
    <row r="1545" spans="1:13" ht="27.6">
      <c r="A1545" t="s">
        <v>164</v>
      </c>
      <c r="B1545" t="s">
        <v>112</v>
      </c>
      <c r="C1545" s="14" t="s">
        <v>294</v>
      </c>
      <c r="D1545" t="s">
        <v>112</v>
      </c>
      <c r="E1545" t="s">
        <v>392</v>
      </c>
      <c r="F1545" s="20">
        <v>2037</v>
      </c>
      <c r="G1545" s="20">
        <v>53</v>
      </c>
      <c r="H1545" s="11">
        <v>13028.6275404525</v>
      </c>
      <c r="I1545" s="10">
        <v>4139758.17507528</v>
      </c>
      <c r="J1545" s="34">
        <f t="shared" si="96"/>
        <v>3.1471953165997622E-3</v>
      </c>
      <c r="K1545" s="34">
        <f t="shared" si="97"/>
        <v>3.1422480887443038E-3</v>
      </c>
      <c r="L1545" s="34">
        <f t="shared" si="98"/>
        <v>0.97530355331871532</v>
      </c>
      <c r="M1545" s="34">
        <f t="shared" si="99"/>
        <v>0.9722389075923541</v>
      </c>
    </row>
    <row r="1546" spans="1:13" ht="27.6">
      <c r="A1546" t="s">
        <v>164</v>
      </c>
      <c r="B1546" t="s">
        <v>112</v>
      </c>
      <c r="C1546" s="14" t="s">
        <v>294</v>
      </c>
      <c r="D1546" t="s">
        <v>112</v>
      </c>
      <c r="E1546" t="s">
        <v>392</v>
      </c>
      <c r="F1546" s="20">
        <v>2037</v>
      </c>
      <c r="G1546" s="20">
        <v>54</v>
      </c>
      <c r="H1546" s="11">
        <v>14080.436970594499</v>
      </c>
      <c r="I1546" s="10">
        <v>4101352.01155265</v>
      </c>
      <c r="J1546" s="34">
        <f t="shared" si="96"/>
        <v>3.4331208174604023E-3</v>
      </c>
      <c r="K1546" s="34">
        <f t="shared" si="97"/>
        <v>3.4272343963784868E-3</v>
      </c>
      <c r="L1546" s="34">
        <f t="shared" si="98"/>
        <v>0.9722389075923541</v>
      </c>
      <c r="M1546" s="34">
        <f t="shared" si="99"/>
        <v>0.96890681696675618</v>
      </c>
    </row>
    <row r="1547" spans="1:13" ht="27.6">
      <c r="A1547" t="s">
        <v>164</v>
      </c>
      <c r="B1547" t="s">
        <v>112</v>
      </c>
      <c r="C1547" s="14" t="s">
        <v>294</v>
      </c>
      <c r="D1547" t="s">
        <v>112</v>
      </c>
      <c r="E1547" t="s">
        <v>392</v>
      </c>
      <c r="F1547" s="20">
        <v>2037</v>
      </c>
      <c r="G1547" s="20">
        <v>55</v>
      </c>
      <c r="H1547" s="11">
        <v>14780.5202657503</v>
      </c>
      <c r="I1547" s="10">
        <v>3954300.26304167</v>
      </c>
      <c r="J1547" s="34">
        <f t="shared" si="96"/>
        <v>3.7378345807207469E-3</v>
      </c>
      <c r="K1547" s="34">
        <f t="shared" si="97"/>
        <v>3.7308575727186266E-3</v>
      </c>
      <c r="L1547" s="34">
        <f t="shared" si="98"/>
        <v>0.96890681696675618</v>
      </c>
      <c r="M1547" s="34">
        <f t="shared" si="99"/>
        <v>0.965291963631417</v>
      </c>
    </row>
    <row r="1548" spans="1:13" ht="27.6">
      <c r="A1548" t="s">
        <v>164</v>
      </c>
      <c r="B1548" t="s">
        <v>112</v>
      </c>
      <c r="C1548" s="14" t="s">
        <v>294</v>
      </c>
      <c r="D1548" t="s">
        <v>112</v>
      </c>
      <c r="E1548" t="s">
        <v>392</v>
      </c>
      <c r="F1548" s="20">
        <v>2037</v>
      </c>
      <c r="G1548" s="20">
        <v>56</v>
      </c>
      <c r="H1548" s="11">
        <v>15761.256161049499</v>
      </c>
      <c r="I1548" s="10">
        <v>3866137.6775345001</v>
      </c>
      <c r="J1548" s="34">
        <f t="shared" si="96"/>
        <v>4.0767446675879148E-3</v>
      </c>
      <c r="K1548" s="34">
        <f t="shared" si="97"/>
        <v>4.0684460250246524E-3</v>
      </c>
      <c r="L1548" s="34">
        <f t="shared" si="98"/>
        <v>0.965291963631417</v>
      </c>
      <c r="M1548" s="34">
        <f t="shared" si="99"/>
        <v>0.96136472537899254</v>
      </c>
    </row>
    <row r="1549" spans="1:13" ht="27.6">
      <c r="A1549" t="s">
        <v>164</v>
      </c>
      <c r="B1549" t="s">
        <v>112</v>
      </c>
      <c r="C1549" s="14" t="s">
        <v>294</v>
      </c>
      <c r="D1549" t="s">
        <v>112</v>
      </c>
      <c r="E1549" t="s">
        <v>392</v>
      </c>
      <c r="F1549" s="20">
        <v>2037</v>
      </c>
      <c r="G1549" s="20">
        <v>57</v>
      </c>
      <c r="H1549" s="11">
        <v>16876.327731084999</v>
      </c>
      <c r="I1549" s="10">
        <v>3792417.46745425</v>
      </c>
      <c r="J1549" s="34">
        <f t="shared" si="96"/>
        <v>4.4500184581244516E-3</v>
      </c>
      <c r="K1549" s="34">
        <f t="shared" si="97"/>
        <v>4.4401317966976661E-3</v>
      </c>
      <c r="L1549" s="34">
        <f t="shared" si="98"/>
        <v>0.96136472537899254</v>
      </c>
      <c r="M1549" s="34">
        <f t="shared" si="99"/>
        <v>0.9570961392936137</v>
      </c>
    </row>
    <row r="1550" spans="1:13" ht="27.6">
      <c r="A1550" t="s">
        <v>164</v>
      </c>
      <c r="B1550" t="s">
        <v>112</v>
      </c>
      <c r="C1550" s="14" t="s">
        <v>294</v>
      </c>
      <c r="D1550" t="s">
        <v>112</v>
      </c>
      <c r="E1550" t="s">
        <v>392</v>
      </c>
      <c r="F1550" s="20">
        <v>2037</v>
      </c>
      <c r="G1550" s="20">
        <v>58</v>
      </c>
      <c r="H1550" s="11">
        <v>18051.496674960999</v>
      </c>
      <c r="I1550" s="10">
        <v>3712545.3325709002</v>
      </c>
      <c r="J1550" s="34">
        <f t="shared" si="96"/>
        <v>4.8622966342233244E-3</v>
      </c>
      <c r="K1550" s="34">
        <f t="shared" si="97"/>
        <v>4.8504948056887764E-3</v>
      </c>
      <c r="L1550" s="34">
        <f t="shared" si="98"/>
        <v>0.9570961392936137</v>
      </c>
      <c r="M1550" s="34">
        <f t="shared" si="99"/>
        <v>0.95245374944142525</v>
      </c>
    </row>
    <row r="1551" spans="1:13" ht="27.6">
      <c r="A1551" t="s">
        <v>164</v>
      </c>
      <c r="B1551" t="s">
        <v>112</v>
      </c>
      <c r="C1551" s="14" t="s">
        <v>294</v>
      </c>
      <c r="D1551" t="s">
        <v>112</v>
      </c>
      <c r="E1551" t="s">
        <v>392</v>
      </c>
      <c r="F1551" s="20">
        <v>2037</v>
      </c>
      <c r="G1551" s="20">
        <v>59</v>
      </c>
      <c r="H1551" s="11">
        <v>19216.1316131842</v>
      </c>
      <c r="I1551" s="10">
        <v>3613419.01301168</v>
      </c>
      <c r="J1551" s="34">
        <f t="shared" si="96"/>
        <v>5.3179915044416926E-3</v>
      </c>
      <c r="K1551" s="34">
        <f t="shared" si="97"/>
        <v>5.3038760207134716E-3</v>
      </c>
      <c r="L1551" s="34">
        <f t="shared" si="98"/>
        <v>0.95245374944142525</v>
      </c>
      <c r="M1551" s="34">
        <f t="shared" si="99"/>
        <v>0.9474020528389242</v>
      </c>
    </row>
    <row r="1552" spans="1:13" ht="27.6">
      <c r="A1552" t="s">
        <v>164</v>
      </c>
      <c r="B1552" t="s">
        <v>112</v>
      </c>
      <c r="C1552" s="14" t="s">
        <v>294</v>
      </c>
      <c r="D1552" t="s">
        <v>112</v>
      </c>
      <c r="E1552" t="s">
        <v>392</v>
      </c>
      <c r="F1552" s="20">
        <v>2037</v>
      </c>
      <c r="G1552" s="20">
        <v>60</v>
      </c>
      <c r="H1552" s="11">
        <v>20628.5165692017</v>
      </c>
      <c r="I1552" s="10">
        <v>3528981.0108843599</v>
      </c>
      <c r="J1552" s="34">
        <f t="shared" si="96"/>
        <v>5.8454597816133356E-3</v>
      </c>
      <c r="K1552" s="34">
        <f t="shared" si="97"/>
        <v>5.8284083223020255E-3</v>
      </c>
      <c r="L1552" s="34">
        <f t="shared" si="98"/>
        <v>0.9474020528389242</v>
      </c>
      <c r="M1552" s="34">
        <f t="shared" si="99"/>
        <v>0.94188020682959184</v>
      </c>
    </row>
    <row r="1553" spans="1:13" ht="27.6">
      <c r="A1553" t="s">
        <v>164</v>
      </c>
      <c r="B1553" t="s">
        <v>112</v>
      </c>
      <c r="C1553" s="14" t="s">
        <v>294</v>
      </c>
      <c r="D1553" t="s">
        <v>112</v>
      </c>
      <c r="E1553" t="s">
        <v>392</v>
      </c>
      <c r="F1553" s="20">
        <v>2037</v>
      </c>
      <c r="G1553" s="20">
        <v>61</v>
      </c>
      <c r="H1553" s="11">
        <v>21968.623952473201</v>
      </c>
      <c r="I1553" s="10">
        <v>3432265.4407423302</v>
      </c>
      <c r="J1553" s="34">
        <f t="shared" si="96"/>
        <v>6.4006191629869475E-3</v>
      </c>
      <c r="K1553" s="34">
        <f t="shared" si="97"/>
        <v>6.3801788336578236E-3</v>
      </c>
      <c r="L1553" s="34">
        <f t="shared" si="98"/>
        <v>0.94188020682959184</v>
      </c>
      <c r="M1553" s="34">
        <f t="shared" si="99"/>
        <v>0.93587084267013643</v>
      </c>
    </row>
    <row r="1554" spans="1:13" ht="27.6">
      <c r="A1554" t="s">
        <v>164</v>
      </c>
      <c r="B1554" t="s">
        <v>112</v>
      </c>
      <c r="C1554" s="14" t="s">
        <v>294</v>
      </c>
      <c r="D1554" t="s">
        <v>112</v>
      </c>
      <c r="E1554" t="s">
        <v>392</v>
      </c>
      <c r="F1554" s="20">
        <v>2037</v>
      </c>
      <c r="G1554" s="20">
        <v>62</v>
      </c>
      <c r="H1554" s="11">
        <v>23375.013868898401</v>
      </c>
      <c r="I1554" s="10">
        <v>3334055.66319458</v>
      </c>
      <c r="J1554" s="34">
        <f t="shared" si="96"/>
        <v>7.0109848875472133E-3</v>
      </c>
      <c r="K1554" s="34">
        <f t="shared" si="97"/>
        <v>6.9864652686894013E-3</v>
      </c>
      <c r="L1554" s="34">
        <f t="shared" si="98"/>
        <v>0.93587084267013643</v>
      </c>
      <c r="M1554" s="34">
        <f t="shared" si="99"/>
        <v>0.92933241353184248</v>
      </c>
    </row>
    <row r="1555" spans="1:13" ht="27.6">
      <c r="A1555" t="s">
        <v>164</v>
      </c>
      <c r="B1555" t="s">
        <v>112</v>
      </c>
      <c r="C1555" s="14" t="s">
        <v>294</v>
      </c>
      <c r="D1555" t="s">
        <v>112</v>
      </c>
      <c r="E1555" t="s">
        <v>392</v>
      </c>
      <c r="F1555" s="20">
        <v>2037</v>
      </c>
      <c r="G1555" s="20">
        <v>63</v>
      </c>
      <c r="H1555" s="11">
        <v>24655.842423907801</v>
      </c>
      <c r="I1555" s="10">
        <v>3209707.05151986</v>
      </c>
      <c r="J1555" s="34">
        <f t="shared" si="96"/>
        <v>7.6816488321676491E-3</v>
      </c>
      <c r="K1555" s="34">
        <f t="shared" si="97"/>
        <v>7.6522203690286839E-3</v>
      </c>
      <c r="L1555" s="34">
        <f t="shared" si="98"/>
        <v>0.92933241353184248</v>
      </c>
      <c r="M1555" s="34">
        <f t="shared" si="99"/>
        <v>0.92222095710741558</v>
      </c>
    </row>
    <row r="1556" spans="1:13" ht="27.6">
      <c r="A1556" t="s">
        <v>164</v>
      </c>
      <c r="B1556" t="s">
        <v>112</v>
      </c>
      <c r="C1556" s="14" t="s">
        <v>294</v>
      </c>
      <c r="D1556" t="s">
        <v>112</v>
      </c>
      <c r="E1556" t="s">
        <v>392</v>
      </c>
      <c r="F1556" s="20">
        <v>2037</v>
      </c>
      <c r="G1556" s="20">
        <v>64</v>
      </c>
      <c r="H1556" s="11">
        <v>26417.3355844244</v>
      </c>
      <c r="I1556" s="10">
        <v>3138521.6306842398</v>
      </c>
      <c r="J1556" s="34">
        <f t="shared" si="96"/>
        <v>8.4171271359582966E-3</v>
      </c>
      <c r="K1556" s="34">
        <f t="shared" si="97"/>
        <v>8.3818023020332255E-3</v>
      </c>
      <c r="L1556" s="34">
        <f t="shared" si="98"/>
        <v>0.92222095710741558</v>
      </c>
      <c r="M1556" s="34">
        <f t="shared" si="99"/>
        <v>0.91449108336614937</v>
      </c>
    </row>
    <row r="1557" spans="1:13" ht="27.6">
      <c r="A1557" t="s">
        <v>164</v>
      </c>
      <c r="B1557" t="s">
        <v>112</v>
      </c>
      <c r="C1557" s="14" t="s">
        <v>294</v>
      </c>
      <c r="D1557" t="s">
        <v>112</v>
      </c>
      <c r="E1557" t="s">
        <v>392</v>
      </c>
      <c r="F1557" s="20">
        <v>2037</v>
      </c>
      <c r="G1557" s="20">
        <v>65</v>
      </c>
      <c r="H1557" s="11">
        <v>25948.648085615201</v>
      </c>
      <c r="I1557" s="10">
        <v>2919816.9870728599</v>
      </c>
      <c r="J1557" s="34">
        <f t="shared" si="96"/>
        <v>8.8870803206158918E-3</v>
      </c>
      <c r="K1557" s="34">
        <f t="shared" si="97"/>
        <v>8.847706946745193E-3</v>
      </c>
      <c r="L1557" s="34">
        <f t="shared" si="98"/>
        <v>0.91449108336614937</v>
      </c>
      <c r="M1557" s="34">
        <f t="shared" si="99"/>
        <v>0.90639993425511411</v>
      </c>
    </row>
    <row r="1558" spans="1:13" ht="27.6">
      <c r="A1558" t="s">
        <v>164</v>
      </c>
      <c r="B1558" t="s">
        <v>112</v>
      </c>
      <c r="C1558" s="14" t="s">
        <v>294</v>
      </c>
      <c r="D1558" t="s">
        <v>112</v>
      </c>
      <c r="E1558" t="s">
        <v>392</v>
      </c>
      <c r="F1558" s="20">
        <v>2037</v>
      </c>
      <c r="G1558" s="20">
        <v>66</v>
      </c>
      <c r="H1558" s="11">
        <v>27389.107666798802</v>
      </c>
      <c r="I1558" s="10">
        <v>2809795.2043450102</v>
      </c>
      <c r="J1558" s="34">
        <f t="shared" si="96"/>
        <v>9.7477238285711507E-3</v>
      </c>
      <c r="K1558" s="34">
        <f t="shared" si="97"/>
        <v>9.7003687615976331E-3</v>
      </c>
      <c r="L1558" s="34">
        <f t="shared" si="98"/>
        <v>0.90639993425511411</v>
      </c>
      <c r="M1558" s="34">
        <f t="shared" si="99"/>
        <v>0.89760752064735161</v>
      </c>
    </row>
    <row r="1559" spans="1:13" ht="27.6">
      <c r="A1559" t="s">
        <v>164</v>
      </c>
      <c r="B1559" t="s">
        <v>112</v>
      </c>
      <c r="C1559" s="14" t="s">
        <v>294</v>
      </c>
      <c r="D1559" t="s">
        <v>112</v>
      </c>
      <c r="E1559" t="s">
        <v>392</v>
      </c>
      <c r="F1559" s="20">
        <v>2037</v>
      </c>
      <c r="G1559" s="20">
        <v>67</v>
      </c>
      <c r="H1559" s="11">
        <v>28903.266893482301</v>
      </c>
      <c r="I1559" s="10">
        <v>2702135.3449115301</v>
      </c>
      <c r="J1559" s="34">
        <f t="shared" si="96"/>
        <v>1.0696454175735825E-2</v>
      </c>
      <c r="K1559" s="34">
        <f t="shared" si="97"/>
        <v>1.0639450536412243E-2</v>
      </c>
      <c r="L1559" s="34">
        <f t="shared" si="98"/>
        <v>0.89760752064735161</v>
      </c>
      <c r="M1559" s="34">
        <f t="shared" si="99"/>
        <v>0.88805746983031253</v>
      </c>
    </row>
    <row r="1560" spans="1:13" ht="27.6">
      <c r="A1560" t="s">
        <v>164</v>
      </c>
      <c r="B1560" t="s">
        <v>112</v>
      </c>
      <c r="C1560" s="14" t="s">
        <v>294</v>
      </c>
      <c r="D1560" t="s">
        <v>112</v>
      </c>
      <c r="E1560" t="s">
        <v>392</v>
      </c>
      <c r="F1560" s="20">
        <v>2037</v>
      </c>
      <c r="G1560" s="20">
        <v>68</v>
      </c>
      <c r="H1560" s="11">
        <v>30366.764715201902</v>
      </c>
      <c r="I1560" s="10">
        <v>2585545.3700159099</v>
      </c>
      <c r="J1560" s="34">
        <f t="shared" si="96"/>
        <v>1.1744819900420096E-2</v>
      </c>
      <c r="K1560" s="34">
        <f t="shared" si="97"/>
        <v>1.1676118727177554E-2</v>
      </c>
      <c r="L1560" s="34">
        <f t="shared" si="98"/>
        <v>0.88805746983031253</v>
      </c>
      <c r="M1560" s="34">
        <f t="shared" si="99"/>
        <v>0.87768840537601689</v>
      </c>
    </row>
    <row r="1561" spans="1:13" ht="27.6">
      <c r="A1561" t="s">
        <v>164</v>
      </c>
      <c r="B1561" t="s">
        <v>112</v>
      </c>
      <c r="C1561" s="14" t="s">
        <v>294</v>
      </c>
      <c r="D1561" t="s">
        <v>112</v>
      </c>
      <c r="E1561" t="s">
        <v>392</v>
      </c>
      <c r="F1561" s="20">
        <v>2037</v>
      </c>
      <c r="G1561" s="20">
        <v>69</v>
      </c>
      <c r="H1561" s="11">
        <v>31642.681675750599</v>
      </c>
      <c r="I1561" s="10">
        <v>2451571.3742654999</v>
      </c>
      <c r="J1561" s="34">
        <f t="shared" si="96"/>
        <v>1.2907101954243884E-2</v>
      </c>
      <c r="K1561" s="34">
        <f t="shared" si="97"/>
        <v>1.2824162533149108E-2</v>
      </c>
      <c r="L1561" s="34">
        <f t="shared" si="98"/>
        <v>0.87768840537601689</v>
      </c>
      <c r="M1561" s="34">
        <f t="shared" si="99"/>
        <v>0.86643278661201439</v>
      </c>
    </row>
    <row r="1562" spans="1:13" ht="27.6">
      <c r="A1562" t="s">
        <v>164</v>
      </c>
      <c r="B1562" t="s">
        <v>112</v>
      </c>
      <c r="C1562" s="14" t="s">
        <v>294</v>
      </c>
      <c r="D1562" t="s">
        <v>112</v>
      </c>
      <c r="E1562" t="s">
        <v>392</v>
      </c>
      <c r="F1562" s="20">
        <v>2038</v>
      </c>
      <c r="G1562" s="20">
        <v>30</v>
      </c>
      <c r="H1562" s="11">
        <v>777.31631271766696</v>
      </c>
      <c r="I1562" s="10">
        <v>4653435.8332219999</v>
      </c>
      <c r="J1562" s="34">
        <f t="shared" si="96"/>
        <v>1.6704137342309923E-4</v>
      </c>
      <c r="K1562" s="34">
        <f t="shared" si="97"/>
        <v>1.670274227896229E-4</v>
      </c>
      <c r="L1562" s="34">
        <f t="shared" si="98"/>
        <v>1</v>
      </c>
      <c r="M1562" s="34">
        <f t="shared" si="99"/>
        <v>0.99983297257721038</v>
      </c>
    </row>
    <row r="1563" spans="1:13" ht="27.6">
      <c r="A1563" t="s">
        <v>164</v>
      </c>
      <c r="B1563" t="s">
        <v>112</v>
      </c>
      <c r="C1563" s="14" t="s">
        <v>294</v>
      </c>
      <c r="D1563" t="s">
        <v>112</v>
      </c>
      <c r="E1563" t="s">
        <v>392</v>
      </c>
      <c r="F1563" s="20">
        <v>2038</v>
      </c>
      <c r="G1563" s="20">
        <v>31</v>
      </c>
      <c r="H1563" s="11">
        <v>1056.6402763174401</v>
      </c>
      <c r="I1563" s="10">
        <v>4679780.6635937598</v>
      </c>
      <c r="J1563" s="34">
        <f t="shared" si="96"/>
        <v>2.2578841879012569E-4</v>
      </c>
      <c r="K1563" s="34">
        <f t="shared" si="97"/>
        <v>2.2576293050347029E-4</v>
      </c>
      <c r="L1563" s="34">
        <f t="shared" si="98"/>
        <v>0.99983297257721038</v>
      </c>
      <c r="M1563" s="34">
        <f t="shared" si="99"/>
        <v>0.99960724735530737</v>
      </c>
    </row>
    <row r="1564" spans="1:13" ht="27.6">
      <c r="A1564" t="s">
        <v>164</v>
      </c>
      <c r="B1564" t="s">
        <v>112</v>
      </c>
      <c r="C1564" s="14" t="s">
        <v>294</v>
      </c>
      <c r="D1564" t="s">
        <v>112</v>
      </c>
      <c r="E1564" t="s">
        <v>392</v>
      </c>
      <c r="F1564" s="20">
        <v>2038</v>
      </c>
      <c r="G1564" s="20">
        <v>32</v>
      </c>
      <c r="H1564" s="11">
        <v>1092.3068516284</v>
      </c>
      <c r="I1564" s="10">
        <v>4596912.8164077802</v>
      </c>
      <c r="J1564" s="34">
        <f t="shared" si="96"/>
        <v>2.3761748270048207E-4</v>
      </c>
      <c r="K1564" s="34">
        <f t="shared" si="97"/>
        <v>2.3758925390238161E-4</v>
      </c>
      <c r="L1564" s="34">
        <f t="shared" si="98"/>
        <v>0.99960724735530737</v>
      </c>
      <c r="M1564" s="34">
        <f t="shared" si="99"/>
        <v>0.99936975141521278</v>
      </c>
    </row>
    <row r="1565" spans="1:13" ht="27.6">
      <c r="A1565" t="s">
        <v>164</v>
      </c>
      <c r="B1565" t="s">
        <v>112</v>
      </c>
      <c r="C1565" s="14" t="s">
        <v>294</v>
      </c>
      <c r="D1565" t="s">
        <v>112</v>
      </c>
      <c r="E1565" t="s">
        <v>392</v>
      </c>
      <c r="F1565" s="20">
        <v>2038</v>
      </c>
      <c r="G1565" s="20">
        <v>33</v>
      </c>
      <c r="H1565" s="11">
        <v>1141.2583523764799</v>
      </c>
      <c r="I1565" s="10">
        <v>4535935.5728046196</v>
      </c>
      <c r="J1565" s="34">
        <f t="shared" si="96"/>
        <v>2.5160373952816688E-4</v>
      </c>
      <c r="K1565" s="34">
        <f t="shared" si="97"/>
        <v>2.5157208996173797E-4</v>
      </c>
      <c r="L1565" s="34">
        <f t="shared" si="98"/>
        <v>0.99936975141521278</v>
      </c>
      <c r="M1565" s="34">
        <f t="shared" si="99"/>
        <v>0.9991183378782047</v>
      </c>
    </row>
    <row r="1566" spans="1:13" ht="27.6">
      <c r="A1566" t="s">
        <v>164</v>
      </c>
      <c r="B1566" t="s">
        <v>112</v>
      </c>
      <c r="C1566" s="14" t="s">
        <v>294</v>
      </c>
      <c r="D1566" t="s">
        <v>112</v>
      </c>
      <c r="E1566" t="s">
        <v>392</v>
      </c>
      <c r="F1566" s="20">
        <v>2038</v>
      </c>
      <c r="G1566" s="20">
        <v>34</v>
      </c>
      <c r="H1566" s="11">
        <v>1181.65183148098</v>
      </c>
      <c r="I1566" s="10">
        <v>4407258.3764932901</v>
      </c>
      <c r="J1566" s="34">
        <f t="shared" si="96"/>
        <v>2.6811494369912147E-4</v>
      </c>
      <c r="K1566" s="34">
        <f t="shared" si="97"/>
        <v>2.6807900409964169E-4</v>
      </c>
      <c r="L1566" s="34">
        <f t="shared" si="98"/>
        <v>0.9991183378782047</v>
      </c>
      <c r="M1566" s="34">
        <f t="shared" si="99"/>
        <v>0.99885049522920866</v>
      </c>
    </row>
    <row r="1567" spans="1:13" ht="27.6">
      <c r="A1567" t="s">
        <v>164</v>
      </c>
      <c r="B1567" t="s">
        <v>112</v>
      </c>
      <c r="C1567" s="14" t="s">
        <v>294</v>
      </c>
      <c r="D1567" t="s">
        <v>112</v>
      </c>
      <c r="E1567" t="s">
        <v>392</v>
      </c>
      <c r="F1567" s="20">
        <v>2038</v>
      </c>
      <c r="G1567" s="20">
        <v>35</v>
      </c>
      <c r="H1567" s="11">
        <v>1561.0164615879401</v>
      </c>
      <c r="I1567" s="10">
        <v>4341478.0719502401</v>
      </c>
      <c r="J1567" s="34">
        <f t="shared" si="96"/>
        <v>3.5955875757463269E-4</v>
      </c>
      <c r="K1567" s="34">
        <f t="shared" si="97"/>
        <v>3.5949412407132453E-4</v>
      </c>
      <c r="L1567" s="34">
        <f t="shared" si="98"/>
        <v>0.99885049522920866</v>
      </c>
      <c r="M1567" s="34">
        <f t="shared" si="99"/>
        <v>0.99849141434534805</v>
      </c>
    </row>
    <row r="1568" spans="1:13" ht="27.6">
      <c r="A1568" t="s">
        <v>164</v>
      </c>
      <c r="B1568" t="s">
        <v>112</v>
      </c>
      <c r="C1568" s="14" t="s">
        <v>294</v>
      </c>
      <c r="D1568" t="s">
        <v>112</v>
      </c>
      <c r="E1568" t="s">
        <v>392</v>
      </c>
      <c r="F1568" s="20">
        <v>2038</v>
      </c>
      <c r="G1568" s="20">
        <v>36</v>
      </c>
      <c r="H1568" s="11">
        <v>1945.1932006613899</v>
      </c>
      <c r="I1568" s="10">
        <v>4318560.5129043702</v>
      </c>
      <c r="J1568" s="34">
        <f t="shared" si="96"/>
        <v>4.5042629247614392E-4</v>
      </c>
      <c r="K1568" s="34">
        <f t="shared" si="97"/>
        <v>4.5032486578266973E-4</v>
      </c>
      <c r="L1568" s="34">
        <f t="shared" si="98"/>
        <v>0.99849141434534805</v>
      </c>
      <c r="M1568" s="34">
        <f t="shared" si="99"/>
        <v>0.99804176883319784</v>
      </c>
    </row>
    <row r="1569" spans="1:13" ht="27.6">
      <c r="A1569" t="s">
        <v>164</v>
      </c>
      <c r="B1569" t="s">
        <v>112</v>
      </c>
      <c r="C1569" s="14" t="s">
        <v>294</v>
      </c>
      <c r="D1569" t="s">
        <v>112</v>
      </c>
      <c r="E1569" t="s">
        <v>392</v>
      </c>
      <c r="F1569" s="20">
        <v>2038</v>
      </c>
      <c r="G1569" s="20">
        <v>37</v>
      </c>
      <c r="H1569" s="11">
        <v>2078.9768029433098</v>
      </c>
      <c r="I1569" s="10">
        <v>4297460.4436041396</v>
      </c>
      <c r="J1569" s="34">
        <f t="shared" si="96"/>
        <v>4.8376868856057231E-4</v>
      </c>
      <c r="K1569" s="34">
        <f t="shared" si="97"/>
        <v>4.8365169135589081E-4</v>
      </c>
      <c r="L1569" s="34">
        <f t="shared" si="98"/>
        <v>0.99804176883319784</v>
      </c>
      <c r="M1569" s="34">
        <f t="shared" si="99"/>
        <v>0.99755906424365781</v>
      </c>
    </row>
    <row r="1570" spans="1:13" ht="27.6">
      <c r="A1570" t="s">
        <v>164</v>
      </c>
      <c r="B1570" t="s">
        <v>112</v>
      </c>
      <c r="C1570" s="14" t="s">
        <v>294</v>
      </c>
      <c r="D1570" t="s">
        <v>112</v>
      </c>
      <c r="E1570" t="s">
        <v>392</v>
      </c>
      <c r="F1570" s="20">
        <v>2038</v>
      </c>
      <c r="G1570" s="20">
        <v>38</v>
      </c>
      <c r="H1570" s="11">
        <v>2228.7041342192001</v>
      </c>
      <c r="I1570" s="10">
        <v>4275870.1462354697</v>
      </c>
      <c r="J1570" s="34">
        <f t="shared" si="96"/>
        <v>5.2122820805991488E-4</v>
      </c>
      <c r="K1570" s="34">
        <f t="shared" si="97"/>
        <v>5.2109239223552262E-4</v>
      </c>
      <c r="L1570" s="34">
        <f t="shared" si="98"/>
        <v>0.99755906424365781</v>
      </c>
      <c r="M1570" s="34">
        <f t="shared" si="99"/>
        <v>0.99703924380447484</v>
      </c>
    </row>
    <row r="1571" spans="1:13" ht="27.6">
      <c r="A1571" t="s">
        <v>164</v>
      </c>
      <c r="B1571" t="s">
        <v>112</v>
      </c>
      <c r="C1571" s="14" t="s">
        <v>294</v>
      </c>
      <c r="D1571" t="s">
        <v>112</v>
      </c>
      <c r="E1571" t="s">
        <v>392</v>
      </c>
      <c r="F1571" s="20">
        <v>2038</v>
      </c>
      <c r="G1571" s="20">
        <v>39</v>
      </c>
      <c r="H1571" s="11">
        <v>2415.8578100193299</v>
      </c>
      <c r="I1571" s="10">
        <v>4293420.7656328501</v>
      </c>
      <c r="J1571" s="34">
        <f t="shared" si="96"/>
        <v>5.626883415101833E-4</v>
      </c>
      <c r="K1571" s="34">
        <f t="shared" si="97"/>
        <v>5.6253006211404166E-4</v>
      </c>
      <c r="L1571" s="34">
        <f t="shared" si="98"/>
        <v>0.99703924380447484</v>
      </c>
      <c r="M1571" s="34">
        <f t="shared" si="99"/>
        <v>0.99647837925672733</v>
      </c>
    </row>
    <row r="1572" spans="1:13" ht="27.6">
      <c r="A1572" t="s">
        <v>164</v>
      </c>
      <c r="B1572" t="s">
        <v>112</v>
      </c>
      <c r="C1572" s="14" t="s">
        <v>294</v>
      </c>
      <c r="D1572" t="s">
        <v>112</v>
      </c>
      <c r="E1572" t="s">
        <v>392</v>
      </c>
      <c r="F1572" s="20">
        <v>2038</v>
      </c>
      <c r="G1572" s="20">
        <v>40</v>
      </c>
      <c r="H1572" s="11">
        <v>3290.28066201408</v>
      </c>
      <c r="I1572" s="10">
        <v>4349467.3655708497</v>
      </c>
      <c r="J1572" s="34">
        <f t="shared" si="96"/>
        <v>7.5647898592342796E-4</v>
      </c>
      <c r="K1572" s="34">
        <f t="shared" si="97"/>
        <v>7.5619292783224434E-4</v>
      </c>
      <c r="L1572" s="34">
        <f t="shared" si="98"/>
        <v>0.99647837925672733</v>
      </c>
      <c r="M1572" s="34">
        <f t="shared" si="99"/>
        <v>0.99572484935359562</v>
      </c>
    </row>
    <row r="1573" spans="1:13" ht="27.6">
      <c r="A1573" t="s">
        <v>164</v>
      </c>
      <c r="B1573" t="s">
        <v>112</v>
      </c>
      <c r="C1573" s="14" t="s">
        <v>294</v>
      </c>
      <c r="D1573" t="s">
        <v>112</v>
      </c>
      <c r="E1573" t="s">
        <v>392</v>
      </c>
      <c r="F1573" s="20">
        <v>2038</v>
      </c>
      <c r="G1573" s="20">
        <v>41</v>
      </c>
      <c r="H1573" s="11">
        <v>3951.4449418197401</v>
      </c>
      <c r="I1573" s="10">
        <v>4481772.85372632</v>
      </c>
      <c r="J1573" s="34">
        <f t="shared" si="96"/>
        <v>8.8167006021609403E-4</v>
      </c>
      <c r="K1573" s="34">
        <f t="shared" si="97"/>
        <v>8.8128150336996836E-4</v>
      </c>
      <c r="L1573" s="34">
        <f t="shared" si="98"/>
        <v>0.99572484935359562</v>
      </c>
      <c r="M1573" s="34">
        <f t="shared" si="99"/>
        <v>0.99484733546141446</v>
      </c>
    </row>
    <row r="1574" spans="1:13" ht="27.6">
      <c r="A1574" t="s">
        <v>164</v>
      </c>
      <c r="B1574" t="s">
        <v>112</v>
      </c>
      <c r="C1574" s="14" t="s">
        <v>294</v>
      </c>
      <c r="D1574" t="s">
        <v>112</v>
      </c>
      <c r="E1574" t="s">
        <v>392</v>
      </c>
      <c r="F1574" s="20">
        <v>2038</v>
      </c>
      <c r="G1574" s="20">
        <v>42</v>
      </c>
      <c r="H1574" s="11">
        <v>4234.3907390636105</v>
      </c>
      <c r="I1574" s="10">
        <v>4434946.7041335898</v>
      </c>
      <c r="J1574" s="34">
        <f t="shared" si="96"/>
        <v>9.5477826940218891E-4</v>
      </c>
      <c r="K1574" s="34">
        <f t="shared" si="97"/>
        <v>9.5432261365857585E-4</v>
      </c>
      <c r="L1574" s="34">
        <f t="shared" si="98"/>
        <v>0.99484733546141446</v>
      </c>
      <c r="M1574" s="34">
        <f t="shared" si="99"/>
        <v>0.99389793015204564</v>
      </c>
    </row>
    <row r="1575" spans="1:13" ht="27.6">
      <c r="A1575" t="s">
        <v>164</v>
      </c>
      <c r="B1575" t="s">
        <v>112</v>
      </c>
      <c r="C1575" s="14" t="s">
        <v>294</v>
      </c>
      <c r="D1575" t="s">
        <v>112</v>
      </c>
      <c r="E1575" t="s">
        <v>392</v>
      </c>
      <c r="F1575" s="20">
        <v>2038</v>
      </c>
      <c r="G1575" s="20">
        <v>43</v>
      </c>
      <c r="H1575" s="11">
        <v>4518.4270192144004</v>
      </c>
      <c r="I1575" s="10">
        <v>4357969.6117951497</v>
      </c>
      <c r="J1575" s="34">
        <f t="shared" si="96"/>
        <v>1.0368193038760439E-3</v>
      </c>
      <c r="K1575" s="34">
        <f t="shared" si="97"/>
        <v>1.0362819924559785E-3</v>
      </c>
      <c r="L1575" s="34">
        <f t="shared" si="98"/>
        <v>0.99389793015204564</v>
      </c>
      <c r="M1575" s="34">
        <f t="shared" si="99"/>
        <v>0.99286797162468976</v>
      </c>
    </row>
    <row r="1576" spans="1:13" ht="27.6">
      <c r="A1576" t="s">
        <v>164</v>
      </c>
      <c r="B1576" t="s">
        <v>112</v>
      </c>
      <c r="C1576" s="14" t="s">
        <v>294</v>
      </c>
      <c r="D1576" t="s">
        <v>112</v>
      </c>
      <c r="E1576" t="s">
        <v>392</v>
      </c>
      <c r="F1576" s="20">
        <v>2038</v>
      </c>
      <c r="G1576" s="20">
        <v>44</v>
      </c>
      <c r="H1576" s="11">
        <v>4850.08919035496</v>
      </c>
      <c r="I1576" s="10">
        <v>4296055.6947835302</v>
      </c>
      <c r="J1576" s="34">
        <f t="shared" si="96"/>
        <v>1.1289632944573235E-3</v>
      </c>
      <c r="K1576" s="34">
        <f t="shared" si="97"/>
        <v>1.1283262551511353E-3</v>
      </c>
      <c r="L1576" s="34">
        <f t="shared" si="98"/>
        <v>0.99286797162468976</v>
      </c>
      <c r="M1576" s="34">
        <f t="shared" si="99"/>
        <v>0.99174769262440698</v>
      </c>
    </row>
    <row r="1577" spans="1:13" ht="27.6">
      <c r="A1577" t="s">
        <v>164</v>
      </c>
      <c r="B1577" t="s">
        <v>112</v>
      </c>
      <c r="C1577" s="14" t="s">
        <v>294</v>
      </c>
      <c r="D1577" t="s">
        <v>112</v>
      </c>
      <c r="E1577" t="s">
        <v>392</v>
      </c>
      <c r="F1577" s="20">
        <v>2038</v>
      </c>
      <c r="G1577" s="20">
        <v>45</v>
      </c>
      <c r="H1577" s="11">
        <v>6144.6201039531297</v>
      </c>
      <c r="I1577" s="10">
        <v>4237178.45922371</v>
      </c>
      <c r="J1577" s="34">
        <f t="shared" si="96"/>
        <v>1.4501678801319311E-3</v>
      </c>
      <c r="K1577" s="34">
        <f t="shared" si="97"/>
        <v>1.449116894788105E-3</v>
      </c>
      <c r="L1577" s="34">
        <f t="shared" si="98"/>
        <v>0.99174769262440698</v>
      </c>
      <c r="M1577" s="34">
        <f t="shared" si="99"/>
        <v>0.99031053428765781</v>
      </c>
    </row>
    <row r="1578" spans="1:13" ht="27.6">
      <c r="A1578" t="s">
        <v>164</v>
      </c>
      <c r="B1578" t="s">
        <v>112</v>
      </c>
      <c r="C1578" s="14" t="s">
        <v>294</v>
      </c>
      <c r="D1578" t="s">
        <v>112</v>
      </c>
      <c r="E1578" t="s">
        <v>392</v>
      </c>
      <c r="F1578" s="20">
        <v>2038</v>
      </c>
      <c r="G1578" s="20">
        <v>46</v>
      </c>
      <c r="H1578" s="11">
        <v>6756.3188906083697</v>
      </c>
      <c r="I1578" s="10">
        <v>4266283.47518925</v>
      </c>
      <c r="J1578" s="34">
        <f t="shared" si="96"/>
        <v>1.5836544687899961E-3</v>
      </c>
      <c r="K1578" s="34">
        <f t="shared" si="97"/>
        <v>1.5824011497471702E-3</v>
      </c>
      <c r="L1578" s="34">
        <f t="shared" si="98"/>
        <v>0.99031053428765781</v>
      </c>
      <c r="M1578" s="34">
        <f t="shared" si="99"/>
        <v>0.98874346575959426</v>
      </c>
    </row>
    <row r="1579" spans="1:13" ht="27.6">
      <c r="A1579" t="s">
        <v>164</v>
      </c>
      <c r="B1579" t="s">
        <v>112</v>
      </c>
      <c r="C1579" s="14" t="s">
        <v>294</v>
      </c>
      <c r="D1579" t="s">
        <v>112</v>
      </c>
      <c r="E1579" t="s">
        <v>392</v>
      </c>
      <c r="F1579" s="20">
        <v>2038</v>
      </c>
      <c r="G1579" s="20">
        <v>47</v>
      </c>
      <c r="H1579" s="11">
        <v>7413.5778493051203</v>
      </c>
      <c r="I1579" s="10">
        <v>4276023.6489899904</v>
      </c>
      <c r="J1579" s="34">
        <f t="shared" si="96"/>
        <v>1.7337551093891236E-3</v>
      </c>
      <c r="K1579" s="34">
        <f t="shared" si="97"/>
        <v>1.7322530242074308E-3</v>
      </c>
      <c r="L1579" s="34">
        <f t="shared" si="98"/>
        <v>0.98874346575959426</v>
      </c>
      <c r="M1579" s="34">
        <f t="shared" si="99"/>
        <v>0.98703071190086689</v>
      </c>
    </row>
    <row r="1580" spans="1:13" ht="27.6">
      <c r="A1580" t="s">
        <v>164</v>
      </c>
      <c r="B1580" t="s">
        <v>112</v>
      </c>
      <c r="C1580" s="14" t="s">
        <v>294</v>
      </c>
      <c r="D1580" t="s">
        <v>112</v>
      </c>
      <c r="E1580" t="s">
        <v>392</v>
      </c>
      <c r="F1580" s="20">
        <v>2038</v>
      </c>
      <c r="G1580" s="20">
        <v>48</v>
      </c>
      <c r="H1580" s="11">
        <v>10992.961159098601</v>
      </c>
      <c r="I1580" s="10">
        <v>6291283.9768483099</v>
      </c>
      <c r="J1580" s="34">
        <f t="shared" si="96"/>
        <v>1.747331895929716E-3</v>
      </c>
      <c r="K1580" s="34">
        <f t="shared" si="97"/>
        <v>1.7458062003140595E-3</v>
      </c>
      <c r="L1580" s="34">
        <f t="shared" si="98"/>
        <v>0.98703071190086689</v>
      </c>
      <c r="M1580" s="34">
        <f t="shared" si="99"/>
        <v>0.98530754756412997</v>
      </c>
    </row>
    <row r="1581" spans="1:13" ht="27.6">
      <c r="A1581" t="s">
        <v>164</v>
      </c>
      <c r="B1581" t="s">
        <v>112</v>
      </c>
      <c r="C1581" s="14" t="s">
        <v>294</v>
      </c>
      <c r="D1581" t="s">
        <v>112</v>
      </c>
      <c r="E1581" t="s">
        <v>392</v>
      </c>
      <c r="F1581" s="20">
        <v>2038</v>
      </c>
      <c r="G1581" s="20">
        <v>49</v>
      </c>
      <c r="H1581" s="11">
        <v>8775.19555262826</v>
      </c>
      <c r="I1581" s="10">
        <v>4217135.0160024296</v>
      </c>
      <c r="J1581" s="34">
        <f t="shared" si="96"/>
        <v>2.080842922820758E-3</v>
      </c>
      <c r="K1581" s="34">
        <f t="shared" si="97"/>
        <v>2.0786794700480282E-3</v>
      </c>
      <c r="L1581" s="34">
        <f t="shared" si="98"/>
        <v>0.98530754756412997</v>
      </c>
      <c r="M1581" s="34">
        <f t="shared" si="99"/>
        <v>0.98325940899332509</v>
      </c>
    </row>
    <row r="1582" spans="1:13" ht="27.6">
      <c r="A1582" t="s">
        <v>164</v>
      </c>
      <c r="B1582" t="s">
        <v>112</v>
      </c>
      <c r="C1582" s="14" t="s">
        <v>294</v>
      </c>
      <c r="D1582" t="s">
        <v>112</v>
      </c>
      <c r="E1582" t="s">
        <v>392</v>
      </c>
      <c r="F1582" s="20">
        <v>2038</v>
      </c>
      <c r="G1582" s="20">
        <v>50</v>
      </c>
      <c r="H1582" s="11">
        <v>10043.306400630499</v>
      </c>
      <c r="I1582" s="10">
        <v>4190125.7957131201</v>
      </c>
      <c r="J1582" s="34">
        <f t="shared" si="96"/>
        <v>2.3968985396347086E-3</v>
      </c>
      <c r="K1582" s="34">
        <f t="shared" si="97"/>
        <v>2.3940282720348316E-3</v>
      </c>
      <c r="L1582" s="34">
        <f t="shared" si="98"/>
        <v>0.98325940899332509</v>
      </c>
      <c r="M1582" s="34">
        <f t="shared" si="99"/>
        <v>0.98090545816945085</v>
      </c>
    </row>
    <row r="1583" spans="1:13" ht="27.6">
      <c r="A1583" t="s">
        <v>164</v>
      </c>
      <c r="B1583" t="s">
        <v>112</v>
      </c>
      <c r="C1583" s="14" t="s">
        <v>294</v>
      </c>
      <c r="D1583" t="s">
        <v>112</v>
      </c>
      <c r="E1583" t="s">
        <v>392</v>
      </c>
      <c r="F1583" s="20">
        <v>2038</v>
      </c>
      <c r="G1583" s="20">
        <v>51</v>
      </c>
      <c r="H1583" s="11">
        <v>10619.892209890701</v>
      </c>
      <c r="I1583" s="10">
        <v>4049468.5238662399</v>
      </c>
      <c r="J1583" s="34">
        <f t="shared" si="96"/>
        <v>2.6225397597982396E-3</v>
      </c>
      <c r="K1583" s="34">
        <f t="shared" si="97"/>
        <v>2.6191039066125743E-3</v>
      </c>
      <c r="L1583" s="34">
        <f t="shared" si="98"/>
        <v>0.98090545816945085</v>
      </c>
      <c r="M1583" s="34">
        <f t="shared" si="99"/>
        <v>0.97833636485194164</v>
      </c>
    </row>
    <row r="1584" spans="1:13" ht="27.6">
      <c r="A1584" t="s">
        <v>164</v>
      </c>
      <c r="B1584" t="s">
        <v>112</v>
      </c>
      <c r="C1584" s="14" t="s">
        <v>294</v>
      </c>
      <c r="D1584" t="s">
        <v>112</v>
      </c>
      <c r="E1584" t="s">
        <v>392</v>
      </c>
      <c r="F1584" s="20">
        <v>2038</v>
      </c>
      <c r="G1584" s="20">
        <v>52</v>
      </c>
      <c r="H1584" s="11">
        <v>11469.8166199805</v>
      </c>
      <c r="I1584" s="10">
        <v>4003310.45539837</v>
      </c>
      <c r="J1584" s="34">
        <f t="shared" si="96"/>
        <v>2.8650829726467311E-3</v>
      </c>
      <c r="K1584" s="34">
        <f t="shared" si="97"/>
        <v>2.8609825393886013E-3</v>
      </c>
      <c r="L1584" s="34">
        <f t="shared" si="98"/>
        <v>0.97833636485194164</v>
      </c>
      <c r="M1584" s="34">
        <f t="shared" si="99"/>
        <v>0.97553736159445137</v>
      </c>
    </row>
    <row r="1585" spans="1:13" ht="27.6">
      <c r="A1585" t="s">
        <v>164</v>
      </c>
      <c r="B1585" t="s">
        <v>112</v>
      </c>
      <c r="C1585" s="14" t="s">
        <v>294</v>
      </c>
      <c r="D1585" t="s">
        <v>112</v>
      </c>
      <c r="E1585" t="s">
        <v>392</v>
      </c>
      <c r="F1585" s="20">
        <v>2038</v>
      </c>
      <c r="G1585" s="20">
        <v>53</v>
      </c>
      <c r="H1585" s="11">
        <v>12653.841970719601</v>
      </c>
      <c r="I1585" s="10">
        <v>4046049.16657191</v>
      </c>
      <c r="J1585" s="34">
        <f t="shared" si="96"/>
        <v>3.1274563036120498E-3</v>
      </c>
      <c r="K1585" s="34">
        <f t="shared" si="97"/>
        <v>3.1225709064289786E-3</v>
      </c>
      <c r="L1585" s="34">
        <f t="shared" si="98"/>
        <v>0.97553736159445137</v>
      </c>
      <c r="M1585" s="34">
        <f t="shared" si="99"/>
        <v>0.97249117701100207</v>
      </c>
    </row>
    <row r="1586" spans="1:13" ht="27.6">
      <c r="A1586" t="s">
        <v>164</v>
      </c>
      <c r="B1586" t="s">
        <v>112</v>
      </c>
      <c r="C1586" s="14" t="s">
        <v>294</v>
      </c>
      <c r="D1586" t="s">
        <v>112</v>
      </c>
      <c r="E1586" t="s">
        <v>392</v>
      </c>
      <c r="F1586" s="20">
        <v>2038</v>
      </c>
      <c r="G1586" s="20">
        <v>54</v>
      </c>
      <c r="H1586" s="11">
        <v>14022.834974631</v>
      </c>
      <c r="I1586" s="10">
        <v>4111102.5930546699</v>
      </c>
      <c r="J1586" s="34">
        <f t="shared" si="96"/>
        <v>3.4109669260799502E-3</v>
      </c>
      <c r="K1586" s="34">
        <f t="shared" si="97"/>
        <v>3.40515618701831E-3</v>
      </c>
      <c r="L1586" s="34">
        <f t="shared" si="98"/>
        <v>0.97249117701100207</v>
      </c>
      <c r="M1586" s="34">
        <f t="shared" si="99"/>
        <v>0.96917969266278237</v>
      </c>
    </row>
    <row r="1587" spans="1:13" ht="27.6">
      <c r="A1587" t="s">
        <v>164</v>
      </c>
      <c r="B1587" t="s">
        <v>112</v>
      </c>
      <c r="C1587" s="14" t="s">
        <v>294</v>
      </c>
      <c r="D1587" t="s">
        <v>112</v>
      </c>
      <c r="E1587" t="s">
        <v>392</v>
      </c>
      <c r="F1587" s="20">
        <v>2038</v>
      </c>
      <c r="G1587" s="20">
        <v>55</v>
      </c>
      <c r="H1587" s="11">
        <v>15073.123653454601</v>
      </c>
      <c r="I1587" s="10">
        <v>4070382.4643435702</v>
      </c>
      <c r="J1587" s="34">
        <f t="shared" si="96"/>
        <v>3.7031221968684067E-3</v>
      </c>
      <c r="K1587" s="34">
        <f t="shared" si="97"/>
        <v>3.6962740955924778E-3</v>
      </c>
      <c r="L1587" s="34">
        <f t="shared" si="98"/>
        <v>0.96917969266278237</v>
      </c>
      <c r="M1587" s="34">
        <f t="shared" si="99"/>
        <v>0.96559733887081867</v>
      </c>
    </row>
    <row r="1588" spans="1:13" ht="27.6">
      <c r="A1588" t="s">
        <v>164</v>
      </c>
      <c r="B1588" t="s">
        <v>112</v>
      </c>
      <c r="C1588" s="14" t="s">
        <v>294</v>
      </c>
      <c r="D1588" t="s">
        <v>112</v>
      </c>
      <c r="E1588" t="s">
        <v>392</v>
      </c>
      <c r="F1588" s="20">
        <v>2038</v>
      </c>
      <c r="G1588" s="20">
        <v>56</v>
      </c>
      <c r="H1588" s="11">
        <v>15848.7824807581</v>
      </c>
      <c r="I1588" s="10">
        <v>3921444.83464497</v>
      </c>
      <c r="J1588" s="34">
        <f t="shared" si="96"/>
        <v>4.041567113411396E-3</v>
      </c>
      <c r="K1588" s="34">
        <f t="shared" si="97"/>
        <v>4.0334109726084533E-3</v>
      </c>
      <c r="L1588" s="34">
        <f t="shared" si="98"/>
        <v>0.96559733887081867</v>
      </c>
      <c r="M1588" s="34">
        <f t="shared" si="99"/>
        <v>0.96170268796909564</v>
      </c>
    </row>
    <row r="1589" spans="1:13" ht="27.6">
      <c r="A1589" t="s">
        <v>164</v>
      </c>
      <c r="B1589" t="s">
        <v>112</v>
      </c>
      <c r="C1589" s="14" t="s">
        <v>294</v>
      </c>
      <c r="D1589" t="s">
        <v>112</v>
      </c>
      <c r="E1589" t="s">
        <v>392</v>
      </c>
      <c r="F1589" s="20">
        <v>2038</v>
      </c>
      <c r="G1589" s="20">
        <v>57</v>
      </c>
      <c r="H1589" s="11">
        <v>16899.015376433999</v>
      </c>
      <c r="I1589" s="10">
        <v>3831369.8500397298</v>
      </c>
      <c r="J1589" s="34">
        <f t="shared" si="96"/>
        <v>4.4106980108586389E-3</v>
      </c>
      <c r="K1589" s="34">
        <f t="shared" si="97"/>
        <v>4.4009851677736522E-3</v>
      </c>
      <c r="L1589" s="34">
        <f t="shared" si="98"/>
        <v>0.96170268796909564</v>
      </c>
      <c r="M1589" s="34">
        <f t="shared" si="99"/>
        <v>0.95747024870353559</v>
      </c>
    </row>
    <row r="1590" spans="1:13" ht="27.6">
      <c r="A1590" t="s">
        <v>164</v>
      </c>
      <c r="B1590" t="s">
        <v>112</v>
      </c>
      <c r="C1590" s="14" t="s">
        <v>294</v>
      </c>
      <c r="D1590" t="s">
        <v>112</v>
      </c>
      <c r="E1590" t="s">
        <v>392</v>
      </c>
      <c r="F1590" s="20">
        <v>2038</v>
      </c>
      <c r="G1590" s="20">
        <v>58</v>
      </c>
      <c r="H1590" s="11">
        <v>18095.709766948799</v>
      </c>
      <c r="I1590" s="10">
        <v>3755208.4090883099</v>
      </c>
      <c r="J1590" s="34">
        <f t="shared" si="96"/>
        <v>4.8188296881615895E-3</v>
      </c>
      <c r="K1590" s="34">
        <f t="shared" si="97"/>
        <v>4.8072377557040191E-3</v>
      </c>
      <c r="L1590" s="34">
        <f t="shared" si="98"/>
        <v>0.95747024870353559</v>
      </c>
      <c r="M1590" s="34">
        <f t="shared" si="99"/>
        <v>0.95286746157400459</v>
      </c>
    </row>
    <row r="1591" spans="1:13" ht="27.6">
      <c r="A1591" t="s">
        <v>164</v>
      </c>
      <c r="B1591" t="s">
        <v>112</v>
      </c>
      <c r="C1591" s="14" t="s">
        <v>294</v>
      </c>
      <c r="D1591" t="s">
        <v>112</v>
      </c>
      <c r="E1591" t="s">
        <v>392</v>
      </c>
      <c r="F1591" s="20">
        <v>2038</v>
      </c>
      <c r="G1591" s="20">
        <v>59</v>
      </c>
      <c r="H1591" s="11">
        <v>19356.6525993016</v>
      </c>
      <c r="I1591" s="10">
        <v>3672768.3777563702</v>
      </c>
      <c r="J1591" s="34">
        <f t="shared" si="96"/>
        <v>5.2703167225389364E-3</v>
      </c>
      <c r="K1591" s="34">
        <f t="shared" si="97"/>
        <v>5.2564529695104945E-3</v>
      </c>
      <c r="L1591" s="34">
        <f t="shared" si="98"/>
        <v>0.95286746157400459</v>
      </c>
      <c r="M1591" s="34">
        <f t="shared" si="99"/>
        <v>0.94785875857606394</v>
      </c>
    </row>
    <row r="1592" spans="1:13" ht="27.6">
      <c r="A1592" t="s">
        <v>164</v>
      </c>
      <c r="B1592" t="s">
        <v>112</v>
      </c>
      <c r="C1592" s="14" t="s">
        <v>294</v>
      </c>
      <c r="D1592" t="s">
        <v>112</v>
      </c>
      <c r="E1592" t="s">
        <v>392</v>
      </c>
      <c r="F1592" s="20">
        <v>2038</v>
      </c>
      <c r="G1592" s="20">
        <v>60</v>
      </c>
      <c r="H1592" s="11">
        <v>20624.919571103499</v>
      </c>
      <c r="I1592" s="10">
        <v>3571099.7873529401</v>
      </c>
      <c r="J1592" s="34">
        <f t="shared" si="96"/>
        <v>5.7755091706332903E-3</v>
      </c>
      <c r="K1592" s="34">
        <f t="shared" si="97"/>
        <v>5.7588629797039603E-3</v>
      </c>
      <c r="L1592" s="34">
        <f t="shared" si="98"/>
        <v>0.94785875857606394</v>
      </c>
      <c r="M1592" s="34">
        <f t="shared" si="99"/>
        <v>0.94240016986131214</v>
      </c>
    </row>
    <row r="1593" spans="1:13" ht="27.6">
      <c r="A1593" t="s">
        <v>164</v>
      </c>
      <c r="B1593" t="s">
        <v>112</v>
      </c>
      <c r="C1593" s="14" t="s">
        <v>294</v>
      </c>
      <c r="D1593" t="s">
        <v>112</v>
      </c>
      <c r="E1593" t="s">
        <v>392</v>
      </c>
      <c r="F1593" s="20">
        <v>2038</v>
      </c>
      <c r="G1593" s="20">
        <v>61</v>
      </c>
      <c r="H1593" s="11">
        <v>22061.367970919098</v>
      </c>
      <c r="I1593" s="10">
        <v>3483368.7327878699</v>
      </c>
      <c r="J1593" s="34">
        <f t="shared" si="96"/>
        <v>6.3333427102512238E-3</v>
      </c>
      <c r="K1593" s="34">
        <f t="shared" si="97"/>
        <v>6.313329368049625E-3</v>
      </c>
      <c r="L1593" s="34">
        <f t="shared" si="98"/>
        <v>0.94240016986131214</v>
      </c>
      <c r="M1593" s="34">
        <f t="shared" si="99"/>
        <v>0.93645048719247181</v>
      </c>
    </row>
    <row r="1594" spans="1:13" ht="27.6">
      <c r="A1594" t="s">
        <v>164</v>
      </c>
      <c r="B1594" t="s">
        <v>112</v>
      </c>
      <c r="C1594" s="14" t="s">
        <v>294</v>
      </c>
      <c r="D1594" t="s">
        <v>112</v>
      </c>
      <c r="E1594" t="s">
        <v>392</v>
      </c>
      <c r="F1594" s="20">
        <v>2038</v>
      </c>
      <c r="G1594" s="20">
        <v>62</v>
      </c>
      <c r="H1594" s="11">
        <v>23480.806229939</v>
      </c>
      <c r="I1594" s="10">
        <v>3384039.3979623001</v>
      </c>
      <c r="J1594" s="34">
        <f t="shared" si="96"/>
        <v>6.9386917433874951E-3</v>
      </c>
      <c r="K1594" s="34">
        <f t="shared" si="97"/>
        <v>6.914674603115234E-3</v>
      </c>
      <c r="L1594" s="34">
        <f t="shared" si="98"/>
        <v>0.93645048719247181</v>
      </c>
      <c r="M1594" s="34">
        <f t="shared" si="99"/>
        <v>0.9299752367916071</v>
      </c>
    </row>
    <row r="1595" spans="1:13" ht="27.6">
      <c r="A1595" t="s">
        <v>164</v>
      </c>
      <c r="B1595" t="s">
        <v>112</v>
      </c>
      <c r="C1595" s="14" t="s">
        <v>294</v>
      </c>
      <c r="D1595" t="s">
        <v>112</v>
      </c>
      <c r="E1595" t="s">
        <v>392</v>
      </c>
      <c r="F1595" s="20">
        <v>2038</v>
      </c>
      <c r="G1595" s="20">
        <v>63</v>
      </c>
      <c r="H1595" s="11">
        <v>24959.416198814699</v>
      </c>
      <c r="I1595" s="10">
        <v>3282756.5660204301</v>
      </c>
      <c r="J1595" s="34">
        <f t="shared" si="96"/>
        <v>7.6031882647552259E-3</v>
      </c>
      <c r="K1595" s="34">
        <f t="shared" si="97"/>
        <v>7.5743571446119651E-3</v>
      </c>
      <c r="L1595" s="34">
        <f t="shared" si="98"/>
        <v>0.9299752367916071</v>
      </c>
      <c r="M1595" s="34">
        <f t="shared" si="99"/>
        <v>0.92293127221250237</v>
      </c>
    </row>
    <row r="1596" spans="1:13" ht="27.6">
      <c r="A1596" t="s">
        <v>164</v>
      </c>
      <c r="B1596" t="s">
        <v>112</v>
      </c>
      <c r="C1596" s="14" t="s">
        <v>294</v>
      </c>
      <c r="D1596" t="s">
        <v>112</v>
      </c>
      <c r="E1596" t="s">
        <v>392</v>
      </c>
      <c r="F1596" s="20">
        <v>2038</v>
      </c>
      <c r="G1596" s="20">
        <v>64</v>
      </c>
      <c r="H1596" s="11">
        <v>26292.939470615402</v>
      </c>
      <c r="I1596" s="10">
        <v>3155607.7952638101</v>
      </c>
      <c r="J1596" s="34">
        <f t="shared" si="96"/>
        <v>8.3321316134653874E-3</v>
      </c>
      <c r="K1596" s="34">
        <f t="shared" si="97"/>
        <v>8.2975156132615302E-3</v>
      </c>
      <c r="L1596" s="34">
        <f t="shared" si="98"/>
        <v>0.92293127221250237</v>
      </c>
      <c r="M1596" s="34">
        <f t="shared" si="99"/>
        <v>0.91527323557135176</v>
      </c>
    </row>
    <row r="1597" spans="1:13" ht="27.6">
      <c r="A1597" t="s">
        <v>164</v>
      </c>
      <c r="B1597" t="s">
        <v>112</v>
      </c>
      <c r="C1597" s="14" t="s">
        <v>294</v>
      </c>
      <c r="D1597" t="s">
        <v>112</v>
      </c>
      <c r="E1597" t="s">
        <v>392</v>
      </c>
      <c r="F1597" s="20">
        <v>2038</v>
      </c>
      <c r="G1597" s="20">
        <v>65</v>
      </c>
      <c r="H1597" s="11">
        <v>27037.977978126401</v>
      </c>
      <c r="I1597" s="10">
        <v>3080566.0358321602</v>
      </c>
      <c r="J1597" s="34">
        <f t="shared" si="96"/>
        <v>8.7769512692243163E-3</v>
      </c>
      <c r="K1597" s="34">
        <f t="shared" si="97"/>
        <v>8.7385462741562669E-3</v>
      </c>
      <c r="L1597" s="34">
        <f t="shared" si="98"/>
        <v>0.91527323557135176</v>
      </c>
      <c r="M1597" s="34">
        <f t="shared" si="99"/>
        <v>0.9072750780488148</v>
      </c>
    </row>
    <row r="1598" spans="1:13" ht="27.6">
      <c r="A1598" t="s">
        <v>164</v>
      </c>
      <c r="B1598" t="s">
        <v>112</v>
      </c>
      <c r="C1598" s="14" t="s">
        <v>294</v>
      </c>
      <c r="D1598" t="s">
        <v>112</v>
      </c>
      <c r="E1598" t="s">
        <v>392</v>
      </c>
      <c r="F1598" s="20">
        <v>2038</v>
      </c>
      <c r="G1598" s="20">
        <v>66</v>
      </c>
      <c r="H1598" s="11">
        <v>27574.6284086862</v>
      </c>
      <c r="I1598" s="10">
        <v>2861132.50819796</v>
      </c>
      <c r="J1598" s="34">
        <f t="shared" si="96"/>
        <v>9.6376621249372515E-3</v>
      </c>
      <c r="K1598" s="34">
        <f t="shared" si="97"/>
        <v>9.5913686988192692E-3</v>
      </c>
      <c r="L1598" s="34">
        <f t="shared" si="98"/>
        <v>0.9072750780488148</v>
      </c>
      <c r="M1598" s="34">
        <f t="shared" si="99"/>
        <v>0.89857306826399863</v>
      </c>
    </row>
    <row r="1599" spans="1:13" ht="27.6">
      <c r="A1599" t="s">
        <v>164</v>
      </c>
      <c r="B1599" t="s">
        <v>112</v>
      </c>
      <c r="C1599" s="14" t="s">
        <v>294</v>
      </c>
      <c r="D1599" t="s">
        <v>112</v>
      </c>
      <c r="E1599" t="s">
        <v>392</v>
      </c>
      <c r="F1599" s="20">
        <v>2038</v>
      </c>
      <c r="G1599" s="20">
        <v>67</v>
      </c>
      <c r="H1599" s="11">
        <v>29056.294022742299</v>
      </c>
      <c r="I1599" s="10">
        <v>2747437.5226160898</v>
      </c>
      <c r="J1599" s="34">
        <f t="shared" si="96"/>
        <v>1.057577971602976E-2</v>
      </c>
      <c r="K1599" s="34">
        <f t="shared" si="97"/>
        <v>1.0520052782666434E-2</v>
      </c>
      <c r="L1599" s="34">
        <f t="shared" si="98"/>
        <v>0.89857306826399863</v>
      </c>
      <c r="M1599" s="34">
        <f t="shared" si="99"/>
        <v>0.88912003215677882</v>
      </c>
    </row>
    <row r="1600" spans="1:13" ht="27.6">
      <c r="A1600" t="s">
        <v>164</v>
      </c>
      <c r="B1600" t="s">
        <v>112</v>
      </c>
      <c r="C1600" s="14" t="s">
        <v>294</v>
      </c>
      <c r="D1600" t="s">
        <v>112</v>
      </c>
      <c r="E1600" t="s">
        <v>392</v>
      </c>
      <c r="F1600" s="20">
        <v>2038</v>
      </c>
      <c r="G1600" s="20">
        <v>68</v>
      </c>
      <c r="H1600" s="11">
        <v>30617.5439432817</v>
      </c>
      <c r="I1600" s="10">
        <v>2636380.5584201799</v>
      </c>
      <c r="J1600" s="34">
        <f t="shared" si="96"/>
        <v>1.1613476607348714E-2</v>
      </c>
      <c r="K1600" s="34">
        <f t="shared" si="97"/>
        <v>1.1546300488799233E-2</v>
      </c>
      <c r="L1600" s="34">
        <f t="shared" si="98"/>
        <v>0.88912003215677882</v>
      </c>
      <c r="M1600" s="34">
        <f t="shared" si="99"/>
        <v>0.87885398509488577</v>
      </c>
    </row>
    <row r="1601" spans="1:13" ht="27.6">
      <c r="A1601" t="s">
        <v>164</v>
      </c>
      <c r="B1601" t="s">
        <v>112</v>
      </c>
      <c r="C1601" s="14" t="s">
        <v>294</v>
      </c>
      <c r="D1601" t="s">
        <v>112</v>
      </c>
      <c r="E1601" t="s">
        <v>392</v>
      </c>
      <c r="F1601" s="20">
        <v>2038</v>
      </c>
      <c r="G1601" s="20">
        <v>69</v>
      </c>
      <c r="H1601" s="11">
        <v>32119.6883146377</v>
      </c>
      <c r="I1601" s="10">
        <v>2516525.5374914701</v>
      </c>
      <c r="J1601" s="34">
        <f t="shared" si="96"/>
        <v>1.2763505808351675E-2</v>
      </c>
      <c r="K1601" s="34">
        <f t="shared" si="97"/>
        <v>1.2682397709373405E-2</v>
      </c>
      <c r="L1601" s="34">
        <f t="shared" si="98"/>
        <v>0.87885398509488577</v>
      </c>
      <c r="M1601" s="34">
        <f t="shared" si="99"/>
        <v>0.86770800932744474</v>
      </c>
    </row>
    <row r="1602" spans="1:13" ht="27.6">
      <c r="A1602" t="s">
        <v>164</v>
      </c>
      <c r="B1602" t="s">
        <v>112</v>
      </c>
      <c r="C1602" s="14" t="s">
        <v>294</v>
      </c>
      <c r="D1602" t="s">
        <v>112</v>
      </c>
      <c r="E1602" t="s">
        <v>392</v>
      </c>
      <c r="F1602" s="20">
        <v>2039</v>
      </c>
      <c r="G1602" s="20">
        <v>30</v>
      </c>
      <c r="H1602" s="11">
        <v>787.12046016561203</v>
      </c>
      <c r="I1602" s="10">
        <v>4690492.19261041</v>
      </c>
      <c r="J1602" s="34">
        <f t="shared" ref="J1602:J1665" si="100">IF(I1602&gt;0,H1602/I1602,0)</f>
        <v>1.6781191138227951E-4</v>
      </c>
      <c r="K1602" s="34">
        <f t="shared" ref="K1602:K1665" si="101">1-EXP(-J1602)</f>
        <v>1.6779783175102647E-4</v>
      </c>
      <c r="L1602" s="34">
        <f t="shared" ref="L1602:L1665" si="102">IF(G1602=30,1,M1601)</f>
        <v>1</v>
      </c>
      <c r="M1602" s="34">
        <f t="shared" ref="M1602:M1665" si="103">L1602*(1-K1602)</f>
        <v>0.99983220216824897</v>
      </c>
    </row>
    <row r="1603" spans="1:13" ht="27.6">
      <c r="A1603" t="s">
        <v>164</v>
      </c>
      <c r="B1603" t="s">
        <v>112</v>
      </c>
      <c r="C1603" s="14" t="s">
        <v>294</v>
      </c>
      <c r="D1603" t="s">
        <v>112</v>
      </c>
      <c r="E1603" t="s">
        <v>392</v>
      </c>
      <c r="F1603" s="20">
        <v>2039</v>
      </c>
      <c r="G1603" s="20">
        <v>31</v>
      </c>
      <c r="H1603" s="11">
        <v>1005.06550804694</v>
      </c>
      <c r="I1603" s="10">
        <v>4647833.7277642302</v>
      </c>
      <c r="J1603" s="34">
        <f t="shared" si="100"/>
        <v>2.1624386045548393E-4</v>
      </c>
      <c r="K1603" s="34">
        <f t="shared" si="101"/>
        <v>2.162204814371016E-4</v>
      </c>
      <c r="L1603" s="34">
        <f t="shared" si="102"/>
        <v>0.99983220216824897</v>
      </c>
      <c r="M1603" s="34">
        <f t="shared" si="103"/>
        <v>0.99961601796813981</v>
      </c>
    </row>
    <row r="1604" spans="1:13" ht="27.6">
      <c r="A1604" t="s">
        <v>164</v>
      </c>
      <c r="B1604" t="s">
        <v>112</v>
      </c>
      <c r="C1604" s="14" t="s">
        <v>294</v>
      </c>
      <c r="D1604" t="s">
        <v>112</v>
      </c>
      <c r="E1604" t="s">
        <v>392</v>
      </c>
      <c r="F1604" s="20">
        <v>2039</v>
      </c>
      <c r="G1604" s="20">
        <v>32</v>
      </c>
      <c r="H1604" s="11">
        <v>1115.06370867544</v>
      </c>
      <c r="I1604" s="10">
        <v>4674174.1065904303</v>
      </c>
      <c r="J1604" s="34">
        <f t="shared" si="100"/>
        <v>2.3855844545953844E-4</v>
      </c>
      <c r="K1604" s="34">
        <f t="shared" si="101"/>
        <v>2.3852999265616681E-4</v>
      </c>
      <c r="L1604" s="34">
        <f t="shared" si="102"/>
        <v>0.99961601796813981</v>
      </c>
      <c r="M1604" s="34">
        <f t="shared" si="103"/>
        <v>0.99937757956671491</v>
      </c>
    </row>
    <row r="1605" spans="1:13" ht="27.6">
      <c r="A1605" t="s">
        <v>164</v>
      </c>
      <c r="B1605" t="s">
        <v>112</v>
      </c>
      <c r="C1605" s="14" t="s">
        <v>294</v>
      </c>
      <c r="D1605" t="s">
        <v>112</v>
      </c>
      <c r="E1605" t="s">
        <v>392</v>
      </c>
      <c r="F1605" s="20">
        <v>2039</v>
      </c>
      <c r="G1605" s="20">
        <v>33</v>
      </c>
      <c r="H1605" s="11">
        <v>1159.3820681264399</v>
      </c>
      <c r="I1605" s="10">
        <v>4591175.2857508203</v>
      </c>
      <c r="J1605" s="34">
        <f t="shared" si="100"/>
        <v>2.5252402619536224E-4</v>
      </c>
      <c r="K1605" s="34">
        <f t="shared" si="101"/>
        <v>2.524921446871442E-4</v>
      </c>
      <c r="L1605" s="34">
        <f t="shared" si="102"/>
        <v>0.99937757956671491</v>
      </c>
      <c r="M1605" s="34">
        <f t="shared" si="103"/>
        <v>0.99912524457829788</v>
      </c>
    </row>
    <row r="1606" spans="1:13" ht="27.6">
      <c r="A1606" t="s">
        <v>164</v>
      </c>
      <c r="B1606" t="s">
        <v>112</v>
      </c>
      <c r="C1606" s="14" t="s">
        <v>294</v>
      </c>
      <c r="D1606" t="s">
        <v>112</v>
      </c>
      <c r="E1606" t="s">
        <v>392</v>
      </c>
      <c r="F1606" s="20">
        <v>2039</v>
      </c>
      <c r="G1606" s="20">
        <v>34</v>
      </c>
      <c r="H1606" s="11">
        <v>1218.5323410365199</v>
      </c>
      <c r="I1606" s="10">
        <v>4530006.1050532702</v>
      </c>
      <c r="J1606" s="34">
        <f t="shared" si="100"/>
        <v>2.6899132424506759E-4</v>
      </c>
      <c r="K1606" s="34">
        <f t="shared" si="101"/>
        <v>2.6895514932245845E-4</v>
      </c>
      <c r="L1606" s="34">
        <f t="shared" si="102"/>
        <v>0.99912524457829788</v>
      </c>
      <c r="M1606" s="34">
        <f t="shared" si="103"/>
        <v>0.99885652469895048</v>
      </c>
    </row>
    <row r="1607" spans="1:13" ht="27.6">
      <c r="A1607" t="s">
        <v>164</v>
      </c>
      <c r="B1607" t="s">
        <v>112</v>
      </c>
      <c r="C1607" s="14" t="s">
        <v>294</v>
      </c>
      <c r="D1607" t="s">
        <v>112</v>
      </c>
      <c r="E1607" t="s">
        <v>392</v>
      </c>
      <c r="F1607" s="20">
        <v>2039</v>
      </c>
      <c r="G1607" s="20">
        <v>35</v>
      </c>
      <c r="H1607" s="11">
        <v>1582.4302658870099</v>
      </c>
      <c r="I1607" s="10">
        <v>4401188.0468133697</v>
      </c>
      <c r="J1607" s="34">
        <f t="shared" si="100"/>
        <v>3.5954616095823277E-4</v>
      </c>
      <c r="K1607" s="34">
        <f t="shared" si="101"/>
        <v>3.5948153198328558E-4</v>
      </c>
      <c r="L1607" s="34">
        <f t="shared" si="102"/>
        <v>0.99885652469895048</v>
      </c>
      <c r="M1607" s="34">
        <f t="shared" si="103"/>
        <v>0.99849745422522018</v>
      </c>
    </row>
    <row r="1608" spans="1:13" ht="27.6">
      <c r="A1608" t="s">
        <v>164</v>
      </c>
      <c r="B1608" t="s">
        <v>112</v>
      </c>
      <c r="C1608" s="14" t="s">
        <v>294</v>
      </c>
      <c r="D1608" t="s">
        <v>112</v>
      </c>
      <c r="E1608" t="s">
        <v>392</v>
      </c>
      <c r="F1608" s="20">
        <v>2039</v>
      </c>
      <c r="G1608" s="20">
        <v>36</v>
      </c>
      <c r="H1608" s="11">
        <v>1808.9549931480501</v>
      </c>
      <c r="I1608" s="10">
        <v>4334793.9504371304</v>
      </c>
      <c r="J1608" s="34">
        <f t="shared" si="100"/>
        <v>4.1731049130158335E-4</v>
      </c>
      <c r="K1608" s="34">
        <f t="shared" si="101"/>
        <v>4.1722342938954604E-4</v>
      </c>
      <c r="L1608" s="34">
        <f t="shared" si="102"/>
        <v>0.99849745422522018</v>
      </c>
      <c r="M1608" s="34">
        <f t="shared" si="103"/>
        <v>0.9980808576931316</v>
      </c>
    </row>
    <row r="1609" spans="1:13" ht="27.6">
      <c r="A1609" t="s">
        <v>164</v>
      </c>
      <c r="B1609" t="s">
        <v>112</v>
      </c>
      <c r="C1609" s="14" t="s">
        <v>294</v>
      </c>
      <c r="D1609" t="s">
        <v>112</v>
      </c>
      <c r="E1609" t="s">
        <v>392</v>
      </c>
      <c r="F1609" s="20">
        <v>2039</v>
      </c>
      <c r="G1609" s="20">
        <v>37</v>
      </c>
      <c r="H1609" s="11">
        <v>2082.5053192801902</v>
      </c>
      <c r="I1609" s="10">
        <v>4311595.5162286004</v>
      </c>
      <c r="J1609" s="34">
        <f t="shared" si="100"/>
        <v>4.8300108659120702E-4</v>
      </c>
      <c r="K1609" s="34">
        <f t="shared" si="101"/>
        <v>4.8288446034405741E-4</v>
      </c>
      <c r="L1609" s="34">
        <f t="shared" si="102"/>
        <v>0.9980808576931316</v>
      </c>
      <c r="M1609" s="34">
        <f t="shared" si="103"/>
        <v>0.99759889995678475</v>
      </c>
    </row>
    <row r="1610" spans="1:13" ht="27.6">
      <c r="A1610" t="s">
        <v>164</v>
      </c>
      <c r="B1610" t="s">
        <v>112</v>
      </c>
      <c r="C1610" s="14" t="s">
        <v>294</v>
      </c>
      <c r="D1610" t="s">
        <v>112</v>
      </c>
      <c r="E1610" t="s">
        <v>392</v>
      </c>
      <c r="F1610" s="20">
        <v>2039</v>
      </c>
      <c r="G1610" s="20">
        <v>38</v>
      </c>
      <c r="H1610" s="11">
        <v>2231.2832457050299</v>
      </c>
      <c r="I1610" s="10">
        <v>4290050.0640918203</v>
      </c>
      <c r="J1610" s="34">
        <f t="shared" si="100"/>
        <v>5.2010657506799517E-4</v>
      </c>
      <c r="K1610" s="34">
        <f t="shared" si="101"/>
        <v>5.1997134308934267E-4</v>
      </c>
      <c r="L1610" s="34">
        <f t="shared" si="102"/>
        <v>0.99759889995678475</v>
      </c>
      <c r="M1610" s="34">
        <f t="shared" si="103"/>
        <v>0.99708017711690977</v>
      </c>
    </row>
    <row r="1611" spans="1:13" ht="27.6">
      <c r="A1611" t="s">
        <v>164</v>
      </c>
      <c r="B1611" t="s">
        <v>112</v>
      </c>
      <c r="C1611" s="14" t="s">
        <v>294</v>
      </c>
      <c r="D1611" t="s">
        <v>112</v>
      </c>
      <c r="E1611" t="s">
        <v>392</v>
      </c>
      <c r="F1611" s="20">
        <v>2039</v>
      </c>
      <c r="G1611" s="20">
        <v>39</v>
      </c>
      <c r="H1611" s="11">
        <v>2396.7488616928699</v>
      </c>
      <c r="I1611" s="10">
        <v>4267960.7553628199</v>
      </c>
      <c r="J1611" s="34">
        <f t="shared" si="100"/>
        <v>5.6156768983437431E-4</v>
      </c>
      <c r="K1611" s="34">
        <f t="shared" si="101"/>
        <v>5.6141004021093011E-4</v>
      </c>
      <c r="L1611" s="34">
        <f t="shared" si="102"/>
        <v>0.99708017711690977</v>
      </c>
      <c r="M1611" s="34">
        <f t="shared" si="103"/>
        <v>0.99652040629458105</v>
      </c>
    </row>
    <row r="1612" spans="1:13" ht="27.6">
      <c r="A1612" t="s">
        <v>164</v>
      </c>
      <c r="B1612" t="s">
        <v>112</v>
      </c>
      <c r="C1612" s="14" t="s">
        <v>294</v>
      </c>
      <c r="D1612" t="s">
        <v>112</v>
      </c>
      <c r="E1612" t="s">
        <v>392</v>
      </c>
      <c r="F1612" s="20">
        <v>2039</v>
      </c>
      <c r="G1612" s="20">
        <v>40</v>
      </c>
      <c r="H1612" s="11">
        <v>3231.8992090362399</v>
      </c>
      <c r="I1612" s="10">
        <v>4284880.0818247497</v>
      </c>
      <c r="J1612" s="34">
        <f t="shared" si="100"/>
        <v>7.5425662966509678E-4</v>
      </c>
      <c r="K1612" s="34">
        <f t="shared" si="101"/>
        <v>7.5397224963635878E-4</v>
      </c>
      <c r="L1612" s="34">
        <f t="shared" si="102"/>
        <v>0.99652040629458105</v>
      </c>
      <c r="M1612" s="34">
        <f t="shared" si="103"/>
        <v>0.9957690575620386</v>
      </c>
    </row>
    <row r="1613" spans="1:13" ht="27.6">
      <c r="A1613" t="s">
        <v>164</v>
      </c>
      <c r="B1613" t="s">
        <v>112</v>
      </c>
      <c r="C1613" s="14" t="s">
        <v>294</v>
      </c>
      <c r="D1613" t="s">
        <v>112</v>
      </c>
      <c r="E1613" t="s">
        <v>392</v>
      </c>
      <c r="F1613" s="20">
        <v>2039</v>
      </c>
      <c r="G1613" s="20">
        <v>41</v>
      </c>
      <c r="H1613" s="11">
        <v>3623.3457380406599</v>
      </c>
      <c r="I1613" s="10">
        <v>4339418.4134296998</v>
      </c>
      <c r="J1613" s="34">
        <f t="shared" si="100"/>
        <v>8.3498418286355447E-4</v>
      </c>
      <c r="K1613" s="34">
        <f t="shared" si="101"/>
        <v>8.3463568057540183E-4</v>
      </c>
      <c r="L1613" s="34">
        <f t="shared" si="102"/>
        <v>0.9957690575620386</v>
      </c>
      <c r="M1613" s="34">
        <f t="shared" si="103"/>
        <v>0.99493795317698441</v>
      </c>
    </row>
    <row r="1614" spans="1:13" ht="27.6">
      <c r="A1614" t="s">
        <v>164</v>
      </c>
      <c r="B1614" t="s">
        <v>112</v>
      </c>
      <c r="C1614" s="14" t="s">
        <v>294</v>
      </c>
      <c r="D1614" t="s">
        <v>112</v>
      </c>
      <c r="E1614" t="s">
        <v>392</v>
      </c>
      <c r="F1614" s="20">
        <v>2039</v>
      </c>
      <c r="G1614" s="20">
        <v>42</v>
      </c>
      <c r="H1614" s="11">
        <v>4257.5059763500703</v>
      </c>
      <c r="I1614" s="10">
        <v>4471067.0658782702</v>
      </c>
      <c r="J1614" s="34">
        <f t="shared" si="100"/>
        <v>9.5223487226169597E-4</v>
      </c>
      <c r="K1614" s="34">
        <f t="shared" si="101"/>
        <v>9.5178164050813141E-4</v>
      </c>
      <c r="L1614" s="34">
        <f t="shared" si="102"/>
        <v>0.99493795317698441</v>
      </c>
      <c r="M1614" s="34">
        <f t="shared" si="103"/>
        <v>0.99399098949970577</v>
      </c>
    </row>
    <row r="1615" spans="1:13" ht="27.6">
      <c r="A1615" t="s">
        <v>164</v>
      </c>
      <c r="B1615" t="s">
        <v>112</v>
      </c>
      <c r="C1615" s="14" t="s">
        <v>294</v>
      </c>
      <c r="D1615" t="s">
        <v>112</v>
      </c>
      <c r="E1615" t="s">
        <v>392</v>
      </c>
      <c r="F1615" s="20">
        <v>2039</v>
      </c>
      <c r="G1615" s="20">
        <v>43</v>
      </c>
      <c r="H1615" s="11">
        <v>4572.5672245484202</v>
      </c>
      <c r="I1615" s="10">
        <v>4423492.2251254199</v>
      </c>
      <c r="J1615" s="34">
        <f t="shared" si="100"/>
        <v>1.0337007486022592E-3</v>
      </c>
      <c r="K1615" s="34">
        <f t="shared" si="101"/>
        <v>1.0331666640271964E-3</v>
      </c>
      <c r="L1615" s="34">
        <f t="shared" si="102"/>
        <v>0.99399098949970577</v>
      </c>
      <c r="M1615" s="34">
        <f t="shared" si="103"/>
        <v>0.99296403114501131</v>
      </c>
    </row>
    <row r="1616" spans="1:13" ht="27.6">
      <c r="A1616" t="s">
        <v>164</v>
      </c>
      <c r="B1616" t="s">
        <v>112</v>
      </c>
      <c r="C1616" s="14" t="s">
        <v>294</v>
      </c>
      <c r="D1616" t="s">
        <v>112</v>
      </c>
      <c r="E1616" t="s">
        <v>392</v>
      </c>
      <c r="F1616" s="20">
        <v>2039</v>
      </c>
      <c r="G1616" s="20">
        <v>44</v>
      </c>
      <c r="H1616" s="11">
        <v>4889.6725972712302</v>
      </c>
      <c r="I1616" s="10">
        <v>4345767.9190781899</v>
      </c>
      <c r="J1616" s="34">
        <f t="shared" si="100"/>
        <v>1.1251573227841424E-3</v>
      </c>
      <c r="K1616" s="34">
        <f t="shared" si="101"/>
        <v>1.1245245706211771E-3</v>
      </c>
      <c r="L1616" s="34">
        <f t="shared" si="102"/>
        <v>0.99296403114501131</v>
      </c>
      <c r="M1616" s="34">
        <f t="shared" si="103"/>
        <v>0.99184741869424564</v>
      </c>
    </row>
    <row r="1617" spans="1:13" ht="27.6">
      <c r="A1617" t="s">
        <v>164</v>
      </c>
      <c r="B1617" t="s">
        <v>112</v>
      </c>
      <c r="C1617" s="14" t="s">
        <v>294</v>
      </c>
      <c r="D1617" t="s">
        <v>112</v>
      </c>
      <c r="E1617" t="s">
        <v>392</v>
      </c>
      <c r="F1617" s="20">
        <v>2039</v>
      </c>
      <c r="G1617" s="20">
        <v>45</v>
      </c>
      <c r="H1617" s="11">
        <v>6184.3533154788902</v>
      </c>
      <c r="I1617" s="10">
        <v>4282980.8718836801</v>
      </c>
      <c r="J1617" s="34">
        <f t="shared" si="100"/>
        <v>1.443936711479866E-3</v>
      </c>
      <c r="K1617" s="34">
        <f t="shared" si="101"/>
        <v>1.4428947364422129E-3</v>
      </c>
      <c r="L1617" s="34">
        <f t="shared" si="102"/>
        <v>0.99184741869424564</v>
      </c>
      <c r="M1617" s="34">
        <f t="shared" si="103"/>
        <v>0.99041628727445796</v>
      </c>
    </row>
    <row r="1618" spans="1:13" ht="27.6">
      <c r="A1618" t="s">
        <v>164</v>
      </c>
      <c r="B1618" t="s">
        <v>112</v>
      </c>
      <c r="C1618" s="14" t="s">
        <v>294</v>
      </c>
      <c r="D1618" t="s">
        <v>112</v>
      </c>
      <c r="E1618" t="s">
        <v>392</v>
      </c>
      <c r="F1618" s="20">
        <v>2039</v>
      </c>
      <c r="G1618" s="20">
        <v>46</v>
      </c>
      <c r="H1618" s="11">
        <v>6664.4192350257699</v>
      </c>
      <c r="I1618" s="10">
        <v>4222152.0183430603</v>
      </c>
      <c r="J1618" s="34">
        <f t="shared" si="100"/>
        <v>1.5784413270939382E-3</v>
      </c>
      <c r="K1618" s="34">
        <f t="shared" si="101"/>
        <v>1.5771962437655107E-3</v>
      </c>
      <c r="L1618" s="34">
        <f t="shared" si="102"/>
        <v>0.99041628727445796</v>
      </c>
      <c r="M1618" s="34">
        <f t="shared" si="103"/>
        <v>0.98885420642640454</v>
      </c>
    </row>
    <row r="1619" spans="1:13" ht="27.6">
      <c r="A1619" t="s">
        <v>164</v>
      </c>
      <c r="B1619" t="s">
        <v>112</v>
      </c>
      <c r="C1619" s="14" t="s">
        <v>294</v>
      </c>
      <c r="D1619" t="s">
        <v>112</v>
      </c>
      <c r="E1619" t="s">
        <v>392</v>
      </c>
      <c r="F1619" s="20">
        <v>2039</v>
      </c>
      <c r="G1619" s="20">
        <v>47</v>
      </c>
      <c r="H1619" s="11">
        <v>7335.2513844650803</v>
      </c>
      <c r="I1619" s="10">
        <v>4250750.6878626598</v>
      </c>
      <c r="J1619" s="34">
        <f t="shared" si="100"/>
        <v>1.7256366988093938E-3</v>
      </c>
      <c r="K1619" s="34">
        <f t="shared" si="101"/>
        <v>1.7241486438717146E-3</v>
      </c>
      <c r="L1619" s="34">
        <f t="shared" si="102"/>
        <v>0.98885420642640454</v>
      </c>
      <c r="M1619" s="34">
        <f t="shared" si="103"/>
        <v>0.98714927478740766</v>
      </c>
    </row>
    <row r="1620" spans="1:13" ht="27.6">
      <c r="A1620" t="s">
        <v>164</v>
      </c>
      <c r="B1620" t="s">
        <v>112</v>
      </c>
      <c r="C1620" s="14" t="s">
        <v>294</v>
      </c>
      <c r="D1620" t="s">
        <v>112</v>
      </c>
      <c r="E1620" t="s">
        <v>392</v>
      </c>
      <c r="F1620" s="20">
        <v>2039</v>
      </c>
      <c r="G1620" s="20">
        <v>48</v>
      </c>
      <c r="H1620" s="11">
        <v>8051.0910222439597</v>
      </c>
      <c r="I1620" s="10">
        <v>4258997.2316995701</v>
      </c>
      <c r="J1620" s="34">
        <f t="shared" si="100"/>
        <v>1.8903724478428786E-3</v>
      </c>
      <c r="K1620" s="34">
        <f t="shared" si="101"/>
        <v>1.8885868191920174E-3</v>
      </c>
      <c r="L1620" s="34">
        <f t="shared" si="102"/>
        <v>0.98714927478740766</v>
      </c>
      <c r="M1620" s="34">
        <f t="shared" si="103"/>
        <v>0.98528495767846924</v>
      </c>
    </row>
    <row r="1621" spans="1:13" ht="27.6">
      <c r="A1621" t="s">
        <v>164</v>
      </c>
      <c r="B1621" t="s">
        <v>112</v>
      </c>
      <c r="C1621" s="14" t="s">
        <v>294</v>
      </c>
      <c r="D1621" t="s">
        <v>112</v>
      </c>
      <c r="E1621" t="s">
        <v>392</v>
      </c>
      <c r="F1621" s="20">
        <v>2039</v>
      </c>
      <c r="G1621" s="20">
        <v>49</v>
      </c>
      <c r="H1621" s="11">
        <v>11885.4353705468</v>
      </c>
      <c r="I1621" s="10">
        <v>6265448.7025570897</v>
      </c>
      <c r="J1621" s="34">
        <f t="shared" si="100"/>
        <v>1.8969807167515474E-3</v>
      </c>
      <c r="K1621" s="34">
        <f t="shared" si="101"/>
        <v>1.8951825860178406E-3</v>
      </c>
      <c r="L1621" s="34">
        <f t="shared" si="102"/>
        <v>0.98528495767846924</v>
      </c>
      <c r="M1621" s="34">
        <f t="shared" si="103"/>
        <v>0.98341766278441167</v>
      </c>
    </row>
    <row r="1622" spans="1:13" ht="27.6">
      <c r="A1622" t="s">
        <v>164</v>
      </c>
      <c r="B1622" t="s">
        <v>112</v>
      </c>
      <c r="C1622" s="14" t="s">
        <v>294</v>
      </c>
      <c r="D1622" t="s">
        <v>112</v>
      </c>
      <c r="E1622" t="s">
        <v>392</v>
      </c>
      <c r="F1622" s="20">
        <v>2039</v>
      </c>
      <c r="G1622" s="20">
        <v>50</v>
      </c>
      <c r="H1622" s="11">
        <v>9998.9797618266693</v>
      </c>
      <c r="I1622" s="10">
        <v>4197006.2989594797</v>
      </c>
      <c r="J1622" s="34">
        <f t="shared" si="100"/>
        <v>2.382407613804538E-3</v>
      </c>
      <c r="K1622" s="34">
        <f t="shared" si="101"/>
        <v>2.3795719331480836E-3</v>
      </c>
      <c r="L1622" s="34">
        <f t="shared" si="102"/>
        <v>0.98341766278441167</v>
      </c>
      <c r="M1622" s="34">
        <f t="shared" si="103"/>
        <v>0.98107754971548777</v>
      </c>
    </row>
    <row r="1623" spans="1:13" ht="27.6">
      <c r="A1623" t="s">
        <v>164</v>
      </c>
      <c r="B1623" t="s">
        <v>112</v>
      </c>
      <c r="C1623" s="14" t="s">
        <v>294</v>
      </c>
      <c r="D1623" t="s">
        <v>112</v>
      </c>
      <c r="E1623" t="s">
        <v>392</v>
      </c>
      <c r="F1623" s="20">
        <v>2039</v>
      </c>
      <c r="G1623" s="20">
        <v>51</v>
      </c>
      <c r="H1623" s="11">
        <v>10860.615410501199</v>
      </c>
      <c r="I1623" s="10">
        <v>4167472.4417293202</v>
      </c>
      <c r="J1623" s="34">
        <f t="shared" si="100"/>
        <v>2.6060437261090836E-3</v>
      </c>
      <c r="K1623" s="34">
        <f t="shared" si="101"/>
        <v>2.6026509420457034E-3</v>
      </c>
      <c r="L1623" s="34">
        <f t="shared" si="102"/>
        <v>0.98107754971548777</v>
      </c>
      <c r="M1623" s="34">
        <f t="shared" si="103"/>
        <v>0.97852414730650084</v>
      </c>
    </row>
    <row r="1624" spans="1:13" ht="27.6">
      <c r="A1624" t="s">
        <v>164</v>
      </c>
      <c r="B1624" t="s">
        <v>112</v>
      </c>
      <c r="C1624" s="14" t="s">
        <v>294</v>
      </c>
      <c r="D1624" t="s">
        <v>112</v>
      </c>
      <c r="E1624" t="s">
        <v>392</v>
      </c>
      <c r="F1624" s="20">
        <v>2039</v>
      </c>
      <c r="G1624" s="20">
        <v>52</v>
      </c>
      <c r="H1624" s="11">
        <v>11468.7786644474</v>
      </c>
      <c r="I1624" s="10">
        <v>4026242.12653055</v>
      </c>
      <c r="J1624" s="34">
        <f t="shared" si="100"/>
        <v>2.8485069461856118E-3</v>
      </c>
      <c r="K1624" s="34">
        <f t="shared" si="101"/>
        <v>2.8444537996596964E-3</v>
      </c>
      <c r="L1624" s="34">
        <f t="shared" si="102"/>
        <v>0.97852414730650084</v>
      </c>
      <c r="M1624" s="34">
        <f t="shared" si="103"/>
        <v>0.97574078057763614</v>
      </c>
    </row>
    <row r="1625" spans="1:13" ht="27.6">
      <c r="A1625" t="s">
        <v>164</v>
      </c>
      <c r="B1625" t="s">
        <v>112</v>
      </c>
      <c r="C1625" s="14" t="s">
        <v>294</v>
      </c>
      <c r="D1625" t="s">
        <v>112</v>
      </c>
      <c r="E1625" t="s">
        <v>392</v>
      </c>
      <c r="F1625" s="20">
        <v>2039</v>
      </c>
      <c r="G1625" s="20">
        <v>53</v>
      </c>
      <c r="H1625" s="11">
        <v>12365.7042315829</v>
      </c>
      <c r="I1625" s="10">
        <v>3978222.1092299302</v>
      </c>
      <c r="J1625" s="34">
        <f t="shared" si="100"/>
        <v>3.108349381220584E-3</v>
      </c>
      <c r="K1625" s="34">
        <f t="shared" si="101"/>
        <v>3.1035234647891485E-3</v>
      </c>
      <c r="L1625" s="34">
        <f t="shared" si="102"/>
        <v>0.97574078057763614</v>
      </c>
      <c r="M1625" s="34">
        <f t="shared" si="103"/>
        <v>0.97271254616956171</v>
      </c>
    </row>
    <row r="1626" spans="1:13" ht="27.6">
      <c r="A1626" t="s">
        <v>164</v>
      </c>
      <c r="B1626" t="s">
        <v>112</v>
      </c>
      <c r="C1626" s="14" t="s">
        <v>294</v>
      </c>
      <c r="D1626" t="s">
        <v>112</v>
      </c>
      <c r="E1626" t="s">
        <v>392</v>
      </c>
      <c r="F1626" s="20">
        <v>2039</v>
      </c>
      <c r="G1626" s="20">
        <v>54</v>
      </c>
      <c r="H1626" s="11">
        <v>13621.0428785518</v>
      </c>
      <c r="I1626" s="10">
        <v>4018367.6383785699</v>
      </c>
      <c r="J1626" s="34">
        <f t="shared" si="100"/>
        <v>3.3896955441458697E-3</v>
      </c>
      <c r="K1626" s="34">
        <f t="shared" si="101"/>
        <v>3.3839570119950091E-3</v>
      </c>
      <c r="L1626" s="34">
        <f t="shared" si="102"/>
        <v>0.97271254616956171</v>
      </c>
      <c r="M1626" s="34">
        <f t="shared" si="103"/>
        <v>0.96942092872829566</v>
      </c>
    </row>
    <row r="1627" spans="1:13" ht="27.6">
      <c r="A1627" t="s">
        <v>164</v>
      </c>
      <c r="B1627" t="s">
        <v>112</v>
      </c>
      <c r="C1627" s="14" t="s">
        <v>294</v>
      </c>
      <c r="D1627" t="s">
        <v>112</v>
      </c>
      <c r="E1627" t="s">
        <v>392</v>
      </c>
      <c r="F1627" s="20">
        <v>2039</v>
      </c>
      <c r="G1627" s="20">
        <v>55</v>
      </c>
      <c r="H1627" s="11">
        <v>14987.8151181471</v>
      </c>
      <c r="I1627" s="10">
        <v>4080424.6921668798</v>
      </c>
      <c r="J1627" s="34">
        <f t="shared" si="100"/>
        <v>3.6731017599513473E-3</v>
      </c>
      <c r="K1627" s="34">
        <f t="shared" si="101"/>
        <v>3.666364173486536E-3</v>
      </c>
      <c r="L1627" s="34">
        <f t="shared" si="102"/>
        <v>0.96942092872829566</v>
      </c>
      <c r="M1627" s="34">
        <f t="shared" si="103"/>
        <v>0.96586667856617814</v>
      </c>
    </row>
    <row r="1628" spans="1:13" ht="27.6">
      <c r="A1628" t="s">
        <v>164</v>
      </c>
      <c r="B1628" t="s">
        <v>112</v>
      </c>
      <c r="C1628" s="14" t="s">
        <v>294</v>
      </c>
      <c r="D1628" t="s">
        <v>112</v>
      </c>
      <c r="E1628" t="s">
        <v>392</v>
      </c>
      <c r="F1628" s="20">
        <v>2039</v>
      </c>
      <c r="G1628" s="20">
        <v>56</v>
      </c>
      <c r="H1628" s="11">
        <v>16165.072116531501</v>
      </c>
      <c r="I1628" s="10">
        <v>4037018.4729729099</v>
      </c>
      <c r="J1628" s="34">
        <f t="shared" si="100"/>
        <v>4.0042105887683355E-3</v>
      </c>
      <c r="K1628" s="34">
        <f t="shared" si="101"/>
        <v>3.9962044272324748E-3</v>
      </c>
      <c r="L1628" s="34">
        <f t="shared" si="102"/>
        <v>0.96586667856617814</v>
      </c>
      <c r="M1628" s="34">
        <f t="shared" si="103"/>
        <v>0.9620068778691756</v>
      </c>
    </row>
    <row r="1629" spans="1:13" ht="27.6">
      <c r="A1629" t="s">
        <v>164</v>
      </c>
      <c r="B1629" t="s">
        <v>112</v>
      </c>
      <c r="C1629" s="14" t="s">
        <v>294</v>
      </c>
      <c r="D1629" t="s">
        <v>112</v>
      </c>
      <c r="E1629" t="s">
        <v>392</v>
      </c>
      <c r="F1629" s="20">
        <v>2039</v>
      </c>
      <c r="G1629" s="20">
        <v>57</v>
      </c>
      <c r="H1629" s="11">
        <v>16997.149787155398</v>
      </c>
      <c r="I1629" s="10">
        <v>3886614.70055799</v>
      </c>
      <c r="J1629" s="34">
        <f t="shared" si="100"/>
        <v>4.3732530998545254E-3</v>
      </c>
      <c r="K1629" s="34">
        <f t="shared" si="101"/>
        <v>4.3637043532833708E-3</v>
      </c>
      <c r="L1629" s="34">
        <f t="shared" si="102"/>
        <v>0.9620068778691756</v>
      </c>
      <c r="M1629" s="34">
        <f t="shared" si="103"/>
        <v>0.95780896426832929</v>
      </c>
    </row>
    <row r="1630" spans="1:13" ht="27.6">
      <c r="A1630" t="s">
        <v>164</v>
      </c>
      <c r="B1630" t="s">
        <v>112</v>
      </c>
      <c r="C1630" s="14" t="s">
        <v>294</v>
      </c>
      <c r="D1630" t="s">
        <v>112</v>
      </c>
      <c r="E1630" t="s">
        <v>392</v>
      </c>
      <c r="F1630" s="20">
        <v>2039</v>
      </c>
      <c r="G1630" s="20">
        <v>58</v>
      </c>
      <c r="H1630" s="11">
        <v>18126.557243050502</v>
      </c>
      <c r="I1630" s="10">
        <v>3794251.1410481599</v>
      </c>
      <c r="J1630" s="34">
        <f t="shared" si="100"/>
        <v>4.7773741297585928E-3</v>
      </c>
      <c r="K1630" s="34">
        <f t="shared" si="101"/>
        <v>4.7659806288637974E-3</v>
      </c>
      <c r="L1630" s="34">
        <f t="shared" si="102"/>
        <v>0.95780896426832929</v>
      </c>
      <c r="M1630" s="34">
        <f t="shared" si="103"/>
        <v>0.95324406529847439</v>
      </c>
    </row>
    <row r="1631" spans="1:13" ht="27.6">
      <c r="A1631" t="s">
        <v>164</v>
      </c>
      <c r="B1631" t="s">
        <v>112</v>
      </c>
      <c r="C1631" s="14" t="s">
        <v>294</v>
      </c>
      <c r="D1631" t="s">
        <v>112</v>
      </c>
      <c r="E1631" t="s">
        <v>392</v>
      </c>
      <c r="F1631" s="20">
        <v>2039</v>
      </c>
      <c r="G1631" s="20">
        <v>59</v>
      </c>
      <c r="H1631" s="11">
        <v>19413.157080561901</v>
      </c>
      <c r="I1631" s="10">
        <v>3715485.9200056698</v>
      </c>
      <c r="J1631" s="34">
        <f t="shared" si="100"/>
        <v>5.2249308700198964E-3</v>
      </c>
      <c r="K1631" s="34">
        <f t="shared" si="101"/>
        <v>5.2113046610511304E-3</v>
      </c>
      <c r="L1631" s="34">
        <f t="shared" si="102"/>
        <v>0.95324406529847439</v>
      </c>
      <c r="M1631" s="34">
        <f t="shared" si="103"/>
        <v>0.94827642005786517</v>
      </c>
    </row>
    <row r="1632" spans="1:13" ht="27.6">
      <c r="A1632" t="s">
        <v>164</v>
      </c>
      <c r="B1632" t="s">
        <v>112</v>
      </c>
      <c r="C1632" s="14" t="s">
        <v>294</v>
      </c>
      <c r="D1632" t="s">
        <v>112</v>
      </c>
      <c r="E1632" t="s">
        <v>392</v>
      </c>
      <c r="F1632" s="20">
        <v>2039</v>
      </c>
      <c r="G1632" s="20">
        <v>60</v>
      </c>
      <c r="H1632" s="11">
        <v>20746.295124305801</v>
      </c>
      <c r="I1632" s="10">
        <v>3630303.81524242</v>
      </c>
      <c r="J1632" s="34">
        <f t="shared" si="100"/>
        <v>5.7147545164674962E-3</v>
      </c>
      <c r="K1632" s="34">
        <f t="shared" si="101"/>
        <v>5.6984563682940248E-3</v>
      </c>
      <c r="L1632" s="34">
        <f t="shared" si="102"/>
        <v>0.94827642005786517</v>
      </c>
      <c r="M1632" s="34">
        <f t="shared" si="103"/>
        <v>0.94287270825308334</v>
      </c>
    </row>
    <row r="1633" spans="1:13" ht="27.6">
      <c r="A1633" t="s">
        <v>164</v>
      </c>
      <c r="B1633" t="s">
        <v>112</v>
      </c>
      <c r="C1633" s="14" t="s">
        <v>294</v>
      </c>
      <c r="D1633" t="s">
        <v>112</v>
      </c>
      <c r="E1633" t="s">
        <v>392</v>
      </c>
      <c r="F1633" s="20">
        <v>2039</v>
      </c>
      <c r="G1633" s="20">
        <v>61</v>
      </c>
      <c r="H1633" s="11">
        <v>22073.152854616099</v>
      </c>
      <c r="I1633" s="10">
        <v>3525613.2900271202</v>
      </c>
      <c r="J1633" s="34">
        <f t="shared" si="100"/>
        <v>6.2607980622986321E-3</v>
      </c>
      <c r="K1633" s="34">
        <f t="shared" si="101"/>
        <v>6.2412401035398801E-3</v>
      </c>
      <c r="L1633" s="34">
        <f t="shared" si="102"/>
        <v>0.94287270825308334</v>
      </c>
      <c r="M1633" s="34">
        <f t="shared" si="103"/>
        <v>0.93698801329380088</v>
      </c>
    </row>
    <row r="1634" spans="1:13" ht="27.6">
      <c r="A1634" t="s">
        <v>164</v>
      </c>
      <c r="B1634" t="s">
        <v>112</v>
      </c>
      <c r="C1634" s="14" t="s">
        <v>294</v>
      </c>
      <c r="D1634" t="s">
        <v>112</v>
      </c>
      <c r="E1634" t="s">
        <v>392</v>
      </c>
      <c r="F1634" s="20">
        <v>2039</v>
      </c>
      <c r="G1634" s="20">
        <v>62</v>
      </c>
      <c r="H1634" s="11">
        <v>23597.096845074899</v>
      </c>
      <c r="I1634" s="10">
        <v>3435035.1762660099</v>
      </c>
      <c r="J1634" s="34">
        <f t="shared" si="100"/>
        <v>6.8695357206576494E-3</v>
      </c>
      <c r="K1634" s="34">
        <f t="shared" si="101"/>
        <v>6.8459943969818582E-3</v>
      </c>
      <c r="L1634" s="34">
        <f t="shared" si="102"/>
        <v>0.93698801329380088</v>
      </c>
      <c r="M1634" s="34">
        <f t="shared" si="103"/>
        <v>0.93057339860475241</v>
      </c>
    </row>
    <row r="1635" spans="1:13" ht="27.6">
      <c r="A1635" t="s">
        <v>164</v>
      </c>
      <c r="B1635" t="s">
        <v>112</v>
      </c>
      <c r="C1635" s="14" t="s">
        <v>294</v>
      </c>
      <c r="D1635" t="s">
        <v>112</v>
      </c>
      <c r="E1635" t="s">
        <v>392</v>
      </c>
      <c r="F1635" s="20">
        <v>2039</v>
      </c>
      <c r="G1635" s="20">
        <v>63</v>
      </c>
      <c r="H1635" s="11">
        <v>25090.452377104</v>
      </c>
      <c r="I1635" s="10">
        <v>3332610.39876435</v>
      </c>
      <c r="J1635" s="34">
        <f t="shared" si="100"/>
        <v>7.5287685552463384E-3</v>
      </c>
      <c r="K1635" s="34">
        <f t="shared" si="101"/>
        <v>7.500498368321229E-3</v>
      </c>
      <c r="L1635" s="34">
        <f t="shared" si="102"/>
        <v>0.93057339860475241</v>
      </c>
      <c r="M1635" s="34">
        <f t="shared" si="103"/>
        <v>0.92359363434691433</v>
      </c>
    </row>
    <row r="1636" spans="1:13" ht="27.6">
      <c r="A1636" t="s">
        <v>164</v>
      </c>
      <c r="B1636" t="s">
        <v>112</v>
      </c>
      <c r="C1636" s="14" t="s">
        <v>294</v>
      </c>
      <c r="D1636" t="s">
        <v>112</v>
      </c>
      <c r="E1636" t="s">
        <v>392</v>
      </c>
      <c r="F1636" s="20">
        <v>2039</v>
      </c>
      <c r="G1636" s="20">
        <v>64</v>
      </c>
      <c r="H1636" s="11">
        <v>26635.266996799</v>
      </c>
      <c r="I1636" s="10">
        <v>3228099.3770294199</v>
      </c>
      <c r="J1636" s="34">
        <f t="shared" si="100"/>
        <v>8.2510678532175356E-3</v>
      </c>
      <c r="K1636" s="34">
        <f t="shared" si="101"/>
        <v>8.2171212223381973E-3</v>
      </c>
      <c r="L1636" s="34">
        <f t="shared" si="102"/>
        <v>0.92359363434691433</v>
      </c>
      <c r="M1636" s="34">
        <f t="shared" si="103"/>
        <v>0.91600435349330578</v>
      </c>
    </row>
    <row r="1637" spans="1:13" ht="27.6">
      <c r="A1637" t="s">
        <v>164</v>
      </c>
      <c r="B1637" t="s">
        <v>112</v>
      </c>
      <c r="C1637" s="14" t="s">
        <v>294</v>
      </c>
      <c r="D1637" t="s">
        <v>112</v>
      </c>
      <c r="E1637" t="s">
        <v>392</v>
      </c>
      <c r="F1637" s="20">
        <v>2039</v>
      </c>
      <c r="G1637" s="20">
        <v>65</v>
      </c>
      <c r="H1637" s="11">
        <v>26895.4676795224</v>
      </c>
      <c r="I1637" s="10">
        <v>3098038.0300657102</v>
      </c>
      <c r="J1637" s="34">
        <f t="shared" si="100"/>
        <v>8.6814517505945342E-3</v>
      </c>
      <c r="K1637" s="34">
        <f t="shared" si="101"/>
        <v>8.643876762114755E-3</v>
      </c>
      <c r="L1637" s="34">
        <f t="shared" si="102"/>
        <v>0.91600435349330578</v>
      </c>
      <c r="M1637" s="34">
        <f t="shared" si="103"/>
        <v>0.90808652474814899</v>
      </c>
    </row>
    <row r="1638" spans="1:13" ht="27.6">
      <c r="A1638" t="s">
        <v>164</v>
      </c>
      <c r="B1638" t="s">
        <v>112</v>
      </c>
      <c r="C1638" s="14" t="s">
        <v>294</v>
      </c>
      <c r="D1638" t="s">
        <v>112</v>
      </c>
      <c r="E1638" t="s">
        <v>392</v>
      </c>
      <c r="F1638" s="20">
        <v>2039</v>
      </c>
      <c r="G1638" s="20">
        <v>66</v>
      </c>
      <c r="H1638" s="11">
        <v>28755.483159347299</v>
      </c>
      <c r="I1638" s="10">
        <v>3019497.8222978902</v>
      </c>
      <c r="J1638" s="34">
        <f t="shared" si="100"/>
        <v>9.5232667323018223E-3</v>
      </c>
      <c r="K1638" s="34">
        <f t="shared" si="101"/>
        <v>9.4780640339298117E-3</v>
      </c>
      <c r="L1638" s="34">
        <f t="shared" si="102"/>
        <v>0.90808652474814899</v>
      </c>
      <c r="M1638" s="34">
        <f t="shared" si="103"/>
        <v>0.89947962251823721</v>
      </c>
    </row>
    <row r="1639" spans="1:13" ht="27.6">
      <c r="A1639" t="s">
        <v>164</v>
      </c>
      <c r="B1639" t="s">
        <v>112</v>
      </c>
      <c r="C1639" s="14" t="s">
        <v>294</v>
      </c>
      <c r="D1639" t="s">
        <v>112</v>
      </c>
      <c r="E1639" t="s">
        <v>392</v>
      </c>
      <c r="F1639" s="20">
        <v>2039</v>
      </c>
      <c r="G1639" s="20">
        <v>67</v>
      </c>
      <c r="H1639" s="11">
        <v>29275.877847943299</v>
      </c>
      <c r="I1639" s="10">
        <v>2798400.5268323598</v>
      </c>
      <c r="J1639" s="34">
        <f t="shared" si="100"/>
        <v>1.0461646775446412E-2</v>
      </c>
      <c r="K1639" s="34">
        <f t="shared" si="101"/>
        <v>1.0407114081751878E-2</v>
      </c>
      <c r="L1639" s="34">
        <f t="shared" si="102"/>
        <v>0.89947962251823721</v>
      </c>
      <c r="M1639" s="34">
        <f t="shared" si="103"/>
        <v>0.89011863547247883</v>
      </c>
    </row>
    <row r="1640" spans="1:13" ht="27.6">
      <c r="A1640" t="s">
        <v>164</v>
      </c>
      <c r="B1640" t="s">
        <v>112</v>
      </c>
      <c r="C1640" s="14" t="s">
        <v>294</v>
      </c>
      <c r="D1640" t="s">
        <v>112</v>
      </c>
      <c r="E1640" t="s">
        <v>392</v>
      </c>
      <c r="F1640" s="20">
        <v>2039</v>
      </c>
      <c r="G1640" s="20">
        <v>68</v>
      </c>
      <c r="H1640" s="11">
        <v>30804.6518120941</v>
      </c>
      <c r="I1640" s="10">
        <v>2681386.7198702302</v>
      </c>
      <c r="J1640" s="34">
        <f t="shared" si="100"/>
        <v>1.1488328626310546E-2</v>
      </c>
      <c r="K1640" s="34">
        <f t="shared" si="101"/>
        <v>1.1422589763043334E-2</v>
      </c>
      <c r="L1640" s="34">
        <f t="shared" si="102"/>
        <v>0.89011863547247883</v>
      </c>
      <c r="M1640" s="34">
        <f t="shared" si="103"/>
        <v>0.87995117545903678</v>
      </c>
    </row>
    <row r="1641" spans="1:13" ht="27.6">
      <c r="A1641" t="s">
        <v>164</v>
      </c>
      <c r="B1641" t="s">
        <v>112</v>
      </c>
      <c r="C1641" s="14" t="s">
        <v>294</v>
      </c>
      <c r="D1641" t="s">
        <v>112</v>
      </c>
      <c r="E1641" t="s">
        <v>392</v>
      </c>
      <c r="F1641" s="20">
        <v>2039</v>
      </c>
      <c r="G1641" s="20">
        <v>69</v>
      </c>
      <c r="H1641" s="11">
        <v>32412.471311382898</v>
      </c>
      <c r="I1641" s="10">
        <v>2566846.4335664101</v>
      </c>
      <c r="J1641" s="34">
        <f t="shared" si="100"/>
        <v>1.2627351168160297E-2</v>
      </c>
      <c r="K1641" s="34">
        <f t="shared" si="101"/>
        <v>1.25479606845742E-2</v>
      </c>
      <c r="L1641" s="34">
        <f t="shared" si="102"/>
        <v>0.87995117545903678</v>
      </c>
      <c r="M1641" s="34">
        <f t="shared" si="103"/>
        <v>0.86890958270503194</v>
      </c>
    </row>
    <row r="1642" spans="1:13" ht="27.6">
      <c r="A1642" t="s">
        <v>164</v>
      </c>
      <c r="B1642" t="s">
        <v>112</v>
      </c>
      <c r="C1642" s="14" t="s">
        <v>294</v>
      </c>
      <c r="D1642" t="s">
        <v>112</v>
      </c>
      <c r="E1642" t="s">
        <v>392</v>
      </c>
      <c r="F1642" s="20">
        <v>2040</v>
      </c>
      <c r="G1642" s="20">
        <v>30</v>
      </c>
      <c r="H1642" s="11">
        <v>801.29219801537204</v>
      </c>
      <c r="I1642" s="10">
        <v>4755770.9886483997</v>
      </c>
      <c r="J1642" s="34">
        <f t="shared" si="100"/>
        <v>1.6848839019540363E-4</v>
      </c>
      <c r="K1642" s="34">
        <f t="shared" si="101"/>
        <v>1.6847419682375353E-4</v>
      </c>
      <c r="L1642" s="34">
        <f t="shared" si="102"/>
        <v>1</v>
      </c>
      <c r="M1642" s="34">
        <f t="shared" si="103"/>
        <v>0.99983152580317625</v>
      </c>
    </row>
    <row r="1643" spans="1:13" ht="27.6">
      <c r="A1643" t="s">
        <v>164</v>
      </c>
      <c r="B1643" t="s">
        <v>112</v>
      </c>
      <c r="C1643" s="14" t="s">
        <v>294</v>
      </c>
      <c r="D1643" t="s">
        <v>112</v>
      </c>
      <c r="E1643" t="s">
        <v>392</v>
      </c>
      <c r="F1643" s="20">
        <v>2040</v>
      </c>
      <c r="G1643" s="20">
        <v>31</v>
      </c>
      <c r="H1643" s="11">
        <v>1016.7829974065201</v>
      </c>
      <c r="I1643" s="10">
        <v>4684888.6923501398</v>
      </c>
      <c r="J1643" s="34">
        <f t="shared" si="100"/>
        <v>2.1703461153021724E-4</v>
      </c>
      <c r="K1643" s="34">
        <f t="shared" si="101"/>
        <v>2.1701106122273828E-4</v>
      </c>
      <c r="L1643" s="34">
        <f t="shared" si="102"/>
        <v>0.99983152580317625</v>
      </c>
      <c r="M1643" s="34">
        <f t="shared" si="103"/>
        <v>0.9996145513027177</v>
      </c>
    </row>
    <row r="1644" spans="1:13" ht="27.6">
      <c r="A1644" t="s">
        <v>164</v>
      </c>
      <c r="B1644" t="s">
        <v>112</v>
      </c>
      <c r="C1644" s="14" t="s">
        <v>294</v>
      </c>
      <c r="D1644" t="s">
        <v>112</v>
      </c>
      <c r="E1644" t="s">
        <v>392</v>
      </c>
      <c r="F1644" s="20">
        <v>2040</v>
      </c>
      <c r="G1644" s="20">
        <v>32</v>
      </c>
      <c r="H1644" s="11">
        <v>1061.29964240548</v>
      </c>
      <c r="I1644" s="10">
        <v>4642359.1997221103</v>
      </c>
      <c r="J1644" s="34">
        <f t="shared" si="100"/>
        <v>2.2861213377650935E-4</v>
      </c>
      <c r="K1644" s="34">
        <f t="shared" si="101"/>
        <v>2.2858600401387541E-4</v>
      </c>
      <c r="L1644" s="34">
        <f t="shared" si="102"/>
        <v>0.9996145513027177</v>
      </c>
      <c r="M1644" s="34">
        <f t="shared" si="103"/>
        <v>0.99938605340688125</v>
      </c>
    </row>
    <row r="1645" spans="1:13" ht="27.6">
      <c r="A1645" t="s">
        <v>164</v>
      </c>
      <c r="B1645" t="s">
        <v>112</v>
      </c>
      <c r="C1645" s="14" t="s">
        <v>294</v>
      </c>
      <c r="D1645" t="s">
        <v>112</v>
      </c>
      <c r="E1645" t="s">
        <v>392</v>
      </c>
      <c r="F1645" s="20">
        <v>2040</v>
      </c>
      <c r="G1645" s="20">
        <v>33</v>
      </c>
      <c r="H1645" s="11">
        <v>1182.3501758463599</v>
      </c>
      <c r="I1645" s="10">
        <v>4668387.5515394304</v>
      </c>
      <c r="J1645" s="34">
        <f t="shared" si="100"/>
        <v>2.5326735683211914E-4</v>
      </c>
      <c r="K1645" s="34">
        <f t="shared" si="101"/>
        <v>2.5323528736254097E-4</v>
      </c>
      <c r="L1645" s="34">
        <f t="shared" si="102"/>
        <v>0.99938605340688125</v>
      </c>
      <c r="M1645" s="34">
        <f t="shared" si="103"/>
        <v>0.99913297359246067</v>
      </c>
    </row>
    <row r="1646" spans="1:13" ht="27.6">
      <c r="A1646" t="s">
        <v>164</v>
      </c>
      <c r="B1646" t="s">
        <v>112</v>
      </c>
      <c r="C1646" s="14" t="s">
        <v>294</v>
      </c>
      <c r="D1646" t="s">
        <v>112</v>
      </c>
      <c r="E1646" t="s">
        <v>392</v>
      </c>
      <c r="F1646" s="20">
        <v>2040</v>
      </c>
      <c r="G1646" s="20">
        <v>34</v>
      </c>
      <c r="H1646" s="11">
        <v>1236.5969362825299</v>
      </c>
      <c r="I1646" s="10">
        <v>4585223.5252088103</v>
      </c>
      <c r="J1646" s="34">
        <f t="shared" si="100"/>
        <v>2.6969174555698796E-4</v>
      </c>
      <c r="K1646" s="34">
        <f t="shared" si="101"/>
        <v>2.6965538200718342E-4</v>
      </c>
      <c r="L1646" s="34">
        <f t="shared" si="102"/>
        <v>0.99913297359246067</v>
      </c>
      <c r="M1646" s="34">
        <f t="shared" si="103"/>
        <v>0.99886355200879062</v>
      </c>
    </row>
    <row r="1647" spans="1:13" ht="27.6">
      <c r="A1647" t="s">
        <v>164</v>
      </c>
      <c r="B1647" t="s">
        <v>112</v>
      </c>
      <c r="C1647" s="14" t="s">
        <v>294</v>
      </c>
      <c r="D1647" t="s">
        <v>112</v>
      </c>
      <c r="E1647" t="s">
        <v>392</v>
      </c>
      <c r="F1647" s="20">
        <v>2040</v>
      </c>
      <c r="G1647" s="20">
        <v>35</v>
      </c>
      <c r="H1647" s="11">
        <v>1625.39808136698</v>
      </c>
      <c r="I1647" s="10">
        <v>4523820.4156846898</v>
      </c>
      <c r="J1647" s="34">
        <f t="shared" si="100"/>
        <v>3.5929765817659511E-4</v>
      </c>
      <c r="K1647" s="34">
        <f t="shared" si="101"/>
        <v>3.5923311850294404E-4</v>
      </c>
      <c r="L1647" s="34">
        <f t="shared" si="102"/>
        <v>0.99886355200879062</v>
      </c>
      <c r="M1647" s="34">
        <f t="shared" si="103"/>
        <v>0.99850472714004357</v>
      </c>
    </row>
    <row r="1648" spans="1:13" ht="27.6">
      <c r="A1648" t="s">
        <v>164</v>
      </c>
      <c r="B1648" t="s">
        <v>112</v>
      </c>
      <c r="C1648" s="14" t="s">
        <v>294</v>
      </c>
      <c r="D1648" t="s">
        <v>112</v>
      </c>
      <c r="E1648" t="s">
        <v>392</v>
      </c>
      <c r="F1648" s="20">
        <v>2040</v>
      </c>
      <c r="G1648" s="20">
        <v>36</v>
      </c>
      <c r="H1648" s="11">
        <v>1831.82077180022</v>
      </c>
      <c r="I1648" s="10">
        <v>4394472.8565535797</v>
      </c>
      <c r="J1648" s="34">
        <f t="shared" si="100"/>
        <v>4.1684653235902526E-4</v>
      </c>
      <c r="K1648" s="34">
        <f t="shared" si="101"/>
        <v>4.1675966391396813E-4</v>
      </c>
      <c r="L1648" s="34">
        <f t="shared" si="102"/>
        <v>0.99850472714004357</v>
      </c>
      <c r="M1648" s="34">
        <f t="shared" si="103"/>
        <v>0.99808859064554423</v>
      </c>
    </row>
    <row r="1649" spans="1:13" ht="27.6">
      <c r="A1649" t="s">
        <v>164</v>
      </c>
      <c r="B1649" t="s">
        <v>112</v>
      </c>
      <c r="C1649" s="14" t="s">
        <v>294</v>
      </c>
      <c r="D1649" t="s">
        <v>112</v>
      </c>
      <c r="E1649" t="s">
        <v>392</v>
      </c>
      <c r="F1649" s="20">
        <v>2040</v>
      </c>
      <c r="G1649" s="20">
        <v>37</v>
      </c>
      <c r="H1649" s="11">
        <v>1940.0144843712901</v>
      </c>
      <c r="I1649" s="10">
        <v>4328027.5903645502</v>
      </c>
      <c r="J1649" s="34">
        <f t="shared" si="100"/>
        <v>4.4824448177972049E-4</v>
      </c>
      <c r="K1649" s="34">
        <f t="shared" si="101"/>
        <v>4.4814403523074642E-4</v>
      </c>
      <c r="L1649" s="34">
        <f t="shared" si="102"/>
        <v>0.99808859064554423</v>
      </c>
      <c r="M1649" s="34">
        <f t="shared" si="103"/>
        <v>0.99764130319701461</v>
      </c>
    </row>
    <row r="1650" spans="1:13" ht="27.6">
      <c r="A1650" t="s">
        <v>164</v>
      </c>
      <c r="B1650" t="s">
        <v>112</v>
      </c>
      <c r="C1650" s="14" t="s">
        <v>294</v>
      </c>
      <c r="D1650" t="s">
        <v>112</v>
      </c>
      <c r="E1650" t="s">
        <v>392</v>
      </c>
      <c r="F1650" s="20">
        <v>2040</v>
      </c>
      <c r="G1650" s="20">
        <v>38</v>
      </c>
      <c r="H1650" s="11">
        <v>2233.2464325075698</v>
      </c>
      <c r="I1650" s="10">
        <v>4304229.3923953101</v>
      </c>
      <c r="J1650" s="34">
        <f t="shared" si="100"/>
        <v>5.1884930586024473E-4</v>
      </c>
      <c r="K1650" s="34">
        <f t="shared" si="101"/>
        <v>5.187147268355119E-4</v>
      </c>
      <c r="L1650" s="34">
        <f t="shared" si="102"/>
        <v>0.99764130319701461</v>
      </c>
      <c r="M1650" s="34">
        <f t="shared" si="103"/>
        <v>0.9971238119609469</v>
      </c>
    </row>
    <row r="1651" spans="1:13" ht="27.6">
      <c r="A1651" t="s">
        <v>164</v>
      </c>
      <c r="B1651" t="s">
        <v>112</v>
      </c>
      <c r="C1651" s="14" t="s">
        <v>294</v>
      </c>
      <c r="D1651" t="s">
        <v>112</v>
      </c>
      <c r="E1651" t="s">
        <v>392</v>
      </c>
      <c r="F1651" s="20">
        <v>2040</v>
      </c>
      <c r="G1651" s="20">
        <v>39</v>
      </c>
      <c r="H1651" s="11">
        <v>2397.7408878300998</v>
      </c>
      <c r="I1651" s="10">
        <v>4282190.36243835</v>
      </c>
      <c r="J1651" s="34">
        <f t="shared" si="100"/>
        <v>5.599332782732215E-4</v>
      </c>
      <c r="K1651" s="34">
        <f t="shared" si="101"/>
        <v>5.5977654488992279E-4</v>
      </c>
      <c r="L1651" s="34">
        <f t="shared" si="102"/>
        <v>0.9971238119609469</v>
      </c>
      <c r="M1651" s="34">
        <f t="shared" si="103"/>
        <v>0.99656564543865989</v>
      </c>
    </row>
    <row r="1652" spans="1:13" ht="27.6">
      <c r="A1652" t="s">
        <v>164</v>
      </c>
      <c r="B1652" t="s">
        <v>112</v>
      </c>
      <c r="C1652" s="14" t="s">
        <v>294</v>
      </c>
      <c r="D1652" t="s">
        <v>112</v>
      </c>
      <c r="E1652" t="s">
        <v>392</v>
      </c>
      <c r="F1652" s="20">
        <v>2040</v>
      </c>
      <c r="G1652" s="20">
        <v>40</v>
      </c>
      <c r="H1652" s="11">
        <v>3201.8181832147902</v>
      </c>
      <c r="I1652" s="10">
        <v>4259552.9197251303</v>
      </c>
      <c r="J1652" s="34">
        <f t="shared" si="100"/>
        <v>7.5167940005811782E-4</v>
      </c>
      <c r="K1652" s="34">
        <f t="shared" si="101"/>
        <v>7.5139695987047617E-4</v>
      </c>
      <c r="L1652" s="34">
        <f t="shared" si="102"/>
        <v>0.99656564543865989</v>
      </c>
      <c r="M1652" s="34">
        <f t="shared" si="103"/>
        <v>0.9958168290423659</v>
      </c>
    </row>
    <row r="1653" spans="1:13" ht="27.6">
      <c r="A1653" t="s">
        <v>164</v>
      </c>
      <c r="B1653" t="s">
        <v>112</v>
      </c>
      <c r="C1653" s="14" t="s">
        <v>294</v>
      </c>
      <c r="D1653" t="s">
        <v>112</v>
      </c>
      <c r="E1653" t="s">
        <v>392</v>
      </c>
      <c r="F1653" s="20">
        <v>2040</v>
      </c>
      <c r="G1653" s="20">
        <v>41</v>
      </c>
      <c r="H1653" s="11">
        <v>3557.2600018701801</v>
      </c>
      <c r="I1653" s="10">
        <v>4275075.3543972401</v>
      </c>
      <c r="J1653" s="34">
        <f t="shared" si="100"/>
        <v>8.32092935674518E-4</v>
      </c>
      <c r="K1653" s="34">
        <f t="shared" si="101"/>
        <v>8.317468423483243E-4</v>
      </c>
      <c r="L1653" s="34">
        <f t="shared" si="102"/>
        <v>0.9958168290423659</v>
      </c>
      <c r="M1653" s="34">
        <f t="shared" si="103"/>
        <v>0.99498856153925264</v>
      </c>
    </row>
    <row r="1654" spans="1:13" ht="27.6">
      <c r="A1654" t="s">
        <v>164</v>
      </c>
      <c r="B1654" t="s">
        <v>112</v>
      </c>
      <c r="C1654" s="14" t="s">
        <v>294</v>
      </c>
      <c r="D1654" t="s">
        <v>112</v>
      </c>
      <c r="E1654" t="s">
        <v>392</v>
      </c>
      <c r="F1654" s="20">
        <v>2040</v>
      </c>
      <c r="G1654" s="20">
        <v>42</v>
      </c>
      <c r="H1654" s="11">
        <v>3908.8751452889801</v>
      </c>
      <c r="I1654" s="10">
        <v>4329378.5498764496</v>
      </c>
      <c r="J1654" s="34">
        <f t="shared" si="100"/>
        <v>9.0287210976285049E-4</v>
      </c>
      <c r="K1654" s="34">
        <f t="shared" si="101"/>
        <v>9.0246464337884191E-4</v>
      </c>
      <c r="L1654" s="34">
        <f t="shared" si="102"/>
        <v>0.99498856153925264</v>
      </c>
      <c r="M1654" s="34">
        <f t="shared" si="103"/>
        <v>0.99409061954189704</v>
      </c>
    </row>
    <row r="1655" spans="1:13" ht="27.6">
      <c r="A1655" t="s">
        <v>164</v>
      </c>
      <c r="B1655" t="s">
        <v>112</v>
      </c>
      <c r="C1655" s="14" t="s">
        <v>294</v>
      </c>
      <c r="D1655" t="s">
        <v>112</v>
      </c>
      <c r="E1655" t="s">
        <v>392</v>
      </c>
      <c r="F1655" s="20">
        <v>2040</v>
      </c>
      <c r="G1655" s="20">
        <v>43</v>
      </c>
      <c r="H1655" s="11">
        <v>4593.1376003266796</v>
      </c>
      <c r="I1655" s="10">
        <v>4459630.8093093904</v>
      </c>
      <c r="J1655" s="34">
        <f t="shared" si="100"/>
        <v>1.0299367361842142E-3</v>
      </c>
      <c r="K1655" s="34">
        <f t="shared" si="101"/>
        <v>1.0294065333846802E-3</v>
      </c>
      <c r="L1655" s="34">
        <f t="shared" si="102"/>
        <v>0.99409061954189704</v>
      </c>
      <c r="M1655" s="34">
        <f t="shared" si="103"/>
        <v>0.9930672961633642</v>
      </c>
    </row>
    <row r="1656" spans="1:13" ht="27.6">
      <c r="A1656" t="s">
        <v>164</v>
      </c>
      <c r="B1656" t="s">
        <v>112</v>
      </c>
      <c r="C1656" s="14" t="s">
        <v>294</v>
      </c>
      <c r="D1656" t="s">
        <v>112</v>
      </c>
      <c r="E1656" t="s">
        <v>392</v>
      </c>
      <c r="F1656" s="20">
        <v>2040</v>
      </c>
      <c r="G1656" s="20">
        <v>44</v>
      </c>
      <c r="H1656" s="11">
        <v>4943.2480914427897</v>
      </c>
      <c r="I1656" s="10">
        <v>4411230.18326787</v>
      </c>
      <c r="J1656" s="34">
        <f t="shared" si="100"/>
        <v>1.1206053382099405E-3</v>
      </c>
      <c r="K1656" s="34">
        <f t="shared" si="101"/>
        <v>1.1199776945167716E-3</v>
      </c>
      <c r="L1656" s="34">
        <f t="shared" si="102"/>
        <v>0.9930672961633642</v>
      </c>
      <c r="M1656" s="34">
        <f t="shared" si="103"/>
        <v>0.99195508294250712</v>
      </c>
    </row>
    <row r="1657" spans="1:13" ht="27.6">
      <c r="A1657" t="s">
        <v>164</v>
      </c>
      <c r="B1657" t="s">
        <v>112</v>
      </c>
      <c r="C1657" s="14" t="s">
        <v>294</v>
      </c>
      <c r="D1657" t="s">
        <v>112</v>
      </c>
      <c r="E1657" t="s">
        <v>392</v>
      </c>
      <c r="F1657" s="20">
        <v>2040</v>
      </c>
      <c r="G1657" s="20">
        <v>45</v>
      </c>
      <c r="H1657" s="11">
        <v>6225.0197142758898</v>
      </c>
      <c r="I1657" s="10">
        <v>4332677.6103056502</v>
      </c>
      <c r="J1657" s="34">
        <f t="shared" si="100"/>
        <v>1.4367604225777471E-3</v>
      </c>
      <c r="K1657" s="34">
        <f t="shared" si="101"/>
        <v>1.4357287764570348E-3</v>
      </c>
      <c r="L1657" s="34">
        <f t="shared" si="102"/>
        <v>0.99195508294250712</v>
      </c>
      <c r="M1657" s="34">
        <f t="shared" si="103"/>
        <v>0.99053090448497372</v>
      </c>
    </row>
    <row r="1658" spans="1:13" ht="27.6">
      <c r="A1658" t="s">
        <v>164</v>
      </c>
      <c r="B1658" t="s">
        <v>112</v>
      </c>
      <c r="C1658" s="14" t="s">
        <v>294</v>
      </c>
      <c r="D1658" t="s">
        <v>112</v>
      </c>
      <c r="E1658" t="s">
        <v>392</v>
      </c>
      <c r="F1658" s="20">
        <v>2040</v>
      </c>
      <c r="G1658" s="20">
        <v>46</v>
      </c>
      <c r="H1658" s="11">
        <v>6701.1523591362302</v>
      </c>
      <c r="I1658" s="10">
        <v>4267951.54561707</v>
      </c>
      <c r="J1658" s="34">
        <f t="shared" si="100"/>
        <v>1.5701097558190207E-3</v>
      </c>
      <c r="K1658" s="34">
        <f t="shared" si="101"/>
        <v>1.5688777783606778E-3</v>
      </c>
      <c r="L1658" s="34">
        <f t="shared" si="102"/>
        <v>0.99053090448497372</v>
      </c>
      <c r="M1658" s="34">
        <f t="shared" si="103"/>
        <v>0.98897688256014771</v>
      </c>
    </row>
    <row r="1659" spans="1:13" ht="27.6">
      <c r="A1659" t="s">
        <v>164</v>
      </c>
      <c r="B1659" t="s">
        <v>112</v>
      </c>
      <c r="C1659" s="14" t="s">
        <v>294</v>
      </c>
      <c r="D1659" t="s">
        <v>112</v>
      </c>
      <c r="E1659" t="s">
        <v>392</v>
      </c>
      <c r="F1659" s="20">
        <v>2040</v>
      </c>
      <c r="G1659" s="20">
        <v>47</v>
      </c>
      <c r="H1659" s="11">
        <v>7229.7240680089799</v>
      </c>
      <c r="I1659" s="10">
        <v>4206934.4265739601</v>
      </c>
      <c r="J1659" s="34">
        <f t="shared" si="100"/>
        <v>1.7185254950352808E-3</v>
      </c>
      <c r="K1659" s="34">
        <f t="shared" si="101"/>
        <v>1.7170496756289122E-3</v>
      </c>
      <c r="L1659" s="34">
        <f t="shared" si="102"/>
        <v>0.98897688256014771</v>
      </c>
      <c r="M1659" s="34">
        <f t="shared" si="103"/>
        <v>0.98727876012474336</v>
      </c>
    </row>
    <row r="1660" spans="1:13" ht="27.6">
      <c r="A1660" t="s">
        <v>164</v>
      </c>
      <c r="B1660" t="s">
        <v>112</v>
      </c>
      <c r="C1660" s="14" t="s">
        <v>294</v>
      </c>
      <c r="D1660" t="s">
        <v>112</v>
      </c>
      <c r="E1660" t="s">
        <v>392</v>
      </c>
      <c r="F1660" s="20">
        <v>2040</v>
      </c>
      <c r="G1660" s="20">
        <v>48</v>
      </c>
      <c r="H1660" s="11">
        <v>7960.1885008419804</v>
      </c>
      <c r="I1660" s="10">
        <v>4234013.4555377997</v>
      </c>
      <c r="J1660" s="34">
        <f t="shared" si="100"/>
        <v>1.8800574406372277E-3</v>
      </c>
      <c r="K1660" s="34">
        <f t="shared" si="101"/>
        <v>1.8782912396736462E-3</v>
      </c>
      <c r="L1660" s="34">
        <f t="shared" si="102"/>
        <v>0.98727876012474336</v>
      </c>
      <c r="M1660" s="34">
        <f t="shared" si="103"/>
        <v>0.98542436307848524</v>
      </c>
    </row>
    <row r="1661" spans="1:13" ht="27.6">
      <c r="A1661" t="s">
        <v>164</v>
      </c>
      <c r="B1661" t="s">
        <v>112</v>
      </c>
      <c r="C1661" s="14" t="s">
        <v>294</v>
      </c>
      <c r="D1661" t="s">
        <v>112</v>
      </c>
      <c r="E1661" t="s">
        <v>392</v>
      </c>
      <c r="F1661" s="20">
        <v>2040</v>
      </c>
      <c r="G1661" s="20">
        <v>49</v>
      </c>
      <c r="H1661" s="11">
        <v>8735.4572144541708</v>
      </c>
      <c r="I1661" s="10">
        <v>4240641.8881740198</v>
      </c>
      <c r="J1661" s="34">
        <f t="shared" si="100"/>
        <v>2.0599374917308982E-3</v>
      </c>
      <c r="K1661" s="34">
        <f t="shared" si="101"/>
        <v>2.0578172765827185E-3</v>
      </c>
      <c r="L1661" s="34">
        <f t="shared" si="102"/>
        <v>0.98542436307848524</v>
      </c>
      <c r="M1661" s="34">
        <f t="shared" si="103"/>
        <v>0.9833965397993768</v>
      </c>
    </row>
    <row r="1662" spans="1:13" ht="27.6">
      <c r="A1662" t="s">
        <v>164</v>
      </c>
      <c r="B1662" t="s">
        <v>112</v>
      </c>
      <c r="C1662" s="14" t="s">
        <v>294</v>
      </c>
      <c r="D1662" t="s">
        <v>112</v>
      </c>
      <c r="E1662" t="s">
        <v>392</v>
      </c>
      <c r="F1662" s="20">
        <v>2040</v>
      </c>
      <c r="G1662" s="20">
        <v>50</v>
      </c>
      <c r="H1662" s="11">
        <v>13543.754533933999</v>
      </c>
      <c r="I1662" s="10">
        <v>6237690.3615581105</v>
      </c>
      <c r="J1662" s="34">
        <f t="shared" si="100"/>
        <v>2.171277147291888E-3</v>
      </c>
      <c r="K1662" s="34">
        <f t="shared" si="101"/>
        <v>2.168921630201992E-3</v>
      </c>
      <c r="L1662" s="34">
        <f t="shared" si="102"/>
        <v>0.9833965397993768</v>
      </c>
      <c r="M1662" s="34">
        <f t="shared" si="103"/>
        <v>0.98126362977314019</v>
      </c>
    </row>
    <row r="1663" spans="1:13" ht="27.6">
      <c r="A1663" t="s">
        <v>164</v>
      </c>
      <c r="B1663" t="s">
        <v>112</v>
      </c>
      <c r="C1663" s="14" t="s">
        <v>294</v>
      </c>
      <c r="D1663" t="s">
        <v>112</v>
      </c>
      <c r="E1663" t="s">
        <v>392</v>
      </c>
      <c r="F1663" s="20">
        <v>2040</v>
      </c>
      <c r="G1663" s="20">
        <v>51</v>
      </c>
      <c r="H1663" s="11">
        <v>10806.599109725899</v>
      </c>
      <c r="I1663" s="10">
        <v>4174581.6129282098</v>
      </c>
      <c r="J1663" s="34">
        <f t="shared" si="100"/>
        <v>2.5886663890482046E-3</v>
      </c>
      <c r="K1663" s="34">
        <f t="shared" si="101"/>
        <v>2.585318681533666E-3</v>
      </c>
      <c r="L1663" s="34">
        <f t="shared" si="102"/>
        <v>0.98126362977314019</v>
      </c>
      <c r="M1663" s="34">
        <f t="shared" si="103"/>
        <v>0.97872675057957814</v>
      </c>
    </row>
    <row r="1664" spans="1:13" ht="27.6">
      <c r="A1664" t="s">
        <v>164</v>
      </c>
      <c r="B1664" t="s">
        <v>112</v>
      </c>
      <c r="C1664" s="14" t="s">
        <v>294</v>
      </c>
      <c r="D1664" t="s">
        <v>112</v>
      </c>
      <c r="E1664" t="s">
        <v>392</v>
      </c>
      <c r="F1664" s="20">
        <v>2040</v>
      </c>
      <c r="G1664" s="20">
        <v>52</v>
      </c>
      <c r="H1664" s="11">
        <v>11720.9283646401</v>
      </c>
      <c r="I1664" s="10">
        <v>4143845.1313865702</v>
      </c>
      <c r="J1664" s="34">
        <f t="shared" si="100"/>
        <v>2.8285150610148804E-3</v>
      </c>
      <c r="K1664" s="34">
        <f t="shared" si="101"/>
        <v>2.8245185812121321E-3</v>
      </c>
      <c r="L1664" s="34">
        <f t="shared" si="102"/>
        <v>0.97872675057957814</v>
      </c>
      <c r="M1664" s="34">
        <f t="shared" si="103"/>
        <v>0.97596231868663674</v>
      </c>
    </row>
    <row r="1665" spans="1:13" ht="27.6">
      <c r="A1665" t="s">
        <v>164</v>
      </c>
      <c r="B1665" t="s">
        <v>112</v>
      </c>
      <c r="C1665" s="14" t="s">
        <v>294</v>
      </c>
      <c r="D1665" t="s">
        <v>112</v>
      </c>
      <c r="E1665" t="s">
        <v>392</v>
      </c>
      <c r="F1665" s="20">
        <v>2040</v>
      </c>
      <c r="G1665" s="20">
        <v>53</v>
      </c>
      <c r="H1665" s="11">
        <v>12355.0830727511</v>
      </c>
      <c r="I1665" s="10">
        <v>4001290.5817961502</v>
      </c>
      <c r="J1665" s="34">
        <f t="shared" si="100"/>
        <v>3.0877745117938904E-3</v>
      </c>
      <c r="K1665" s="34">
        <f t="shared" si="101"/>
        <v>3.0830122389452486E-3</v>
      </c>
      <c r="L1665" s="34">
        <f t="shared" si="102"/>
        <v>0.97596231868663674</v>
      </c>
      <c r="M1665" s="34">
        <f t="shared" si="103"/>
        <v>0.9729534149133765</v>
      </c>
    </row>
    <row r="1666" spans="1:13" ht="27.6">
      <c r="A1666" t="s">
        <v>164</v>
      </c>
      <c r="B1666" t="s">
        <v>112</v>
      </c>
      <c r="C1666" s="14" t="s">
        <v>294</v>
      </c>
      <c r="D1666" t="s">
        <v>112</v>
      </c>
      <c r="E1666" t="s">
        <v>392</v>
      </c>
      <c r="F1666" s="20">
        <v>2040</v>
      </c>
      <c r="G1666" s="20">
        <v>54</v>
      </c>
      <c r="H1666" s="11">
        <v>13299.065658063801</v>
      </c>
      <c r="I1666" s="10">
        <v>3951313.6949682399</v>
      </c>
      <c r="J1666" s="34">
        <f t="shared" ref="J1666:J1729" si="104">IF(I1666&gt;0,H1666/I1666,0)</f>
        <v>3.365732686574432E-3</v>
      </c>
      <c r="K1666" s="34">
        <f t="shared" ref="K1666:K1729" si="105">1-EXP(-J1666)</f>
        <v>3.3600749575634081E-3</v>
      </c>
      <c r="L1666" s="34">
        <f t="shared" ref="L1666:L1729" si="106">IF(G1666=30,1,M1665)</f>
        <v>0.9729534149133765</v>
      </c>
      <c r="M1666" s="34">
        <f t="shared" ref="M1666:M1729" si="107">L1666*(1-K1666)</f>
        <v>0.96968421850905029</v>
      </c>
    </row>
    <row r="1667" spans="1:13" ht="27.6">
      <c r="A1667" t="s">
        <v>164</v>
      </c>
      <c r="B1667" t="s">
        <v>112</v>
      </c>
      <c r="C1667" s="14" t="s">
        <v>294</v>
      </c>
      <c r="D1667" t="s">
        <v>112</v>
      </c>
      <c r="E1667" t="s">
        <v>392</v>
      </c>
      <c r="F1667" s="20">
        <v>2040</v>
      </c>
      <c r="G1667" s="20">
        <v>55</v>
      </c>
      <c r="H1667" s="11">
        <v>14521.1878222338</v>
      </c>
      <c r="I1667" s="10">
        <v>3988725.3622825299</v>
      </c>
      <c r="J1667" s="34">
        <f t="shared" si="104"/>
        <v>3.6405584499615978E-3</v>
      </c>
      <c r="K1667" s="34">
        <f t="shared" si="105"/>
        <v>3.633939651524809E-3</v>
      </c>
      <c r="L1667" s="34">
        <f t="shared" si="106"/>
        <v>0.96968421850905029</v>
      </c>
      <c r="M1667" s="34">
        <f t="shared" si="107"/>
        <v>0.96616044457795236</v>
      </c>
    </row>
    <row r="1668" spans="1:13" ht="27.6">
      <c r="A1668" t="s">
        <v>164</v>
      </c>
      <c r="B1668" t="s">
        <v>112</v>
      </c>
      <c r="C1668" s="14" t="s">
        <v>294</v>
      </c>
      <c r="D1668" t="s">
        <v>112</v>
      </c>
      <c r="E1668" t="s">
        <v>392</v>
      </c>
      <c r="F1668" s="20">
        <v>2040</v>
      </c>
      <c r="G1668" s="20">
        <v>56</v>
      </c>
      <c r="H1668" s="11">
        <v>16059.8791311517</v>
      </c>
      <c r="I1668" s="10">
        <v>4047392.2421416799</v>
      </c>
      <c r="J1668" s="34">
        <f t="shared" si="104"/>
        <v>3.9679571858480429E-3</v>
      </c>
      <c r="K1668" s="34">
        <f t="shared" si="105"/>
        <v>3.9600952457851113E-3</v>
      </c>
      <c r="L1668" s="34">
        <f t="shared" si="106"/>
        <v>0.96616044457795236</v>
      </c>
      <c r="M1668" s="34">
        <f t="shared" si="107"/>
        <v>0.96233435719471361</v>
      </c>
    </row>
    <row r="1669" spans="1:13" ht="27.6">
      <c r="A1669" t="s">
        <v>164</v>
      </c>
      <c r="B1669" t="s">
        <v>112</v>
      </c>
      <c r="C1669" s="14" t="s">
        <v>294</v>
      </c>
      <c r="D1669" t="s">
        <v>112</v>
      </c>
      <c r="E1669" t="s">
        <v>392</v>
      </c>
      <c r="F1669" s="20">
        <v>2040</v>
      </c>
      <c r="G1669" s="20">
        <v>57</v>
      </c>
      <c r="H1669" s="11">
        <v>17322.302192596999</v>
      </c>
      <c r="I1669" s="10">
        <v>4001621.10108758</v>
      </c>
      <c r="J1669" s="34">
        <f t="shared" si="104"/>
        <v>4.3288211839669329E-3</v>
      </c>
      <c r="K1669" s="34">
        <f t="shared" si="105"/>
        <v>4.3194653423358487E-3</v>
      </c>
      <c r="L1669" s="34">
        <f t="shared" si="106"/>
        <v>0.96233435719471361</v>
      </c>
      <c r="M1669" s="34">
        <f t="shared" si="107"/>
        <v>0.95817758729107194</v>
      </c>
    </row>
    <row r="1670" spans="1:13" ht="27.6">
      <c r="A1670" t="s">
        <v>164</v>
      </c>
      <c r="B1670" t="s">
        <v>112</v>
      </c>
      <c r="C1670" s="14" t="s">
        <v>294</v>
      </c>
      <c r="D1670" t="s">
        <v>112</v>
      </c>
      <c r="E1670" t="s">
        <v>392</v>
      </c>
      <c r="F1670" s="20">
        <v>2040</v>
      </c>
      <c r="G1670" s="20">
        <v>58</v>
      </c>
      <c r="H1670" s="11">
        <v>18219.159403927999</v>
      </c>
      <c r="I1670" s="10">
        <v>3849419.2105147699</v>
      </c>
      <c r="J1670" s="34">
        <f t="shared" si="104"/>
        <v>4.7329631842024326E-3</v>
      </c>
      <c r="K1670" s="34">
        <f t="shared" si="105"/>
        <v>4.7217803635334343E-3</v>
      </c>
      <c r="L1670" s="34">
        <f t="shared" si="106"/>
        <v>0.95817758729107194</v>
      </c>
      <c r="M1670" s="34">
        <f t="shared" si="107"/>
        <v>0.95365328317462317</v>
      </c>
    </row>
    <row r="1671" spans="1:13" ht="27.6">
      <c r="A1671" t="s">
        <v>164</v>
      </c>
      <c r="B1671" t="s">
        <v>112</v>
      </c>
      <c r="C1671" s="14" t="s">
        <v>294</v>
      </c>
      <c r="D1671" t="s">
        <v>112</v>
      </c>
      <c r="E1671" t="s">
        <v>392</v>
      </c>
      <c r="F1671" s="20">
        <v>2040</v>
      </c>
      <c r="G1671" s="20">
        <v>59</v>
      </c>
      <c r="H1671" s="11">
        <v>19434.717245351902</v>
      </c>
      <c r="I1671" s="10">
        <v>3754610.4123254502</v>
      </c>
      <c r="J1671" s="34">
        <f t="shared" si="104"/>
        <v>5.1762273874148348E-3</v>
      </c>
      <c r="K1671" s="34">
        <f t="shared" si="105"/>
        <v>5.1628538072789887E-3</v>
      </c>
      <c r="L1671" s="34">
        <f t="shared" si="106"/>
        <v>0.95365328317462317</v>
      </c>
      <c r="M1671" s="34">
        <f t="shared" si="107"/>
        <v>0.94872971069076095</v>
      </c>
    </row>
    <row r="1672" spans="1:13" ht="27.6">
      <c r="A1672" t="s">
        <v>164</v>
      </c>
      <c r="B1672" t="s">
        <v>112</v>
      </c>
      <c r="C1672" s="14" t="s">
        <v>294</v>
      </c>
      <c r="D1672" t="s">
        <v>112</v>
      </c>
      <c r="E1672" t="s">
        <v>392</v>
      </c>
      <c r="F1672" s="20">
        <v>2040</v>
      </c>
      <c r="G1672" s="20">
        <v>60</v>
      </c>
      <c r="H1672" s="11">
        <v>20755.967722380701</v>
      </c>
      <c r="I1672" s="10">
        <v>3673059.16220681</v>
      </c>
      <c r="J1672" s="34">
        <f t="shared" si="104"/>
        <v>5.6508667042298091E-3</v>
      </c>
      <c r="K1672" s="34">
        <f t="shared" si="105"/>
        <v>5.634930588726994E-3</v>
      </c>
      <c r="L1672" s="34">
        <f t="shared" si="106"/>
        <v>0.94872971069076095</v>
      </c>
      <c r="M1672" s="34">
        <f t="shared" si="107"/>
        <v>0.94338368462355549</v>
      </c>
    </row>
    <row r="1673" spans="1:13" ht="27.6">
      <c r="A1673" t="s">
        <v>164</v>
      </c>
      <c r="B1673" t="s">
        <v>112</v>
      </c>
      <c r="C1673" s="14" t="s">
        <v>294</v>
      </c>
      <c r="D1673" t="s">
        <v>112</v>
      </c>
      <c r="E1673" t="s">
        <v>392</v>
      </c>
      <c r="F1673" s="20">
        <v>2040</v>
      </c>
      <c r="G1673" s="20">
        <v>61</v>
      </c>
      <c r="H1673" s="11">
        <v>22195.426999874599</v>
      </c>
      <c r="I1673" s="10">
        <v>3584668.38022384</v>
      </c>
      <c r="J1673" s="34">
        <f t="shared" si="104"/>
        <v>6.191765777365613E-3</v>
      </c>
      <c r="K1673" s="34">
        <f t="shared" si="105"/>
        <v>6.1726362977605476E-3</v>
      </c>
      <c r="L1673" s="34">
        <f t="shared" si="106"/>
        <v>0.94338368462355549</v>
      </c>
      <c r="M1673" s="34">
        <f t="shared" si="107"/>
        <v>0.93756052024913306</v>
      </c>
    </row>
    <row r="1674" spans="1:13" ht="27.6">
      <c r="A1674" t="s">
        <v>164</v>
      </c>
      <c r="B1674" t="s">
        <v>112</v>
      </c>
      <c r="C1674" s="14" t="s">
        <v>294</v>
      </c>
      <c r="D1674" t="s">
        <v>112</v>
      </c>
      <c r="E1674" t="s">
        <v>392</v>
      </c>
      <c r="F1674" s="20">
        <v>2040</v>
      </c>
      <c r="G1674" s="20">
        <v>62</v>
      </c>
      <c r="H1674" s="11">
        <v>23601.924496482199</v>
      </c>
      <c r="I1674" s="10">
        <v>3477350.0339859198</v>
      </c>
      <c r="J1674" s="34">
        <f t="shared" si="104"/>
        <v>6.7873306586361806E-3</v>
      </c>
      <c r="K1674" s="34">
        <f t="shared" si="105"/>
        <v>6.7643487545577807E-3</v>
      </c>
      <c r="L1674" s="34">
        <f t="shared" si="106"/>
        <v>0.93756052024913306</v>
      </c>
      <c r="M1674" s="34">
        <f t="shared" si="107"/>
        <v>0.93121853391166332</v>
      </c>
    </row>
    <row r="1675" spans="1:13" ht="27.6">
      <c r="A1675" t="s">
        <v>164</v>
      </c>
      <c r="B1675" t="s">
        <v>112</v>
      </c>
      <c r="C1675" s="14" t="s">
        <v>294</v>
      </c>
      <c r="D1675" t="s">
        <v>112</v>
      </c>
      <c r="E1675" t="s">
        <v>392</v>
      </c>
      <c r="F1675" s="20">
        <v>2040</v>
      </c>
      <c r="G1675" s="20">
        <v>63</v>
      </c>
      <c r="H1675" s="11">
        <v>25206.2304663205</v>
      </c>
      <c r="I1675" s="10">
        <v>3383452.7648655102</v>
      </c>
      <c r="J1675" s="34">
        <f t="shared" si="104"/>
        <v>7.4498543996438585E-3</v>
      </c>
      <c r="K1675" s="34">
        <f t="shared" si="105"/>
        <v>7.4221730177652656E-3</v>
      </c>
      <c r="L1675" s="34">
        <f t="shared" si="106"/>
        <v>0.93121853391166332</v>
      </c>
      <c r="M1675" s="34">
        <f t="shared" si="107"/>
        <v>0.92430686883562119</v>
      </c>
    </row>
    <row r="1676" spans="1:13" ht="27.6">
      <c r="A1676" t="s">
        <v>164</v>
      </c>
      <c r="B1676" t="s">
        <v>112</v>
      </c>
      <c r="C1676" s="14" t="s">
        <v>294</v>
      </c>
      <c r="D1676" t="s">
        <v>112</v>
      </c>
      <c r="E1676" t="s">
        <v>392</v>
      </c>
      <c r="F1676" s="20">
        <v>2040</v>
      </c>
      <c r="G1676" s="20">
        <v>64</v>
      </c>
      <c r="H1676" s="11">
        <v>26765.495249286902</v>
      </c>
      <c r="I1676" s="10">
        <v>3277773.3191276202</v>
      </c>
      <c r="J1676" s="34">
        <f t="shared" si="104"/>
        <v>8.165755420942453E-3</v>
      </c>
      <c r="K1676" s="34">
        <f t="shared" si="105"/>
        <v>8.132506203355705E-3</v>
      </c>
      <c r="L1676" s="34">
        <f t="shared" si="106"/>
        <v>0.92430686883562119</v>
      </c>
      <c r="M1676" s="34">
        <f t="shared" si="107"/>
        <v>0.91678993749101123</v>
      </c>
    </row>
    <row r="1677" spans="1:13" ht="27.6">
      <c r="A1677" t="s">
        <v>164</v>
      </c>
      <c r="B1677" t="s">
        <v>112</v>
      </c>
      <c r="C1677" s="14" t="s">
        <v>294</v>
      </c>
      <c r="D1677" t="s">
        <v>112</v>
      </c>
      <c r="E1677" t="s">
        <v>392</v>
      </c>
      <c r="F1677" s="20">
        <v>2040</v>
      </c>
      <c r="G1677" s="20">
        <v>65</v>
      </c>
      <c r="H1677" s="11">
        <v>27202.3351319834</v>
      </c>
      <c r="I1677" s="10">
        <v>3169892.7789574699</v>
      </c>
      <c r="J1677" s="34">
        <f t="shared" si="104"/>
        <v>8.5814685318567271E-3</v>
      </c>
      <c r="K1677" s="34">
        <f t="shared" si="105"/>
        <v>8.5447528307157627E-3</v>
      </c>
      <c r="L1677" s="34">
        <f t="shared" si="106"/>
        <v>0.91678993749101123</v>
      </c>
      <c r="M1677" s="34">
        <f t="shared" si="107"/>
        <v>0.9089561940774632</v>
      </c>
    </row>
    <row r="1678" spans="1:13" ht="27.6">
      <c r="A1678" t="s">
        <v>164</v>
      </c>
      <c r="B1678" t="s">
        <v>112</v>
      </c>
      <c r="C1678" s="14" t="s">
        <v>294</v>
      </c>
      <c r="D1678" t="s">
        <v>112</v>
      </c>
      <c r="E1678" t="s">
        <v>392</v>
      </c>
      <c r="F1678" s="20">
        <v>2040</v>
      </c>
      <c r="G1678" s="20">
        <v>66</v>
      </c>
      <c r="H1678" s="11">
        <v>28596.045333861399</v>
      </c>
      <c r="I1678" s="10">
        <v>3037360.5283356998</v>
      </c>
      <c r="J1678" s="34">
        <f t="shared" si="104"/>
        <v>9.4147682065027685E-3</v>
      </c>
      <c r="K1678" s="34">
        <f t="shared" si="105"/>
        <v>9.3705880337174863E-3</v>
      </c>
      <c r="L1678" s="34">
        <f t="shared" si="106"/>
        <v>0.9089561940774632</v>
      </c>
      <c r="M1678" s="34">
        <f t="shared" si="107"/>
        <v>0.90043874004206759</v>
      </c>
    </row>
    <row r="1679" spans="1:13" ht="27.6">
      <c r="A1679" t="s">
        <v>164</v>
      </c>
      <c r="B1679" t="s">
        <v>112</v>
      </c>
      <c r="C1679" s="14" t="s">
        <v>294</v>
      </c>
      <c r="D1679" t="s">
        <v>112</v>
      </c>
      <c r="E1679" t="s">
        <v>392</v>
      </c>
      <c r="F1679" s="20">
        <v>2040</v>
      </c>
      <c r="G1679" s="20">
        <v>67</v>
      </c>
      <c r="H1679" s="11">
        <v>30523.280221616998</v>
      </c>
      <c r="I1679" s="10">
        <v>2954143.3060959899</v>
      </c>
      <c r="J1679" s="34">
        <f t="shared" si="104"/>
        <v>1.0332362739015071E-2</v>
      </c>
      <c r="K1679" s="34">
        <f t="shared" si="105"/>
        <v>1.0279167248473331E-2</v>
      </c>
      <c r="L1679" s="34">
        <f t="shared" si="106"/>
        <v>0.90043874004206759</v>
      </c>
      <c r="M1679" s="34">
        <f t="shared" si="107"/>
        <v>0.89118297963617055</v>
      </c>
    </row>
    <row r="1680" spans="1:13" ht="27.6">
      <c r="A1680" t="s">
        <v>164</v>
      </c>
      <c r="B1680" t="s">
        <v>112</v>
      </c>
      <c r="C1680" s="14" t="s">
        <v>294</v>
      </c>
      <c r="D1680" t="s">
        <v>112</v>
      </c>
      <c r="E1680" t="s">
        <v>392</v>
      </c>
      <c r="F1680" s="20">
        <v>2040</v>
      </c>
      <c r="G1680" s="20">
        <v>68</v>
      </c>
      <c r="H1680" s="11">
        <v>31030.6782811347</v>
      </c>
      <c r="I1680" s="10">
        <v>2731901.1476249001</v>
      </c>
      <c r="J1680" s="34">
        <f t="shared" si="104"/>
        <v>1.1358638766308438E-2</v>
      </c>
      <c r="K1680" s="34">
        <f t="shared" si="105"/>
        <v>1.1294372983080114E-2</v>
      </c>
      <c r="L1680" s="34">
        <f t="shared" si="106"/>
        <v>0.89118297963617055</v>
      </c>
      <c r="M1680" s="34">
        <f t="shared" si="107"/>
        <v>0.88111762666798699</v>
      </c>
    </row>
    <row r="1681" spans="1:13" ht="27.6">
      <c r="A1681" t="s">
        <v>164</v>
      </c>
      <c r="B1681" t="s">
        <v>112</v>
      </c>
      <c r="C1681" s="14" t="s">
        <v>294</v>
      </c>
      <c r="D1681" t="s">
        <v>112</v>
      </c>
      <c r="E1681" t="s">
        <v>392</v>
      </c>
      <c r="F1681" s="20">
        <v>2040</v>
      </c>
      <c r="G1681" s="20">
        <v>69</v>
      </c>
      <c r="H1681" s="11">
        <v>32605.130653625401</v>
      </c>
      <c r="I1681" s="10">
        <v>2611482.9566317</v>
      </c>
      <c r="J1681" s="34">
        <f t="shared" si="104"/>
        <v>1.2485293296985408E-2</v>
      </c>
      <c r="K1681" s="34">
        <f t="shared" si="105"/>
        <v>1.240767538590215E-2</v>
      </c>
      <c r="L1681" s="34">
        <f t="shared" si="106"/>
        <v>0.88111762666798699</v>
      </c>
      <c r="M1681" s="34">
        <f t="shared" si="107"/>
        <v>0.87018500517949404</v>
      </c>
    </row>
    <row r="1682" spans="1:13" ht="27.6">
      <c r="A1682" t="s">
        <v>164</v>
      </c>
      <c r="B1682" t="s">
        <v>112</v>
      </c>
      <c r="C1682" s="14" t="s">
        <v>294</v>
      </c>
      <c r="D1682" t="s">
        <v>112</v>
      </c>
      <c r="E1682" t="s">
        <v>392</v>
      </c>
      <c r="F1682" s="20">
        <v>2041</v>
      </c>
      <c r="G1682" s="20">
        <v>30</v>
      </c>
      <c r="H1682" s="11">
        <v>826.19670739098694</v>
      </c>
      <c r="I1682" s="10">
        <v>4884124.7517172303</v>
      </c>
      <c r="J1682" s="34">
        <f t="shared" si="104"/>
        <v>1.6915962416817895E-4</v>
      </c>
      <c r="K1682" s="34">
        <f t="shared" si="105"/>
        <v>1.6914531748568606E-4</v>
      </c>
      <c r="L1682" s="34">
        <f t="shared" si="106"/>
        <v>1</v>
      </c>
      <c r="M1682" s="34">
        <f t="shared" si="107"/>
        <v>0.99983085468251431</v>
      </c>
    </row>
    <row r="1683" spans="1:13" ht="27.6">
      <c r="A1683" t="s">
        <v>164</v>
      </c>
      <c r="B1683" t="s">
        <v>112</v>
      </c>
      <c r="C1683" s="14" t="s">
        <v>294</v>
      </c>
      <c r="D1683" t="s">
        <v>112</v>
      </c>
      <c r="E1683" t="s">
        <v>392</v>
      </c>
      <c r="F1683" s="20">
        <v>2041</v>
      </c>
      <c r="G1683" s="20">
        <v>31</v>
      </c>
      <c r="H1683" s="11">
        <v>1034.7052602209501</v>
      </c>
      <c r="I1683" s="10">
        <v>4750135.4696171703</v>
      </c>
      <c r="J1683" s="34">
        <f t="shared" si="104"/>
        <v>2.1782647396882356E-4</v>
      </c>
      <c r="K1683" s="34">
        <f t="shared" si="105"/>
        <v>2.1780275150495854E-4</v>
      </c>
      <c r="L1683" s="34">
        <f t="shared" si="106"/>
        <v>0.99983085468251431</v>
      </c>
      <c r="M1683" s="34">
        <f t="shared" si="107"/>
        <v>0.99961308877132493</v>
      </c>
    </row>
    <row r="1684" spans="1:13" ht="27.6">
      <c r="A1684" t="s">
        <v>164</v>
      </c>
      <c r="B1684" t="s">
        <v>112</v>
      </c>
      <c r="C1684" s="14" t="s">
        <v>294</v>
      </c>
      <c r="D1684" t="s">
        <v>112</v>
      </c>
      <c r="E1684" t="s">
        <v>392</v>
      </c>
      <c r="F1684" s="20">
        <v>2041</v>
      </c>
      <c r="G1684" s="20">
        <v>32</v>
      </c>
      <c r="H1684" s="11">
        <v>1073.3374745349499</v>
      </c>
      <c r="I1684" s="10">
        <v>4679417.6074514296</v>
      </c>
      <c r="J1684" s="34">
        <f t="shared" si="104"/>
        <v>2.2937415819134939E-4</v>
      </c>
      <c r="K1684" s="34">
        <f t="shared" si="105"/>
        <v>2.2934785395034574E-4</v>
      </c>
      <c r="L1684" s="34">
        <f t="shared" si="106"/>
        <v>0.99961308877132493</v>
      </c>
      <c r="M1684" s="34">
        <f t="shared" si="107"/>
        <v>0.99938382965463457</v>
      </c>
    </row>
    <row r="1685" spans="1:13" ht="27.6">
      <c r="A1685" t="s">
        <v>164</v>
      </c>
      <c r="B1685" t="s">
        <v>112</v>
      </c>
      <c r="C1685" s="14" t="s">
        <v>294</v>
      </c>
      <c r="D1685" t="s">
        <v>112</v>
      </c>
      <c r="E1685" t="s">
        <v>392</v>
      </c>
      <c r="F1685" s="20">
        <v>2041</v>
      </c>
      <c r="G1685" s="20">
        <v>33</v>
      </c>
      <c r="H1685" s="11">
        <v>1126.6419084612501</v>
      </c>
      <c r="I1685" s="10">
        <v>4636711.8593880702</v>
      </c>
      <c r="J1685" s="34">
        <f t="shared" si="104"/>
        <v>2.4298294624025625E-4</v>
      </c>
      <c r="K1685" s="34">
        <f t="shared" si="105"/>
        <v>2.4295342827496125E-4</v>
      </c>
      <c r="L1685" s="34">
        <f t="shared" si="106"/>
        <v>0.99938382965463457</v>
      </c>
      <c r="M1685" s="34">
        <f t="shared" si="107"/>
        <v>0.99914102592705745</v>
      </c>
    </row>
    <row r="1686" spans="1:13" ht="27.6">
      <c r="A1686" t="s">
        <v>164</v>
      </c>
      <c r="B1686" t="s">
        <v>112</v>
      </c>
      <c r="C1686" s="14" t="s">
        <v>294</v>
      </c>
      <c r="D1686" t="s">
        <v>112</v>
      </c>
      <c r="E1686" t="s">
        <v>392</v>
      </c>
      <c r="F1686" s="20">
        <v>2041</v>
      </c>
      <c r="G1686" s="20">
        <v>34</v>
      </c>
      <c r="H1686" s="11">
        <v>1260.52784960032</v>
      </c>
      <c r="I1686" s="10">
        <v>4662389.0402705902</v>
      </c>
      <c r="J1686" s="34">
        <f t="shared" si="104"/>
        <v>2.7036093271340627E-4</v>
      </c>
      <c r="K1686" s="34">
        <f t="shared" si="105"/>
        <v>2.7032438848983986E-4</v>
      </c>
      <c r="L1686" s="34">
        <f t="shared" si="106"/>
        <v>0.99914102592705745</v>
      </c>
      <c r="M1686" s="34">
        <f t="shared" si="107"/>
        <v>0.99887093374020863</v>
      </c>
    </row>
    <row r="1687" spans="1:13" ht="27.6">
      <c r="A1687" t="s">
        <v>164</v>
      </c>
      <c r="B1687" t="s">
        <v>112</v>
      </c>
      <c r="C1687" s="14" t="s">
        <v>294</v>
      </c>
      <c r="D1687" t="s">
        <v>112</v>
      </c>
      <c r="E1687" t="s">
        <v>392</v>
      </c>
      <c r="F1687" s="20">
        <v>2041</v>
      </c>
      <c r="G1687" s="20">
        <v>35</v>
      </c>
      <c r="H1687" s="11">
        <v>1644.10852028771</v>
      </c>
      <c r="I1687" s="10">
        <v>4579019.1895747902</v>
      </c>
      <c r="J1687" s="34">
        <f t="shared" si="104"/>
        <v>3.5905255082374589E-4</v>
      </c>
      <c r="K1687" s="34">
        <f t="shared" si="105"/>
        <v>3.589880991706762E-4</v>
      </c>
      <c r="L1687" s="34">
        <f t="shared" si="106"/>
        <v>0.99887093374020863</v>
      </c>
      <c r="M1687" s="34">
        <f t="shared" si="107"/>
        <v>0.99851235096238844</v>
      </c>
    </row>
    <row r="1688" spans="1:13" ht="27.6">
      <c r="A1688" t="s">
        <v>164</v>
      </c>
      <c r="B1688" t="s">
        <v>112</v>
      </c>
      <c r="C1688" s="14" t="s">
        <v>294</v>
      </c>
      <c r="D1688" t="s">
        <v>112</v>
      </c>
      <c r="E1688" t="s">
        <v>392</v>
      </c>
      <c r="F1688" s="20">
        <v>2041</v>
      </c>
      <c r="G1688" s="20">
        <v>36</v>
      </c>
      <c r="H1688" s="11">
        <v>1880.64377002324</v>
      </c>
      <c r="I1688" s="10">
        <v>4516983.5910593802</v>
      </c>
      <c r="J1688" s="34">
        <f t="shared" si="104"/>
        <v>4.1634948015876398E-4</v>
      </c>
      <c r="K1688" s="34">
        <f t="shared" si="105"/>
        <v>4.162628187415196E-4</v>
      </c>
      <c r="L1688" s="34">
        <f t="shared" si="106"/>
        <v>0.99851235096238844</v>
      </c>
      <c r="M1688" s="34">
        <f t="shared" si="107"/>
        <v>0.99809670739662859</v>
      </c>
    </row>
    <row r="1689" spans="1:13" ht="27.6">
      <c r="A1689" t="s">
        <v>164</v>
      </c>
      <c r="B1689" t="s">
        <v>112</v>
      </c>
      <c r="C1689" s="14" t="s">
        <v>294</v>
      </c>
      <c r="D1689" t="s">
        <v>112</v>
      </c>
      <c r="E1689" t="s">
        <v>392</v>
      </c>
      <c r="F1689" s="20">
        <v>2041</v>
      </c>
      <c r="G1689" s="20">
        <v>37</v>
      </c>
      <c r="H1689" s="11">
        <v>1963.8713728287</v>
      </c>
      <c r="I1689" s="10">
        <v>4387677.6989029404</v>
      </c>
      <c r="J1689" s="34">
        <f t="shared" si="104"/>
        <v>4.4758788306619026E-4</v>
      </c>
      <c r="K1689" s="34">
        <f t="shared" si="105"/>
        <v>4.4748773055258706E-4</v>
      </c>
      <c r="L1689" s="34">
        <f t="shared" si="106"/>
        <v>0.99809670739662859</v>
      </c>
      <c r="M1689" s="34">
        <f t="shared" si="107"/>
        <v>0.99765007136616368</v>
      </c>
    </row>
    <row r="1690" spans="1:13" ht="27.6">
      <c r="A1690" t="s">
        <v>164</v>
      </c>
      <c r="B1690" t="s">
        <v>112</v>
      </c>
      <c r="C1690" s="14" t="s">
        <v>294</v>
      </c>
      <c r="D1690" t="s">
        <v>112</v>
      </c>
      <c r="E1690" t="s">
        <v>392</v>
      </c>
      <c r="F1690" s="20">
        <v>2041</v>
      </c>
      <c r="G1690" s="20">
        <v>38</v>
      </c>
      <c r="H1690" s="11">
        <v>2085.5896448635499</v>
      </c>
      <c r="I1690" s="10">
        <v>4320873.6886357702</v>
      </c>
      <c r="J1690" s="34">
        <f t="shared" si="104"/>
        <v>4.8267776268230451E-4</v>
      </c>
      <c r="K1690" s="34">
        <f t="shared" si="105"/>
        <v>4.8256129251089686E-4</v>
      </c>
      <c r="L1690" s="34">
        <f t="shared" si="106"/>
        <v>0.99765007136616368</v>
      </c>
      <c r="M1690" s="34">
        <f t="shared" si="107"/>
        <v>0.99716864405825167</v>
      </c>
    </row>
    <row r="1691" spans="1:13" ht="27.6">
      <c r="A1691" t="s">
        <v>164</v>
      </c>
      <c r="B1691" t="s">
        <v>112</v>
      </c>
      <c r="C1691" s="14" t="s">
        <v>294</v>
      </c>
      <c r="D1691" t="s">
        <v>112</v>
      </c>
      <c r="E1691" t="s">
        <v>392</v>
      </c>
      <c r="F1691" s="20">
        <v>2041</v>
      </c>
      <c r="G1691" s="20">
        <v>39</v>
      </c>
      <c r="H1691" s="11">
        <v>2399.4232860463599</v>
      </c>
      <c r="I1691" s="10">
        <v>4296422.1376300398</v>
      </c>
      <c r="J1691" s="34">
        <f t="shared" si="104"/>
        <v>5.5847009655571507E-4</v>
      </c>
      <c r="K1691" s="34">
        <f t="shared" si="105"/>
        <v>5.5831418115737108E-4</v>
      </c>
      <c r="L1691" s="34">
        <f t="shared" si="106"/>
        <v>0.99716864405825167</v>
      </c>
      <c r="M1691" s="34">
        <f t="shared" si="107"/>
        <v>0.99661191066326849</v>
      </c>
    </row>
    <row r="1692" spans="1:13" ht="27.6">
      <c r="A1692" t="s">
        <v>164</v>
      </c>
      <c r="B1692" t="s">
        <v>112</v>
      </c>
      <c r="C1692" s="14" t="s">
        <v>294</v>
      </c>
      <c r="D1692" t="s">
        <v>112</v>
      </c>
      <c r="E1692" t="s">
        <v>392</v>
      </c>
      <c r="F1692" s="20">
        <v>2041</v>
      </c>
      <c r="G1692" s="20">
        <v>40</v>
      </c>
      <c r="H1692" s="11">
        <v>3200.6998847119098</v>
      </c>
      <c r="I1692" s="10">
        <v>4273840.6423283201</v>
      </c>
      <c r="J1692" s="34">
        <f t="shared" si="104"/>
        <v>7.4890482649540716E-4</v>
      </c>
      <c r="K1692" s="34">
        <f t="shared" si="105"/>
        <v>7.4862446726764453E-4</v>
      </c>
      <c r="L1692" s="34">
        <f t="shared" si="106"/>
        <v>0.99661191066326849</v>
      </c>
      <c r="M1692" s="34">
        <f t="shared" si="107"/>
        <v>0.99586582260257561</v>
      </c>
    </row>
    <row r="1693" spans="1:13" ht="27.6">
      <c r="A1693" t="s">
        <v>164</v>
      </c>
      <c r="B1693" t="s">
        <v>112</v>
      </c>
      <c r="C1693" s="14" t="s">
        <v>294</v>
      </c>
      <c r="D1693" t="s">
        <v>112</v>
      </c>
      <c r="E1693" t="s">
        <v>392</v>
      </c>
      <c r="F1693" s="20">
        <v>2041</v>
      </c>
      <c r="G1693" s="20">
        <v>41</v>
      </c>
      <c r="H1693" s="11">
        <v>3524.0419726877399</v>
      </c>
      <c r="I1693" s="10">
        <v>4249903.9133540802</v>
      </c>
      <c r="J1693" s="34">
        <f t="shared" si="104"/>
        <v>8.2920509369975842E-4</v>
      </c>
      <c r="K1693" s="34">
        <f t="shared" si="105"/>
        <v>8.2886139816062965E-4</v>
      </c>
      <c r="L1693" s="34">
        <f t="shared" si="106"/>
        <v>0.99586582260257561</v>
      </c>
      <c r="M1693" s="34">
        <f t="shared" si="107"/>
        <v>0.99504038786447291</v>
      </c>
    </row>
    <row r="1694" spans="1:13" ht="27.6">
      <c r="A1694" t="s">
        <v>164</v>
      </c>
      <c r="B1694" t="s">
        <v>112</v>
      </c>
      <c r="C1694" s="14" t="s">
        <v>294</v>
      </c>
      <c r="D1694" t="s">
        <v>112</v>
      </c>
      <c r="E1694" t="s">
        <v>392</v>
      </c>
      <c r="F1694" s="20">
        <v>2041</v>
      </c>
      <c r="G1694" s="20">
        <v>42</v>
      </c>
      <c r="H1694" s="11">
        <v>3836.4561521239002</v>
      </c>
      <c r="I1694" s="10">
        <v>4265286.6827807501</v>
      </c>
      <c r="J1694" s="34">
        <f t="shared" si="104"/>
        <v>8.9946032645635103E-4</v>
      </c>
      <c r="K1694" s="34">
        <f t="shared" si="105"/>
        <v>8.9905593327122002E-4</v>
      </c>
      <c r="L1694" s="34">
        <f t="shared" si="106"/>
        <v>0.99504038786447291</v>
      </c>
      <c r="M1694" s="34">
        <f t="shared" si="107"/>
        <v>0.99414579089991884</v>
      </c>
    </row>
    <row r="1695" spans="1:13" ht="27.6">
      <c r="A1695" t="s">
        <v>164</v>
      </c>
      <c r="B1695" t="s">
        <v>112</v>
      </c>
      <c r="C1695" s="14" t="s">
        <v>294</v>
      </c>
      <c r="D1695" t="s">
        <v>112</v>
      </c>
      <c r="E1695" t="s">
        <v>392</v>
      </c>
      <c r="F1695" s="20">
        <v>2041</v>
      </c>
      <c r="G1695" s="20">
        <v>43</v>
      </c>
      <c r="H1695" s="11">
        <v>4224.7052788568699</v>
      </c>
      <c r="I1695" s="10">
        <v>4318654.01712621</v>
      </c>
      <c r="J1695" s="34">
        <f t="shared" si="104"/>
        <v>9.7824582893263194E-4</v>
      </c>
      <c r="K1695" s="34">
        <f t="shared" si="105"/>
        <v>9.777675024680299E-4</v>
      </c>
      <c r="L1695" s="34">
        <f t="shared" si="106"/>
        <v>0.99414579089991884</v>
      </c>
      <c r="M1695" s="34">
        <f t="shared" si="107"/>
        <v>0.99317374745286147</v>
      </c>
    </row>
    <row r="1696" spans="1:13" ht="27.6">
      <c r="A1696" t="s">
        <v>164</v>
      </c>
      <c r="B1696" t="s">
        <v>112</v>
      </c>
      <c r="C1696" s="14" t="s">
        <v>294</v>
      </c>
      <c r="D1696" t="s">
        <v>112</v>
      </c>
      <c r="E1696" t="s">
        <v>392</v>
      </c>
      <c r="F1696" s="20">
        <v>2041</v>
      </c>
      <c r="G1696" s="20">
        <v>44</v>
      </c>
      <c r="H1696" s="11">
        <v>4963.3725361042798</v>
      </c>
      <c r="I1696" s="10">
        <v>4447397.6814609999</v>
      </c>
      <c r="J1696" s="34">
        <f t="shared" si="104"/>
        <v>1.1160172513454607E-3</v>
      </c>
      <c r="K1696" s="34">
        <f t="shared" si="105"/>
        <v>1.1153947356937755E-3</v>
      </c>
      <c r="L1696" s="34">
        <f t="shared" si="106"/>
        <v>0.99317374745286147</v>
      </c>
      <c r="M1696" s="34">
        <f t="shared" si="107"/>
        <v>0.99206596668332325</v>
      </c>
    </row>
    <row r="1697" spans="1:13" ht="27.6">
      <c r="A1697" t="s">
        <v>164</v>
      </c>
      <c r="B1697" t="s">
        <v>112</v>
      </c>
      <c r="C1697" s="14" t="s">
        <v>294</v>
      </c>
      <c r="D1697" t="s">
        <v>112</v>
      </c>
      <c r="E1697" t="s">
        <v>392</v>
      </c>
      <c r="F1697" s="20">
        <v>2041</v>
      </c>
      <c r="G1697" s="20">
        <v>45</v>
      </c>
      <c r="H1697" s="11">
        <v>6287.1475431523404</v>
      </c>
      <c r="I1697" s="10">
        <v>4398086.2309065498</v>
      </c>
      <c r="J1697" s="34">
        <f t="shared" si="104"/>
        <v>1.4295189346154339E-3</v>
      </c>
      <c r="K1697" s="34">
        <f t="shared" si="105"/>
        <v>1.4284976591254495E-3</v>
      </c>
      <c r="L1697" s="34">
        <f t="shared" si="106"/>
        <v>0.99206596668332325</v>
      </c>
      <c r="M1697" s="34">
        <f t="shared" si="107"/>
        <v>0.99064880277221812</v>
      </c>
    </row>
    <row r="1698" spans="1:13" ht="27.6">
      <c r="A1698" t="s">
        <v>164</v>
      </c>
      <c r="B1698" t="s">
        <v>112</v>
      </c>
      <c r="C1698" s="14" t="s">
        <v>294</v>
      </c>
      <c r="D1698" t="s">
        <v>112</v>
      </c>
      <c r="E1698" t="s">
        <v>392</v>
      </c>
      <c r="F1698" s="20">
        <v>2041</v>
      </c>
      <c r="G1698" s="20">
        <v>46</v>
      </c>
      <c r="H1698" s="11">
        <v>6742.9311746572303</v>
      </c>
      <c r="I1698" s="10">
        <v>4317641.9069334203</v>
      </c>
      <c r="J1698" s="34">
        <f t="shared" si="104"/>
        <v>1.5617161682234914E-3</v>
      </c>
      <c r="K1698" s="34">
        <f t="shared" si="105"/>
        <v>1.5604973241072351E-3</v>
      </c>
      <c r="L1698" s="34">
        <f t="shared" si="106"/>
        <v>0.99064880277221812</v>
      </c>
      <c r="M1698" s="34">
        <f t="shared" si="107"/>
        <v>0.98910289796636208</v>
      </c>
    </row>
    <row r="1699" spans="1:13" ht="27.6">
      <c r="A1699" t="s">
        <v>164</v>
      </c>
      <c r="B1699" t="s">
        <v>112</v>
      </c>
      <c r="C1699" s="14" t="s">
        <v>294</v>
      </c>
      <c r="D1699" t="s">
        <v>112</v>
      </c>
      <c r="E1699" t="s">
        <v>392</v>
      </c>
      <c r="F1699" s="20">
        <v>2041</v>
      </c>
      <c r="G1699" s="20">
        <v>47</v>
      </c>
      <c r="H1699" s="11">
        <v>7267.8787832426297</v>
      </c>
      <c r="I1699" s="10">
        <v>4252746.1211667201</v>
      </c>
      <c r="J1699" s="34">
        <f t="shared" si="104"/>
        <v>1.7089848714620008E-3</v>
      </c>
      <c r="K1699" s="34">
        <f t="shared" si="105"/>
        <v>1.7075253883465091E-3</v>
      </c>
      <c r="L1699" s="34">
        <f t="shared" si="106"/>
        <v>0.98910289796636208</v>
      </c>
      <c r="M1699" s="34">
        <f t="shared" si="107"/>
        <v>0.98741397965639743</v>
      </c>
    </row>
    <row r="1700" spans="1:13" ht="27.6">
      <c r="A1700" t="s">
        <v>164</v>
      </c>
      <c r="B1700" t="s">
        <v>112</v>
      </c>
      <c r="C1700" s="14" t="s">
        <v>294</v>
      </c>
      <c r="D1700" t="s">
        <v>112</v>
      </c>
      <c r="E1700" t="s">
        <v>392</v>
      </c>
      <c r="F1700" s="20">
        <v>2041</v>
      </c>
      <c r="G1700" s="20">
        <v>48</v>
      </c>
      <c r="H1700" s="11">
        <v>7845.2308940591302</v>
      </c>
      <c r="I1700" s="10">
        <v>4190548.9977099001</v>
      </c>
      <c r="J1700" s="34">
        <f t="shared" si="104"/>
        <v>1.87212484529986E-3</v>
      </c>
      <c r="K1700" s="34">
        <f t="shared" si="105"/>
        <v>1.8703735126566201E-3</v>
      </c>
      <c r="L1700" s="34">
        <f t="shared" si="106"/>
        <v>0.98741397965639743</v>
      </c>
      <c r="M1700" s="34">
        <f t="shared" si="107"/>
        <v>0.9855671467028212</v>
      </c>
    </row>
    <row r="1701" spans="1:13" ht="27.6">
      <c r="A1701" t="s">
        <v>164</v>
      </c>
      <c r="B1701" t="s">
        <v>112</v>
      </c>
      <c r="C1701" s="14" t="s">
        <v>294</v>
      </c>
      <c r="D1701" t="s">
        <v>112</v>
      </c>
      <c r="E1701" t="s">
        <v>392</v>
      </c>
      <c r="F1701" s="20">
        <v>2041</v>
      </c>
      <c r="G1701" s="20">
        <v>49</v>
      </c>
      <c r="H1701" s="11">
        <v>8636.7538228483609</v>
      </c>
      <c r="I1701" s="10">
        <v>4215982.0956052402</v>
      </c>
      <c r="J1701" s="34">
        <f t="shared" si="104"/>
        <v>2.0485745970912337E-3</v>
      </c>
      <c r="K1701" s="34">
        <f t="shared" si="105"/>
        <v>2.0464777002788814E-3</v>
      </c>
      <c r="L1701" s="34">
        <f t="shared" si="106"/>
        <v>0.9855671467028212</v>
      </c>
      <c r="M1701" s="34">
        <f t="shared" si="107"/>
        <v>0.98355020551496641</v>
      </c>
    </row>
    <row r="1702" spans="1:13" ht="27.6">
      <c r="A1702" t="s">
        <v>164</v>
      </c>
      <c r="B1702" t="s">
        <v>112</v>
      </c>
      <c r="C1702" s="14" t="s">
        <v>294</v>
      </c>
      <c r="D1702" t="s">
        <v>112</v>
      </c>
      <c r="E1702" t="s">
        <v>392</v>
      </c>
      <c r="F1702" s="20">
        <v>2041</v>
      </c>
      <c r="G1702" s="20">
        <v>50</v>
      </c>
      <c r="H1702" s="11">
        <v>9921.8450504317607</v>
      </c>
      <c r="I1702" s="10">
        <v>4220866.8962954497</v>
      </c>
      <c r="J1702" s="34">
        <f t="shared" si="104"/>
        <v>2.350665229254189E-3</v>
      </c>
      <c r="K1702" s="34">
        <f t="shared" si="105"/>
        <v>2.3479045792891284E-3</v>
      </c>
      <c r="L1702" s="34">
        <f t="shared" si="106"/>
        <v>0.98355020551496641</v>
      </c>
      <c r="M1702" s="34">
        <f t="shared" si="107"/>
        <v>0.98124092348347702</v>
      </c>
    </row>
    <row r="1703" spans="1:13" ht="27.6">
      <c r="A1703" t="s">
        <v>164</v>
      </c>
      <c r="B1703" t="s">
        <v>112</v>
      </c>
      <c r="C1703" s="14" t="s">
        <v>294</v>
      </c>
      <c r="D1703" t="s">
        <v>112</v>
      </c>
      <c r="E1703" t="s">
        <v>392</v>
      </c>
      <c r="F1703" s="20">
        <v>2041</v>
      </c>
      <c r="G1703" s="20">
        <v>51</v>
      </c>
      <c r="H1703" s="11">
        <v>14583.3651997406</v>
      </c>
      <c r="I1703" s="10">
        <v>6206832.7911269097</v>
      </c>
      <c r="J1703" s="34">
        <f t="shared" si="104"/>
        <v>2.3495663070847526E-3</v>
      </c>
      <c r="K1703" s="34">
        <f t="shared" si="105"/>
        <v>2.3468082366816523E-3</v>
      </c>
      <c r="L1703" s="34">
        <f t="shared" si="106"/>
        <v>0.98124092348347702</v>
      </c>
      <c r="M1703" s="34">
        <f t="shared" si="107"/>
        <v>0.97893813920207684</v>
      </c>
    </row>
    <row r="1704" spans="1:13" ht="27.6">
      <c r="A1704" t="s">
        <v>164</v>
      </c>
      <c r="B1704" t="s">
        <v>112</v>
      </c>
      <c r="C1704" s="14" t="s">
        <v>294</v>
      </c>
      <c r="D1704" t="s">
        <v>112</v>
      </c>
      <c r="E1704" t="s">
        <v>392</v>
      </c>
      <c r="F1704" s="20">
        <v>2041</v>
      </c>
      <c r="G1704" s="20">
        <v>52</v>
      </c>
      <c r="H1704" s="11">
        <v>11662.494398008401</v>
      </c>
      <c r="I1704" s="10">
        <v>4151195.3053742098</v>
      </c>
      <c r="J1704" s="34">
        <f t="shared" si="104"/>
        <v>2.8094304266797401E-3</v>
      </c>
      <c r="K1704" s="34">
        <f t="shared" si="105"/>
        <v>2.8054876701828491E-3</v>
      </c>
      <c r="L1704" s="34">
        <f t="shared" si="106"/>
        <v>0.97893813920207684</v>
      </c>
      <c r="M1704" s="34">
        <f t="shared" si="107"/>
        <v>0.97619174032267364</v>
      </c>
    </row>
    <row r="1705" spans="1:13" ht="27.6">
      <c r="A1705" t="s">
        <v>164</v>
      </c>
      <c r="B1705" t="s">
        <v>112</v>
      </c>
      <c r="C1705" s="14" t="s">
        <v>294</v>
      </c>
      <c r="D1705" t="s">
        <v>112</v>
      </c>
      <c r="E1705" t="s">
        <v>392</v>
      </c>
      <c r="F1705" s="20">
        <v>2041</v>
      </c>
      <c r="G1705" s="20">
        <v>53</v>
      </c>
      <c r="H1705" s="11">
        <v>12624.9231485443</v>
      </c>
      <c r="I1705" s="10">
        <v>4118476.5099150799</v>
      </c>
      <c r="J1705" s="34">
        <f t="shared" si="104"/>
        <v>3.065435269122032E-3</v>
      </c>
      <c r="K1705" s="34">
        <f t="shared" si="105"/>
        <v>3.0607416196785087E-3</v>
      </c>
      <c r="L1705" s="34">
        <f t="shared" si="106"/>
        <v>0.97619174032267364</v>
      </c>
      <c r="M1705" s="34">
        <f t="shared" si="107"/>
        <v>0.97320386963428163</v>
      </c>
    </row>
    <row r="1706" spans="1:13" ht="27.6">
      <c r="A1706" t="s">
        <v>164</v>
      </c>
      <c r="B1706" t="s">
        <v>112</v>
      </c>
      <c r="C1706" s="14" t="s">
        <v>294</v>
      </c>
      <c r="D1706" t="s">
        <v>112</v>
      </c>
      <c r="E1706" t="s">
        <v>392</v>
      </c>
      <c r="F1706" s="20">
        <v>2041</v>
      </c>
      <c r="G1706" s="20">
        <v>54</v>
      </c>
      <c r="H1706" s="11">
        <v>13284.5208116589</v>
      </c>
      <c r="I1706" s="10">
        <v>3974545.53854763</v>
      </c>
      <c r="J1706" s="34">
        <f t="shared" si="104"/>
        <v>3.3423999505898987E-3</v>
      </c>
      <c r="K1706" s="34">
        <f t="shared" si="105"/>
        <v>3.3368203500250271E-3</v>
      </c>
      <c r="L1706" s="34">
        <f t="shared" si="106"/>
        <v>0.97320386963428163</v>
      </c>
      <c r="M1706" s="34">
        <f t="shared" si="107"/>
        <v>0.96995646315736284</v>
      </c>
    </row>
    <row r="1707" spans="1:13" ht="27.6">
      <c r="A1707" t="s">
        <v>164</v>
      </c>
      <c r="B1707" t="s">
        <v>112</v>
      </c>
      <c r="C1707" s="14" t="s">
        <v>294</v>
      </c>
      <c r="D1707" t="s">
        <v>112</v>
      </c>
      <c r="E1707" t="s">
        <v>392</v>
      </c>
      <c r="F1707" s="20">
        <v>2041</v>
      </c>
      <c r="G1707" s="20">
        <v>55</v>
      </c>
      <c r="H1707" s="11">
        <v>14151.5941057818</v>
      </c>
      <c r="I1707" s="10">
        <v>3922520.6834863699</v>
      </c>
      <c r="J1707" s="34">
        <f t="shared" si="104"/>
        <v>3.6077806205992375E-3</v>
      </c>
      <c r="K1707" s="34">
        <f t="shared" si="105"/>
        <v>3.6012803995695286E-3</v>
      </c>
      <c r="L1707" s="34">
        <f t="shared" si="106"/>
        <v>0.96995646315736284</v>
      </c>
      <c r="M1707" s="34">
        <f t="shared" si="107"/>
        <v>0.9664633779581584</v>
      </c>
    </row>
    <row r="1708" spans="1:13" ht="27.6">
      <c r="A1708" t="s">
        <v>164</v>
      </c>
      <c r="B1708" t="s">
        <v>112</v>
      </c>
      <c r="C1708" s="14" t="s">
        <v>294</v>
      </c>
      <c r="D1708" t="s">
        <v>112</v>
      </c>
      <c r="E1708" t="s">
        <v>392</v>
      </c>
      <c r="F1708" s="20">
        <v>2041</v>
      </c>
      <c r="G1708" s="20">
        <v>56</v>
      </c>
      <c r="H1708" s="11">
        <v>15556.8221772613</v>
      </c>
      <c r="I1708" s="10">
        <v>3956856.33524499</v>
      </c>
      <c r="J1708" s="34">
        <f t="shared" si="104"/>
        <v>3.931611577274537E-3</v>
      </c>
      <c r="K1708" s="34">
        <f t="shared" si="105"/>
        <v>3.9238929113892818E-3</v>
      </c>
      <c r="L1708" s="34">
        <f t="shared" si="106"/>
        <v>0.9664633779581584</v>
      </c>
      <c r="M1708" s="34">
        <f t="shared" si="107"/>
        <v>0.96267107916027106</v>
      </c>
    </row>
    <row r="1709" spans="1:13" ht="27.6">
      <c r="A1709" t="s">
        <v>164</v>
      </c>
      <c r="B1709" t="s">
        <v>112</v>
      </c>
      <c r="C1709" s="14" t="s">
        <v>294</v>
      </c>
      <c r="D1709" t="s">
        <v>112</v>
      </c>
      <c r="E1709" t="s">
        <v>392</v>
      </c>
      <c r="F1709" s="20">
        <v>2041</v>
      </c>
      <c r="G1709" s="20">
        <v>57</v>
      </c>
      <c r="H1709" s="11">
        <v>17207.341527296699</v>
      </c>
      <c r="I1709" s="10">
        <v>4012352.5064729601</v>
      </c>
      <c r="J1709" s="34">
        <f t="shared" si="104"/>
        <v>4.2885916677402637E-3</v>
      </c>
      <c r="K1709" s="34">
        <f t="shared" si="105"/>
        <v>4.2794087903877953E-3</v>
      </c>
      <c r="L1709" s="34">
        <f t="shared" si="106"/>
        <v>0.96267107916027106</v>
      </c>
      <c r="M1709" s="34">
        <f t="shared" si="107"/>
        <v>0.95855141608186045</v>
      </c>
    </row>
    <row r="1710" spans="1:13" ht="27.6">
      <c r="A1710" t="s">
        <v>164</v>
      </c>
      <c r="B1710" t="s">
        <v>112</v>
      </c>
      <c r="C1710" s="14" t="s">
        <v>294</v>
      </c>
      <c r="D1710" t="s">
        <v>112</v>
      </c>
      <c r="E1710" t="s">
        <v>392</v>
      </c>
      <c r="F1710" s="20">
        <v>2041</v>
      </c>
      <c r="G1710" s="20">
        <v>58</v>
      </c>
      <c r="H1710" s="11">
        <v>18566.869091718901</v>
      </c>
      <c r="I1710" s="10">
        <v>3963849.1373592699</v>
      </c>
      <c r="J1710" s="34">
        <f t="shared" si="104"/>
        <v>4.6840503884787643E-3</v>
      </c>
      <c r="K1710" s="34">
        <f t="shared" si="105"/>
        <v>4.6730973326862824E-3</v>
      </c>
      <c r="L1710" s="34">
        <f t="shared" si="106"/>
        <v>0.95855141608186045</v>
      </c>
      <c r="M1710" s="34">
        <f t="shared" si="107"/>
        <v>0.95407201201612568</v>
      </c>
    </row>
    <row r="1711" spans="1:13" ht="27.6">
      <c r="A1711" t="s">
        <v>164</v>
      </c>
      <c r="B1711" t="s">
        <v>112</v>
      </c>
      <c r="C1711" s="14" t="s">
        <v>294</v>
      </c>
      <c r="D1711" t="s">
        <v>112</v>
      </c>
      <c r="E1711" t="s">
        <v>392</v>
      </c>
      <c r="F1711" s="20">
        <v>2041</v>
      </c>
      <c r="G1711" s="20">
        <v>59</v>
      </c>
      <c r="H1711" s="11">
        <v>19535.545762477101</v>
      </c>
      <c r="I1711" s="10">
        <v>3809723.1994506</v>
      </c>
      <c r="J1711" s="34">
        <f t="shared" si="104"/>
        <v>5.1278123736901203E-3</v>
      </c>
      <c r="K1711" s="34">
        <f t="shared" si="105"/>
        <v>5.114687587217448E-3</v>
      </c>
      <c r="L1711" s="34">
        <f t="shared" si="106"/>
        <v>0.95407201201612568</v>
      </c>
      <c r="M1711" s="34">
        <f t="shared" si="107"/>
        <v>0.94919223173895517</v>
      </c>
    </row>
    <row r="1712" spans="1:13" ht="27.6">
      <c r="A1712" t="s">
        <v>164</v>
      </c>
      <c r="B1712" t="s">
        <v>112</v>
      </c>
      <c r="C1712" s="14" t="s">
        <v>294</v>
      </c>
      <c r="D1712" t="s">
        <v>112</v>
      </c>
      <c r="E1712" t="s">
        <v>392</v>
      </c>
      <c r="F1712" s="20">
        <v>2041</v>
      </c>
      <c r="G1712" s="20">
        <v>60</v>
      </c>
      <c r="H1712" s="11">
        <v>20742.915205990699</v>
      </c>
      <c r="I1712" s="10">
        <v>3712295.2262411602</v>
      </c>
      <c r="J1712" s="34">
        <f t="shared" si="104"/>
        <v>5.5876254289704457E-3</v>
      </c>
      <c r="K1712" s="34">
        <f t="shared" si="105"/>
        <v>5.5720436851609545E-3</v>
      </c>
      <c r="L1712" s="34">
        <f t="shared" si="106"/>
        <v>0.94919223173895517</v>
      </c>
      <c r="M1712" s="34">
        <f t="shared" si="107"/>
        <v>0.94390329115809024</v>
      </c>
    </row>
    <row r="1713" spans="1:13" ht="27.6">
      <c r="A1713" t="s">
        <v>164</v>
      </c>
      <c r="B1713" t="s">
        <v>112</v>
      </c>
      <c r="C1713" s="14" t="s">
        <v>294</v>
      </c>
      <c r="D1713" t="s">
        <v>112</v>
      </c>
      <c r="E1713" t="s">
        <v>392</v>
      </c>
      <c r="F1713" s="20">
        <v>2041</v>
      </c>
      <c r="G1713" s="20">
        <v>61</v>
      </c>
      <c r="H1713" s="11">
        <v>22213.052529238499</v>
      </c>
      <c r="I1713" s="10">
        <v>3627519.40508678</v>
      </c>
      <c r="J1713" s="34">
        <f t="shared" si="104"/>
        <v>6.1234827574153539E-3</v>
      </c>
      <c r="K1713" s="34">
        <f t="shared" si="105"/>
        <v>6.1047724471097187E-3</v>
      </c>
      <c r="L1713" s="34">
        <f t="shared" si="106"/>
        <v>0.94390329115809024</v>
      </c>
      <c r="M1713" s="34">
        <f t="shared" si="107"/>
        <v>0.93814097635349214</v>
      </c>
    </row>
    <row r="1714" spans="1:13" ht="27.6">
      <c r="A1714" t="s">
        <v>164</v>
      </c>
      <c r="B1714" t="s">
        <v>112</v>
      </c>
      <c r="C1714" s="14" t="s">
        <v>294</v>
      </c>
      <c r="D1714" t="s">
        <v>112</v>
      </c>
      <c r="E1714" t="s">
        <v>392</v>
      </c>
      <c r="F1714" s="20">
        <v>2041</v>
      </c>
      <c r="G1714" s="20">
        <v>62</v>
      </c>
      <c r="H1714" s="11">
        <v>23740.635828271199</v>
      </c>
      <c r="I1714" s="10">
        <v>3536232.09485419</v>
      </c>
      <c r="J1714" s="34">
        <f t="shared" si="104"/>
        <v>6.7135400594372186E-3</v>
      </c>
      <c r="K1714" s="34">
        <f t="shared" si="105"/>
        <v>6.6910545965299661E-3</v>
      </c>
      <c r="L1714" s="34">
        <f t="shared" si="106"/>
        <v>0.93814097635349214</v>
      </c>
      <c r="M1714" s="34">
        <f t="shared" si="107"/>
        <v>0.93186382386146904</v>
      </c>
    </row>
    <row r="1715" spans="1:13" ht="27.6">
      <c r="A1715" t="s">
        <v>164</v>
      </c>
      <c r="B1715" t="s">
        <v>112</v>
      </c>
      <c r="C1715" s="14" t="s">
        <v>294</v>
      </c>
      <c r="D1715" t="s">
        <v>112</v>
      </c>
      <c r="E1715" t="s">
        <v>392</v>
      </c>
      <c r="F1715" s="20">
        <v>2041</v>
      </c>
      <c r="G1715" s="20">
        <v>63</v>
      </c>
      <c r="H1715" s="11">
        <v>25219.817538891999</v>
      </c>
      <c r="I1715" s="10">
        <v>3425858.8375336598</v>
      </c>
      <c r="J1715" s="34">
        <f t="shared" si="104"/>
        <v>7.3616044136390101E-3</v>
      </c>
      <c r="K1715" s="34">
        <f t="shared" si="105"/>
        <v>7.3345741731838388E-3</v>
      </c>
      <c r="L1715" s="34">
        <f t="shared" si="106"/>
        <v>0.93186382386146904</v>
      </c>
      <c r="M1715" s="34">
        <f t="shared" si="107"/>
        <v>0.92502899952605033</v>
      </c>
    </row>
    <row r="1716" spans="1:13" ht="27.6">
      <c r="A1716" t="s">
        <v>164</v>
      </c>
      <c r="B1716" t="s">
        <v>112</v>
      </c>
      <c r="C1716" s="14" t="s">
        <v>294</v>
      </c>
      <c r="D1716" t="s">
        <v>112</v>
      </c>
      <c r="E1716" t="s">
        <v>392</v>
      </c>
      <c r="F1716" s="20">
        <v>2041</v>
      </c>
      <c r="G1716" s="20">
        <v>64</v>
      </c>
      <c r="H1716" s="11">
        <v>26896.883735894698</v>
      </c>
      <c r="I1716" s="10">
        <v>3328468.7391592199</v>
      </c>
      <c r="J1716" s="34">
        <f t="shared" si="104"/>
        <v>8.0808581494110476E-3</v>
      </c>
      <c r="K1716" s="34">
        <f t="shared" si="105"/>
        <v>8.0482957848448944E-3</v>
      </c>
      <c r="L1716" s="34">
        <f t="shared" si="106"/>
        <v>0.92502899952605033</v>
      </c>
      <c r="M1716" s="34">
        <f t="shared" si="107"/>
        <v>0.91758409252830553</v>
      </c>
    </row>
    <row r="1717" spans="1:13" ht="27.6">
      <c r="A1717" t="s">
        <v>164</v>
      </c>
      <c r="B1717" t="s">
        <v>112</v>
      </c>
      <c r="C1717" s="14" t="s">
        <v>294</v>
      </c>
      <c r="D1717" t="s">
        <v>112</v>
      </c>
      <c r="E1717" t="s">
        <v>392</v>
      </c>
      <c r="F1717" s="20">
        <v>2041</v>
      </c>
      <c r="G1717" s="20">
        <v>65</v>
      </c>
      <c r="H1717" s="11">
        <v>27309.937697331501</v>
      </c>
      <c r="I1717" s="10">
        <v>3219393.7133825701</v>
      </c>
      <c r="J1717" s="34">
        <f t="shared" si="104"/>
        <v>8.4829443456412006E-3</v>
      </c>
      <c r="K1717" s="34">
        <f t="shared" si="105"/>
        <v>8.4470656971256108E-3</v>
      </c>
      <c r="L1717" s="34">
        <f t="shared" si="106"/>
        <v>0.91758409252830553</v>
      </c>
      <c r="M1717" s="34">
        <f t="shared" si="107"/>
        <v>0.90983319941608154</v>
      </c>
    </row>
    <row r="1718" spans="1:13" ht="27.6">
      <c r="A1718" t="s">
        <v>164</v>
      </c>
      <c r="B1718" t="s">
        <v>112</v>
      </c>
      <c r="C1718" s="14" t="s">
        <v>294</v>
      </c>
      <c r="D1718" t="s">
        <v>112</v>
      </c>
      <c r="E1718" t="s">
        <v>392</v>
      </c>
      <c r="F1718" s="20">
        <v>2041</v>
      </c>
      <c r="G1718" s="20">
        <v>66</v>
      </c>
      <c r="H1718" s="11">
        <v>28932.668979400802</v>
      </c>
      <c r="I1718" s="10">
        <v>3108592.2801610501</v>
      </c>
      <c r="J1718" s="34">
        <f t="shared" si="104"/>
        <v>9.3073218910206708E-3</v>
      </c>
      <c r="K1718" s="34">
        <f t="shared" si="105"/>
        <v>9.2641428349237165E-3</v>
      </c>
      <c r="L1718" s="34">
        <f t="shared" si="106"/>
        <v>0.90983319941608154</v>
      </c>
      <c r="M1718" s="34">
        <f t="shared" si="107"/>
        <v>0.90140437470073531</v>
      </c>
    </row>
    <row r="1719" spans="1:13" ht="27.6">
      <c r="A1719" t="s">
        <v>164</v>
      </c>
      <c r="B1719" t="s">
        <v>112</v>
      </c>
      <c r="C1719" s="14" t="s">
        <v>294</v>
      </c>
      <c r="D1719" t="s">
        <v>112</v>
      </c>
      <c r="E1719" t="s">
        <v>392</v>
      </c>
      <c r="F1719" s="20">
        <v>2041</v>
      </c>
      <c r="G1719" s="20">
        <v>67</v>
      </c>
      <c r="H1719" s="11">
        <v>30364.951090910999</v>
      </c>
      <c r="I1719" s="10">
        <v>2972416.6465184698</v>
      </c>
      <c r="J1719" s="34">
        <f t="shared" si="104"/>
        <v>1.0215576987323375E-2</v>
      </c>
      <c r="K1719" s="34">
        <f t="shared" si="105"/>
        <v>1.016357520743516E-2</v>
      </c>
      <c r="L1719" s="34">
        <f t="shared" si="106"/>
        <v>0.90140437470073531</v>
      </c>
      <c r="M1719" s="34">
        <f t="shared" si="107"/>
        <v>0.89224288354615333</v>
      </c>
    </row>
    <row r="1720" spans="1:13" ht="27.6">
      <c r="A1720" t="s">
        <v>164</v>
      </c>
      <c r="B1720" t="s">
        <v>112</v>
      </c>
      <c r="C1720" s="14" t="s">
        <v>294</v>
      </c>
      <c r="D1720" t="s">
        <v>112</v>
      </c>
      <c r="E1720" t="s">
        <v>392</v>
      </c>
      <c r="F1720" s="20">
        <v>2041</v>
      </c>
      <c r="G1720" s="20">
        <v>68</v>
      </c>
      <c r="H1720" s="11">
        <v>32367.293758760901</v>
      </c>
      <c r="I1720" s="10">
        <v>2884879.38747358</v>
      </c>
      <c r="J1720" s="34">
        <f t="shared" si="104"/>
        <v>1.1219635004257981E-2</v>
      </c>
      <c r="K1720" s="34">
        <f t="shared" si="105"/>
        <v>1.1156929629013934E-2</v>
      </c>
      <c r="L1720" s="34">
        <f t="shared" si="106"/>
        <v>0.89224288354615333</v>
      </c>
      <c r="M1720" s="34">
        <f t="shared" si="107"/>
        <v>0.88228819248244039</v>
      </c>
    </row>
    <row r="1721" spans="1:13" ht="27.6">
      <c r="A1721" t="s">
        <v>164</v>
      </c>
      <c r="B1721" t="s">
        <v>112</v>
      </c>
      <c r="C1721" s="14" t="s">
        <v>294</v>
      </c>
      <c r="D1721" t="s">
        <v>112</v>
      </c>
      <c r="E1721" t="s">
        <v>392</v>
      </c>
      <c r="F1721" s="20">
        <v>2041</v>
      </c>
      <c r="G1721" s="20">
        <v>69</v>
      </c>
      <c r="H1721" s="11">
        <v>32858.2865335721</v>
      </c>
      <c r="I1721" s="10">
        <v>2661539.17602483</v>
      </c>
      <c r="J1721" s="34">
        <f t="shared" si="104"/>
        <v>1.2345595672443921E-2</v>
      </c>
      <c r="K1721" s="34">
        <f t="shared" si="105"/>
        <v>1.2269701447046866E-2</v>
      </c>
      <c r="L1721" s="34">
        <f t="shared" si="106"/>
        <v>0.88228819248244039</v>
      </c>
      <c r="M1721" s="34">
        <f t="shared" si="107"/>
        <v>0.87146277977042619</v>
      </c>
    </row>
    <row r="1722" spans="1:13" ht="27.6">
      <c r="A1722" t="s">
        <v>164</v>
      </c>
      <c r="B1722" t="s">
        <v>112</v>
      </c>
      <c r="C1722" s="14" t="s">
        <v>294</v>
      </c>
      <c r="D1722" t="s">
        <v>112</v>
      </c>
      <c r="E1722" t="s">
        <v>392</v>
      </c>
      <c r="F1722" s="20">
        <v>2042</v>
      </c>
      <c r="G1722" s="20">
        <v>30</v>
      </c>
      <c r="H1722" s="11">
        <v>832.58037992291599</v>
      </c>
      <c r="I1722" s="10">
        <v>4906538.32754179</v>
      </c>
      <c r="J1722" s="34">
        <f t="shared" si="104"/>
        <v>1.6968793971289421E-4</v>
      </c>
      <c r="K1722" s="34">
        <f t="shared" si="105"/>
        <v>1.6967354352870334E-4</v>
      </c>
      <c r="L1722" s="34">
        <f t="shared" si="106"/>
        <v>1</v>
      </c>
      <c r="M1722" s="34">
        <f t="shared" si="107"/>
        <v>0.9998303264564713</v>
      </c>
    </row>
    <row r="1723" spans="1:13" ht="27.6">
      <c r="A1723" t="s">
        <v>164</v>
      </c>
      <c r="B1723" t="s">
        <v>112</v>
      </c>
      <c r="C1723" s="14" t="s">
        <v>294</v>
      </c>
      <c r="D1723" t="s">
        <v>112</v>
      </c>
      <c r="E1723" t="s">
        <v>392</v>
      </c>
      <c r="F1723" s="20">
        <v>2042</v>
      </c>
      <c r="G1723" s="20">
        <v>31</v>
      </c>
      <c r="H1723" s="11">
        <v>1065.6905611110701</v>
      </c>
      <c r="I1723" s="10">
        <v>4878382.8070591502</v>
      </c>
      <c r="J1723" s="34">
        <f t="shared" si="104"/>
        <v>2.1845160645634192E-4</v>
      </c>
      <c r="K1723" s="34">
        <f t="shared" si="105"/>
        <v>2.1842774764146977E-4</v>
      </c>
      <c r="L1723" s="34">
        <f t="shared" si="106"/>
        <v>0.9998303264564713</v>
      </c>
      <c r="M1723" s="34">
        <f t="shared" si="107"/>
        <v>0.99961193577023977</v>
      </c>
    </row>
    <row r="1724" spans="1:13" ht="27.6">
      <c r="A1724" t="s">
        <v>164</v>
      </c>
      <c r="B1724" t="s">
        <v>112</v>
      </c>
      <c r="C1724" s="14" t="s">
        <v>294</v>
      </c>
      <c r="D1724" t="s">
        <v>112</v>
      </c>
      <c r="E1724" t="s">
        <v>392</v>
      </c>
      <c r="F1724" s="20">
        <v>2042</v>
      </c>
      <c r="G1724" s="20">
        <v>32</v>
      </c>
      <c r="H1724" s="11">
        <v>1091.15980592808</v>
      </c>
      <c r="I1724" s="10">
        <v>4744634.3958465802</v>
      </c>
      <c r="J1724" s="34">
        <f t="shared" si="104"/>
        <v>2.2997763681924021E-4</v>
      </c>
      <c r="K1724" s="34">
        <f t="shared" si="105"/>
        <v>2.2995119398960817E-4</v>
      </c>
      <c r="L1724" s="34">
        <f t="shared" si="106"/>
        <v>0.99961193577023977</v>
      </c>
      <c r="M1724" s="34">
        <f t="shared" si="107"/>
        <v>0.9993820738120831</v>
      </c>
    </row>
    <row r="1725" spans="1:13" ht="27.6">
      <c r="A1725" t="s">
        <v>164</v>
      </c>
      <c r="B1725" t="s">
        <v>112</v>
      </c>
      <c r="C1725" s="14" t="s">
        <v>294</v>
      </c>
      <c r="D1725" t="s">
        <v>112</v>
      </c>
      <c r="E1725" t="s">
        <v>392</v>
      </c>
      <c r="F1725" s="20">
        <v>2042</v>
      </c>
      <c r="G1725" s="20">
        <v>33</v>
      </c>
      <c r="H1725" s="11">
        <v>1138.2168731558199</v>
      </c>
      <c r="I1725" s="10">
        <v>4673773.7319715396</v>
      </c>
      <c r="J1725" s="34">
        <f t="shared" si="104"/>
        <v>2.4353272931671973E-4</v>
      </c>
      <c r="K1725" s="34">
        <f t="shared" si="105"/>
        <v>2.4350307762865953E-4</v>
      </c>
      <c r="L1725" s="34">
        <f t="shared" si="106"/>
        <v>0.9993820738120831</v>
      </c>
      <c r="M1725" s="34">
        <f t="shared" si="107"/>
        <v>0.99913872120138292</v>
      </c>
    </row>
    <row r="1726" spans="1:13" ht="27.6">
      <c r="A1726" t="s">
        <v>164</v>
      </c>
      <c r="B1726" t="s">
        <v>112</v>
      </c>
      <c r="C1726" s="14" t="s">
        <v>294</v>
      </c>
      <c r="D1726" t="s">
        <v>112</v>
      </c>
      <c r="E1726" t="s">
        <v>392</v>
      </c>
      <c r="F1726" s="20">
        <v>2042</v>
      </c>
      <c r="G1726" s="20">
        <v>34</v>
      </c>
      <c r="H1726" s="11">
        <v>1201.6824800885299</v>
      </c>
      <c r="I1726" s="10">
        <v>4630857.3996516503</v>
      </c>
      <c r="J1726" s="34">
        <f t="shared" si="104"/>
        <v>2.5949459816640538E-4</v>
      </c>
      <c r="K1726" s="34">
        <f t="shared" si="105"/>
        <v>2.5946093235529322E-4</v>
      </c>
      <c r="L1726" s="34">
        <f t="shared" si="106"/>
        <v>0.99913872120138292</v>
      </c>
      <c r="M1726" s="34">
        <f t="shared" si="107"/>
        <v>0.99887948373722768</v>
      </c>
    </row>
    <row r="1727" spans="1:13" ht="27.6">
      <c r="A1727" t="s">
        <v>164</v>
      </c>
      <c r="B1727" t="s">
        <v>112</v>
      </c>
      <c r="C1727" s="14" t="s">
        <v>294</v>
      </c>
      <c r="D1727" t="s">
        <v>112</v>
      </c>
      <c r="E1727" t="s">
        <v>392</v>
      </c>
      <c r="F1727" s="20">
        <v>2042</v>
      </c>
      <c r="G1727" s="20">
        <v>35</v>
      </c>
      <c r="H1727" s="11">
        <v>1669.5581674308701</v>
      </c>
      <c r="I1727" s="10">
        <v>4656136.7872073399</v>
      </c>
      <c r="J1727" s="34">
        <f t="shared" si="104"/>
        <v>3.5857154626942105E-4</v>
      </c>
      <c r="K1727" s="34">
        <f t="shared" si="105"/>
        <v>3.5850726717567838E-4</v>
      </c>
      <c r="L1727" s="34">
        <f t="shared" si="106"/>
        <v>0.99887948373722768</v>
      </c>
      <c r="M1727" s="34">
        <f t="shared" si="107"/>
        <v>0.99852137818327524</v>
      </c>
    </row>
    <row r="1728" spans="1:13" ht="27.6">
      <c r="A1728" t="s">
        <v>164</v>
      </c>
      <c r="B1728" t="s">
        <v>112</v>
      </c>
      <c r="C1728" s="14" t="s">
        <v>294</v>
      </c>
      <c r="D1728" t="s">
        <v>112</v>
      </c>
      <c r="E1728" t="s">
        <v>392</v>
      </c>
      <c r="F1728" s="20">
        <v>2042</v>
      </c>
      <c r="G1728" s="20">
        <v>36</v>
      </c>
      <c r="H1728" s="11">
        <v>1900.21174767719</v>
      </c>
      <c r="I1728" s="10">
        <v>4572163.6394346999</v>
      </c>
      <c r="J1728" s="34">
        <f t="shared" si="104"/>
        <v>4.1560449221194788E-4</v>
      </c>
      <c r="K1728" s="34">
        <f t="shared" si="105"/>
        <v>4.1551814062812387E-4</v>
      </c>
      <c r="L1728" s="34">
        <f t="shared" si="106"/>
        <v>0.99852137818327524</v>
      </c>
      <c r="M1728" s="34">
        <f t="shared" si="107"/>
        <v>0.99810647443683509</v>
      </c>
    </row>
    <row r="1729" spans="1:13" ht="27.6">
      <c r="A1729" t="s">
        <v>164</v>
      </c>
      <c r="B1729" t="s">
        <v>112</v>
      </c>
      <c r="C1729" s="14" t="s">
        <v>294</v>
      </c>
      <c r="D1729" t="s">
        <v>112</v>
      </c>
      <c r="E1729" t="s">
        <v>392</v>
      </c>
      <c r="F1729" s="20">
        <v>2042</v>
      </c>
      <c r="G1729" s="20">
        <v>37</v>
      </c>
      <c r="H1729" s="11">
        <v>2014.40599828329</v>
      </c>
      <c r="I1729" s="10">
        <v>4510064.0341896703</v>
      </c>
      <c r="J1729" s="34">
        <f t="shared" si="104"/>
        <v>4.4664687308485662E-4</v>
      </c>
      <c r="K1729" s="34">
        <f t="shared" si="105"/>
        <v>4.4654714121905581E-4</v>
      </c>
      <c r="L1729" s="34">
        <f t="shared" si="106"/>
        <v>0.99810647443683509</v>
      </c>
      <c r="M1729" s="34">
        <f t="shared" si="107"/>
        <v>0.99766077284404309</v>
      </c>
    </row>
    <row r="1730" spans="1:13" ht="27.6">
      <c r="A1730" t="s">
        <v>164</v>
      </c>
      <c r="B1730" t="s">
        <v>112</v>
      </c>
      <c r="C1730" s="14" t="s">
        <v>294</v>
      </c>
      <c r="D1730" t="s">
        <v>112</v>
      </c>
      <c r="E1730" t="s">
        <v>392</v>
      </c>
      <c r="F1730" s="20">
        <v>2042</v>
      </c>
      <c r="G1730" s="20">
        <v>38</v>
      </c>
      <c r="H1730" s="11">
        <v>2109.5474755967198</v>
      </c>
      <c r="I1730" s="10">
        <v>4380494.84927788</v>
      </c>
      <c r="J1730" s="34">
        <f t="shared" ref="J1730:J1793" si="108">IF(I1730&gt;0,H1730/I1730,0)</f>
        <v>4.8157743546815867E-4</v>
      </c>
      <c r="K1730" s="34">
        <f t="shared" ref="K1730:K1793" si="109">1-EXP(-J1730)</f>
        <v>4.814614956670793E-4</v>
      </c>
      <c r="L1730" s="34">
        <f t="shared" ref="L1730:L1793" si="110">IF(G1730=30,1,M1729)</f>
        <v>0.99766077284404309</v>
      </c>
      <c r="M1730" s="34">
        <f t="shared" ref="M1730:M1793" si="111">L1730*(1-K1730)</f>
        <v>0.99718043759618125</v>
      </c>
    </row>
    <row r="1731" spans="1:13" ht="27.6">
      <c r="A1731" t="s">
        <v>164</v>
      </c>
      <c r="B1731" t="s">
        <v>112</v>
      </c>
      <c r="C1731" s="14" t="s">
        <v>294</v>
      </c>
      <c r="D1731" t="s">
        <v>112</v>
      </c>
      <c r="E1731" t="s">
        <v>392</v>
      </c>
      <c r="F1731" s="20">
        <v>2042</v>
      </c>
      <c r="G1731" s="20">
        <v>39</v>
      </c>
      <c r="H1731" s="11">
        <v>2245.4616289389801</v>
      </c>
      <c r="I1731" s="10">
        <v>4313288.3939740798</v>
      </c>
      <c r="J1731" s="34">
        <f t="shared" si="108"/>
        <v>5.2059158206903657E-4</v>
      </c>
      <c r="K1731" s="34">
        <f t="shared" si="109"/>
        <v>5.204560977830619E-4</v>
      </c>
      <c r="L1731" s="34">
        <f t="shared" si="110"/>
        <v>0.99718043759618125</v>
      </c>
      <c r="M1731" s="34">
        <f t="shared" si="111"/>
        <v>0.99666144895684439</v>
      </c>
    </row>
    <row r="1732" spans="1:13" ht="27.6">
      <c r="A1732" t="s">
        <v>164</v>
      </c>
      <c r="B1732" t="s">
        <v>112</v>
      </c>
      <c r="C1732" s="14" t="s">
        <v>294</v>
      </c>
      <c r="D1732" t="s">
        <v>112</v>
      </c>
      <c r="E1732" t="s">
        <v>392</v>
      </c>
      <c r="F1732" s="20">
        <v>2042</v>
      </c>
      <c r="G1732" s="20">
        <v>40</v>
      </c>
      <c r="H1732" s="11">
        <v>3198.91299620783</v>
      </c>
      <c r="I1732" s="10">
        <v>4288128.7040739404</v>
      </c>
      <c r="J1732" s="34">
        <f t="shared" si="108"/>
        <v>7.4599276676763453E-4</v>
      </c>
      <c r="K1732" s="34">
        <f t="shared" si="109"/>
        <v>7.4571458334216079E-4</v>
      </c>
      <c r="L1732" s="34">
        <f t="shared" si="110"/>
        <v>0.99666144895684439</v>
      </c>
      <c r="M1732" s="34">
        <f t="shared" si="111"/>
        <v>0.99591822397970231</v>
      </c>
    </row>
    <row r="1733" spans="1:13" ht="27.6">
      <c r="A1733" t="s">
        <v>164</v>
      </c>
      <c r="B1733" t="s">
        <v>112</v>
      </c>
      <c r="C1733" s="14" t="s">
        <v>294</v>
      </c>
      <c r="D1733" t="s">
        <v>112</v>
      </c>
      <c r="E1733" t="s">
        <v>392</v>
      </c>
      <c r="F1733" s="20">
        <v>2042</v>
      </c>
      <c r="G1733" s="20">
        <v>41</v>
      </c>
      <c r="H1733" s="11">
        <v>3521.0745197999299</v>
      </c>
      <c r="I1733" s="10">
        <v>4264255.9605285199</v>
      </c>
      <c r="J1733" s="34">
        <f t="shared" si="108"/>
        <v>8.2571837910112725E-4</v>
      </c>
      <c r="K1733" s="34">
        <f t="shared" si="109"/>
        <v>8.2537756749156976E-4</v>
      </c>
      <c r="L1733" s="34">
        <f t="shared" si="110"/>
        <v>0.99591822397970231</v>
      </c>
      <c r="M1733" s="34">
        <f t="shared" si="111"/>
        <v>0.9950962154185734</v>
      </c>
    </row>
    <row r="1734" spans="1:13" ht="27.6">
      <c r="A1734" t="s">
        <v>164</v>
      </c>
      <c r="B1734" t="s">
        <v>112</v>
      </c>
      <c r="C1734" s="14" t="s">
        <v>294</v>
      </c>
      <c r="D1734" t="s">
        <v>112</v>
      </c>
      <c r="E1734" t="s">
        <v>392</v>
      </c>
      <c r="F1734" s="20">
        <v>2042</v>
      </c>
      <c r="G1734" s="20">
        <v>42</v>
      </c>
      <c r="H1734" s="11">
        <v>3797.7350254131102</v>
      </c>
      <c r="I1734" s="10">
        <v>4240272.6612520898</v>
      </c>
      <c r="J1734" s="34">
        <f t="shared" si="108"/>
        <v>8.9563462748918959E-4</v>
      </c>
      <c r="K1734" s="34">
        <f t="shared" si="109"/>
        <v>8.9523366651000913E-4</v>
      </c>
      <c r="L1734" s="34">
        <f t="shared" si="110"/>
        <v>0.9950962154185734</v>
      </c>
      <c r="M1734" s="34">
        <f t="shared" si="111"/>
        <v>0.99420537178511403</v>
      </c>
    </row>
    <row r="1735" spans="1:13" ht="27.6">
      <c r="A1735" t="s">
        <v>164</v>
      </c>
      <c r="B1735" t="s">
        <v>112</v>
      </c>
      <c r="C1735" s="14" t="s">
        <v>294</v>
      </c>
      <c r="D1735" t="s">
        <v>112</v>
      </c>
      <c r="E1735" t="s">
        <v>392</v>
      </c>
      <c r="F1735" s="20">
        <v>2042</v>
      </c>
      <c r="G1735" s="20">
        <v>43</v>
      </c>
      <c r="H1735" s="11">
        <v>4142.9958419398199</v>
      </c>
      <c r="I1735" s="10">
        <v>4254831.6590169398</v>
      </c>
      <c r="J1735" s="34">
        <f t="shared" si="108"/>
        <v>9.7371557183934302E-4</v>
      </c>
      <c r="K1735" s="34">
        <f t="shared" si="109"/>
        <v>9.7324166466128403E-4</v>
      </c>
      <c r="L1735" s="34">
        <f t="shared" si="110"/>
        <v>0.99420537178511403</v>
      </c>
      <c r="M1735" s="34">
        <f t="shared" si="111"/>
        <v>0.99323776969406274</v>
      </c>
    </row>
    <row r="1736" spans="1:13" ht="27.6">
      <c r="A1736" t="s">
        <v>164</v>
      </c>
      <c r="B1736" t="s">
        <v>112</v>
      </c>
      <c r="C1736" s="14" t="s">
        <v>294</v>
      </c>
      <c r="D1736" t="s">
        <v>112</v>
      </c>
      <c r="E1736" t="s">
        <v>392</v>
      </c>
      <c r="F1736" s="20">
        <v>2042</v>
      </c>
      <c r="G1736" s="20">
        <v>44</v>
      </c>
      <c r="H1736" s="11">
        <v>4571.6093772379199</v>
      </c>
      <c r="I1736" s="10">
        <v>4307176.4470697101</v>
      </c>
      <c r="J1736" s="34">
        <f t="shared" si="108"/>
        <v>1.0613935680178859E-3</v>
      </c>
      <c r="K1736" s="34">
        <f t="shared" si="109"/>
        <v>1.060830489098552E-3</v>
      </c>
      <c r="L1736" s="34">
        <f t="shared" si="110"/>
        <v>0.99323776969406274</v>
      </c>
      <c r="M1736" s="34">
        <f t="shared" si="111"/>
        <v>0.99218411278504703</v>
      </c>
    </row>
    <row r="1737" spans="1:13" ht="27.6">
      <c r="A1737" t="s">
        <v>164</v>
      </c>
      <c r="B1737" t="s">
        <v>112</v>
      </c>
      <c r="C1737" s="14" t="s">
        <v>294</v>
      </c>
      <c r="D1737" t="s">
        <v>112</v>
      </c>
      <c r="E1737" t="s">
        <v>392</v>
      </c>
      <c r="F1737" s="20">
        <v>2042</v>
      </c>
      <c r="G1737" s="20">
        <v>45</v>
      </c>
      <c r="H1737" s="11">
        <v>6304.13804615553</v>
      </c>
      <c r="I1737" s="10">
        <v>4434288.2417079797</v>
      </c>
      <c r="J1737" s="34">
        <f t="shared" si="108"/>
        <v>1.4216798057600625E-3</v>
      </c>
      <c r="K1737" s="34">
        <f t="shared" si="109"/>
        <v>1.420669697765109E-3</v>
      </c>
      <c r="L1737" s="34">
        <f t="shared" si="110"/>
        <v>0.99218411278504703</v>
      </c>
      <c r="M1737" s="34">
        <f t="shared" si="111"/>
        <v>0.99077454688140931</v>
      </c>
    </row>
    <row r="1738" spans="1:13" ht="27.6">
      <c r="A1738" t="s">
        <v>164</v>
      </c>
      <c r="B1738" t="s">
        <v>112</v>
      </c>
      <c r="C1738" s="14" t="s">
        <v>294</v>
      </c>
      <c r="D1738" t="s">
        <v>112</v>
      </c>
      <c r="E1738" t="s">
        <v>392</v>
      </c>
      <c r="F1738" s="20">
        <v>2042</v>
      </c>
      <c r="G1738" s="20">
        <v>46</v>
      </c>
      <c r="H1738" s="11">
        <v>6805.1834852335796</v>
      </c>
      <c r="I1738" s="10">
        <v>4382991.6308434596</v>
      </c>
      <c r="J1738" s="34">
        <f t="shared" si="108"/>
        <v>1.5526343781596488E-3</v>
      </c>
      <c r="K1738" s="34">
        <f t="shared" si="109"/>
        <v>1.551429664977233E-3</v>
      </c>
      <c r="L1738" s="34">
        <f t="shared" si="110"/>
        <v>0.99077454688140931</v>
      </c>
      <c r="M1738" s="34">
        <f t="shared" si="111"/>
        <v>0.98923742985807317</v>
      </c>
    </row>
    <row r="1739" spans="1:13" ht="27.6">
      <c r="A1739" t="s">
        <v>164</v>
      </c>
      <c r="B1739" t="s">
        <v>112</v>
      </c>
      <c r="C1739" s="14" t="s">
        <v>294</v>
      </c>
      <c r="D1739" t="s">
        <v>112</v>
      </c>
      <c r="E1739" t="s">
        <v>392</v>
      </c>
      <c r="F1739" s="20">
        <v>2042</v>
      </c>
      <c r="G1739" s="20">
        <v>47</v>
      </c>
      <c r="H1739" s="11">
        <v>7308.6483043718799</v>
      </c>
      <c r="I1739" s="10">
        <v>4302436.0961998096</v>
      </c>
      <c r="J1739" s="34">
        <f t="shared" si="108"/>
        <v>1.6987232676918436E-3</v>
      </c>
      <c r="K1739" s="34">
        <f t="shared" si="109"/>
        <v>1.6972812539647331E-3</v>
      </c>
      <c r="L1739" s="34">
        <f t="shared" si="110"/>
        <v>0.98923742985807317</v>
      </c>
      <c r="M1739" s="34">
        <f t="shared" si="111"/>
        <v>0.98755841571265479</v>
      </c>
    </row>
    <row r="1740" spans="1:13" ht="27.6">
      <c r="A1740" t="s">
        <v>164</v>
      </c>
      <c r="B1740" t="s">
        <v>112</v>
      </c>
      <c r="C1740" s="14" t="s">
        <v>294</v>
      </c>
      <c r="D1740" t="s">
        <v>112</v>
      </c>
      <c r="E1740" t="s">
        <v>392</v>
      </c>
      <c r="F1740" s="20">
        <v>2042</v>
      </c>
      <c r="G1740" s="20">
        <v>48</v>
      </c>
      <c r="H1740" s="11">
        <v>7882.7698258431901</v>
      </c>
      <c r="I1740" s="10">
        <v>4236376.8167569898</v>
      </c>
      <c r="J1740" s="34">
        <f t="shared" si="108"/>
        <v>1.8607338692495181E-3</v>
      </c>
      <c r="K1740" s="34">
        <f t="shared" si="109"/>
        <v>1.8590037772300283E-3</v>
      </c>
      <c r="L1740" s="34">
        <f t="shared" si="110"/>
        <v>0.98755841571265479</v>
      </c>
      <c r="M1740" s="34">
        <f t="shared" si="111"/>
        <v>0.98572254088760969</v>
      </c>
    </row>
    <row r="1741" spans="1:13" ht="27.6">
      <c r="A1741" t="s">
        <v>164</v>
      </c>
      <c r="B1741" t="s">
        <v>112</v>
      </c>
      <c r="C1741" s="14" t="s">
        <v>294</v>
      </c>
      <c r="D1741" t="s">
        <v>112</v>
      </c>
      <c r="E1741" t="s">
        <v>392</v>
      </c>
      <c r="F1741" s="20">
        <v>2042</v>
      </c>
      <c r="G1741" s="20">
        <v>49</v>
      </c>
      <c r="H1741" s="11">
        <v>8509.3383708208803</v>
      </c>
      <c r="I1741" s="10">
        <v>4172897.1203304599</v>
      </c>
      <c r="J1741" s="34">
        <f t="shared" si="108"/>
        <v>2.0391919871120641E-3</v>
      </c>
      <c r="K1741" s="34">
        <f t="shared" si="109"/>
        <v>2.0371142476750537E-3</v>
      </c>
      <c r="L1741" s="34">
        <f t="shared" si="110"/>
        <v>0.98572254088760969</v>
      </c>
      <c r="M1741" s="34">
        <f t="shared" si="111"/>
        <v>0.98371451145531308</v>
      </c>
    </row>
    <row r="1742" spans="1:13" ht="27.6">
      <c r="A1742" t="s">
        <v>164</v>
      </c>
      <c r="B1742" t="s">
        <v>112</v>
      </c>
      <c r="C1742" s="14" t="s">
        <v>294</v>
      </c>
      <c r="D1742" t="s">
        <v>112</v>
      </c>
      <c r="E1742" t="s">
        <v>392</v>
      </c>
      <c r="F1742" s="20">
        <v>2042</v>
      </c>
      <c r="G1742" s="20">
        <v>50</v>
      </c>
      <c r="H1742" s="11">
        <v>9794.0797822616205</v>
      </c>
      <c r="I1742" s="10">
        <v>4196555.3978784401</v>
      </c>
      <c r="J1742" s="34">
        <f t="shared" si="108"/>
        <v>2.3338378392938641E-3</v>
      </c>
      <c r="K1742" s="34">
        <f t="shared" si="109"/>
        <v>2.331116557185875E-3</v>
      </c>
      <c r="L1742" s="34">
        <f t="shared" si="110"/>
        <v>0.98371451145531308</v>
      </c>
      <c r="M1742" s="34">
        <f t="shared" si="111"/>
        <v>0.98142135827011556</v>
      </c>
    </row>
    <row r="1743" spans="1:13" ht="27.6">
      <c r="A1743" t="s">
        <v>164</v>
      </c>
      <c r="B1743" t="s">
        <v>112</v>
      </c>
      <c r="C1743" s="14" t="s">
        <v>294</v>
      </c>
      <c r="D1743" t="s">
        <v>112</v>
      </c>
      <c r="E1743" t="s">
        <v>392</v>
      </c>
      <c r="F1743" s="20">
        <v>2042</v>
      </c>
      <c r="G1743" s="20">
        <v>51</v>
      </c>
      <c r="H1743" s="11">
        <v>10721.223205911499</v>
      </c>
      <c r="I1743" s="10">
        <v>4198862.7206216101</v>
      </c>
      <c r="J1743" s="34">
        <f t="shared" si="108"/>
        <v>2.5533635937314719E-3</v>
      </c>
      <c r="K1743" s="34">
        <f t="shared" si="109"/>
        <v>2.5501065336531736E-3</v>
      </c>
      <c r="L1743" s="34">
        <f t="shared" si="110"/>
        <v>0.98142135827011556</v>
      </c>
      <c r="M1743" s="34">
        <f t="shared" si="111"/>
        <v>0.97891862925212414</v>
      </c>
    </row>
    <row r="1744" spans="1:13" ht="27.6">
      <c r="A1744" t="s">
        <v>164</v>
      </c>
      <c r="B1744" t="s">
        <v>112</v>
      </c>
      <c r="C1744" s="14" t="s">
        <v>294</v>
      </c>
      <c r="D1744" t="s">
        <v>112</v>
      </c>
      <c r="E1744" t="s">
        <v>392</v>
      </c>
      <c r="F1744" s="20">
        <v>2042</v>
      </c>
      <c r="G1744" s="20">
        <v>52</v>
      </c>
      <c r="H1744" s="11">
        <v>15677.517650215799</v>
      </c>
      <c r="I1744" s="10">
        <v>6174810.4225645503</v>
      </c>
      <c r="J1744" s="34">
        <f t="shared" si="108"/>
        <v>2.5389472028040888E-3</v>
      </c>
      <c r="K1744" s="34">
        <f t="shared" si="109"/>
        <v>2.5357268024068791E-3</v>
      </c>
      <c r="L1744" s="34">
        <f t="shared" si="110"/>
        <v>0.97891862925212414</v>
      </c>
      <c r="M1744" s="34">
        <f t="shared" si="111"/>
        <v>0.97643635904655413</v>
      </c>
    </row>
    <row r="1745" spans="1:13" ht="27.6">
      <c r="A1745" t="s">
        <v>164</v>
      </c>
      <c r="B1745" t="s">
        <v>112</v>
      </c>
      <c r="C1745" s="14" t="s">
        <v>294</v>
      </c>
      <c r="D1745" t="s">
        <v>112</v>
      </c>
      <c r="E1745" t="s">
        <v>392</v>
      </c>
      <c r="F1745" s="20">
        <v>2042</v>
      </c>
      <c r="G1745" s="20">
        <v>53</v>
      </c>
      <c r="H1745" s="11">
        <v>12556.1927436183</v>
      </c>
      <c r="I1745" s="10">
        <v>4126082.7345822598</v>
      </c>
      <c r="J1745" s="34">
        <f t="shared" si="108"/>
        <v>3.0431267503145537E-3</v>
      </c>
      <c r="K1745" s="34">
        <f t="shared" si="109"/>
        <v>3.0385011334078671E-3</v>
      </c>
      <c r="L1745" s="34">
        <f t="shared" si="110"/>
        <v>0.97643635904655413</v>
      </c>
      <c r="M1745" s="34">
        <f t="shared" si="111"/>
        <v>0.97346945606289048</v>
      </c>
    </row>
    <row r="1746" spans="1:13" ht="27.6">
      <c r="A1746" t="s">
        <v>164</v>
      </c>
      <c r="B1746" t="s">
        <v>112</v>
      </c>
      <c r="C1746" s="14" t="s">
        <v>294</v>
      </c>
      <c r="D1746" t="s">
        <v>112</v>
      </c>
      <c r="E1746" t="s">
        <v>392</v>
      </c>
      <c r="F1746" s="20">
        <v>2042</v>
      </c>
      <c r="G1746" s="20">
        <v>54</v>
      </c>
      <c r="H1746" s="11">
        <v>13566.917369480099</v>
      </c>
      <c r="I1746" s="10">
        <v>4091284.49139274</v>
      </c>
      <c r="J1746" s="34">
        <f t="shared" si="108"/>
        <v>3.3160532830269398E-3</v>
      </c>
      <c r="K1746" s="34">
        <f t="shared" si="109"/>
        <v>3.3105612506402204E-3</v>
      </c>
      <c r="L1746" s="34">
        <f t="shared" si="110"/>
        <v>0.97346945606289048</v>
      </c>
      <c r="M1746" s="34">
        <f t="shared" si="111"/>
        <v>0.97024672580296689</v>
      </c>
    </row>
    <row r="1747" spans="1:13" ht="27.6">
      <c r="A1747" t="s">
        <v>164</v>
      </c>
      <c r="B1747" t="s">
        <v>112</v>
      </c>
      <c r="C1747" s="14" t="s">
        <v>294</v>
      </c>
      <c r="D1747" t="s">
        <v>112</v>
      </c>
      <c r="E1747" t="s">
        <v>392</v>
      </c>
      <c r="F1747" s="20">
        <v>2042</v>
      </c>
      <c r="G1747" s="20">
        <v>55</v>
      </c>
      <c r="H1747" s="11">
        <v>14105.6151038477</v>
      </c>
      <c r="I1747" s="10">
        <v>3945930.15198529</v>
      </c>
      <c r="J1747" s="34">
        <f t="shared" si="108"/>
        <v>3.5747249851219068E-3</v>
      </c>
      <c r="K1747" s="34">
        <f t="shared" si="109"/>
        <v>3.5683432623283551E-3</v>
      </c>
      <c r="L1747" s="34">
        <f t="shared" si="110"/>
        <v>0.97024672580296689</v>
      </c>
      <c r="M1747" s="34">
        <f t="shared" si="111"/>
        <v>0.96678455243615169</v>
      </c>
    </row>
    <row r="1748" spans="1:13" ht="27.6">
      <c r="A1748" t="s">
        <v>164</v>
      </c>
      <c r="B1748" t="s">
        <v>112</v>
      </c>
      <c r="C1748" s="14" t="s">
        <v>294</v>
      </c>
      <c r="D1748" t="s">
        <v>112</v>
      </c>
      <c r="E1748" t="s">
        <v>392</v>
      </c>
      <c r="F1748" s="20">
        <v>2042</v>
      </c>
      <c r="G1748" s="20">
        <v>56</v>
      </c>
      <c r="H1748" s="11">
        <v>15153.151142491901</v>
      </c>
      <c r="I1748" s="10">
        <v>3891591.2473878101</v>
      </c>
      <c r="J1748" s="34">
        <f t="shared" si="108"/>
        <v>3.893818795245594E-3</v>
      </c>
      <c r="K1748" s="34">
        <f t="shared" si="109"/>
        <v>3.8862477128359663E-3</v>
      </c>
      <c r="L1748" s="34">
        <f t="shared" si="110"/>
        <v>0.96678455243615169</v>
      </c>
      <c r="M1748" s="34">
        <f t="shared" si="111"/>
        <v>0.96302738818044153</v>
      </c>
    </row>
    <row r="1749" spans="1:13" ht="27.6">
      <c r="A1749" t="s">
        <v>164</v>
      </c>
      <c r="B1749" t="s">
        <v>112</v>
      </c>
      <c r="C1749" s="14" t="s">
        <v>294</v>
      </c>
      <c r="D1749" t="s">
        <v>112</v>
      </c>
      <c r="E1749" t="s">
        <v>392</v>
      </c>
      <c r="F1749" s="20">
        <v>2042</v>
      </c>
      <c r="G1749" s="20">
        <v>57</v>
      </c>
      <c r="H1749" s="11">
        <v>16661.160277236599</v>
      </c>
      <c r="I1749" s="10">
        <v>3923034.7522621001</v>
      </c>
      <c r="J1749" s="34">
        <f t="shared" si="108"/>
        <v>4.2470080764972678E-3</v>
      </c>
      <c r="K1749" s="34">
        <f t="shared" si="109"/>
        <v>4.238002291421239E-3</v>
      </c>
      <c r="L1749" s="34">
        <f t="shared" si="110"/>
        <v>0.96302738818044153</v>
      </c>
      <c r="M1749" s="34">
        <f t="shared" si="111"/>
        <v>0.95894607590263137</v>
      </c>
    </row>
    <row r="1750" spans="1:13" ht="27.6">
      <c r="A1750" t="s">
        <v>164</v>
      </c>
      <c r="B1750" t="s">
        <v>112</v>
      </c>
      <c r="C1750" s="14" t="s">
        <v>294</v>
      </c>
      <c r="D1750" t="s">
        <v>112</v>
      </c>
      <c r="E1750" t="s">
        <v>392</v>
      </c>
      <c r="F1750" s="20">
        <v>2042</v>
      </c>
      <c r="G1750" s="20">
        <v>58</v>
      </c>
      <c r="H1750" s="11">
        <v>18437.759984984899</v>
      </c>
      <c r="I1750" s="10">
        <v>3974965.8302749</v>
      </c>
      <c r="J1750" s="34">
        <f t="shared" si="108"/>
        <v>4.638470057919915E-3</v>
      </c>
      <c r="K1750" s="34">
        <f t="shared" si="109"/>
        <v>4.6277289695039192E-3</v>
      </c>
      <c r="L1750" s="34">
        <f t="shared" si="110"/>
        <v>0.95894607590263137</v>
      </c>
      <c r="M1750" s="34">
        <f t="shared" si="111"/>
        <v>0.95450833336698471</v>
      </c>
    </row>
    <row r="1751" spans="1:13" ht="27.6">
      <c r="A1751" t="s">
        <v>164</v>
      </c>
      <c r="B1751" t="s">
        <v>112</v>
      </c>
      <c r="C1751" s="14" t="s">
        <v>294</v>
      </c>
      <c r="D1751" t="s">
        <v>112</v>
      </c>
      <c r="E1751" t="s">
        <v>392</v>
      </c>
      <c r="F1751" s="20">
        <v>2042</v>
      </c>
      <c r="G1751" s="20">
        <v>59</v>
      </c>
      <c r="H1751" s="11">
        <v>19903.984913700198</v>
      </c>
      <c r="I1751" s="10">
        <v>3923538.9531959998</v>
      </c>
      <c r="J1751" s="34">
        <f t="shared" si="108"/>
        <v>5.0729673264711681E-3</v>
      </c>
      <c r="K1751" s="34">
        <f t="shared" si="109"/>
        <v>5.0601215589561876E-3</v>
      </c>
      <c r="L1751" s="34">
        <f t="shared" si="110"/>
        <v>0.95450833336698471</v>
      </c>
      <c r="M1751" s="34">
        <f t="shared" si="111"/>
        <v>0.94967840517111113</v>
      </c>
    </row>
    <row r="1752" spans="1:13" ht="27.6">
      <c r="A1752" t="s">
        <v>164</v>
      </c>
      <c r="B1752" t="s">
        <v>112</v>
      </c>
      <c r="C1752" s="14" t="s">
        <v>294</v>
      </c>
      <c r="D1752" t="s">
        <v>112</v>
      </c>
      <c r="E1752" t="s">
        <v>392</v>
      </c>
      <c r="F1752" s="20">
        <v>2042</v>
      </c>
      <c r="G1752" s="20">
        <v>60</v>
      </c>
      <c r="H1752" s="11">
        <v>20809.066802419398</v>
      </c>
      <c r="I1752" s="10">
        <v>3767344.9271772602</v>
      </c>
      <c r="J1752" s="34">
        <f t="shared" si="108"/>
        <v>5.5235363909221088E-3</v>
      </c>
      <c r="K1752" s="34">
        <f t="shared" si="109"/>
        <v>5.5083097117296642E-3</v>
      </c>
      <c r="L1752" s="34">
        <f t="shared" si="110"/>
        <v>0.94967840517111113</v>
      </c>
      <c r="M1752" s="34">
        <f t="shared" si="111"/>
        <v>0.9444472823888872</v>
      </c>
    </row>
    <row r="1753" spans="1:13" ht="27.6">
      <c r="A1753" t="s">
        <v>164</v>
      </c>
      <c r="B1753" t="s">
        <v>112</v>
      </c>
      <c r="C1753" s="14" t="s">
        <v>294</v>
      </c>
      <c r="D1753" t="s">
        <v>112</v>
      </c>
      <c r="E1753" t="s">
        <v>392</v>
      </c>
      <c r="F1753" s="20">
        <v>2042</v>
      </c>
      <c r="G1753" s="20">
        <v>61</v>
      </c>
      <c r="H1753" s="11">
        <v>22200.188703143001</v>
      </c>
      <c r="I1753" s="10">
        <v>3666899.1586740199</v>
      </c>
      <c r="J1753" s="34">
        <f t="shared" si="108"/>
        <v>6.0542130400910088E-3</v>
      </c>
      <c r="K1753" s="34">
        <f t="shared" si="109"/>
        <v>6.0359232210914771E-3</v>
      </c>
      <c r="L1753" s="34">
        <f t="shared" si="110"/>
        <v>0.9444472823888872</v>
      </c>
      <c r="M1753" s="34">
        <f t="shared" si="111"/>
        <v>0.93874667110601939</v>
      </c>
    </row>
    <row r="1754" spans="1:13" ht="27.6">
      <c r="A1754" t="s">
        <v>164</v>
      </c>
      <c r="B1754" t="s">
        <v>112</v>
      </c>
      <c r="C1754" s="14" t="s">
        <v>294</v>
      </c>
      <c r="D1754" t="s">
        <v>112</v>
      </c>
      <c r="E1754" t="s">
        <v>392</v>
      </c>
      <c r="F1754" s="20">
        <v>2042</v>
      </c>
      <c r="G1754" s="20">
        <v>62</v>
      </c>
      <c r="H1754" s="11">
        <v>23761.069906679</v>
      </c>
      <c r="I1754" s="10">
        <v>3579137.5555645302</v>
      </c>
      <c r="J1754" s="34">
        <f t="shared" si="108"/>
        <v>6.6387696862159895E-3</v>
      </c>
      <c r="K1754" s="34">
        <f t="shared" si="109"/>
        <v>6.6167817392881467E-3</v>
      </c>
      <c r="L1754" s="34">
        <f t="shared" si="110"/>
        <v>0.93874667110601939</v>
      </c>
      <c r="M1754" s="34">
        <f t="shared" si="111"/>
        <v>0.93253518927482759</v>
      </c>
    </row>
    <row r="1755" spans="1:13" ht="27.6">
      <c r="A1755" t="s">
        <v>164</v>
      </c>
      <c r="B1755" t="s">
        <v>112</v>
      </c>
      <c r="C1755" s="14" t="s">
        <v>294</v>
      </c>
      <c r="D1755" t="s">
        <v>112</v>
      </c>
      <c r="E1755" t="s">
        <v>392</v>
      </c>
      <c r="F1755" s="20">
        <v>2042</v>
      </c>
      <c r="G1755" s="20">
        <v>63</v>
      </c>
      <c r="H1755" s="11">
        <v>25369.644147017199</v>
      </c>
      <c r="I1755" s="10">
        <v>3484537.6744870399</v>
      </c>
      <c r="J1755" s="34">
        <f t="shared" si="108"/>
        <v>7.2806341951093621E-3</v>
      </c>
      <c r="K1755" s="34">
        <f t="shared" si="109"/>
        <v>7.2541945825952414E-3</v>
      </c>
      <c r="L1755" s="34">
        <f t="shared" si="110"/>
        <v>0.93253518927482759</v>
      </c>
      <c r="M1755" s="34">
        <f t="shared" si="111"/>
        <v>0.92577039755671076</v>
      </c>
    </row>
    <row r="1756" spans="1:13" ht="27.6">
      <c r="A1756" t="s">
        <v>164</v>
      </c>
      <c r="B1756" t="s">
        <v>112</v>
      </c>
      <c r="C1756" s="14" t="s">
        <v>294</v>
      </c>
      <c r="D1756" t="s">
        <v>112</v>
      </c>
      <c r="E1756" t="s">
        <v>392</v>
      </c>
      <c r="F1756" s="20">
        <v>2042</v>
      </c>
      <c r="G1756" s="20">
        <v>64</v>
      </c>
      <c r="H1756" s="11">
        <v>26913.102460134302</v>
      </c>
      <c r="I1756" s="10">
        <v>3370951.9805797902</v>
      </c>
      <c r="J1756" s="34">
        <f t="shared" si="108"/>
        <v>7.9838284897506481E-3</v>
      </c>
      <c r="K1756" s="34">
        <f t="shared" si="109"/>
        <v>7.9520423789432026E-3</v>
      </c>
      <c r="L1756" s="34">
        <f t="shared" si="110"/>
        <v>0.92577039755671076</v>
      </c>
      <c r="M1756" s="34">
        <f t="shared" si="111"/>
        <v>0.91840863212216872</v>
      </c>
    </row>
    <row r="1757" spans="1:13" ht="27.6">
      <c r="A1757" t="s">
        <v>164</v>
      </c>
      <c r="B1757" t="s">
        <v>112</v>
      </c>
      <c r="C1757" s="14" t="s">
        <v>294</v>
      </c>
      <c r="D1757" t="s">
        <v>112</v>
      </c>
      <c r="E1757" t="s">
        <v>392</v>
      </c>
      <c r="F1757" s="20">
        <v>2042</v>
      </c>
      <c r="G1757" s="20">
        <v>65</v>
      </c>
      <c r="H1757" s="11">
        <v>27412.3068589955</v>
      </c>
      <c r="I1757" s="10">
        <v>3269912.9100278001</v>
      </c>
      <c r="J1757" s="34">
        <f t="shared" si="108"/>
        <v>8.3831917281131652E-3</v>
      </c>
      <c r="K1757" s="34">
        <f t="shared" si="109"/>
        <v>8.3481507630814855E-3</v>
      </c>
      <c r="L1757" s="34">
        <f t="shared" si="110"/>
        <v>0.91840863212216872</v>
      </c>
      <c r="M1757" s="34">
        <f t="shared" si="111"/>
        <v>0.9107416183990974</v>
      </c>
    </row>
    <row r="1758" spans="1:13" ht="27.6">
      <c r="A1758" t="s">
        <v>164</v>
      </c>
      <c r="B1758" t="s">
        <v>112</v>
      </c>
      <c r="C1758" s="14" t="s">
        <v>294</v>
      </c>
      <c r="D1758" t="s">
        <v>112</v>
      </c>
      <c r="E1758" t="s">
        <v>392</v>
      </c>
      <c r="F1758" s="20">
        <v>2042</v>
      </c>
      <c r="G1758" s="20">
        <v>66</v>
      </c>
      <c r="H1758" s="11">
        <v>29050.196771051698</v>
      </c>
      <c r="I1758" s="10">
        <v>3157919.1706857001</v>
      </c>
      <c r="J1758" s="34">
        <f t="shared" si="108"/>
        <v>9.1991578000851226E-3</v>
      </c>
      <c r="K1758" s="34">
        <f t="shared" si="109"/>
        <v>9.1569749958247959E-3</v>
      </c>
      <c r="L1758" s="34">
        <f t="shared" si="110"/>
        <v>0.9107416183990974</v>
      </c>
      <c r="M1758" s="34">
        <f t="shared" si="111"/>
        <v>0.90240198017175988</v>
      </c>
    </row>
    <row r="1759" spans="1:13" ht="27.6">
      <c r="A1759" t="s">
        <v>164</v>
      </c>
      <c r="B1759" t="s">
        <v>112</v>
      </c>
      <c r="C1759" s="14" t="s">
        <v>294</v>
      </c>
      <c r="D1759" t="s">
        <v>112</v>
      </c>
      <c r="E1759" t="s">
        <v>392</v>
      </c>
      <c r="F1759" s="20">
        <v>2042</v>
      </c>
      <c r="G1759" s="20">
        <v>67</v>
      </c>
      <c r="H1759" s="11">
        <v>30726.015829239299</v>
      </c>
      <c r="I1759" s="10">
        <v>3042932.49953485</v>
      </c>
      <c r="J1759" s="34">
        <f t="shared" si="108"/>
        <v>1.009750161527939E-2</v>
      </c>
      <c r="K1759" s="34">
        <f t="shared" si="109"/>
        <v>1.0046693002995988E-2</v>
      </c>
      <c r="L1759" s="34">
        <f t="shared" si="110"/>
        <v>0.90240198017175988</v>
      </c>
      <c r="M1759" s="34">
        <f t="shared" si="111"/>
        <v>0.89333582451167848</v>
      </c>
    </row>
    <row r="1760" spans="1:13" ht="27.6">
      <c r="A1760" t="s">
        <v>164</v>
      </c>
      <c r="B1760" t="s">
        <v>112</v>
      </c>
      <c r="C1760" s="14" t="s">
        <v>294</v>
      </c>
      <c r="D1760" t="s">
        <v>112</v>
      </c>
      <c r="E1760" t="s">
        <v>392</v>
      </c>
      <c r="F1760" s="20">
        <v>2042</v>
      </c>
      <c r="G1760" s="20">
        <v>68</v>
      </c>
      <c r="H1760" s="11">
        <v>32204.160683909598</v>
      </c>
      <c r="I1760" s="10">
        <v>2903562.96976797</v>
      </c>
      <c r="J1760" s="34">
        <f t="shared" si="108"/>
        <v>1.1091256163279663E-2</v>
      </c>
      <c r="K1760" s="34">
        <f t="shared" si="109"/>
        <v>1.1029974952757593E-2</v>
      </c>
      <c r="L1760" s="34">
        <f t="shared" si="110"/>
        <v>0.89333582451167848</v>
      </c>
      <c r="M1760" s="34">
        <f t="shared" si="111"/>
        <v>0.88348235274291365</v>
      </c>
    </row>
    <row r="1761" spans="1:13" ht="27.6">
      <c r="A1761" t="s">
        <v>164</v>
      </c>
      <c r="B1761" t="s">
        <v>112</v>
      </c>
      <c r="C1761" s="14" t="s">
        <v>294</v>
      </c>
      <c r="D1761" t="s">
        <v>112</v>
      </c>
      <c r="E1761" t="s">
        <v>392</v>
      </c>
      <c r="F1761" s="20">
        <v>2042</v>
      </c>
      <c r="G1761" s="20">
        <v>69</v>
      </c>
      <c r="H1761" s="11">
        <v>34282.413193656197</v>
      </c>
      <c r="I1761" s="10">
        <v>2811560.5263399598</v>
      </c>
      <c r="J1761" s="34">
        <f t="shared" si="108"/>
        <v>1.219337548400014E-2</v>
      </c>
      <c r="K1761" s="34">
        <f t="shared" si="109"/>
        <v>1.2119337510946515E-2</v>
      </c>
      <c r="L1761" s="34">
        <f t="shared" si="110"/>
        <v>0.88348235274291365</v>
      </c>
      <c r="M1761" s="34">
        <f t="shared" si="111"/>
        <v>0.87277513192505718</v>
      </c>
    </row>
    <row r="1762" spans="1:13" ht="27.6">
      <c r="A1762" t="s">
        <v>164</v>
      </c>
      <c r="B1762" t="s">
        <v>112</v>
      </c>
      <c r="C1762" s="14" t="s">
        <v>294</v>
      </c>
      <c r="D1762" t="s">
        <v>112</v>
      </c>
      <c r="E1762" t="s">
        <v>392</v>
      </c>
      <c r="F1762" s="20">
        <v>2043</v>
      </c>
      <c r="G1762" s="20">
        <v>30</v>
      </c>
      <c r="H1762" s="11">
        <v>760.86387994143695</v>
      </c>
      <c r="I1762" s="10">
        <v>4787827.15360766</v>
      </c>
      <c r="J1762" s="34">
        <f t="shared" si="108"/>
        <v>1.589163216487715E-4</v>
      </c>
      <c r="K1762" s="34">
        <f t="shared" si="109"/>
        <v>1.5890369511895042E-4</v>
      </c>
      <c r="L1762" s="34">
        <f t="shared" si="110"/>
        <v>1</v>
      </c>
      <c r="M1762" s="34">
        <f t="shared" si="111"/>
        <v>0.99984109630488105</v>
      </c>
    </row>
    <row r="1763" spans="1:13" ht="27.6">
      <c r="A1763" t="s">
        <v>164</v>
      </c>
      <c r="B1763" t="s">
        <v>112</v>
      </c>
      <c r="C1763" s="14" t="s">
        <v>294</v>
      </c>
      <c r="D1763" t="s">
        <v>112</v>
      </c>
      <c r="E1763" t="s">
        <v>392</v>
      </c>
      <c r="F1763" s="20">
        <v>2043</v>
      </c>
      <c r="G1763" s="20">
        <v>31</v>
      </c>
      <c r="H1763" s="11">
        <v>1072.9239405107501</v>
      </c>
      <c r="I1763" s="10">
        <v>4900819.3816878404</v>
      </c>
      <c r="J1763" s="34">
        <f t="shared" si="108"/>
        <v>2.1892746027731295E-4</v>
      </c>
      <c r="K1763" s="34">
        <f t="shared" si="109"/>
        <v>2.1890349740960602E-4</v>
      </c>
      <c r="L1763" s="34">
        <f t="shared" si="110"/>
        <v>0.99984109630488105</v>
      </c>
      <c r="M1763" s="34">
        <f t="shared" si="111"/>
        <v>0.99962222759204611</v>
      </c>
    </row>
    <row r="1764" spans="1:13" ht="27.6">
      <c r="A1764" t="s">
        <v>164</v>
      </c>
      <c r="B1764" t="s">
        <v>112</v>
      </c>
      <c r="C1764" s="14" t="s">
        <v>294</v>
      </c>
      <c r="D1764" t="s">
        <v>112</v>
      </c>
      <c r="E1764" t="s">
        <v>392</v>
      </c>
      <c r="F1764" s="20">
        <v>2043</v>
      </c>
      <c r="G1764" s="20">
        <v>32</v>
      </c>
      <c r="H1764" s="11">
        <v>1122.9040204759101</v>
      </c>
      <c r="I1764" s="10">
        <v>4872783.3596101096</v>
      </c>
      <c r="J1764" s="34">
        <f t="shared" si="108"/>
        <v>2.3044406812408711E-4</v>
      </c>
      <c r="K1764" s="34">
        <f t="shared" si="109"/>
        <v>2.3041751792929333E-4</v>
      </c>
      <c r="L1764" s="34">
        <f t="shared" si="110"/>
        <v>0.99962222759204611</v>
      </c>
      <c r="M1764" s="34">
        <f t="shared" si="111"/>
        <v>0.99939189711949739</v>
      </c>
    </row>
    <row r="1765" spans="1:13" ht="27.6">
      <c r="A1765" t="s">
        <v>164</v>
      </c>
      <c r="B1765" t="s">
        <v>112</v>
      </c>
      <c r="C1765" s="14" t="s">
        <v>294</v>
      </c>
      <c r="D1765" t="s">
        <v>112</v>
      </c>
      <c r="E1765" t="s">
        <v>392</v>
      </c>
      <c r="F1765" s="20">
        <v>2043</v>
      </c>
      <c r="G1765" s="20">
        <v>33</v>
      </c>
      <c r="H1765" s="11">
        <v>1156.0737736527001</v>
      </c>
      <c r="I1765" s="10">
        <v>4738963.5683984598</v>
      </c>
      <c r="J1765" s="34">
        <f t="shared" si="108"/>
        <v>2.4395076201090042E-4</v>
      </c>
      <c r="K1765" s="34">
        <f t="shared" si="109"/>
        <v>2.4392100844328191E-4</v>
      </c>
      <c r="L1765" s="34">
        <f t="shared" si="110"/>
        <v>0.99939189711949739</v>
      </c>
      <c r="M1765" s="34">
        <f t="shared" si="111"/>
        <v>0.99914812444012191</v>
      </c>
    </row>
    <row r="1766" spans="1:13" ht="27.6">
      <c r="A1766" t="s">
        <v>164</v>
      </c>
      <c r="B1766" t="s">
        <v>112</v>
      </c>
      <c r="C1766" s="14" t="s">
        <v>294</v>
      </c>
      <c r="D1766" t="s">
        <v>112</v>
      </c>
      <c r="E1766" t="s">
        <v>392</v>
      </c>
      <c r="F1766" s="20">
        <v>2043</v>
      </c>
      <c r="G1766" s="20">
        <v>34</v>
      </c>
      <c r="H1766" s="11">
        <v>1212.88258953234</v>
      </c>
      <c r="I1766" s="10">
        <v>4667927.23052976</v>
      </c>
      <c r="J1766" s="34">
        <f t="shared" si="108"/>
        <v>2.5983322567663309E-4</v>
      </c>
      <c r="K1766" s="34">
        <f t="shared" si="109"/>
        <v>2.597994719475416E-4</v>
      </c>
      <c r="L1766" s="34">
        <f t="shared" si="110"/>
        <v>0.99914812444012191</v>
      </c>
      <c r="M1766" s="34">
        <f t="shared" si="111"/>
        <v>0.99888854628499502</v>
      </c>
    </row>
    <row r="1767" spans="1:13" ht="27.6">
      <c r="A1767" t="s">
        <v>164</v>
      </c>
      <c r="B1767" t="s">
        <v>112</v>
      </c>
      <c r="C1767" s="14" t="s">
        <v>294</v>
      </c>
      <c r="D1767" t="s">
        <v>112</v>
      </c>
      <c r="E1767" t="s">
        <v>392</v>
      </c>
      <c r="F1767" s="20">
        <v>2043</v>
      </c>
      <c r="G1767" s="20">
        <v>35</v>
      </c>
      <c r="H1767" s="11">
        <v>1583.7680188883</v>
      </c>
      <c r="I1767" s="10">
        <v>4624759.4052698603</v>
      </c>
      <c r="J1767" s="34">
        <f t="shared" si="108"/>
        <v>3.4245414303793069E-4</v>
      </c>
      <c r="K1767" s="34">
        <f t="shared" si="109"/>
        <v>3.4239551231085574E-4</v>
      </c>
      <c r="L1767" s="34">
        <f t="shared" si="110"/>
        <v>0.99888854628499502</v>
      </c>
      <c r="M1767" s="34">
        <f t="shared" si="111"/>
        <v>0.99854653132944837</v>
      </c>
    </row>
    <row r="1768" spans="1:13" ht="27.6">
      <c r="A1768" t="s">
        <v>164</v>
      </c>
      <c r="B1768" t="s">
        <v>112</v>
      </c>
      <c r="C1768" s="14" t="s">
        <v>294</v>
      </c>
      <c r="D1768" t="s">
        <v>112</v>
      </c>
      <c r="E1768" t="s">
        <v>392</v>
      </c>
      <c r="F1768" s="20">
        <v>2043</v>
      </c>
      <c r="G1768" s="20">
        <v>36</v>
      </c>
      <c r="H1768" s="11">
        <v>1927.72976143093</v>
      </c>
      <c r="I1768" s="10">
        <v>4649234.5537133804</v>
      </c>
      <c r="J1768" s="34">
        <f t="shared" si="108"/>
        <v>4.146337938341349E-4</v>
      </c>
      <c r="K1768" s="34">
        <f t="shared" si="109"/>
        <v>4.1454784512218179E-4</v>
      </c>
      <c r="L1768" s="34">
        <f t="shared" si="110"/>
        <v>0.99854653132944837</v>
      </c>
      <c r="M1768" s="34">
        <f t="shared" si="111"/>
        <v>0.99813258601663157</v>
      </c>
    </row>
    <row r="1769" spans="1:13" ht="27.6">
      <c r="A1769" t="s">
        <v>164</v>
      </c>
      <c r="B1769" t="s">
        <v>112</v>
      </c>
      <c r="C1769" s="14" t="s">
        <v>294</v>
      </c>
      <c r="D1769" t="s">
        <v>112</v>
      </c>
      <c r="E1769" t="s">
        <v>392</v>
      </c>
      <c r="F1769" s="20">
        <v>2043</v>
      </c>
      <c r="G1769" s="20">
        <v>37</v>
      </c>
      <c r="H1769" s="11">
        <v>2033.7448872130999</v>
      </c>
      <c r="I1769" s="10">
        <v>4565228.0188707197</v>
      </c>
      <c r="J1769" s="34">
        <f t="shared" si="108"/>
        <v>4.4548593822837755E-4</v>
      </c>
      <c r="K1769" s="34">
        <f t="shared" si="109"/>
        <v>4.4538672410121549E-4</v>
      </c>
      <c r="L1769" s="34">
        <f t="shared" si="110"/>
        <v>0.99813258601663157</v>
      </c>
      <c r="M1769" s="34">
        <f t="shared" si="111"/>
        <v>0.997688031013927</v>
      </c>
    </row>
    <row r="1770" spans="1:13" ht="27.6">
      <c r="A1770" t="s">
        <v>164</v>
      </c>
      <c r="B1770" t="s">
        <v>112</v>
      </c>
      <c r="C1770" s="14" t="s">
        <v>294</v>
      </c>
      <c r="D1770" t="s">
        <v>112</v>
      </c>
      <c r="E1770" t="s">
        <v>392</v>
      </c>
      <c r="F1770" s="20">
        <v>2043</v>
      </c>
      <c r="G1770" s="20">
        <v>38</v>
      </c>
      <c r="H1770" s="11">
        <v>2162.2694703060301</v>
      </c>
      <c r="I1770" s="10">
        <v>4502755.32383822</v>
      </c>
      <c r="J1770" s="34">
        <f t="shared" si="108"/>
        <v>4.8021029676177863E-4</v>
      </c>
      <c r="K1770" s="34">
        <f t="shared" si="109"/>
        <v>4.8009501425128054E-4</v>
      </c>
      <c r="L1770" s="34">
        <f t="shared" si="110"/>
        <v>0.997688031013927</v>
      </c>
      <c r="M1770" s="34">
        <f t="shared" si="111"/>
        <v>0.99720904596445903</v>
      </c>
    </row>
    <row r="1771" spans="1:13" ht="27.6">
      <c r="A1771" t="s">
        <v>164</v>
      </c>
      <c r="B1771" t="s">
        <v>112</v>
      </c>
      <c r="C1771" s="14" t="s">
        <v>294</v>
      </c>
      <c r="D1771" t="s">
        <v>112</v>
      </c>
      <c r="E1771" t="s">
        <v>392</v>
      </c>
      <c r="F1771" s="20">
        <v>2043</v>
      </c>
      <c r="G1771" s="20">
        <v>39</v>
      </c>
      <c r="H1771" s="11">
        <v>2269.7542708504898</v>
      </c>
      <c r="I1771" s="10">
        <v>4372884.0080510704</v>
      </c>
      <c r="J1771" s="34">
        <f t="shared" si="108"/>
        <v>5.1905201845545536E-4</v>
      </c>
      <c r="K1771" s="34">
        <f t="shared" si="109"/>
        <v>5.1891733426023823E-4</v>
      </c>
      <c r="L1771" s="34">
        <f t="shared" si="110"/>
        <v>0.99720904596445903</v>
      </c>
      <c r="M1771" s="34">
        <f t="shared" si="111"/>
        <v>0.99669157690462695</v>
      </c>
    </row>
    <row r="1772" spans="1:13" ht="27.6">
      <c r="A1772" t="s">
        <v>164</v>
      </c>
      <c r="B1772" t="s">
        <v>112</v>
      </c>
      <c r="C1772" s="14" t="s">
        <v>294</v>
      </c>
      <c r="D1772" t="s">
        <v>112</v>
      </c>
      <c r="E1772" t="s">
        <v>392</v>
      </c>
      <c r="F1772" s="20">
        <v>2043</v>
      </c>
      <c r="G1772" s="20">
        <v>40</v>
      </c>
      <c r="H1772" s="11">
        <v>3005.5903389577402</v>
      </c>
      <c r="I1772" s="10">
        <v>4305230.7989820596</v>
      </c>
      <c r="J1772" s="34">
        <f t="shared" si="108"/>
        <v>6.9812525258074198E-4</v>
      </c>
      <c r="K1772" s="34">
        <f t="shared" si="109"/>
        <v>6.9788161984529751E-4</v>
      </c>
      <c r="L1772" s="34">
        <f t="shared" si="110"/>
        <v>0.99669157690462695</v>
      </c>
      <c r="M1772" s="34">
        <f t="shared" si="111"/>
        <v>0.9959960041724506</v>
      </c>
    </row>
    <row r="1773" spans="1:13" ht="27.6">
      <c r="A1773" t="s">
        <v>164</v>
      </c>
      <c r="B1773" t="s">
        <v>112</v>
      </c>
      <c r="C1773" s="14" t="s">
        <v>294</v>
      </c>
      <c r="D1773" t="s">
        <v>112</v>
      </c>
      <c r="E1773" t="s">
        <v>392</v>
      </c>
      <c r="F1773" s="20">
        <v>2043</v>
      </c>
      <c r="G1773" s="20">
        <v>41</v>
      </c>
      <c r="H1773" s="11">
        <v>3517.1227100629999</v>
      </c>
      <c r="I1773" s="10">
        <v>4278610.9692833796</v>
      </c>
      <c r="J1773" s="34">
        <f t="shared" si="108"/>
        <v>8.2202442225124274E-4</v>
      </c>
      <c r="K1773" s="34">
        <f t="shared" si="109"/>
        <v>8.2168665273374408E-4</v>
      </c>
      <c r="L1773" s="34">
        <f t="shared" si="110"/>
        <v>0.9959960041724506</v>
      </c>
      <c r="M1773" s="34">
        <f t="shared" si="111"/>
        <v>0.9951776075496459</v>
      </c>
    </row>
    <row r="1774" spans="1:13" ht="27.6">
      <c r="A1774" t="s">
        <v>164</v>
      </c>
      <c r="B1774" t="s">
        <v>112</v>
      </c>
      <c r="C1774" s="14" t="s">
        <v>294</v>
      </c>
      <c r="D1774" t="s">
        <v>112</v>
      </c>
      <c r="E1774" t="s">
        <v>392</v>
      </c>
      <c r="F1774" s="20">
        <v>2043</v>
      </c>
      <c r="G1774" s="20">
        <v>42</v>
      </c>
      <c r="H1774" s="11">
        <v>3791.86332132092</v>
      </c>
      <c r="I1774" s="10">
        <v>4254695.6018059803</v>
      </c>
      <c r="J1774" s="34">
        <f t="shared" si="108"/>
        <v>8.9121847394003863E-4</v>
      </c>
      <c r="K1774" s="34">
        <f t="shared" si="109"/>
        <v>8.9082145670771329E-4</v>
      </c>
      <c r="L1774" s="34">
        <f t="shared" si="110"/>
        <v>0.9951776075496459</v>
      </c>
      <c r="M1774" s="34">
        <f t="shared" si="111"/>
        <v>0.99429108198360561</v>
      </c>
    </row>
    <row r="1775" spans="1:13" ht="27.6">
      <c r="A1775" t="s">
        <v>164</v>
      </c>
      <c r="B1775" t="s">
        <v>112</v>
      </c>
      <c r="C1775" s="14" t="s">
        <v>294</v>
      </c>
      <c r="D1775" t="s">
        <v>112</v>
      </c>
      <c r="E1775" t="s">
        <v>392</v>
      </c>
      <c r="F1775" s="20">
        <v>2043</v>
      </c>
      <c r="G1775" s="20">
        <v>43</v>
      </c>
      <c r="H1775" s="11">
        <v>4097.9202832743404</v>
      </c>
      <c r="I1775" s="10">
        <v>4229991.8090252699</v>
      </c>
      <c r="J1775" s="34">
        <f t="shared" si="108"/>
        <v>9.6877735662061171E-4</v>
      </c>
      <c r="K1775" s="34">
        <f t="shared" si="109"/>
        <v>9.6830824333826726E-4</v>
      </c>
      <c r="L1775" s="34">
        <f t="shared" si="110"/>
        <v>0.99429108198360561</v>
      </c>
      <c r="M1775" s="34">
        <f t="shared" si="111"/>
        <v>0.99332830173264319</v>
      </c>
    </row>
    <row r="1776" spans="1:13" ht="27.6">
      <c r="A1776" t="s">
        <v>164</v>
      </c>
      <c r="B1776" t="s">
        <v>112</v>
      </c>
      <c r="C1776" s="14" t="s">
        <v>294</v>
      </c>
      <c r="D1776" t="s">
        <v>112</v>
      </c>
      <c r="E1776" t="s">
        <v>392</v>
      </c>
      <c r="F1776" s="20">
        <v>2043</v>
      </c>
      <c r="G1776" s="20">
        <v>44</v>
      </c>
      <c r="H1776" s="11">
        <v>4479.41266624944</v>
      </c>
      <c r="I1776" s="10">
        <v>4243649.7548579499</v>
      </c>
      <c r="J1776" s="34">
        <f t="shared" si="108"/>
        <v>1.055556637566896E-3</v>
      </c>
      <c r="K1776" s="34">
        <f t="shared" si="109"/>
        <v>1.0549997336244399E-3</v>
      </c>
      <c r="L1776" s="34">
        <f t="shared" si="110"/>
        <v>0.99332830173264319</v>
      </c>
      <c r="M1776" s="34">
        <f t="shared" si="111"/>
        <v>0.99228034063891368</v>
      </c>
    </row>
    <row r="1777" spans="1:13" ht="27.6">
      <c r="A1777" t="s">
        <v>164</v>
      </c>
      <c r="B1777" t="s">
        <v>112</v>
      </c>
      <c r="C1777" s="14" t="s">
        <v>294</v>
      </c>
      <c r="D1777" t="s">
        <v>112</v>
      </c>
      <c r="E1777" t="s">
        <v>392</v>
      </c>
      <c r="F1777" s="20">
        <v>2043</v>
      </c>
      <c r="G1777" s="20">
        <v>45</v>
      </c>
      <c r="H1777" s="11">
        <v>5823.1175965552602</v>
      </c>
      <c r="I1777" s="10">
        <v>4294876.2849686099</v>
      </c>
      <c r="J1777" s="34">
        <f t="shared" si="108"/>
        <v>1.35582894830644E-3</v>
      </c>
      <c r="K1777" s="34">
        <f t="shared" si="109"/>
        <v>1.3549102274942326E-3</v>
      </c>
      <c r="L1777" s="34">
        <f t="shared" si="110"/>
        <v>0.99228034063891368</v>
      </c>
      <c r="M1777" s="34">
        <f t="shared" si="111"/>
        <v>0.99093588985684056</v>
      </c>
    </row>
    <row r="1778" spans="1:13" ht="27.6">
      <c r="A1778" t="s">
        <v>164</v>
      </c>
      <c r="B1778" t="s">
        <v>112</v>
      </c>
      <c r="C1778" s="14" t="s">
        <v>294</v>
      </c>
      <c r="D1778" t="s">
        <v>112</v>
      </c>
      <c r="E1778" t="s">
        <v>392</v>
      </c>
      <c r="F1778" s="20">
        <v>2043</v>
      </c>
      <c r="G1778" s="20">
        <v>46</v>
      </c>
      <c r="H1778" s="11">
        <v>6818.5217118318296</v>
      </c>
      <c r="I1778" s="10">
        <v>4419242.2897190396</v>
      </c>
      <c r="J1778" s="34">
        <f t="shared" si="108"/>
        <v>1.5429164695709245E-3</v>
      </c>
      <c r="K1778" s="34">
        <f t="shared" si="109"/>
        <v>1.5417267858943706E-3</v>
      </c>
      <c r="L1778" s="34">
        <f t="shared" si="110"/>
        <v>0.99093588985684056</v>
      </c>
      <c r="M1778" s="34">
        <f t="shared" si="111"/>
        <v>0.98940813745234424</v>
      </c>
    </row>
    <row r="1779" spans="1:13" ht="27.6">
      <c r="A1779" t="s">
        <v>164</v>
      </c>
      <c r="B1779" t="s">
        <v>112</v>
      </c>
      <c r="C1779" s="14" t="s">
        <v>294</v>
      </c>
      <c r="D1779" t="s">
        <v>112</v>
      </c>
      <c r="E1779" t="s">
        <v>392</v>
      </c>
      <c r="F1779" s="20">
        <v>2043</v>
      </c>
      <c r="G1779" s="20">
        <v>47</v>
      </c>
      <c r="H1779" s="11">
        <v>7371.4594930086196</v>
      </c>
      <c r="I1779" s="10">
        <v>4367738.4937335998</v>
      </c>
      <c r="J1779" s="34">
        <f t="shared" si="108"/>
        <v>1.6877062359810374E-3</v>
      </c>
      <c r="K1779" s="34">
        <f t="shared" si="109"/>
        <v>1.6862828606706293E-3</v>
      </c>
      <c r="L1779" s="34">
        <f t="shared" si="110"/>
        <v>0.98940813745234424</v>
      </c>
      <c r="M1779" s="34">
        <f t="shared" si="111"/>
        <v>0.98773971546795025</v>
      </c>
    </row>
    <row r="1780" spans="1:13" ht="27.6">
      <c r="A1780" t="s">
        <v>164</v>
      </c>
      <c r="B1780" t="s">
        <v>112</v>
      </c>
      <c r="C1780" s="14" t="s">
        <v>294</v>
      </c>
      <c r="D1780" t="s">
        <v>112</v>
      </c>
      <c r="E1780" t="s">
        <v>392</v>
      </c>
      <c r="F1780" s="20">
        <v>2043</v>
      </c>
      <c r="G1780" s="20">
        <v>48</v>
      </c>
      <c r="H1780" s="11">
        <v>7922.9349141718703</v>
      </c>
      <c r="I1780" s="10">
        <v>4286075.7833405398</v>
      </c>
      <c r="J1780" s="34">
        <f t="shared" si="108"/>
        <v>1.8485288909186729E-3</v>
      </c>
      <c r="K1780" s="34">
        <f t="shared" si="109"/>
        <v>1.8468214136574401E-3</v>
      </c>
      <c r="L1780" s="34">
        <f t="shared" si="110"/>
        <v>0.98773971546795025</v>
      </c>
      <c r="M1780" s="34">
        <f t="shared" si="111"/>
        <v>0.98591553661030418</v>
      </c>
    </row>
    <row r="1781" spans="1:13" ht="27.6">
      <c r="A1781" t="s">
        <v>164</v>
      </c>
      <c r="B1781" t="s">
        <v>112</v>
      </c>
      <c r="C1781" s="14" t="s">
        <v>294</v>
      </c>
      <c r="D1781" t="s">
        <v>112</v>
      </c>
      <c r="E1781" t="s">
        <v>392</v>
      </c>
      <c r="F1781" s="20">
        <v>2043</v>
      </c>
      <c r="G1781" s="20">
        <v>49</v>
      </c>
      <c r="H1781" s="11">
        <v>8546.5902581367209</v>
      </c>
      <c r="I1781" s="10">
        <v>4218750.2882682299</v>
      </c>
      <c r="J1781" s="34">
        <f t="shared" si="108"/>
        <v>2.0258582931309359E-3</v>
      </c>
      <c r="K1781" s="34">
        <f t="shared" si="109"/>
        <v>2.0238076272389716E-3</v>
      </c>
      <c r="L1781" s="34">
        <f t="shared" si="110"/>
        <v>0.98591553661030418</v>
      </c>
      <c r="M1781" s="34">
        <f t="shared" si="111"/>
        <v>0.98392023322749889</v>
      </c>
    </row>
    <row r="1782" spans="1:13" ht="27.6">
      <c r="A1782" t="s">
        <v>164</v>
      </c>
      <c r="B1782" t="s">
        <v>112</v>
      </c>
      <c r="C1782" s="14" t="s">
        <v>294</v>
      </c>
      <c r="D1782" t="s">
        <v>112</v>
      </c>
      <c r="E1782" t="s">
        <v>392</v>
      </c>
      <c r="F1782" s="20">
        <v>2043</v>
      </c>
      <c r="G1782" s="20">
        <v>50</v>
      </c>
      <c r="H1782" s="11">
        <v>9633.6918804034303</v>
      </c>
      <c r="I1782" s="10">
        <v>4153884.6395664802</v>
      </c>
      <c r="J1782" s="34">
        <f t="shared" si="108"/>
        <v>2.3192006317750919E-3</v>
      </c>
      <c r="K1782" s="34">
        <f t="shared" si="109"/>
        <v>2.316513363829209E-3</v>
      </c>
      <c r="L1782" s="34">
        <f t="shared" si="110"/>
        <v>0.98392023322749889</v>
      </c>
      <c r="M1782" s="34">
        <f t="shared" si="111"/>
        <v>0.98164096885828545</v>
      </c>
    </row>
    <row r="1783" spans="1:13" ht="27.6">
      <c r="A1783" t="s">
        <v>164</v>
      </c>
      <c r="B1783" t="s">
        <v>112</v>
      </c>
      <c r="C1783" s="14" t="s">
        <v>294</v>
      </c>
      <c r="D1783" t="s">
        <v>112</v>
      </c>
      <c r="E1783" t="s">
        <v>392</v>
      </c>
      <c r="F1783" s="20">
        <v>2043</v>
      </c>
      <c r="G1783" s="20">
        <v>51</v>
      </c>
      <c r="H1783" s="11">
        <v>10579.8354388917</v>
      </c>
      <c r="I1783" s="10">
        <v>4174952.7135061901</v>
      </c>
      <c r="J1783" s="34">
        <f t="shared" si="108"/>
        <v>2.5341210224167042E-3</v>
      </c>
      <c r="K1783" s="34">
        <f t="shared" si="109"/>
        <v>2.5309128482778886E-3</v>
      </c>
      <c r="L1783" s="34">
        <f t="shared" si="110"/>
        <v>0.98164096885828545</v>
      </c>
      <c r="M1783" s="34">
        <f t="shared" si="111"/>
        <v>0.97915652111780604</v>
      </c>
    </row>
    <row r="1784" spans="1:13" ht="27.6">
      <c r="A1784" t="s">
        <v>164</v>
      </c>
      <c r="B1784" t="s">
        <v>112</v>
      </c>
      <c r="C1784" s="14" t="s">
        <v>294</v>
      </c>
      <c r="D1784" t="s">
        <v>112</v>
      </c>
      <c r="E1784" t="s">
        <v>392</v>
      </c>
      <c r="F1784" s="20">
        <v>2043</v>
      </c>
      <c r="G1784" s="20">
        <v>52</v>
      </c>
      <c r="H1784" s="11">
        <v>11561.7498796417</v>
      </c>
      <c r="I1784" s="10">
        <v>4175899.0650596898</v>
      </c>
      <c r="J1784" s="34">
        <f t="shared" si="108"/>
        <v>2.7686851859951359E-3</v>
      </c>
      <c r="K1784" s="34">
        <f t="shared" si="109"/>
        <v>2.7648559119988203E-3</v>
      </c>
      <c r="L1784" s="34">
        <f t="shared" si="110"/>
        <v>0.97915652111780604</v>
      </c>
      <c r="M1784" s="34">
        <f t="shared" si="111"/>
        <v>0.97644929442162132</v>
      </c>
    </row>
    <row r="1785" spans="1:13" ht="27.6">
      <c r="A1785" t="s">
        <v>164</v>
      </c>
      <c r="B1785" t="s">
        <v>112</v>
      </c>
      <c r="C1785" s="14" t="s">
        <v>294</v>
      </c>
      <c r="D1785" t="s">
        <v>112</v>
      </c>
      <c r="E1785" t="s">
        <v>392</v>
      </c>
      <c r="F1785" s="20">
        <v>2043</v>
      </c>
      <c r="G1785" s="20">
        <v>53</v>
      </c>
      <c r="H1785" s="11">
        <v>16816.403984085598</v>
      </c>
      <c r="I1785" s="10">
        <v>6140542.8018618496</v>
      </c>
      <c r="J1785" s="34">
        <f t="shared" si="108"/>
        <v>2.7385859079081354E-3</v>
      </c>
      <c r="K1785" s="34">
        <f t="shared" si="109"/>
        <v>2.7348394023434253E-3</v>
      </c>
      <c r="L1785" s="34">
        <f t="shared" si="110"/>
        <v>0.97644929442162132</v>
      </c>
      <c r="M1785" s="34">
        <f t="shared" si="111"/>
        <v>0.97377886241684664</v>
      </c>
    </row>
    <row r="1786" spans="1:13" ht="27.6">
      <c r="A1786" t="s">
        <v>164</v>
      </c>
      <c r="B1786" t="s">
        <v>112</v>
      </c>
      <c r="C1786" s="14" t="s">
        <v>294</v>
      </c>
      <c r="D1786" t="s">
        <v>112</v>
      </c>
      <c r="E1786" t="s">
        <v>392</v>
      </c>
      <c r="F1786" s="20">
        <v>2043</v>
      </c>
      <c r="G1786" s="20">
        <v>54</v>
      </c>
      <c r="H1786" s="11">
        <v>13484.575684297501</v>
      </c>
      <c r="I1786" s="10">
        <v>4099174.0517465998</v>
      </c>
      <c r="J1786" s="34">
        <f t="shared" si="108"/>
        <v>3.2895835878332404E-3</v>
      </c>
      <c r="K1786" s="34">
        <f t="shared" si="109"/>
        <v>3.2841788358279889E-3</v>
      </c>
      <c r="L1786" s="34">
        <f t="shared" si="110"/>
        <v>0.97377886241684664</v>
      </c>
      <c r="M1786" s="34">
        <f t="shared" si="111"/>
        <v>0.97058079848612056</v>
      </c>
    </row>
    <row r="1787" spans="1:13" ht="27.6">
      <c r="A1787" t="s">
        <v>164</v>
      </c>
      <c r="B1787" t="s">
        <v>112</v>
      </c>
      <c r="C1787" s="14" t="s">
        <v>294</v>
      </c>
      <c r="D1787" t="s">
        <v>112</v>
      </c>
      <c r="E1787" t="s">
        <v>392</v>
      </c>
      <c r="F1787" s="20">
        <v>2043</v>
      </c>
      <c r="G1787" s="20">
        <v>55</v>
      </c>
      <c r="H1787" s="11">
        <v>14374.328170099199</v>
      </c>
      <c r="I1787" s="10">
        <v>4062203.73381782</v>
      </c>
      <c r="J1787" s="34">
        <f t="shared" si="108"/>
        <v>3.5385542213043158E-3</v>
      </c>
      <c r="K1787" s="34">
        <f t="shared" si="109"/>
        <v>3.5323009163764629E-3</v>
      </c>
      <c r="L1787" s="34">
        <f t="shared" si="110"/>
        <v>0.97058079848612056</v>
      </c>
      <c r="M1787" s="34">
        <f t="shared" si="111"/>
        <v>0.96715241504221061</v>
      </c>
    </row>
    <row r="1788" spans="1:13" ht="27.6">
      <c r="A1788" t="s">
        <v>164</v>
      </c>
      <c r="B1788" t="s">
        <v>112</v>
      </c>
      <c r="C1788" s="14" t="s">
        <v>294</v>
      </c>
      <c r="D1788" t="s">
        <v>112</v>
      </c>
      <c r="E1788" t="s">
        <v>392</v>
      </c>
      <c r="F1788" s="20">
        <v>2043</v>
      </c>
      <c r="G1788" s="20">
        <v>56</v>
      </c>
      <c r="H1788" s="11">
        <v>15095.016909112899</v>
      </c>
      <c r="I1788" s="10">
        <v>3915227.7417417499</v>
      </c>
      <c r="J1788" s="34">
        <f t="shared" si="108"/>
        <v>3.8554633101362443E-3</v>
      </c>
      <c r="K1788" s="34">
        <f t="shared" si="109"/>
        <v>3.8480405539205176E-3</v>
      </c>
      <c r="L1788" s="34">
        <f t="shared" si="110"/>
        <v>0.96715241504221061</v>
      </c>
      <c r="M1788" s="34">
        <f t="shared" si="111"/>
        <v>0.96343077332730598</v>
      </c>
    </row>
    <row r="1789" spans="1:13" ht="27.6">
      <c r="A1789" t="s">
        <v>164</v>
      </c>
      <c r="B1789" t="s">
        <v>112</v>
      </c>
      <c r="C1789" s="14" t="s">
        <v>294</v>
      </c>
      <c r="D1789" t="s">
        <v>112</v>
      </c>
      <c r="E1789" t="s">
        <v>392</v>
      </c>
      <c r="F1789" s="20">
        <v>2043</v>
      </c>
      <c r="G1789" s="20">
        <v>57</v>
      </c>
      <c r="H1789" s="11">
        <v>16220.3172511005</v>
      </c>
      <c r="I1789" s="10">
        <v>3858762.2123175901</v>
      </c>
      <c r="J1789" s="34">
        <f t="shared" si="108"/>
        <v>4.2035026670789602E-3</v>
      </c>
      <c r="K1789" s="34">
        <f t="shared" si="109"/>
        <v>4.1946803156643897E-3</v>
      </c>
      <c r="L1789" s="34">
        <f t="shared" si="110"/>
        <v>0.96343077332730598</v>
      </c>
      <c r="M1789" s="34">
        <f t="shared" si="111"/>
        <v>0.95938948922692457</v>
      </c>
    </row>
    <row r="1790" spans="1:13" ht="27.6">
      <c r="A1790" t="s">
        <v>164</v>
      </c>
      <c r="B1790" t="s">
        <v>112</v>
      </c>
      <c r="C1790" s="14" t="s">
        <v>294</v>
      </c>
      <c r="D1790" t="s">
        <v>112</v>
      </c>
      <c r="E1790" t="s">
        <v>392</v>
      </c>
      <c r="F1790" s="20">
        <v>2043</v>
      </c>
      <c r="G1790" s="20">
        <v>58</v>
      </c>
      <c r="H1790" s="11">
        <v>17845.095612452398</v>
      </c>
      <c r="I1790" s="10">
        <v>3886962.5050906399</v>
      </c>
      <c r="J1790" s="34">
        <f t="shared" si="108"/>
        <v>4.5910130568744111E-3</v>
      </c>
      <c r="K1790" s="34">
        <f t="shared" si="109"/>
        <v>4.5804904657069656E-3</v>
      </c>
      <c r="L1790" s="34">
        <f t="shared" si="110"/>
        <v>0.95938948922692457</v>
      </c>
      <c r="M1790" s="34">
        <f t="shared" si="111"/>
        <v>0.95499501481862115</v>
      </c>
    </row>
    <row r="1791" spans="1:13" ht="27.6">
      <c r="A1791" t="s">
        <v>164</v>
      </c>
      <c r="B1791" t="s">
        <v>112</v>
      </c>
      <c r="C1791" s="14" t="s">
        <v>294</v>
      </c>
      <c r="D1791" t="s">
        <v>112</v>
      </c>
      <c r="E1791" t="s">
        <v>392</v>
      </c>
      <c r="F1791" s="20">
        <v>2043</v>
      </c>
      <c r="G1791" s="20">
        <v>59</v>
      </c>
      <c r="H1791" s="11">
        <v>19759.568195534099</v>
      </c>
      <c r="I1791" s="10">
        <v>3935079.1336670099</v>
      </c>
      <c r="J1791" s="34">
        <f t="shared" si="108"/>
        <v>5.0213903010180661E-3</v>
      </c>
      <c r="K1791" s="34">
        <f t="shared" si="109"/>
        <v>5.0088041961344754E-3</v>
      </c>
      <c r="L1791" s="34">
        <f t="shared" si="110"/>
        <v>0.95499501481862115</v>
      </c>
      <c r="M1791" s="34">
        <f t="shared" si="111"/>
        <v>0.95021163178111012</v>
      </c>
    </row>
    <row r="1792" spans="1:13" ht="27.6">
      <c r="A1792" t="s">
        <v>164</v>
      </c>
      <c r="B1792" t="s">
        <v>112</v>
      </c>
      <c r="C1792" s="14" t="s">
        <v>294</v>
      </c>
      <c r="D1792" t="s">
        <v>112</v>
      </c>
      <c r="E1792" t="s">
        <v>392</v>
      </c>
      <c r="F1792" s="20">
        <v>2043</v>
      </c>
      <c r="G1792" s="20">
        <v>60</v>
      </c>
      <c r="H1792" s="11">
        <v>21160.106787745899</v>
      </c>
      <c r="I1792" s="10">
        <v>3880514.0859118002</v>
      </c>
      <c r="J1792" s="34">
        <f t="shared" si="108"/>
        <v>5.4529132788275741E-3</v>
      </c>
      <c r="K1792" s="34">
        <f t="shared" si="109"/>
        <v>5.4380731334756627E-3</v>
      </c>
      <c r="L1792" s="34">
        <f t="shared" si="110"/>
        <v>0.95021163178111012</v>
      </c>
      <c r="M1792" s="34">
        <f t="shared" si="111"/>
        <v>0.94504431143520518</v>
      </c>
    </row>
    <row r="1793" spans="1:13" ht="27.6">
      <c r="A1793" t="s">
        <v>164</v>
      </c>
      <c r="B1793" t="s">
        <v>112</v>
      </c>
      <c r="C1793" s="14" t="s">
        <v>294</v>
      </c>
      <c r="D1793" t="s">
        <v>112</v>
      </c>
      <c r="E1793" t="s">
        <v>392</v>
      </c>
      <c r="F1793" s="20">
        <v>2043</v>
      </c>
      <c r="G1793" s="20">
        <v>61</v>
      </c>
      <c r="H1793" s="11">
        <v>22269.792713674498</v>
      </c>
      <c r="I1793" s="10">
        <v>3721917.84731788</v>
      </c>
      <c r="J1793" s="34">
        <f t="shared" si="108"/>
        <v>5.9834186640424494E-3</v>
      </c>
      <c r="K1793" s="34">
        <f t="shared" si="109"/>
        <v>5.9655536636061823E-3</v>
      </c>
      <c r="L1793" s="34">
        <f t="shared" si="110"/>
        <v>0.94504431143520518</v>
      </c>
      <c r="M1793" s="34">
        <f t="shared" si="111"/>
        <v>0.93940659888085265</v>
      </c>
    </row>
    <row r="1794" spans="1:13" ht="27.6">
      <c r="A1794" t="s">
        <v>164</v>
      </c>
      <c r="B1794" t="s">
        <v>112</v>
      </c>
      <c r="C1794" s="14" t="s">
        <v>294</v>
      </c>
      <c r="D1794" t="s">
        <v>112</v>
      </c>
      <c r="E1794" t="s">
        <v>392</v>
      </c>
      <c r="F1794" s="20">
        <v>2043</v>
      </c>
      <c r="G1794" s="20">
        <v>62</v>
      </c>
      <c r="H1794" s="11">
        <v>23746.378986236701</v>
      </c>
      <c r="I1794" s="10">
        <v>3618636.8156039501</v>
      </c>
      <c r="J1794" s="34">
        <f t="shared" ref="J1794:J1857" si="112">IF(I1794&gt;0,H1794/I1794,0)</f>
        <v>6.5622443467771531E-3</v>
      </c>
      <c r="K1794" s="34">
        <f t="shared" ref="K1794:K1857" si="113">1-EXP(-J1794)</f>
        <v>6.5407598425543112E-3</v>
      </c>
      <c r="L1794" s="34">
        <f t="shared" ref="L1794:L1857" si="114">IF(G1794=30,1,M1793)</f>
        <v>0.93940659888085265</v>
      </c>
      <c r="M1794" s="34">
        <f t="shared" ref="M1794:M1857" si="115">L1794*(1-K1794)</f>
        <v>0.93326216592306221</v>
      </c>
    </row>
    <row r="1795" spans="1:13" ht="27.6">
      <c r="A1795" t="s">
        <v>164</v>
      </c>
      <c r="B1795" t="s">
        <v>112</v>
      </c>
      <c r="C1795" s="14" t="s">
        <v>294</v>
      </c>
      <c r="D1795" t="s">
        <v>112</v>
      </c>
      <c r="E1795" t="s">
        <v>392</v>
      </c>
      <c r="F1795" s="20">
        <v>2043</v>
      </c>
      <c r="G1795" s="20">
        <v>63</v>
      </c>
      <c r="H1795" s="11">
        <v>25390.324362499901</v>
      </c>
      <c r="I1795" s="10">
        <v>3527496.6381854201</v>
      </c>
      <c r="J1795" s="34">
        <f t="shared" si="112"/>
        <v>7.1978309171574269E-3</v>
      </c>
      <c r="K1795" s="34">
        <f t="shared" si="113"/>
        <v>7.1719885723170451E-3</v>
      </c>
      <c r="L1795" s="34">
        <f t="shared" si="114"/>
        <v>0.93326216592306221</v>
      </c>
      <c r="M1795" s="34">
        <f t="shared" si="115"/>
        <v>0.92656882033408616</v>
      </c>
    </row>
    <row r="1796" spans="1:13" ht="27.6">
      <c r="A1796" t="s">
        <v>164</v>
      </c>
      <c r="B1796" t="s">
        <v>112</v>
      </c>
      <c r="C1796" s="14" t="s">
        <v>294</v>
      </c>
      <c r="D1796" t="s">
        <v>112</v>
      </c>
      <c r="E1796" t="s">
        <v>392</v>
      </c>
      <c r="F1796" s="20">
        <v>2043</v>
      </c>
      <c r="G1796" s="20">
        <v>64</v>
      </c>
      <c r="H1796" s="11">
        <v>27071.107106863201</v>
      </c>
      <c r="I1796" s="10">
        <v>3429408.6843964602</v>
      </c>
      <c r="J1796" s="34">
        <f t="shared" si="112"/>
        <v>7.8938119070015213E-3</v>
      </c>
      <c r="K1796" s="34">
        <f t="shared" si="113"/>
        <v>7.8627375924793519E-3</v>
      </c>
      <c r="L1796" s="34">
        <f t="shared" si="114"/>
        <v>0.92656882033408616</v>
      </c>
      <c r="M1796" s="34">
        <f t="shared" si="115"/>
        <v>0.91928345283842605</v>
      </c>
    </row>
    <row r="1797" spans="1:13" ht="27.6">
      <c r="A1797" t="s">
        <v>164</v>
      </c>
      <c r="B1797" t="s">
        <v>112</v>
      </c>
      <c r="C1797" s="14" t="s">
        <v>294</v>
      </c>
      <c r="D1797" t="s">
        <v>112</v>
      </c>
      <c r="E1797" t="s">
        <v>392</v>
      </c>
      <c r="F1797" s="20">
        <v>2043</v>
      </c>
      <c r="G1797" s="20">
        <v>65</v>
      </c>
      <c r="H1797" s="11">
        <v>27400.888132054901</v>
      </c>
      <c r="I1797" s="10">
        <v>3312472.5393846501</v>
      </c>
      <c r="J1797" s="34">
        <f t="shared" si="112"/>
        <v>8.2720348036893002E-3</v>
      </c>
      <c r="K1797" s="34">
        <f t="shared" si="113"/>
        <v>8.2379156668375142E-3</v>
      </c>
      <c r="L1797" s="34">
        <f t="shared" si="114"/>
        <v>0.91928345283842605</v>
      </c>
      <c r="M1797" s="34">
        <f t="shared" si="115"/>
        <v>0.91171047328002386</v>
      </c>
    </row>
    <row r="1798" spans="1:13" ht="27.6">
      <c r="A1798" t="s">
        <v>164</v>
      </c>
      <c r="B1798" t="s">
        <v>112</v>
      </c>
      <c r="C1798" s="14" t="s">
        <v>294</v>
      </c>
      <c r="D1798" t="s">
        <v>112</v>
      </c>
      <c r="E1798" t="s">
        <v>392</v>
      </c>
      <c r="F1798" s="20">
        <v>2043</v>
      </c>
      <c r="G1798" s="20">
        <v>66</v>
      </c>
      <c r="H1798" s="11">
        <v>29158.590025196099</v>
      </c>
      <c r="I1798" s="10">
        <v>3208275.8231586502</v>
      </c>
      <c r="J1798" s="34">
        <f t="shared" si="112"/>
        <v>9.0885546107717548E-3</v>
      </c>
      <c r="K1798" s="34">
        <f t="shared" si="113"/>
        <v>9.0473785364031389E-3</v>
      </c>
      <c r="L1798" s="34">
        <f t="shared" si="114"/>
        <v>0.91171047328002386</v>
      </c>
      <c r="M1798" s="34">
        <f t="shared" si="115"/>
        <v>0.90346188351265622</v>
      </c>
    </row>
    <row r="1799" spans="1:13" ht="27.6">
      <c r="A1799" t="s">
        <v>164</v>
      </c>
      <c r="B1799" t="s">
        <v>112</v>
      </c>
      <c r="C1799" s="14" t="s">
        <v>294</v>
      </c>
      <c r="D1799" t="s">
        <v>112</v>
      </c>
      <c r="E1799" t="s">
        <v>392</v>
      </c>
      <c r="F1799" s="20">
        <v>2043</v>
      </c>
      <c r="G1799" s="20">
        <v>67</v>
      </c>
      <c r="H1799" s="11">
        <v>30850.4480612521</v>
      </c>
      <c r="I1799" s="10">
        <v>3092040.0959407398</v>
      </c>
      <c r="J1799" s="34">
        <f t="shared" si="112"/>
        <v>9.9773764582654877E-3</v>
      </c>
      <c r="K1799" s="34">
        <f t="shared" si="113"/>
        <v>9.9277675637310381E-3</v>
      </c>
      <c r="L1799" s="34">
        <f t="shared" si="114"/>
        <v>0.90346188351265622</v>
      </c>
      <c r="M1799" s="34">
        <f t="shared" si="115"/>
        <v>0.89449252393045187</v>
      </c>
    </row>
    <row r="1800" spans="1:13" ht="27.6">
      <c r="A1800" t="s">
        <v>164</v>
      </c>
      <c r="B1800" t="s">
        <v>112</v>
      </c>
      <c r="C1800" s="14" t="s">
        <v>294</v>
      </c>
      <c r="D1800" t="s">
        <v>112</v>
      </c>
      <c r="E1800" t="s">
        <v>392</v>
      </c>
      <c r="F1800" s="20">
        <v>2043</v>
      </c>
      <c r="G1800" s="20">
        <v>68</v>
      </c>
      <c r="H1800" s="11">
        <v>32587.674273433298</v>
      </c>
      <c r="I1800" s="10">
        <v>2973310.98495842</v>
      </c>
      <c r="J1800" s="34">
        <f t="shared" si="112"/>
        <v>1.0960062515589508E-2</v>
      </c>
      <c r="K1800" s="34">
        <f t="shared" si="113"/>
        <v>1.0900219856379234E-2</v>
      </c>
      <c r="L1800" s="34">
        <f t="shared" si="114"/>
        <v>0.89449252393045187</v>
      </c>
      <c r="M1800" s="34">
        <f t="shared" si="115"/>
        <v>0.8847423587597224</v>
      </c>
    </row>
    <row r="1801" spans="1:13" ht="27.6">
      <c r="A1801" t="s">
        <v>164</v>
      </c>
      <c r="B1801" t="s">
        <v>112</v>
      </c>
      <c r="C1801" s="14" t="s">
        <v>294</v>
      </c>
      <c r="D1801" t="s">
        <v>112</v>
      </c>
      <c r="E1801" t="s">
        <v>392</v>
      </c>
      <c r="F1801" s="20">
        <v>2043</v>
      </c>
      <c r="G1801" s="20">
        <v>69</v>
      </c>
      <c r="H1801" s="11">
        <v>34111.4575079735</v>
      </c>
      <c r="I1801" s="10">
        <v>2830667.4425535998</v>
      </c>
      <c r="J1801" s="34">
        <f t="shared" si="112"/>
        <v>1.205067645714005E-2</v>
      </c>
      <c r="K1801" s="34">
        <f t="shared" si="113"/>
        <v>1.1978357843163923E-2</v>
      </c>
      <c r="L1801" s="34">
        <f t="shared" si="114"/>
        <v>0.8847423587597224</v>
      </c>
      <c r="M1801" s="34">
        <f t="shared" si="115"/>
        <v>0.87414459818749357</v>
      </c>
    </row>
    <row r="1802" spans="1:13" ht="27.6">
      <c r="A1802" t="s">
        <v>164</v>
      </c>
      <c r="B1802" t="s">
        <v>112</v>
      </c>
      <c r="C1802" s="14" t="s">
        <v>294</v>
      </c>
      <c r="D1802" t="s">
        <v>112</v>
      </c>
      <c r="E1802" t="s">
        <v>392</v>
      </c>
      <c r="F1802" s="20">
        <v>2044</v>
      </c>
      <c r="G1802" s="20">
        <v>30</v>
      </c>
      <c r="H1802" s="11">
        <v>750.99859116293203</v>
      </c>
      <c r="I1802" s="10">
        <v>4714189.1760848202</v>
      </c>
      <c r="J1802" s="34">
        <f t="shared" si="112"/>
        <v>1.5930599369511168E-4</v>
      </c>
      <c r="K1802" s="34">
        <f t="shared" si="113"/>
        <v>1.5929330516906148E-4</v>
      </c>
      <c r="L1802" s="34">
        <f t="shared" si="114"/>
        <v>1</v>
      </c>
      <c r="M1802" s="34">
        <f t="shared" si="115"/>
        <v>0.99984070669483094</v>
      </c>
    </row>
    <row r="1803" spans="1:13" ht="27.6">
      <c r="A1803" t="s">
        <v>164</v>
      </c>
      <c r="B1803" t="s">
        <v>112</v>
      </c>
      <c r="C1803" s="14" t="s">
        <v>294</v>
      </c>
      <c r="D1803" t="s">
        <v>112</v>
      </c>
      <c r="E1803" t="s">
        <v>392</v>
      </c>
      <c r="F1803" s="20">
        <v>2044</v>
      </c>
      <c r="G1803" s="20">
        <v>31</v>
      </c>
      <c r="H1803" s="11">
        <v>1008.31734090714</v>
      </c>
      <c r="I1803" s="10">
        <v>4782350.7381476099</v>
      </c>
      <c r="J1803" s="34">
        <f t="shared" si="112"/>
        <v>2.1084136152207448E-4</v>
      </c>
      <c r="K1803" s="34">
        <f t="shared" si="113"/>
        <v>2.1081913604426017E-4</v>
      </c>
      <c r="L1803" s="34">
        <f t="shared" si="114"/>
        <v>0.99984070669483094</v>
      </c>
      <c r="M1803" s="34">
        <f t="shared" si="115"/>
        <v>0.99962992114086369</v>
      </c>
    </row>
    <row r="1804" spans="1:13" ht="27.6">
      <c r="A1804" t="s">
        <v>164</v>
      </c>
      <c r="B1804" t="s">
        <v>112</v>
      </c>
      <c r="C1804" s="14" t="s">
        <v>294</v>
      </c>
      <c r="D1804" t="s">
        <v>112</v>
      </c>
      <c r="E1804" t="s">
        <v>392</v>
      </c>
      <c r="F1804" s="20">
        <v>2044</v>
      </c>
      <c r="G1804" s="20">
        <v>32</v>
      </c>
      <c r="H1804" s="11">
        <v>1130.22262649711</v>
      </c>
      <c r="I1804" s="10">
        <v>4895246.6421726802</v>
      </c>
      <c r="J1804" s="34">
        <f t="shared" si="112"/>
        <v>2.3088165093873147E-4</v>
      </c>
      <c r="K1804" s="34">
        <f t="shared" si="113"/>
        <v>2.3085499982145041E-4</v>
      </c>
      <c r="L1804" s="34">
        <f t="shared" si="114"/>
        <v>0.99962992114086369</v>
      </c>
      <c r="M1804" s="34">
        <f t="shared" si="115"/>
        <v>0.99939915157559722</v>
      </c>
    </row>
    <row r="1805" spans="1:13" ht="27.6">
      <c r="A1805" t="s">
        <v>164</v>
      </c>
      <c r="B1805" t="s">
        <v>112</v>
      </c>
      <c r="C1805" s="14" t="s">
        <v>294</v>
      </c>
      <c r="D1805" t="s">
        <v>112</v>
      </c>
      <c r="E1805" t="s">
        <v>392</v>
      </c>
      <c r="F1805" s="20">
        <v>2044</v>
      </c>
      <c r="G1805" s="20">
        <v>33</v>
      </c>
      <c r="H1805" s="11">
        <v>1189.2661004520701</v>
      </c>
      <c r="I1805" s="10">
        <v>4867014.0859196996</v>
      </c>
      <c r="J1805" s="34">
        <f t="shared" si="112"/>
        <v>2.4435230296386936E-4</v>
      </c>
      <c r="K1805" s="34">
        <f t="shared" si="113"/>
        <v>2.4432245137140374E-4</v>
      </c>
      <c r="L1805" s="34">
        <f t="shared" si="114"/>
        <v>0.99939915157559722</v>
      </c>
      <c r="M1805" s="34">
        <f t="shared" si="115"/>
        <v>0.99915497592498581</v>
      </c>
    </row>
    <row r="1806" spans="1:13" ht="27.6">
      <c r="A1806" t="s">
        <v>164</v>
      </c>
      <c r="B1806" t="s">
        <v>112</v>
      </c>
      <c r="C1806" s="14" t="s">
        <v>294</v>
      </c>
      <c r="D1806" t="s">
        <v>112</v>
      </c>
      <c r="E1806" t="s">
        <v>392</v>
      </c>
      <c r="F1806" s="20">
        <v>2044</v>
      </c>
      <c r="G1806" s="20">
        <v>34</v>
      </c>
      <c r="H1806" s="11">
        <v>1231.3843576787301</v>
      </c>
      <c r="I1806" s="10">
        <v>4733092.4972584797</v>
      </c>
      <c r="J1806" s="34">
        <f t="shared" si="112"/>
        <v>2.6016486227386793E-4</v>
      </c>
      <c r="K1806" s="34">
        <f t="shared" si="113"/>
        <v>2.6013102233080065E-4</v>
      </c>
      <c r="L1806" s="34">
        <f t="shared" si="114"/>
        <v>0.99915497592498581</v>
      </c>
      <c r="M1806" s="34">
        <f t="shared" si="115"/>
        <v>0.99889506471963152</v>
      </c>
    </row>
    <row r="1807" spans="1:13" ht="27.6">
      <c r="A1807" t="s">
        <v>164</v>
      </c>
      <c r="B1807" t="s">
        <v>112</v>
      </c>
      <c r="C1807" s="14" t="s">
        <v>294</v>
      </c>
      <c r="D1807" t="s">
        <v>112</v>
      </c>
      <c r="E1807" t="s">
        <v>392</v>
      </c>
      <c r="F1807" s="20">
        <v>2044</v>
      </c>
      <c r="G1807" s="20">
        <v>35</v>
      </c>
      <c r="H1807" s="11">
        <v>1593.74479814912</v>
      </c>
      <c r="I1807" s="10">
        <v>4661841.33598682</v>
      </c>
      <c r="J1807" s="34">
        <f t="shared" si="112"/>
        <v>3.4187023609025415E-4</v>
      </c>
      <c r="K1807" s="34">
        <f t="shared" si="113"/>
        <v>3.4181180511994036E-4</v>
      </c>
      <c r="L1807" s="34">
        <f t="shared" si="114"/>
        <v>0.99889506471963152</v>
      </c>
      <c r="M1807" s="34">
        <f t="shared" si="115"/>
        <v>0.99855363059443425</v>
      </c>
    </row>
    <row r="1808" spans="1:13" ht="27.6">
      <c r="A1808" t="s">
        <v>164</v>
      </c>
      <c r="B1808" t="s">
        <v>112</v>
      </c>
      <c r="C1808" s="14" t="s">
        <v>294</v>
      </c>
      <c r="D1808" t="s">
        <v>112</v>
      </c>
      <c r="E1808" t="s">
        <v>392</v>
      </c>
      <c r="F1808" s="20">
        <v>2044</v>
      </c>
      <c r="G1808" s="20">
        <v>36</v>
      </c>
      <c r="H1808" s="11">
        <v>1854.6222834246</v>
      </c>
      <c r="I1808" s="10">
        <v>4618046.1919822097</v>
      </c>
      <c r="J1808" s="34">
        <f t="shared" si="112"/>
        <v>4.0160323355893895E-4</v>
      </c>
      <c r="K1808" s="34">
        <f t="shared" si="113"/>
        <v>4.0152260177472865E-4</v>
      </c>
      <c r="L1808" s="34">
        <f t="shared" si="114"/>
        <v>0.99855363059443425</v>
      </c>
      <c r="M1808" s="34">
        <f t="shared" si="115"/>
        <v>0.99815268874266638</v>
      </c>
    </row>
    <row r="1809" spans="1:13" ht="27.6">
      <c r="A1809" t="s">
        <v>164</v>
      </c>
      <c r="B1809" t="s">
        <v>112</v>
      </c>
      <c r="C1809" s="14" t="s">
        <v>294</v>
      </c>
      <c r="D1809" t="s">
        <v>112</v>
      </c>
      <c r="E1809" t="s">
        <v>392</v>
      </c>
      <c r="F1809" s="20">
        <v>2044</v>
      </c>
      <c r="G1809" s="20">
        <v>37</v>
      </c>
      <c r="H1809" s="11">
        <v>2062.5435103258401</v>
      </c>
      <c r="I1809" s="10">
        <v>4642253.7403010698</v>
      </c>
      <c r="J1809" s="34">
        <f t="shared" si="112"/>
        <v>4.4429788325014638E-4</v>
      </c>
      <c r="K1809" s="34">
        <f t="shared" si="113"/>
        <v>4.4419919756144566E-4</v>
      </c>
      <c r="L1809" s="34">
        <f t="shared" si="114"/>
        <v>0.99815268874266638</v>
      </c>
      <c r="M1809" s="34">
        <f t="shared" si="115"/>
        <v>0.9977093101192831</v>
      </c>
    </row>
    <row r="1810" spans="1:13" ht="27.6">
      <c r="A1810" t="s">
        <v>164</v>
      </c>
      <c r="B1810" t="s">
        <v>112</v>
      </c>
      <c r="C1810" s="14" t="s">
        <v>294</v>
      </c>
      <c r="D1810" t="s">
        <v>112</v>
      </c>
      <c r="E1810" t="s">
        <v>392</v>
      </c>
      <c r="F1810" s="20">
        <v>2044</v>
      </c>
      <c r="G1810" s="20">
        <v>38</v>
      </c>
      <c r="H1810" s="11">
        <v>2182.4741145758499</v>
      </c>
      <c r="I1810" s="10">
        <v>4557907.2206382398</v>
      </c>
      <c r="J1810" s="34">
        <f t="shared" si="112"/>
        <v>4.7883250117369434E-4</v>
      </c>
      <c r="K1810" s="34">
        <f t="shared" si="113"/>
        <v>4.7871787918729591E-4</v>
      </c>
      <c r="L1810" s="34">
        <f t="shared" si="114"/>
        <v>0.9977093101192831</v>
      </c>
      <c r="M1810" s="34">
        <f t="shared" si="115"/>
        <v>0.99723168883429736</v>
      </c>
    </row>
    <row r="1811" spans="1:13" ht="27.6">
      <c r="A1811" t="s">
        <v>164</v>
      </c>
      <c r="B1811" t="s">
        <v>112</v>
      </c>
      <c r="C1811" s="14" t="s">
        <v>294</v>
      </c>
      <c r="D1811" t="s">
        <v>112</v>
      </c>
      <c r="E1811" t="s">
        <v>392</v>
      </c>
      <c r="F1811" s="20">
        <v>2044</v>
      </c>
      <c r="G1811" s="20">
        <v>39</v>
      </c>
      <c r="H1811" s="11">
        <v>2325.9956446543601</v>
      </c>
      <c r="I1811" s="10">
        <v>4495015.7002090104</v>
      </c>
      <c r="J1811" s="34">
        <f t="shared" si="112"/>
        <v>5.1746107239318551E-4</v>
      </c>
      <c r="K1811" s="34">
        <f t="shared" si="113"/>
        <v>5.1732721250252744E-4</v>
      </c>
      <c r="L1811" s="34">
        <f t="shared" si="114"/>
        <v>0.99723168883429736</v>
      </c>
      <c r="M1811" s="34">
        <f t="shared" si="115"/>
        <v>0.99671579374449348</v>
      </c>
    </row>
    <row r="1812" spans="1:13" ht="27.6">
      <c r="A1812" t="s">
        <v>164</v>
      </c>
      <c r="B1812" t="s">
        <v>112</v>
      </c>
      <c r="C1812" s="14" t="s">
        <v>294</v>
      </c>
      <c r="D1812" t="s">
        <v>112</v>
      </c>
      <c r="E1812" t="s">
        <v>392</v>
      </c>
      <c r="F1812" s="20">
        <v>2044</v>
      </c>
      <c r="G1812" s="20">
        <v>40</v>
      </c>
      <c r="H1812" s="11">
        <v>3035.7797485167598</v>
      </c>
      <c r="I1812" s="10">
        <v>4364803.4728745902</v>
      </c>
      <c r="J1812" s="34">
        <f t="shared" si="112"/>
        <v>6.9551350189827525E-4</v>
      </c>
      <c r="K1812" s="34">
        <f t="shared" si="113"/>
        <v>6.952716884474075E-4</v>
      </c>
      <c r="L1812" s="34">
        <f t="shared" si="114"/>
        <v>0.99671579374449348</v>
      </c>
      <c r="M1812" s="34">
        <f t="shared" si="115"/>
        <v>0.99602280547167454</v>
      </c>
    </row>
    <row r="1813" spans="1:13" ht="27.6">
      <c r="A1813" t="s">
        <v>164</v>
      </c>
      <c r="B1813" t="s">
        <v>112</v>
      </c>
      <c r="C1813" s="14" t="s">
        <v>294</v>
      </c>
      <c r="D1813" t="s">
        <v>112</v>
      </c>
      <c r="E1813" t="s">
        <v>392</v>
      </c>
      <c r="F1813" s="20">
        <v>2044</v>
      </c>
      <c r="G1813" s="20">
        <v>41</v>
      </c>
      <c r="H1813" s="11">
        <v>3370.81143862004</v>
      </c>
      <c r="I1813" s="10">
        <v>4296004.5738201803</v>
      </c>
      <c r="J1813" s="34">
        <f t="shared" si="112"/>
        <v>7.8463869874853944E-4</v>
      </c>
      <c r="K1813" s="34">
        <f t="shared" si="113"/>
        <v>7.843309503005047E-4</v>
      </c>
      <c r="L1813" s="34">
        <f t="shared" si="114"/>
        <v>0.99602280547167454</v>
      </c>
      <c r="M1813" s="34">
        <f t="shared" si="115"/>
        <v>0.99524159395813794</v>
      </c>
    </row>
    <row r="1814" spans="1:13" ht="27.6">
      <c r="A1814" t="s">
        <v>164</v>
      </c>
      <c r="B1814" t="s">
        <v>112</v>
      </c>
      <c r="C1814" s="14" t="s">
        <v>294</v>
      </c>
      <c r="D1814" t="s">
        <v>112</v>
      </c>
      <c r="E1814" t="s">
        <v>392</v>
      </c>
      <c r="F1814" s="20">
        <v>2044</v>
      </c>
      <c r="G1814" s="20">
        <v>42</v>
      </c>
      <c r="H1814" s="11">
        <v>3786.5081820446999</v>
      </c>
      <c r="I1814" s="10">
        <v>4269123.8860213701</v>
      </c>
      <c r="J1814" s="34">
        <f t="shared" si="112"/>
        <v>8.8695204991428667E-4</v>
      </c>
      <c r="K1814" s="34">
        <f t="shared" si="113"/>
        <v>8.8655882421084797E-4</v>
      </c>
      <c r="L1814" s="34">
        <f t="shared" si="114"/>
        <v>0.99524159395813794</v>
      </c>
      <c r="M1814" s="34">
        <f t="shared" si="115"/>
        <v>0.9943592537407927</v>
      </c>
    </row>
    <row r="1815" spans="1:13" ht="27.6">
      <c r="A1815" t="s">
        <v>164</v>
      </c>
      <c r="B1815" t="s">
        <v>112</v>
      </c>
      <c r="C1815" s="14" t="s">
        <v>294</v>
      </c>
      <c r="D1815" t="s">
        <v>112</v>
      </c>
      <c r="E1815" t="s">
        <v>392</v>
      </c>
      <c r="F1815" s="20">
        <v>2044</v>
      </c>
      <c r="G1815" s="20">
        <v>43</v>
      </c>
      <c r="H1815" s="11">
        <v>4090.0826454527401</v>
      </c>
      <c r="I1815" s="10">
        <v>4244495.9692178601</v>
      </c>
      <c r="J1815" s="34">
        <f t="shared" si="112"/>
        <v>9.6362033916748565E-4</v>
      </c>
      <c r="K1815" s="34">
        <f t="shared" si="113"/>
        <v>9.6315620618303566E-4</v>
      </c>
      <c r="L1815" s="34">
        <f t="shared" si="114"/>
        <v>0.9943592537407927</v>
      </c>
      <c r="M1815" s="34">
        <f t="shared" si="115"/>
        <v>0.99340153045437674</v>
      </c>
    </row>
    <row r="1816" spans="1:13" ht="27.6">
      <c r="A1816" t="s">
        <v>164</v>
      </c>
      <c r="B1816" t="s">
        <v>112</v>
      </c>
      <c r="C1816" s="14" t="s">
        <v>294</v>
      </c>
      <c r="D1816" t="s">
        <v>112</v>
      </c>
      <c r="E1816" t="s">
        <v>392</v>
      </c>
      <c r="F1816" s="20">
        <v>2044</v>
      </c>
      <c r="G1816" s="20">
        <v>44</v>
      </c>
      <c r="H1816" s="11">
        <v>4428.7154380439397</v>
      </c>
      <c r="I1816" s="10">
        <v>4219003.0056091202</v>
      </c>
      <c r="J1816" s="34">
        <f t="shared" si="112"/>
        <v>1.0497066326229227E-3</v>
      </c>
      <c r="K1816" s="34">
        <f t="shared" si="113"/>
        <v>1.0491558833408687E-3</v>
      </c>
      <c r="L1816" s="34">
        <f t="shared" si="114"/>
        <v>0.99340153045437674</v>
      </c>
      <c r="M1816" s="34">
        <f t="shared" si="115"/>
        <v>0.99235929739418072</v>
      </c>
    </row>
    <row r="1817" spans="1:13" ht="27.6">
      <c r="A1817" t="s">
        <v>164</v>
      </c>
      <c r="B1817" t="s">
        <v>112</v>
      </c>
      <c r="C1817" s="14" t="s">
        <v>294</v>
      </c>
      <c r="D1817" t="s">
        <v>112</v>
      </c>
      <c r="E1817" t="s">
        <v>392</v>
      </c>
      <c r="F1817" s="20">
        <v>2044</v>
      </c>
      <c r="G1817" s="20">
        <v>45</v>
      </c>
      <c r="H1817" s="11">
        <v>5700.5306929646003</v>
      </c>
      <c r="I1817" s="10">
        <v>4231674.6617944799</v>
      </c>
      <c r="J1817" s="34">
        <f t="shared" si="112"/>
        <v>1.347109867502725E-3</v>
      </c>
      <c r="K1817" s="34">
        <f t="shared" si="113"/>
        <v>1.3462029223024752E-3</v>
      </c>
      <c r="L1817" s="34">
        <f t="shared" si="114"/>
        <v>0.99235929739418072</v>
      </c>
      <c r="M1817" s="34">
        <f t="shared" si="115"/>
        <v>0.9910233804080546</v>
      </c>
    </row>
    <row r="1818" spans="1:13" ht="27.6">
      <c r="A1818" t="s">
        <v>164</v>
      </c>
      <c r="B1818" t="s">
        <v>112</v>
      </c>
      <c r="C1818" s="14" t="s">
        <v>294</v>
      </c>
      <c r="D1818" t="s">
        <v>112</v>
      </c>
      <c r="E1818" t="s">
        <v>392</v>
      </c>
      <c r="F1818" s="20">
        <v>2044</v>
      </c>
      <c r="G1818" s="20">
        <v>46</v>
      </c>
      <c r="H1818" s="11">
        <v>6384.8535454978</v>
      </c>
      <c r="I1818" s="10">
        <v>4280769.6109094201</v>
      </c>
      <c r="J1818" s="34">
        <f t="shared" si="112"/>
        <v>1.4915200129495831E-3</v>
      </c>
      <c r="K1818" s="34">
        <f t="shared" si="113"/>
        <v>1.4904082497827487E-3</v>
      </c>
      <c r="L1818" s="34">
        <f t="shared" si="114"/>
        <v>0.9910233804080546</v>
      </c>
      <c r="M1818" s="34">
        <f t="shared" si="115"/>
        <v>0.98954635098616683</v>
      </c>
    </row>
    <row r="1819" spans="1:13" ht="27.6">
      <c r="A1819" t="s">
        <v>164</v>
      </c>
      <c r="B1819" t="s">
        <v>112</v>
      </c>
      <c r="C1819" s="14" t="s">
        <v>294</v>
      </c>
      <c r="D1819" t="s">
        <v>112</v>
      </c>
      <c r="E1819" t="s">
        <v>392</v>
      </c>
      <c r="F1819" s="20">
        <v>2044</v>
      </c>
      <c r="G1819" s="20">
        <v>47</v>
      </c>
      <c r="H1819" s="11">
        <v>7383.8991662901599</v>
      </c>
      <c r="I1819" s="10">
        <v>4404050.61850564</v>
      </c>
      <c r="J1819" s="34">
        <f t="shared" si="112"/>
        <v>1.6766154174666654E-3</v>
      </c>
      <c r="K1819" s="34">
        <f t="shared" si="113"/>
        <v>1.6752106830137947E-3</v>
      </c>
      <c r="L1819" s="34">
        <f t="shared" si="114"/>
        <v>0.98954635098616683</v>
      </c>
      <c r="M1819" s="34">
        <f t="shared" si="115"/>
        <v>0.98788865236765744</v>
      </c>
    </row>
    <row r="1820" spans="1:13" ht="27.6">
      <c r="A1820" t="s">
        <v>164</v>
      </c>
      <c r="B1820" t="s">
        <v>112</v>
      </c>
      <c r="C1820" s="14" t="s">
        <v>294</v>
      </c>
      <c r="D1820" t="s">
        <v>112</v>
      </c>
      <c r="E1820" t="s">
        <v>392</v>
      </c>
      <c r="F1820" s="20">
        <v>2044</v>
      </c>
      <c r="G1820" s="20">
        <v>48</v>
      </c>
      <c r="H1820" s="11">
        <v>7989.7524233153799</v>
      </c>
      <c r="I1820" s="10">
        <v>4351337.0086661195</v>
      </c>
      <c r="J1820" s="34">
        <f t="shared" si="112"/>
        <v>1.8361603358698706E-3</v>
      </c>
      <c r="K1820" s="34">
        <f t="shared" si="113"/>
        <v>1.8344756247713478E-3</v>
      </c>
      <c r="L1820" s="34">
        <f t="shared" si="114"/>
        <v>0.98788865236765744</v>
      </c>
      <c r="M1820" s="34">
        <f t="shared" si="115"/>
        <v>0.98607639471490072</v>
      </c>
    </row>
    <row r="1821" spans="1:13" ht="27.6">
      <c r="A1821" t="s">
        <v>164</v>
      </c>
      <c r="B1821" t="s">
        <v>112</v>
      </c>
      <c r="C1821" s="14" t="s">
        <v>294</v>
      </c>
      <c r="D1821" t="s">
        <v>112</v>
      </c>
      <c r="E1821" t="s">
        <v>392</v>
      </c>
      <c r="F1821" s="20">
        <v>2044</v>
      </c>
      <c r="G1821" s="20">
        <v>49</v>
      </c>
      <c r="H1821" s="11">
        <v>8589.6026050506898</v>
      </c>
      <c r="I1821" s="10">
        <v>4268467.4160543699</v>
      </c>
      <c r="J1821" s="34">
        <f t="shared" si="112"/>
        <v>2.0123388016841499E-3</v>
      </c>
      <c r="K1821" s="34">
        <f t="shared" si="113"/>
        <v>2.0103154054382788E-3</v>
      </c>
      <c r="L1821" s="34">
        <f t="shared" si="114"/>
        <v>0.98607639471490072</v>
      </c>
      <c r="M1821" s="34">
        <f t="shared" si="115"/>
        <v>0.98409407014766637</v>
      </c>
    </row>
    <row r="1822" spans="1:13" ht="27.6">
      <c r="A1822" t="s">
        <v>164</v>
      </c>
      <c r="B1822" t="s">
        <v>112</v>
      </c>
      <c r="C1822" s="14" t="s">
        <v>294</v>
      </c>
      <c r="D1822" t="s">
        <v>112</v>
      </c>
      <c r="E1822" t="s">
        <v>392</v>
      </c>
      <c r="F1822" s="20">
        <v>2044</v>
      </c>
      <c r="G1822" s="20">
        <v>50</v>
      </c>
      <c r="H1822" s="11">
        <v>9663.8508513099405</v>
      </c>
      <c r="I1822" s="10">
        <v>4199772.1346132904</v>
      </c>
      <c r="J1822" s="34">
        <f t="shared" si="112"/>
        <v>2.3010417093021107E-3</v>
      </c>
      <c r="K1822" s="34">
        <f t="shared" si="113"/>
        <v>2.2983963422504861E-3</v>
      </c>
      <c r="L1822" s="34">
        <f t="shared" si="114"/>
        <v>0.98409407014766637</v>
      </c>
      <c r="M1822" s="34">
        <f t="shared" si="115"/>
        <v>0.98183223193640856</v>
      </c>
    </row>
    <row r="1823" spans="1:13" ht="27.6">
      <c r="A1823" t="s">
        <v>164</v>
      </c>
      <c r="B1823" t="s">
        <v>112</v>
      </c>
      <c r="C1823" s="14" t="s">
        <v>294</v>
      </c>
      <c r="D1823" t="s">
        <v>112</v>
      </c>
      <c r="E1823" t="s">
        <v>392</v>
      </c>
      <c r="F1823" s="20">
        <v>2044</v>
      </c>
      <c r="G1823" s="20">
        <v>51</v>
      </c>
      <c r="H1823" s="11">
        <v>10407.387624757301</v>
      </c>
      <c r="I1823" s="10">
        <v>4132756.73144062</v>
      </c>
      <c r="J1823" s="34">
        <f t="shared" si="112"/>
        <v>2.5182676603201452E-3</v>
      </c>
      <c r="K1823" s="34">
        <f t="shared" si="113"/>
        <v>2.5150994843120555E-3</v>
      </c>
      <c r="L1823" s="34">
        <f t="shared" si="114"/>
        <v>0.98183223193640856</v>
      </c>
      <c r="M1823" s="34">
        <f t="shared" si="115"/>
        <v>0.97936282619618431</v>
      </c>
    </row>
    <row r="1824" spans="1:13" ht="27.6">
      <c r="A1824" t="s">
        <v>164</v>
      </c>
      <c r="B1824" t="s">
        <v>112</v>
      </c>
      <c r="C1824" s="14" t="s">
        <v>294</v>
      </c>
      <c r="D1824" t="s">
        <v>112</v>
      </c>
      <c r="E1824" t="s">
        <v>392</v>
      </c>
      <c r="F1824" s="20">
        <v>2044</v>
      </c>
      <c r="G1824" s="20">
        <v>52</v>
      </c>
      <c r="H1824" s="11">
        <v>11408.447402391301</v>
      </c>
      <c r="I1824" s="10">
        <v>4152405.50043392</v>
      </c>
      <c r="J1824" s="34">
        <f t="shared" si="112"/>
        <v>2.7474309532629065E-3</v>
      </c>
      <c r="K1824" s="34">
        <f t="shared" si="113"/>
        <v>2.7436602189093717E-3</v>
      </c>
      <c r="L1824" s="34">
        <f t="shared" si="114"/>
        <v>0.97936282619618431</v>
      </c>
      <c r="M1824" s="34">
        <f t="shared" si="115"/>
        <v>0.97667578737007121</v>
      </c>
    </row>
    <row r="1825" spans="1:13" ht="27.6">
      <c r="A1825" t="s">
        <v>164</v>
      </c>
      <c r="B1825" t="s">
        <v>112</v>
      </c>
      <c r="C1825" s="14" t="s">
        <v>294</v>
      </c>
      <c r="D1825" t="s">
        <v>112</v>
      </c>
      <c r="E1825" t="s">
        <v>392</v>
      </c>
      <c r="F1825" s="20">
        <v>2044</v>
      </c>
      <c r="G1825" s="20">
        <v>53</v>
      </c>
      <c r="H1825" s="11">
        <v>12438.7359143675</v>
      </c>
      <c r="I1825" s="10">
        <v>4151253.2692162199</v>
      </c>
      <c r="J1825" s="34">
        <f t="shared" si="112"/>
        <v>2.9963808776996169E-3</v>
      </c>
      <c r="K1825" s="34">
        <f t="shared" si="113"/>
        <v>2.9918962088943957E-3</v>
      </c>
      <c r="L1825" s="34">
        <f t="shared" si="114"/>
        <v>0.97667578737007121</v>
      </c>
      <c r="M1825" s="34">
        <f t="shared" si="115"/>
        <v>0.9737536747845198</v>
      </c>
    </row>
    <row r="1826" spans="1:13" ht="27.6">
      <c r="A1826" t="s">
        <v>164</v>
      </c>
      <c r="B1826" t="s">
        <v>112</v>
      </c>
      <c r="C1826" s="14" t="s">
        <v>294</v>
      </c>
      <c r="D1826" t="s">
        <v>112</v>
      </c>
      <c r="E1826" t="s">
        <v>392</v>
      </c>
      <c r="F1826" s="20">
        <v>2044</v>
      </c>
      <c r="G1826" s="20">
        <v>54</v>
      </c>
      <c r="H1826" s="11">
        <v>18004.808031935201</v>
      </c>
      <c r="I1826" s="10">
        <v>6103946.5926918397</v>
      </c>
      <c r="J1826" s="34">
        <f t="shared" si="112"/>
        <v>2.9496994704200194E-3</v>
      </c>
      <c r="K1826" s="34">
        <f t="shared" si="113"/>
        <v>2.9453533812062727E-3</v>
      </c>
      <c r="L1826" s="34">
        <f t="shared" si="114"/>
        <v>0.9737536747845198</v>
      </c>
      <c r="M1826" s="34">
        <f t="shared" si="115"/>
        <v>0.97088562610603113</v>
      </c>
    </row>
    <row r="1827" spans="1:13" ht="27.6">
      <c r="A1827" t="s">
        <v>164</v>
      </c>
      <c r="B1827" t="s">
        <v>112</v>
      </c>
      <c r="C1827" s="14" t="s">
        <v>294</v>
      </c>
      <c r="D1827" t="s">
        <v>112</v>
      </c>
      <c r="E1827" t="s">
        <v>392</v>
      </c>
      <c r="F1827" s="20">
        <v>2044</v>
      </c>
      <c r="G1827" s="20">
        <v>55</v>
      </c>
      <c r="H1827" s="11">
        <v>14260.568275153901</v>
      </c>
      <c r="I1827" s="10">
        <v>4070410.84347456</v>
      </c>
      <c r="J1827" s="34">
        <f t="shared" si="112"/>
        <v>3.5034714734055884E-3</v>
      </c>
      <c r="K1827" s="34">
        <f t="shared" si="113"/>
        <v>3.4973414780672396E-3</v>
      </c>
      <c r="L1827" s="34">
        <f t="shared" si="114"/>
        <v>0.97088562610603113</v>
      </c>
      <c r="M1827" s="34">
        <f t="shared" si="115"/>
        <v>0.96749010753539122</v>
      </c>
    </row>
    <row r="1828" spans="1:13" ht="27.6">
      <c r="A1828" t="s">
        <v>164</v>
      </c>
      <c r="B1828" t="s">
        <v>112</v>
      </c>
      <c r="C1828" s="14" t="s">
        <v>294</v>
      </c>
      <c r="D1828" t="s">
        <v>112</v>
      </c>
      <c r="E1828" t="s">
        <v>392</v>
      </c>
      <c r="F1828" s="20">
        <v>2044</v>
      </c>
      <c r="G1828" s="20">
        <v>56</v>
      </c>
      <c r="H1828" s="11">
        <v>15377.933205019201</v>
      </c>
      <c r="I1828" s="10">
        <v>4031040.54047145</v>
      </c>
      <c r="J1828" s="34">
        <f t="shared" si="112"/>
        <v>3.8148793222557557E-3</v>
      </c>
      <c r="K1828" s="34">
        <f t="shared" si="113"/>
        <v>3.8076119144990761E-3</v>
      </c>
      <c r="L1828" s="34">
        <f t="shared" si="114"/>
        <v>0.96749010753539122</v>
      </c>
      <c r="M1828" s="34">
        <f t="shared" si="115"/>
        <v>0.96380628067477947</v>
      </c>
    </row>
    <row r="1829" spans="1:13" ht="27.6">
      <c r="A1829" t="s">
        <v>164</v>
      </c>
      <c r="B1829" t="s">
        <v>112</v>
      </c>
      <c r="C1829" s="14" t="s">
        <v>294</v>
      </c>
      <c r="D1829" t="s">
        <v>112</v>
      </c>
      <c r="E1829" t="s">
        <v>392</v>
      </c>
      <c r="F1829" s="20">
        <v>2044</v>
      </c>
      <c r="G1829" s="20">
        <v>57</v>
      </c>
      <c r="H1829" s="11">
        <v>16154.4037483547</v>
      </c>
      <c r="I1829" s="10">
        <v>3882637.6146901599</v>
      </c>
      <c r="J1829" s="34">
        <f t="shared" si="112"/>
        <v>4.1606777019914708E-3</v>
      </c>
      <c r="K1829" s="34">
        <f t="shared" si="113"/>
        <v>4.1520340744596318E-3</v>
      </c>
      <c r="L1829" s="34">
        <f t="shared" si="114"/>
        <v>0.96380628067477947</v>
      </c>
      <c r="M1829" s="34">
        <f t="shared" si="115"/>
        <v>0.95980452415623962</v>
      </c>
    </row>
    <row r="1830" spans="1:13" ht="27.6">
      <c r="A1830" t="s">
        <v>164</v>
      </c>
      <c r="B1830" t="s">
        <v>112</v>
      </c>
      <c r="C1830" s="14" t="s">
        <v>294</v>
      </c>
      <c r="D1830" t="s">
        <v>112</v>
      </c>
      <c r="E1830" t="s">
        <v>392</v>
      </c>
      <c r="F1830" s="20">
        <v>2044</v>
      </c>
      <c r="G1830" s="20">
        <v>58</v>
      </c>
      <c r="H1830" s="11">
        <v>17370.691102955501</v>
      </c>
      <c r="I1830" s="10">
        <v>3823766.0563989701</v>
      </c>
      <c r="J1830" s="34">
        <f t="shared" si="112"/>
        <v>4.5428226640293837E-3</v>
      </c>
      <c r="K1830" s="34">
        <f t="shared" si="113"/>
        <v>4.5325196526400102E-3</v>
      </c>
      <c r="L1830" s="34">
        <f t="shared" si="114"/>
        <v>0.95980452415623962</v>
      </c>
      <c r="M1830" s="34">
        <f t="shared" si="115"/>
        <v>0.95545419128780873</v>
      </c>
    </row>
    <row r="1831" spans="1:13" ht="27.6">
      <c r="A1831" t="s">
        <v>164</v>
      </c>
      <c r="B1831" t="s">
        <v>112</v>
      </c>
      <c r="C1831" s="14" t="s">
        <v>294</v>
      </c>
      <c r="D1831" t="s">
        <v>112</v>
      </c>
      <c r="E1831" t="s">
        <v>392</v>
      </c>
      <c r="F1831" s="20">
        <v>2044</v>
      </c>
      <c r="G1831" s="20">
        <v>59</v>
      </c>
      <c r="H1831" s="11">
        <v>19124.048944501701</v>
      </c>
      <c r="I1831" s="10">
        <v>3848493.7417112999</v>
      </c>
      <c r="J1831" s="34">
        <f t="shared" si="112"/>
        <v>4.969229581232958E-3</v>
      </c>
      <c r="K1831" s="34">
        <f t="shared" si="113"/>
        <v>4.9569033856015077E-3</v>
      </c>
      <c r="L1831" s="34">
        <f t="shared" si="114"/>
        <v>0.95545419128780873</v>
      </c>
      <c r="M1831" s="34">
        <f t="shared" si="115"/>
        <v>0.95071809717222699</v>
      </c>
    </row>
    <row r="1832" spans="1:13" ht="27.6">
      <c r="A1832" t="s">
        <v>164</v>
      </c>
      <c r="B1832" t="s">
        <v>112</v>
      </c>
      <c r="C1832" s="14" t="s">
        <v>294</v>
      </c>
      <c r="D1832" t="s">
        <v>112</v>
      </c>
      <c r="E1832" t="s">
        <v>392</v>
      </c>
      <c r="F1832" s="20">
        <v>2044</v>
      </c>
      <c r="G1832" s="20">
        <v>60</v>
      </c>
      <c r="H1832" s="11">
        <v>20970.2655054061</v>
      </c>
      <c r="I1832" s="10">
        <v>3892518.83747706</v>
      </c>
      <c r="J1832" s="34">
        <f t="shared" si="112"/>
        <v>5.3873253748973502E-3</v>
      </c>
      <c r="K1832" s="34">
        <f t="shared" si="113"/>
        <v>5.3728397621271018E-3</v>
      </c>
      <c r="L1832" s="34">
        <f t="shared" si="114"/>
        <v>0.95071809717222699</v>
      </c>
      <c r="M1832" s="34">
        <f t="shared" si="115"/>
        <v>0.94561004117716618</v>
      </c>
    </row>
    <row r="1833" spans="1:13" ht="27.6">
      <c r="A1833" t="s">
        <v>164</v>
      </c>
      <c r="B1833" t="s">
        <v>112</v>
      </c>
      <c r="C1833" s="14" t="s">
        <v>294</v>
      </c>
      <c r="D1833" t="s">
        <v>112</v>
      </c>
      <c r="E1833" t="s">
        <v>392</v>
      </c>
      <c r="F1833" s="20">
        <v>2044</v>
      </c>
      <c r="G1833" s="20">
        <v>61</v>
      </c>
      <c r="H1833" s="11">
        <v>22650.830756826199</v>
      </c>
      <c r="I1833" s="10">
        <v>3834433.35446651</v>
      </c>
      <c r="J1833" s="34">
        <f t="shared" si="112"/>
        <v>5.9072172242716266E-3</v>
      </c>
      <c r="K1833" s="34">
        <f t="shared" si="113"/>
        <v>5.8898039215304898E-3</v>
      </c>
      <c r="L1833" s="34">
        <f t="shared" si="114"/>
        <v>0.94561004117716618</v>
      </c>
      <c r="M1833" s="34">
        <f t="shared" si="115"/>
        <v>0.94004058344840236</v>
      </c>
    </row>
    <row r="1834" spans="1:13" ht="27.6">
      <c r="A1834" t="s">
        <v>164</v>
      </c>
      <c r="B1834" t="s">
        <v>112</v>
      </c>
      <c r="C1834" s="14" t="s">
        <v>294</v>
      </c>
      <c r="D1834" t="s">
        <v>112</v>
      </c>
      <c r="E1834" t="s">
        <v>392</v>
      </c>
      <c r="F1834" s="20">
        <v>2044</v>
      </c>
      <c r="G1834" s="20">
        <v>62</v>
      </c>
      <c r="H1834" s="11">
        <v>23826.829144027499</v>
      </c>
      <c r="I1834" s="10">
        <v>3673594.4537517298</v>
      </c>
      <c r="J1834" s="34">
        <f t="shared" si="112"/>
        <v>6.4859715583721785E-3</v>
      </c>
      <c r="K1834" s="34">
        <f t="shared" si="113"/>
        <v>6.4649830463238134E-3</v>
      </c>
      <c r="L1834" s="34">
        <f t="shared" si="114"/>
        <v>0.94004058344840236</v>
      </c>
      <c r="M1834" s="34">
        <f t="shared" si="115"/>
        <v>0.93396323701355211</v>
      </c>
    </row>
    <row r="1835" spans="1:13" ht="27.6">
      <c r="A1835" t="s">
        <v>164</v>
      </c>
      <c r="B1835" t="s">
        <v>112</v>
      </c>
      <c r="C1835" s="14" t="s">
        <v>294</v>
      </c>
      <c r="D1835" t="s">
        <v>112</v>
      </c>
      <c r="E1835" t="s">
        <v>392</v>
      </c>
      <c r="F1835" s="20">
        <v>2044</v>
      </c>
      <c r="G1835" s="20">
        <v>63</v>
      </c>
      <c r="H1835" s="11">
        <v>25380.725215056998</v>
      </c>
      <c r="I1835" s="10">
        <v>3567124.18642087</v>
      </c>
      <c r="J1835" s="34">
        <f t="shared" si="112"/>
        <v>7.1151784711266661E-3</v>
      </c>
      <c r="K1835" s="34">
        <f t="shared" si="113"/>
        <v>7.0899255173753062E-3</v>
      </c>
      <c r="L1835" s="34">
        <f t="shared" si="114"/>
        <v>0.93396323701355211</v>
      </c>
      <c r="M1835" s="34">
        <f t="shared" si="115"/>
        <v>0.92734150722715925</v>
      </c>
    </row>
    <row r="1836" spans="1:13" ht="27.6">
      <c r="A1836" t="s">
        <v>164</v>
      </c>
      <c r="B1836" t="s">
        <v>112</v>
      </c>
      <c r="C1836" s="14" t="s">
        <v>294</v>
      </c>
      <c r="D1836" t="s">
        <v>112</v>
      </c>
      <c r="E1836" t="s">
        <v>392</v>
      </c>
      <c r="F1836" s="20">
        <v>2044</v>
      </c>
      <c r="G1836" s="20">
        <v>64</v>
      </c>
      <c r="H1836" s="11">
        <v>27098.940534609301</v>
      </c>
      <c r="I1836" s="10">
        <v>3472425.1256318199</v>
      </c>
      <c r="J1836" s="34">
        <f t="shared" si="112"/>
        <v>7.8040388357340186E-3</v>
      </c>
      <c r="K1836" s="34">
        <f t="shared" si="113"/>
        <v>7.7736663852759902E-3</v>
      </c>
      <c r="L1836" s="34">
        <f t="shared" si="114"/>
        <v>0.92734150722715925</v>
      </c>
      <c r="M1836" s="34">
        <f t="shared" si="115"/>
        <v>0.92013266372475633</v>
      </c>
    </row>
    <row r="1837" spans="1:13" ht="27.6">
      <c r="A1837" t="s">
        <v>164</v>
      </c>
      <c r="B1837" t="s">
        <v>112</v>
      </c>
      <c r="C1837" s="14" t="s">
        <v>294</v>
      </c>
      <c r="D1837" t="s">
        <v>112</v>
      </c>
      <c r="E1837" t="s">
        <v>392</v>
      </c>
      <c r="F1837" s="20">
        <v>2044</v>
      </c>
      <c r="G1837" s="20">
        <v>65</v>
      </c>
      <c r="H1837" s="11">
        <v>27536.7953952198</v>
      </c>
      <c r="I1837" s="10">
        <v>3370694.0887140902</v>
      </c>
      <c r="J1837" s="34">
        <f t="shared" si="112"/>
        <v>8.1694733103842739E-3</v>
      </c>
      <c r="K1837" s="34">
        <f t="shared" si="113"/>
        <v>8.1361938501833819E-3</v>
      </c>
      <c r="L1837" s="34">
        <f t="shared" si="114"/>
        <v>0.92013266372475633</v>
      </c>
      <c r="M1837" s="34">
        <f t="shared" si="115"/>
        <v>0.91264628600480613</v>
      </c>
    </row>
    <row r="1838" spans="1:13" ht="27.6">
      <c r="A1838" t="s">
        <v>164</v>
      </c>
      <c r="B1838" t="s">
        <v>112</v>
      </c>
      <c r="C1838" s="14" t="s">
        <v>294</v>
      </c>
      <c r="D1838" t="s">
        <v>112</v>
      </c>
      <c r="E1838" t="s">
        <v>392</v>
      </c>
      <c r="F1838" s="20">
        <v>2044</v>
      </c>
      <c r="G1838" s="20">
        <v>66</v>
      </c>
      <c r="H1838" s="11">
        <v>29155.998443632001</v>
      </c>
      <c r="I1838" s="10">
        <v>3250939.1355259302</v>
      </c>
      <c r="J1838" s="34">
        <f t="shared" si="112"/>
        <v>8.9684848679626866E-3</v>
      </c>
      <c r="K1838" s="34">
        <f t="shared" si="113"/>
        <v>8.9283879665674748E-3</v>
      </c>
      <c r="L1838" s="34">
        <f t="shared" si="114"/>
        <v>0.91264628600480613</v>
      </c>
      <c r="M1838" s="34">
        <f t="shared" si="115"/>
        <v>0.90449782588710836</v>
      </c>
    </row>
    <row r="1839" spans="1:13" ht="27.6">
      <c r="A1839" t="s">
        <v>164</v>
      </c>
      <c r="B1839" t="s">
        <v>112</v>
      </c>
      <c r="C1839" s="14" t="s">
        <v>294</v>
      </c>
      <c r="D1839" t="s">
        <v>112</v>
      </c>
      <c r="E1839" t="s">
        <v>392</v>
      </c>
      <c r="F1839" s="20">
        <v>2044</v>
      </c>
      <c r="G1839" s="20">
        <v>67</v>
      </c>
      <c r="H1839" s="11">
        <v>30974.499416332001</v>
      </c>
      <c r="I1839" s="10">
        <v>3142197.7250946001</v>
      </c>
      <c r="J1839" s="34">
        <f t="shared" si="112"/>
        <v>9.8575908094387897E-3</v>
      </c>
      <c r="K1839" s="34">
        <f t="shared" si="113"/>
        <v>9.8091640156237059E-3</v>
      </c>
      <c r="L1839" s="34">
        <f t="shared" si="114"/>
        <v>0.90449782588710836</v>
      </c>
      <c r="M1839" s="34">
        <f t="shared" si="115"/>
        <v>0.89562545836120666</v>
      </c>
    </row>
    <row r="1840" spans="1:13" ht="27.6">
      <c r="A1840" t="s">
        <v>164</v>
      </c>
      <c r="B1840" t="s">
        <v>112</v>
      </c>
      <c r="C1840" s="14" t="s">
        <v>294</v>
      </c>
      <c r="D1840" t="s">
        <v>112</v>
      </c>
      <c r="E1840" t="s">
        <v>392</v>
      </c>
      <c r="F1840" s="20">
        <v>2044</v>
      </c>
      <c r="G1840" s="20">
        <v>68</v>
      </c>
      <c r="H1840" s="11">
        <v>32729.971356455899</v>
      </c>
      <c r="I1840" s="10">
        <v>3022185.7858265801</v>
      </c>
      <c r="J1840" s="34">
        <f t="shared" si="112"/>
        <v>1.0829900501138159E-2</v>
      </c>
      <c r="K1840" s="34">
        <f t="shared" si="113"/>
        <v>1.0771468257400385E-2</v>
      </c>
      <c r="L1840" s="34">
        <f t="shared" si="114"/>
        <v>0.89562545836120666</v>
      </c>
      <c r="M1840" s="34">
        <f t="shared" si="115"/>
        <v>0.88597825716594925</v>
      </c>
    </row>
    <row r="1841" spans="1:13" ht="27.6">
      <c r="A1841" t="s">
        <v>164</v>
      </c>
      <c r="B1841" t="s">
        <v>112</v>
      </c>
      <c r="C1841" s="14" t="s">
        <v>294</v>
      </c>
      <c r="D1841" t="s">
        <v>112</v>
      </c>
      <c r="E1841" t="s">
        <v>392</v>
      </c>
      <c r="F1841" s="20">
        <v>2044</v>
      </c>
      <c r="G1841" s="20">
        <v>69</v>
      </c>
      <c r="H1841" s="11">
        <v>34529.9669840239</v>
      </c>
      <c r="I1841" s="10">
        <v>2899600.6626095399</v>
      </c>
      <c r="J1841" s="34">
        <f t="shared" si="112"/>
        <v>1.1908525001145547E-2</v>
      </c>
      <c r="K1841" s="34">
        <f t="shared" si="113"/>
        <v>1.1837899145209607E-2</v>
      </c>
      <c r="L1841" s="34">
        <f t="shared" si="114"/>
        <v>0.88597825716594925</v>
      </c>
      <c r="M1841" s="34">
        <f t="shared" si="115"/>
        <v>0.87549013591277014</v>
      </c>
    </row>
    <row r="1842" spans="1:13" ht="27.6">
      <c r="A1842" t="s">
        <v>164</v>
      </c>
      <c r="B1842" t="s">
        <v>112</v>
      </c>
      <c r="C1842" s="14" t="s">
        <v>294</v>
      </c>
      <c r="D1842" t="s">
        <v>112</v>
      </c>
      <c r="E1842" t="s">
        <v>392</v>
      </c>
      <c r="F1842" s="20">
        <v>2045</v>
      </c>
      <c r="G1842" s="20">
        <v>30</v>
      </c>
      <c r="H1842" s="11">
        <v>740.97401299006697</v>
      </c>
      <c r="I1842" s="10">
        <v>4642333.58395385</v>
      </c>
      <c r="J1842" s="34">
        <f t="shared" si="112"/>
        <v>1.5961240173503074E-4</v>
      </c>
      <c r="K1842" s="34">
        <f t="shared" si="113"/>
        <v>1.5959966435330486E-4</v>
      </c>
      <c r="L1842" s="34">
        <f t="shared" si="114"/>
        <v>1</v>
      </c>
      <c r="M1842" s="34">
        <f t="shared" si="115"/>
        <v>0.9998404003356467</v>
      </c>
    </row>
    <row r="1843" spans="1:13" ht="27.6">
      <c r="A1843" t="s">
        <v>164</v>
      </c>
      <c r="B1843" t="s">
        <v>112</v>
      </c>
      <c r="C1843" s="14" t="s">
        <v>294</v>
      </c>
      <c r="D1843" t="s">
        <v>112</v>
      </c>
      <c r="E1843" t="s">
        <v>392</v>
      </c>
      <c r="F1843" s="20">
        <v>2045</v>
      </c>
      <c r="G1843" s="20">
        <v>31</v>
      </c>
      <c r="H1843" s="11">
        <v>994.48769034558302</v>
      </c>
      <c r="I1843" s="10">
        <v>4708844.9064758504</v>
      </c>
      <c r="J1843" s="34">
        <f t="shared" si="112"/>
        <v>2.1119567751698754E-4</v>
      </c>
      <c r="K1843" s="34">
        <f t="shared" si="113"/>
        <v>2.1117337727982743E-4</v>
      </c>
      <c r="L1843" s="34">
        <f t="shared" si="114"/>
        <v>0.9998404003356467</v>
      </c>
      <c r="M1843" s="34">
        <f t="shared" si="115"/>
        <v>0.99962926066156699</v>
      </c>
    </row>
    <row r="1844" spans="1:13" ht="27.6">
      <c r="A1844" t="s">
        <v>164</v>
      </c>
      <c r="B1844" t="s">
        <v>112</v>
      </c>
      <c r="C1844" s="14" t="s">
        <v>294</v>
      </c>
      <c r="D1844" t="s">
        <v>112</v>
      </c>
      <c r="E1844" t="s">
        <v>392</v>
      </c>
      <c r="F1844" s="20">
        <v>2045</v>
      </c>
      <c r="G1844" s="20">
        <v>32</v>
      </c>
      <c r="H1844" s="11">
        <v>1063.1481293791901</v>
      </c>
      <c r="I1844" s="10">
        <v>4777003.7719440097</v>
      </c>
      <c r="J1844" s="34">
        <f t="shared" si="112"/>
        <v>2.2255543016800681E-4</v>
      </c>
      <c r="K1844" s="34">
        <f t="shared" si="113"/>
        <v>2.2253066654542852E-4</v>
      </c>
      <c r="L1844" s="34">
        <f t="shared" si="114"/>
        <v>0.99962926066156699</v>
      </c>
      <c r="M1844" s="34">
        <f t="shared" si="115"/>
        <v>0.99940681249589369</v>
      </c>
    </row>
    <row r="1845" spans="1:13" ht="27.6">
      <c r="A1845" t="s">
        <v>164</v>
      </c>
      <c r="B1845" t="s">
        <v>112</v>
      </c>
      <c r="C1845" s="14" t="s">
        <v>294</v>
      </c>
      <c r="D1845" t="s">
        <v>112</v>
      </c>
      <c r="E1845" t="s">
        <v>392</v>
      </c>
      <c r="F1845" s="20">
        <v>2045</v>
      </c>
      <c r="G1845" s="20">
        <v>33</v>
      </c>
      <c r="H1845" s="11">
        <v>1196.2315248063101</v>
      </c>
      <c r="I1845" s="10">
        <v>4889504.5006997501</v>
      </c>
      <c r="J1845" s="34">
        <f t="shared" si="112"/>
        <v>2.4465291414193689E-4</v>
      </c>
      <c r="K1845" s="34">
        <f t="shared" si="113"/>
        <v>2.4462298905825186E-4</v>
      </c>
      <c r="L1845" s="34">
        <f t="shared" si="114"/>
        <v>0.99940681249589369</v>
      </c>
      <c r="M1845" s="34">
        <f t="shared" si="115"/>
        <v>0.99916233461413573</v>
      </c>
    </row>
    <row r="1846" spans="1:13" ht="27.6">
      <c r="A1846" t="s">
        <v>164</v>
      </c>
      <c r="B1846" t="s">
        <v>112</v>
      </c>
      <c r="C1846" s="14" t="s">
        <v>294</v>
      </c>
      <c r="D1846" t="s">
        <v>112</v>
      </c>
      <c r="E1846" t="s">
        <v>392</v>
      </c>
      <c r="F1846" s="20">
        <v>2045</v>
      </c>
      <c r="G1846" s="20">
        <v>34</v>
      </c>
      <c r="H1846" s="11">
        <v>1265.93458744449</v>
      </c>
      <c r="I1846" s="10">
        <v>4861041.1756879902</v>
      </c>
      <c r="J1846" s="34">
        <f t="shared" si="112"/>
        <v>2.6042457607146694E-4</v>
      </c>
      <c r="K1846" s="34">
        <f t="shared" si="113"/>
        <v>2.6039066853511539E-4</v>
      </c>
      <c r="L1846" s="34">
        <f t="shared" si="114"/>
        <v>0.99916233461413573</v>
      </c>
      <c r="M1846" s="34">
        <f t="shared" si="115"/>
        <v>0.99890216206585047</v>
      </c>
    </row>
    <row r="1847" spans="1:13" ht="27.6">
      <c r="A1847" t="s">
        <v>164</v>
      </c>
      <c r="B1847" t="s">
        <v>112</v>
      </c>
      <c r="C1847" s="14" t="s">
        <v>294</v>
      </c>
      <c r="D1847" t="s">
        <v>112</v>
      </c>
      <c r="E1847" t="s">
        <v>392</v>
      </c>
      <c r="F1847" s="20">
        <v>2045</v>
      </c>
      <c r="G1847" s="20">
        <v>35</v>
      </c>
      <c r="H1847" s="11">
        <v>1612.9921660386001</v>
      </c>
      <c r="I1847" s="10">
        <v>4726981.5500546396</v>
      </c>
      <c r="J1847" s="34">
        <f t="shared" si="112"/>
        <v>3.4123089945632543E-4</v>
      </c>
      <c r="K1847" s="34">
        <f t="shared" si="113"/>
        <v>3.4117268681443935E-4</v>
      </c>
      <c r="L1847" s="34">
        <f t="shared" si="114"/>
        <v>0.99890216206585047</v>
      </c>
      <c r="M1847" s="34">
        <f t="shared" si="115"/>
        <v>0.99856136393135375</v>
      </c>
    </row>
    <row r="1848" spans="1:13" ht="27.6">
      <c r="A1848" t="s">
        <v>164</v>
      </c>
      <c r="B1848" t="s">
        <v>112</v>
      </c>
      <c r="C1848" s="14" t="s">
        <v>294</v>
      </c>
      <c r="D1848" t="s">
        <v>112</v>
      </c>
      <c r="E1848" t="s">
        <v>392</v>
      </c>
      <c r="F1848" s="20">
        <v>2045</v>
      </c>
      <c r="G1848" s="20">
        <v>36</v>
      </c>
      <c r="H1848" s="11">
        <v>1864.93483112218</v>
      </c>
      <c r="I1848" s="10">
        <v>4655142.9099943601</v>
      </c>
      <c r="J1848" s="34">
        <f t="shared" si="112"/>
        <v>4.0061816944830152E-4</v>
      </c>
      <c r="K1848" s="34">
        <f t="shared" si="113"/>
        <v>4.0053793270455884E-4</v>
      </c>
      <c r="L1848" s="34">
        <f t="shared" si="114"/>
        <v>0.99856136393135375</v>
      </c>
      <c r="M1848" s="34">
        <f t="shared" si="115"/>
        <v>0.99816140222696603</v>
      </c>
    </row>
    <row r="1849" spans="1:13" ht="27.6">
      <c r="A1849" t="s">
        <v>164</v>
      </c>
      <c r="B1849" t="s">
        <v>112</v>
      </c>
      <c r="C1849" s="14" t="s">
        <v>294</v>
      </c>
      <c r="D1849" t="s">
        <v>112</v>
      </c>
      <c r="E1849" t="s">
        <v>392</v>
      </c>
      <c r="F1849" s="20">
        <v>2045</v>
      </c>
      <c r="G1849" s="20">
        <v>37</v>
      </c>
      <c r="H1849" s="11">
        <v>1985.8389018502</v>
      </c>
      <c r="I1849" s="10">
        <v>4611238.1840820704</v>
      </c>
      <c r="J1849" s="34">
        <f t="shared" si="112"/>
        <v>4.3065199032773631E-4</v>
      </c>
      <c r="K1849" s="34">
        <f t="shared" si="113"/>
        <v>4.3055927306945296E-4</v>
      </c>
      <c r="L1849" s="34">
        <f t="shared" si="114"/>
        <v>0.99816140222696603</v>
      </c>
      <c r="M1849" s="34">
        <f t="shared" si="115"/>
        <v>0.99773163457921721</v>
      </c>
    </row>
    <row r="1850" spans="1:13" ht="27.6">
      <c r="A1850" t="s">
        <v>164</v>
      </c>
      <c r="B1850" t="s">
        <v>112</v>
      </c>
      <c r="C1850" s="14" t="s">
        <v>294</v>
      </c>
      <c r="D1850" t="s">
        <v>112</v>
      </c>
      <c r="E1850" t="s">
        <v>392</v>
      </c>
      <c r="F1850" s="20">
        <v>2045</v>
      </c>
      <c r="G1850" s="20">
        <v>38</v>
      </c>
      <c r="H1850" s="11">
        <v>2212.6093382294798</v>
      </c>
      <c r="I1850" s="10">
        <v>4634886.5709060701</v>
      </c>
      <c r="J1850" s="34">
        <f t="shared" si="112"/>
        <v>4.7738155063349017E-4</v>
      </c>
      <c r="K1850" s="34">
        <f t="shared" si="113"/>
        <v>4.7726762219091334E-4</v>
      </c>
      <c r="L1850" s="34">
        <f t="shared" si="114"/>
        <v>0.99773163457921721</v>
      </c>
      <c r="M1850" s="34">
        <f t="shared" si="115"/>
        <v>0.99725544957439693</v>
      </c>
    </row>
    <row r="1851" spans="1:13" ht="27.6">
      <c r="A1851" t="s">
        <v>164</v>
      </c>
      <c r="B1851" t="s">
        <v>112</v>
      </c>
      <c r="C1851" s="14" t="s">
        <v>294</v>
      </c>
      <c r="D1851" t="s">
        <v>112</v>
      </c>
      <c r="E1851" t="s">
        <v>392</v>
      </c>
      <c r="F1851" s="20">
        <v>2045</v>
      </c>
      <c r="G1851" s="20">
        <v>39</v>
      </c>
      <c r="H1851" s="11">
        <v>2347.1054816843098</v>
      </c>
      <c r="I1851" s="10">
        <v>4550155.6844869899</v>
      </c>
      <c r="J1851" s="34">
        <f t="shared" si="112"/>
        <v>5.158297087913676E-4</v>
      </c>
      <c r="K1851" s="34">
        <f t="shared" si="113"/>
        <v>5.1569669151951825E-4</v>
      </c>
      <c r="L1851" s="34">
        <f t="shared" si="114"/>
        <v>0.99725544957439693</v>
      </c>
      <c r="M1851" s="34">
        <f t="shared" si="115"/>
        <v>0.9967411682384516</v>
      </c>
    </row>
    <row r="1852" spans="1:13" ht="27.6">
      <c r="A1852" t="s">
        <v>164</v>
      </c>
      <c r="B1852" t="s">
        <v>112</v>
      </c>
      <c r="C1852" s="14" t="s">
        <v>294</v>
      </c>
      <c r="D1852" t="s">
        <v>112</v>
      </c>
      <c r="E1852" t="s">
        <v>392</v>
      </c>
      <c r="F1852" s="20">
        <v>2045</v>
      </c>
      <c r="G1852" s="20">
        <v>40</v>
      </c>
      <c r="H1852" s="11">
        <v>3108.5540132125602</v>
      </c>
      <c r="I1852" s="10">
        <v>4486798.8765330501</v>
      </c>
      <c r="J1852" s="34">
        <f t="shared" si="112"/>
        <v>6.9282223223130965E-4</v>
      </c>
      <c r="K1852" s="34">
        <f t="shared" si="113"/>
        <v>6.9258228632507191E-4</v>
      </c>
      <c r="L1852" s="34">
        <f t="shared" si="114"/>
        <v>0.9967411682384516</v>
      </c>
      <c r="M1852" s="34">
        <f t="shared" si="115"/>
        <v>0.99605084296127866</v>
      </c>
    </row>
    <row r="1853" spans="1:13" ht="27.6">
      <c r="A1853" t="s">
        <v>164</v>
      </c>
      <c r="B1853" t="s">
        <v>112</v>
      </c>
      <c r="C1853" s="14" t="s">
        <v>294</v>
      </c>
      <c r="D1853" t="s">
        <v>112</v>
      </c>
      <c r="E1853" t="s">
        <v>392</v>
      </c>
      <c r="F1853" s="20">
        <v>2045</v>
      </c>
      <c r="G1853" s="20">
        <v>41</v>
      </c>
      <c r="H1853" s="11">
        <v>3403.5763781278501</v>
      </c>
      <c r="I1853" s="10">
        <v>4355548.2824784601</v>
      </c>
      <c r="J1853" s="34">
        <f t="shared" si="112"/>
        <v>7.8143465699135716E-4</v>
      </c>
      <c r="K1853" s="34">
        <f t="shared" si="113"/>
        <v>7.8112941644348233E-4</v>
      </c>
      <c r="L1853" s="34">
        <f t="shared" si="114"/>
        <v>0.99605084296127866</v>
      </c>
      <c r="M1853" s="34">
        <f t="shared" si="115"/>
        <v>0.99527279834756832</v>
      </c>
    </row>
    <row r="1854" spans="1:13" ht="27.6">
      <c r="A1854" t="s">
        <v>164</v>
      </c>
      <c r="B1854" t="s">
        <v>112</v>
      </c>
      <c r="C1854" s="14" t="s">
        <v>294</v>
      </c>
      <c r="D1854" t="s">
        <v>112</v>
      </c>
      <c r="E1854" t="s">
        <v>392</v>
      </c>
      <c r="F1854" s="20">
        <v>2045</v>
      </c>
      <c r="G1854" s="20">
        <v>42</v>
      </c>
      <c r="H1854" s="11">
        <v>3634.5730464823901</v>
      </c>
      <c r="I1854" s="10">
        <v>4286755.39822869</v>
      </c>
      <c r="J1854" s="34">
        <f t="shared" si="112"/>
        <v>8.4786107646454823E-4</v>
      </c>
      <c r="K1854" s="34">
        <f t="shared" si="113"/>
        <v>8.4750174382397514E-4</v>
      </c>
      <c r="L1854" s="34">
        <f t="shared" si="114"/>
        <v>0.99527279834756832</v>
      </c>
      <c r="M1854" s="34">
        <f t="shared" si="115"/>
        <v>0.99442930291538822</v>
      </c>
    </row>
    <row r="1855" spans="1:13" ht="27.6">
      <c r="A1855" t="s">
        <v>164</v>
      </c>
      <c r="B1855" t="s">
        <v>112</v>
      </c>
      <c r="C1855" s="14" t="s">
        <v>294</v>
      </c>
      <c r="D1855" t="s">
        <v>112</v>
      </c>
      <c r="E1855" t="s">
        <v>392</v>
      </c>
      <c r="F1855" s="20">
        <v>2045</v>
      </c>
      <c r="G1855" s="20">
        <v>43</v>
      </c>
      <c r="H1855" s="11">
        <v>4083.0830242157999</v>
      </c>
      <c r="I1855" s="10">
        <v>4259003.57870444</v>
      </c>
      <c r="J1855" s="34">
        <f t="shared" si="112"/>
        <v>9.5869443374777485E-4</v>
      </c>
      <c r="K1855" s="34">
        <f t="shared" si="113"/>
        <v>9.5823503305914048E-4</v>
      </c>
      <c r="L1855" s="34">
        <f t="shared" si="114"/>
        <v>0.99442930291538822</v>
      </c>
      <c r="M1855" s="34">
        <f t="shared" si="115"/>
        <v>0.99347640591943409</v>
      </c>
    </row>
    <row r="1856" spans="1:13" ht="27.6">
      <c r="A1856" t="s">
        <v>164</v>
      </c>
      <c r="B1856" t="s">
        <v>112</v>
      </c>
      <c r="C1856" s="14" t="s">
        <v>294</v>
      </c>
      <c r="D1856" t="s">
        <v>112</v>
      </c>
      <c r="E1856" t="s">
        <v>392</v>
      </c>
      <c r="F1856" s="20">
        <v>2045</v>
      </c>
      <c r="G1856" s="20">
        <v>44</v>
      </c>
      <c r="H1856" s="11">
        <v>4418.9029372791701</v>
      </c>
      <c r="I1856" s="10">
        <v>4233596.0595041001</v>
      </c>
      <c r="J1856" s="34">
        <f t="shared" si="112"/>
        <v>1.0437705617566111E-3</v>
      </c>
      <c r="K1856" s="34">
        <f t="shared" si="113"/>
        <v>1.0432260227382084E-3</v>
      </c>
      <c r="L1856" s="34">
        <f t="shared" si="114"/>
        <v>0.99347640591943409</v>
      </c>
      <c r="M1856" s="34">
        <f t="shared" si="115"/>
        <v>0.9924399854798025</v>
      </c>
    </row>
    <row r="1857" spans="1:13" ht="27.6">
      <c r="A1857" t="s">
        <v>164</v>
      </c>
      <c r="B1857" t="s">
        <v>112</v>
      </c>
      <c r="C1857" s="14" t="s">
        <v>294</v>
      </c>
      <c r="D1857" t="s">
        <v>112</v>
      </c>
      <c r="E1857" t="s">
        <v>392</v>
      </c>
      <c r="F1857" s="20">
        <v>2045</v>
      </c>
      <c r="G1857" s="20">
        <v>45</v>
      </c>
      <c r="H1857" s="11">
        <v>5631.6578695610297</v>
      </c>
      <c r="I1857" s="10">
        <v>4207237.9176147999</v>
      </c>
      <c r="J1857" s="34">
        <f t="shared" si="112"/>
        <v>1.3385641553529668E-3</v>
      </c>
      <c r="K1857" s="34">
        <f t="shared" si="113"/>
        <v>1.3376686779498215E-3</v>
      </c>
      <c r="L1857" s="34">
        <f t="shared" si="114"/>
        <v>0.9924399854798025</v>
      </c>
      <c r="M1857" s="34">
        <f t="shared" si="115"/>
        <v>0.99111242959648116</v>
      </c>
    </row>
    <row r="1858" spans="1:13" ht="27.6">
      <c r="A1858" t="s">
        <v>164</v>
      </c>
      <c r="B1858" t="s">
        <v>112</v>
      </c>
      <c r="C1858" s="14" t="s">
        <v>294</v>
      </c>
      <c r="D1858" t="s">
        <v>112</v>
      </c>
      <c r="E1858" t="s">
        <v>392</v>
      </c>
      <c r="F1858" s="20">
        <v>2045</v>
      </c>
      <c r="G1858" s="20">
        <v>46</v>
      </c>
      <c r="H1858" s="11">
        <v>6250.4878204467996</v>
      </c>
      <c r="I1858" s="10">
        <v>4217943.2274288796</v>
      </c>
      <c r="J1858" s="34">
        <f t="shared" ref="J1858:J1921" si="116">IF(I1858&gt;0,H1858/I1858,0)</f>
        <v>1.4818805003823849E-3</v>
      </c>
      <c r="K1858" s="34">
        <f t="shared" ref="K1858:K1921" si="117">1-EXP(-J1858)</f>
        <v>1.4807830576336611E-3</v>
      </c>
      <c r="L1858" s="34">
        <f t="shared" ref="L1858:L1921" si="118">IF(G1858=30,1,M1857)</f>
        <v>0.99111242959648116</v>
      </c>
      <c r="M1858" s="34">
        <f t="shared" ref="M1858:M1921" si="119">L1858*(1-K1858)</f>
        <v>0.98964480710252456</v>
      </c>
    </row>
    <row r="1859" spans="1:13" ht="27.6">
      <c r="A1859" t="s">
        <v>164</v>
      </c>
      <c r="B1859" t="s">
        <v>112</v>
      </c>
      <c r="C1859" s="14" t="s">
        <v>294</v>
      </c>
      <c r="D1859" t="s">
        <v>112</v>
      </c>
      <c r="E1859" t="s">
        <v>392</v>
      </c>
      <c r="F1859" s="20">
        <v>2045</v>
      </c>
      <c r="G1859" s="20">
        <v>47</v>
      </c>
      <c r="H1859" s="11">
        <v>6924.4592644621398</v>
      </c>
      <c r="I1859" s="10">
        <v>4266450.7229038896</v>
      </c>
      <c r="J1859" s="34">
        <f t="shared" si="116"/>
        <v>1.623002283206759E-3</v>
      </c>
      <c r="K1859" s="34">
        <f t="shared" si="117"/>
        <v>1.6216859272469852E-3</v>
      </c>
      <c r="L1859" s="34">
        <f t="shared" si="118"/>
        <v>0.98964480710252456</v>
      </c>
      <c r="M1859" s="34">
        <f t="shared" si="119"/>
        <v>0.98803991404587332</v>
      </c>
    </row>
    <row r="1860" spans="1:13" ht="27.6">
      <c r="A1860" t="s">
        <v>164</v>
      </c>
      <c r="B1860" t="s">
        <v>112</v>
      </c>
      <c r="C1860" s="14" t="s">
        <v>294</v>
      </c>
      <c r="D1860" t="s">
        <v>112</v>
      </c>
      <c r="E1860" t="s">
        <v>392</v>
      </c>
      <c r="F1860" s="20">
        <v>2045</v>
      </c>
      <c r="G1860" s="20">
        <v>48</v>
      </c>
      <c r="H1860" s="11">
        <v>8004.1425279182404</v>
      </c>
      <c r="I1860" s="10">
        <v>4387718.61516337</v>
      </c>
      <c r="J1860" s="34">
        <f t="shared" si="116"/>
        <v>1.8242150944358629E-3</v>
      </c>
      <c r="K1860" s="34">
        <f t="shared" si="117"/>
        <v>1.8225522253777493E-3</v>
      </c>
      <c r="L1860" s="34">
        <f t="shared" si="118"/>
        <v>0.98803991404587332</v>
      </c>
      <c r="M1860" s="34">
        <f t="shared" si="119"/>
        <v>0.98623915970176701</v>
      </c>
    </row>
    <row r="1861" spans="1:13" ht="27.6">
      <c r="A1861" t="s">
        <v>164</v>
      </c>
      <c r="B1861" t="s">
        <v>112</v>
      </c>
      <c r="C1861" s="14" t="s">
        <v>294</v>
      </c>
      <c r="D1861" t="s">
        <v>112</v>
      </c>
      <c r="E1861" t="s">
        <v>392</v>
      </c>
      <c r="F1861" s="20">
        <v>2045</v>
      </c>
      <c r="G1861" s="20">
        <v>49</v>
      </c>
      <c r="H1861" s="11">
        <v>8664.0553084149797</v>
      </c>
      <c r="I1861" s="10">
        <v>4333686.13380998</v>
      </c>
      <c r="J1861" s="34">
        <f t="shared" si="116"/>
        <v>1.9992346101903639E-3</v>
      </c>
      <c r="K1861" s="34">
        <f t="shared" si="117"/>
        <v>1.9972374718147945E-3</v>
      </c>
      <c r="L1861" s="34">
        <f t="shared" si="118"/>
        <v>0.98623915970176701</v>
      </c>
      <c r="M1861" s="34">
        <f t="shared" si="119"/>
        <v>0.98426940589583956</v>
      </c>
    </row>
    <row r="1862" spans="1:13" ht="27.6">
      <c r="A1862" t="s">
        <v>164</v>
      </c>
      <c r="B1862" t="s">
        <v>112</v>
      </c>
      <c r="C1862" s="14" t="s">
        <v>294</v>
      </c>
      <c r="D1862" t="s">
        <v>112</v>
      </c>
      <c r="E1862" t="s">
        <v>392</v>
      </c>
      <c r="F1862" s="20">
        <v>2045</v>
      </c>
      <c r="G1862" s="20">
        <v>50</v>
      </c>
      <c r="H1862" s="11">
        <v>9703.80726173535</v>
      </c>
      <c r="I1862" s="10">
        <v>4249508.7542559896</v>
      </c>
      <c r="J1862" s="34">
        <f t="shared" si="116"/>
        <v>2.2835127123851068E-3</v>
      </c>
      <c r="K1862" s="34">
        <f t="shared" si="117"/>
        <v>2.2809074806352525E-3</v>
      </c>
      <c r="L1862" s="34">
        <f t="shared" si="118"/>
        <v>0.98426940589583956</v>
      </c>
      <c r="M1862" s="34">
        <f t="shared" si="119"/>
        <v>0.98202437844497137</v>
      </c>
    </row>
    <row r="1863" spans="1:13" ht="27.6">
      <c r="A1863" t="s">
        <v>164</v>
      </c>
      <c r="B1863" t="s">
        <v>112</v>
      </c>
      <c r="C1863" s="14" t="s">
        <v>294</v>
      </c>
      <c r="D1863" t="s">
        <v>112</v>
      </c>
      <c r="E1863" t="s">
        <v>392</v>
      </c>
      <c r="F1863" s="20">
        <v>2045</v>
      </c>
      <c r="G1863" s="20">
        <v>51</v>
      </c>
      <c r="H1863" s="11">
        <v>10443.635715702099</v>
      </c>
      <c r="I1863" s="10">
        <v>4178689.0359480898</v>
      </c>
      <c r="J1863" s="34">
        <f t="shared" si="116"/>
        <v>2.4992612816743314E-3</v>
      </c>
      <c r="K1863" s="34">
        <f t="shared" si="117"/>
        <v>2.4961407284312953E-3</v>
      </c>
      <c r="L1863" s="34">
        <f t="shared" si="118"/>
        <v>0.98202437844497137</v>
      </c>
      <c r="M1863" s="34">
        <f t="shared" si="119"/>
        <v>0.97957310739762249</v>
      </c>
    </row>
    <row r="1864" spans="1:13" ht="27.6">
      <c r="A1864" t="s">
        <v>164</v>
      </c>
      <c r="B1864" t="s">
        <v>112</v>
      </c>
      <c r="C1864" s="14" t="s">
        <v>294</v>
      </c>
      <c r="D1864" t="s">
        <v>112</v>
      </c>
      <c r="E1864" t="s">
        <v>392</v>
      </c>
      <c r="F1864" s="20">
        <v>2045</v>
      </c>
      <c r="G1864" s="20">
        <v>52</v>
      </c>
      <c r="H1864" s="11">
        <v>11226.1896784815</v>
      </c>
      <c r="I1864" s="10">
        <v>4110692.736583</v>
      </c>
      <c r="J1864" s="34">
        <f t="shared" si="116"/>
        <v>2.7309727089486219E-3</v>
      </c>
      <c r="K1864" s="34">
        <f t="shared" si="117"/>
        <v>2.7272469953592005E-3</v>
      </c>
      <c r="L1864" s="34">
        <f t="shared" si="118"/>
        <v>0.97957310739762249</v>
      </c>
      <c r="M1864" s="34">
        <f t="shared" si="119"/>
        <v>0.97690156958373764</v>
      </c>
    </row>
    <row r="1865" spans="1:13" ht="27.6">
      <c r="A1865" t="s">
        <v>164</v>
      </c>
      <c r="B1865" t="s">
        <v>112</v>
      </c>
      <c r="C1865" s="14" t="s">
        <v>294</v>
      </c>
      <c r="D1865" t="s">
        <v>112</v>
      </c>
      <c r="E1865" t="s">
        <v>392</v>
      </c>
      <c r="F1865" s="20">
        <v>2045</v>
      </c>
      <c r="G1865" s="20">
        <v>53</v>
      </c>
      <c r="H1865" s="11">
        <v>12275.9510123251</v>
      </c>
      <c r="I1865" s="10">
        <v>4128205.1506779999</v>
      </c>
      <c r="J1865" s="34">
        <f t="shared" si="116"/>
        <v>2.9736775582262297E-3</v>
      </c>
      <c r="K1865" s="34">
        <f t="shared" si="117"/>
        <v>2.9692605584451526E-3</v>
      </c>
      <c r="L1865" s="34">
        <f t="shared" si="118"/>
        <v>0.97690156958373764</v>
      </c>
      <c r="M1865" s="34">
        <f t="shared" si="119"/>
        <v>0.97400089428368952</v>
      </c>
    </row>
    <row r="1866" spans="1:13" ht="27.6">
      <c r="A1866" t="s">
        <v>164</v>
      </c>
      <c r="B1866" t="s">
        <v>112</v>
      </c>
      <c r="C1866" s="14" t="s">
        <v>294</v>
      </c>
      <c r="D1866" t="s">
        <v>112</v>
      </c>
      <c r="E1866" t="s">
        <v>392</v>
      </c>
      <c r="F1866" s="20">
        <v>2045</v>
      </c>
      <c r="G1866" s="20">
        <v>54</v>
      </c>
      <c r="H1866" s="11">
        <v>13355.197270234999</v>
      </c>
      <c r="I1866" s="10">
        <v>4124856.3782206601</v>
      </c>
      <c r="J1866" s="34">
        <f t="shared" si="116"/>
        <v>3.237736310226644E-3</v>
      </c>
      <c r="K1866" s="34">
        <f t="shared" si="117"/>
        <v>3.2325004942741487E-3</v>
      </c>
      <c r="L1866" s="34">
        <f t="shared" si="118"/>
        <v>0.97400089428368952</v>
      </c>
      <c r="M1866" s="34">
        <f t="shared" si="119"/>
        <v>0.97085243591149406</v>
      </c>
    </row>
    <row r="1867" spans="1:13" ht="27.6">
      <c r="A1867" t="s">
        <v>164</v>
      </c>
      <c r="B1867" t="s">
        <v>112</v>
      </c>
      <c r="C1867" s="14" t="s">
        <v>294</v>
      </c>
      <c r="D1867" t="s">
        <v>112</v>
      </c>
      <c r="E1867" t="s">
        <v>392</v>
      </c>
      <c r="F1867" s="20">
        <v>2045</v>
      </c>
      <c r="G1867" s="20">
        <v>55</v>
      </c>
      <c r="H1867" s="11">
        <v>19196.782702080902</v>
      </c>
      <c r="I1867" s="10">
        <v>6064931.4850355498</v>
      </c>
      <c r="J1867" s="34">
        <f t="shared" si="116"/>
        <v>3.1652101510868725E-3</v>
      </c>
      <c r="K1867" s="34">
        <f t="shared" si="117"/>
        <v>3.1602061543959392E-3</v>
      </c>
      <c r="L1867" s="34">
        <f t="shared" si="118"/>
        <v>0.97085243591149406</v>
      </c>
      <c r="M1867" s="34">
        <f t="shared" si="119"/>
        <v>0.96778434206851627</v>
      </c>
    </row>
    <row r="1868" spans="1:13" ht="27.6">
      <c r="A1868" t="s">
        <v>164</v>
      </c>
      <c r="B1868" t="s">
        <v>112</v>
      </c>
      <c r="C1868" s="14" t="s">
        <v>294</v>
      </c>
      <c r="D1868" t="s">
        <v>112</v>
      </c>
      <c r="E1868" t="s">
        <v>392</v>
      </c>
      <c r="F1868" s="20">
        <v>2045</v>
      </c>
      <c r="G1868" s="20">
        <v>56</v>
      </c>
      <c r="H1868" s="11">
        <v>15258.6204975333</v>
      </c>
      <c r="I1868" s="10">
        <v>4039615.96513204</v>
      </c>
      <c r="J1868" s="34">
        <f t="shared" si="116"/>
        <v>3.7772453196635867E-3</v>
      </c>
      <c r="K1868" s="34">
        <f t="shared" si="117"/>
        <v>3.7701205021120066E-3</v>
      </c>
      <c r="L1868" s="34">
        <f t="shared" si="118"/>
        <v>0.96778434206851627</v>
      </c>
      <c r="M1868" s="34">
        <f t="shared" si="119"/>
        <v>0.96413567847886072</v>
      </c>
    </row>
    <row r="1869" spans="1:13" ht="27.6">
      <c r="A1869" t="s">
        <v>164</v>
      </c>
      <c r="B1869" t="s">
        <v>112</v>
      </c>
      <c r="C1869" s="14" t="s">
        <v>294</v>
      </c>
      <c r="D1869" t="s">
        <v>112</v>
      </c>
      <c r="E1869" t="s">
        <v>392</v>
      </c>
      <c r="F1869" s="20">
        <v>2045</v>
      </c>
      <c r="G1869" s="20">
        <v>57</v>
      </c>
      <c r="H1869" s="11">
        <v>16461.066440444501</v>
      </c>
      <c r="I1869" s="10">
        <v>3997950.20923481</v>
      </c>
      <c r="J1869" s="34">
        <f t="shared" si="116"/>
        <v>4.1173765502184869E-3</v>
      </c>
      <c r="K1869" s="34">
        <f t="shared" si="117"/>
        <v>4.1089117769284034E-3</v>
      </c>
      <c r="L1869" s="34">
        <f t="shared" si="118"/>
        <v>0.96413567847886072</v>
      </c>
      <c r="M1869" s="34">
        <f t="shared" si="119"/>
        <v>0.96017413003500207</v>
      </c>
    </row>
    <row r="1870" spans="1:13" ht="27.6">
      <c r="A1870" t="s">
        <v>164</v>
      </c>
      <c r="B1870" t="s">
        <v>112</v>
      </c>
      <c r="C1870" s="14" t="s">
        <v>294</v>
      </c>
      <c r="D1870" t="s">
        <v>112</v>
      </c>
      <c r="E1870" t="s">
        <v>392</v>
      </c>
      <c r="F1870" s="20">
        <v>2045</v>
      </c>
      <c r="G1870" s="20">
        <v>58</v>
      </c>
      <c r="H1870" s="11">
        <v>17306.444476171699</v>
      </c>
      <c r="I1870" s="10">
        <v>3847902.6306467699</v>
      </c>
      <c r="J1870" s="34">
        <f t="shared" si="116"/>
        <v>4.4976305632928055E-3</v>
      </c>
      <c r="K1870" s="34">
        <f t="shared" si="117"/>
        <v>4.4875313694382468E-3</v>
      </c>
      <c r="L1870" s="34">
        <f t="shared" si="118"/>
        <v>0.96017413003500207</v>
      </c>
      <c r="M1870" s="34">
        <f t="shared" si="119"/>
        <v>0.95586531850634693</v>
      </c>
    </row>
    <row r="1871" spans="1:13" ht="27.6">
      <c r="A1871" t="s">
        <v>164</v>
      </c>
      <c r="B1871" t="s">
        <v>112</v>
      </c>
      <c r="C1871" s="14" t="s">
        <v>294</v>
      </c>
      <c r="D1871" t="s">
        <v>112</v>
      </c>
      <c r="E1871" t="s">
        <v>392</v>
      </c>
      <c r="F1871" s="20">
        <v>2045</v>
      </c>
      <c r="G1871" s="20">
        <v>59</v>
      </c>
      <c r="H1871" s="11">
        <v>18624.681385593201</v>
      </c>
      <c r="I1871" s="10">
        <v>3786448.7032607999</v>
      </c>
      <c r="J1871" s="34">
        <f t="shared" si="116"/>
        <v>4.9187729308346542E-3</v>
      </c>
      <c r="K1871" s="34">
        <f t="shared" si="117"/>
        <v>4.9066955772960608E-3</v>
      </c>
      <c r="L1871" s="34">
        <f t="shared" si="118"/>
        <v>0.95586531850634693</v>
      </c>
      <c r="M1871" s="34">
        <f t="shared" si="119"/>
        <v>0.95117517837554111</v>
      </c>
    </row>
    <row r="1872" spans="1:13" ht="27.6">
      <c r="A1872" t="s">
        <v>164</v>
      </c>
      <c r="B1872" t="s">
        <v>112</v>
      </c>
      <c r="C1872" s="14" t="s">
        <v>294</v>
      </c>
      <c r="D1872" t="s">
        <v>112</v>
      </c>
      <c r="E1872" t="s">
        <v>392</v>
      </c>
      <c r="F1872" s="20">
        <v>2045</v>
      </c>
      <c r="G1872" s="20">
        <v>60</v>
      </c>
      <c r="H1872" s="11">
        <v>20272.153532647699</v>
      </c>
      <c r="I1872" s="10">
        <v>3807446.1840430102</v>
      </c>
      <c r="J1872" s="34">
        <f t="shared" si="116"/>
        <v>5.3243440754614478E-3</v>
      </c>
      <c r="K1872" s="34">
        <f t="shared" si="117"/>
        <v>5.3101948784136654E-3</v>
      </c>
      <c r="L1872" s="34">
        <f t="shared" si="118"/>
        <v>0.95117517837554111</v>
      </c>
      <c r="M1872" s="34">
        <f t="shared" si="119"/>
        <v>0.94612425281485713</v>
      </c>
    </row>
    <row r="1873" spans="1:13" ht="27.6">
      <c r="A1873" t="s">
        <v>164</v>
      </c>
      <c r="B1873" t="s">
        <v>112</v>
      </c>
      <c r="C1873" s="14" t="s">
        <v>294</v>
      </c>
      <c r="D1873" t="s">
        <v>112</v>
      </c>
      <c r="E1873" t="s">
        <v>392</v>
      </c>
      <c r="F1873" s="20">
        <v>2045</v>
      </c>
      <c r="G1873" s="20">
        <v>61</v>
      </c>
      <c r="H1873" s="11">
        <v>22464.677930326499</v>
      </c>
      <c r="I1873" s="10">
        <v>3846962.4150646701</v>
      </c>
      <c r="J1873" s="34">
        <f t="shared" si="116"/>
        <v>5.8395886173348158E-3</v>
      </c>
      <c r="K1873" s="34">
        <f t="shared" si="117"/>
        <v>5.8225713604314056E-3</v>
      </c>
      <c r="L1873" s="34">
        <f t="shared" si="118"/>
        <v>0.94612425281485713</v>
      </c>
      <c r="M1873" s="34">
        <f t="shared" si="119"/>
        <v>0.9406153768370078</v>
      </c>
    </row>
    <row r="1874" spans="1:13" ht="27.6">
      <c r="A1874" t="s">
        <v>164</v>
      </c>
      <c r="B1874" t="s">
        <v>112</v>
      </c>
      <c r="C1874" s="14" t="s">
        <v>294</v>
      </c>
      <c r="D1874" t="s">
        <v>112</v>
      </c>
      <c r="E1874" t="s">
        <v>392</v>
      </c>
      <c r="F1874" s="20">
        <v>2045</v>
      </c>
      <c r="G1874" s="20">
        <v>62</v>
      </c>
      <c r="H1874" s="11">
        <v>24253.3702632243</v>
      </c>
      <c r="I1874" s="10">
        <v>3785375.1360586002</v>
      </c>
      <c r="J1874" s="34">
        <f t="shared" si="116"/>
        <v>6.4071246287302824E-3</v>
      </c>
      <c r="K1874" s="34">
        <f t="shared" si="117"/>
        <v>6.3866427723408004E-3</v>
      </c>
      <c r="L1874" s="34">
        <f t="shared" si="118"/>
        <v>0.9406153768370078</v>
      </c>
      <c r="M1874" s="34">
        <f t="shared" si="119"/>
        <v>0.93460800243897912</v>
      </c>
    </row>
    <row r="1875" spans="1:13" ht="27.6">
      <c r="A1875" t="s">
        <v>164</v>
      </c>
      <c r="B1875" t="s">
        <v>112</v>
      </c>
      <c r="C1875" s="14" t="s">
        <v>294</v>
      </c>
      <c r="D1875" t="s">
        <v>112</v>
      </c>
      <c r="E1875" t="s">
        <v>392</v>
      </c>
      <c r="F1875" s="20">
        <v>2045</v>
      </c>
      <c r="G1875" s="20">
        <v>63</v>
      </c>
      <c r="H1875" s="11">
        <v>25486.364007434298</v>
      </c>
      <c r="I1875" s="10">
        <v>3622002.4893261502</v>
      </c>
      <c r="J1875" s="34">
        <f t="shared" si="116"/>
        <v>7.036539616563287E-3</v>
      </c>
      <c r="K1875" s="34">
        <f t="shared" si="117"/>
        <v>7.0118411362406485E-3</v>
      </c>
      <c r="L1875" s="34">
        <f t="shared" si="118"/>
        <v>0.93460800243897912</v>
      </c>
      <c r="M1875" s="34">
        <f t="shared" si="119"/>
        <v>0.92805467960121779</v>
      </c>
    </row>
    <row r="1876" spans="1:13" ht="27.6">
      <c r="A1876" t="s">
        <v>164</v>
      </c>
      <c r="B1876" t="s">
        <v>112</v>
      </c>
      <c r="C1876" s="14" t="s">
        <v>294</v>
      </c>
      <c r="D1876" t="s">
        <v>112</v>
      </c>
      <c r="E1876" t="s">
        <v>392</v>
      </c>
      <c r="F1876" s="20">
        <v>2045</v>
      </c>
      <c r="G1876" s="20">
        <v>64</v>
      </c>
      <c r="H1876" s="11">
        <v>27109.038828117002</v>
      </c>
      <c r="I1876" s="10">
        <v>3512174.2972710598</v>
      </c>
      <c r="J1876" s="34">
        <f t="shared" si="116"/>
        <v>7.7185915429028038E-3</v>
      </c>
      <c r="K1876" s="34">
        <f t="shared" si="117"/>
        <v>7.6888797088484617E-3</v>
      </c>
      <c r="L1876" s="34">
        <f t="shared" si="118"/>
        <v>0.92805467960121779</v>
      </c>
      <c r="M1876" s="34">
        <f t="shared" si="119"/>
        <v>0.92091897880653018</v>
      </c>
    </row>
    <row r="1877" spans="1:13" ht="27.6">
      <c r="A1877" t="s">
        <v>164</v>
      </c>
      <c r="B1877" t="s">
        <v>112</v>
      </c>
      <c r="C1877" s="14" t="s">
        <v>294</v>
      </c>
      <c r="D1877" t="s">
        <v>112</v>
      </c>
      <c r="E1877" t="s">
        <v>392</v>
      </c>
      <c r="F1877" s="20">
        <v>2045</v>
      </c>
      <c r="G1877" s="20">
        <v>65</v>
      </c>
      <c r="H1877" s="11">
        <v>27555.697067012501</v>
      </c>
      <c r="I1877" s="10">
        <v>3413756.7598694302</v>
      </c>
      <c r="J1877" s="34">
        <f t="shared" si="116"/>
        <v>8.0719567928637225E-3</v>
      </c>
      <c r="K1877" s="34">
        <f t="shared" si="117"/>
        <v>8.0394660297495868E-3</v>
      </c>
      <c r="L1877" s="34">
        <f t="shared" si="118"/>
        <v>0.92091897880653018</v>
      </c>
      <c r="M1877" s="34">
        <f t="shared" si="119"/>
        <v>0.91351528196026344</v>
      </c>
    </row>
    <row r="1878" spans="1:13" ht="27.6">
      <c r="A1878" t="s">
        <v>164</v>
      </c>
      <c r="B1878" t="s">
        <v>112</v>
      </c>
      <c r="C1878" s="14" t="s">
        <v>294</v>
      </c>
      <c r="D1878" t="s">
        <v>112</v>
      </c>
      <c r="E1878" t="s">
        <v>392</v>
      </c>
      <c r="F1878" s="20">
        <v>2045</v>
      </c>
      <c r="G1878" s="20">
        <v>66</v>
      </c>
      <c r="H1878" s="11">
        <v>29324.745401729699</v>
      </c>
      <c r="I1878" s="10">
        <v>3308924.21299878</v>
      </c>
      <c r="J1878" s="34">
        <f t="shared" si="116"/>
        <v>8.8623200514929747E-3</v>
      </c>
      <c r="K1878" s="34">
        <f t="shared" si="117"/>
        <v>8.8231654454015152E-3</v>
      </c>
      <c r="L1878" s="34">
        <f t="shared" si="118"/>
        <v>0.91351528196026344</v>
      </c>
      <c r="M1878" s="34">
        <f t="shared" si="119"/>
        <v>0.90545518549062542</v>
      </c>
    </row>
    <row r="1879" spans="1:13" ht="27.6">
      <c r="A1879" t="s">
        <v>164</v>
      </c>
      <c r="B1879" t="s">
        <v>112</v>
      </c>
      <c r="C1879" s="14" t="s">
        <v>294</v>
      </c>
      <c r="D1879" t="s">
        <v>112</v>
      </c>
      <c r="E1879" t="s">
        <v>392</v>
      </c>
      <c r="F1879" s="20">
        <v>2045</v>
      </c>
      <c r="G1879" s="20">
        <v>67</v>
      </c>
      <c r="H1879" s="11">
        <v>30998.956493358201</v>
      </c>
      <c r="I1879" s="10">
        <v>3184931.9537086198</v>
      </c>
      <c r="J1879" s="34">
        <f t="shared" si="116"/>
        <v>9.7330043291073108E-3</v>
      </c>
      <c r="K1879" s="34">
        <f t="shared" si="117"/>
        <v>9.6857919394250924E-3</v>
      </c>
      <c r="L1879" s="34">
        <f t="shared" si="118"/>
        <v>0.90545518549062542</v>
      </c>
      <c r="M1879" s="34">
        <f t="shared" si="119"/>
        <v>0.89668513495348967</v>
      </c>
    </row>
    <row r="1880" spans="1:13" ht="27.6">
      <c r="A1880" t="s">
        <v>164</v>
      </c>
      <c r="B1880" t="s">
        <v>112</v>
      </c>
      <c r="C1880" s="14" t="s">
        <v>294</v>
      </c>
      <c r="D1880" t="s">
        <v>112</v>
      </c>
      <c r="E1880" t="s">
        <v>392</v>
      </c>
      <c r="F1880" s="20">
        <v>2045</v>
      </c>
      <c r="G1880" s="20">
        <v>68</v>
      </c>
      <c r="H1880" s="11">
        <v>32889.4921481981</v>
      </c>
      <c r="I1880" s="10">
        <v>3072112.7970234002</v>
      </c>
      <c r="J1880" s="34">
        <f t="shared" si="116"/>
        <v>1.0705821797970781E-2</v>
      </c>
      <c r="K1880" s="34">
        <f t="shared" si="117"/>
        <v>1.0648718448884598E-2</v>
      </c>
      <c r="L1880" s="34">
        <f t="shared" si="118"/>
        <v>0.89668513495348967</v>
      </c>
      <c r="M1880" s="34">
        <f t="shared" si="119"/>
        <v>0.88713658741406987</v>
      </c>
    </row>
    <row r="1881" spans="1:13" ht="27.6">
      <c r="A1881" t="s">
        <v>164</v>
      </c>
      <c r="B1881" t="s">
        <v>112</v>
      </c>
      <c r="C1881" s="14" t="s">
        <v>294</v>
      </c>
      <c r="D1881" t="s">
        <v>112</v>
      </c>
      <c r="E1881" t="s">
        <v>392</v>
      </c>
      <c r="F1881" s="20">
        <v>2045</v>
      </c>
      <c r="G1881" s="20">
        <v>69</v>
      </c>
      <c r="H1881" s="11">
        <v>34711.386469017001</v>
      </c>
      <c r="I1881" s="10">
        <v>2948206.8852367098</v>
      </c>
      <c r="J1881" s="34">
        <f t="shared" si="116"/>
        <v>1.1773728174517184E-2</v>
      </c>
      <c r="K1881" s="34">
        <f t="shared" si="117"/>
        <v>1.1704689051872719E-2</v>
      </c>
      <c r="L1881" s="34">
        <f t="shared" si="118"/>
        <v>0.88713658741406987</v>
      </c>
      <c r="M1881" s="34">
        <f t="shared" si="119"/>
        <v>0.87675292951184869</v>
      </c>
    </row>
    <row r="1882" spans="1:13" ht="27.6">
      <c r="A1882" t="s">
        <v>164</v>
      </c>
      <c r="B1882" t="s">
        <v>112</v>
      </c>
      <c r="C1882" s="14" t="s">
        <v>294</v>
      </c>
      <c r="D1882" t="s">
        <v>112</v>
      </c>
      <c r="E1882" t="s">
        <v>392</v>
      </c>
      <c r="F1882" s="20">
        <v>2046</v>
      </c>
      <c r="G1882" s="20">
        <v>30</v>
      </c>
      <c r="H1882" s="11">
        <v>694.51648854702501</v>
      </c>
      <c r="I1882" s="10">
        <v>4588321.9217005596</v>
      </c>
      <c r="J1882" s="34">
        <f t="shared" si="116"/>
        <v>1.513661204246144E-4</v>
      </c>
      <c r="K1882" s="34">
        <f t="shared" si="117"/>
        <v>1.5135466515137086E-4</v>
      </c>
      <c r="L1882" s="34">
        <f t="shared" si="118"/>
        <v>1</v>
      </c>
      <c r="M1882" s="34">
        <f t="shared" si="119"/>
        <v>0.99984864533484863</v>
      </c>
    </row>
    <row r="1883" spans="1:13" ht="27.6">
      <c r="A1883" t="s">
        <v>164</v>
      </c>
      <c r="B1883" t="s">
        <v>112</v>
      </c>
      <c r="C1883" s="14" t="s">
        <v>294</v>
      </c>
      <c r="D1883" t="s">
        <v>112</v>
      </c>
      <c r="E1883" t="s">
        <v>392</v>
      </c>
      <c r="F1883" s="20">
        <v>2046</v>
      </c>
      <c r="G1883" s="20">
        <v>31</v>
      </c>
      <c r="H1883" s="11">
        <v>981.09095883552095</v>
      </c>
      <c r="I1883" s="10">
        <v>4637118.8879298996</v>
      </c>
      <c r="J1883" s="34">
        <f t="shared" si="116"/>
        <v>2.1157338911219917E-4</v>
      </c>
      <c r="K1883" s="34">
        <f t="shared" si="117"/>
        <v>2.1155100904113322E-4</v>
      </c>
      <c r="L1883" s="34">
        <f t="shared" si="118"/>
        <v>0.99984864533484863</v>
      </c>
      <c r="M1883" s="34">
        <f t="shared" si="119"/>
        <v>0.99963712634503965</v>
      </c>
    </row>
    <row r="1884" spans="1:13" ht="27.6">
      <c r="A1884" t="s">
        <v>164</v>
      </c>
      <c r="B1884" t="s">
        <v>112</v>
      </c>
      <c r="C1884" s="14" t="s">
        <v>294</v>
      </c>
      <c r="D1884" t="s">
        <v>112</v>
      </c>
      <c r="E1884" t="s">
        <v>392</v>
      </c>
      <c r="F1884" s="20">
        <v>2046</v>
      </c>
      <c r="G1884" s="20">
        <v>32</v>
      </c>
      <c r="H1884" s="11">
        <v>1048.5414682452199</v>
      </c>
      <c r="I1884" s="10">
        <v>4703629.84127443</v>
      </c>
      <c r="J1884" s="34">
        <f t="shared" si="116"/>
        <v>2.2292176545106741E-4</v>
      </c>
      <c r="K1884" s="34">
        <f t="shared" si="117"/>
        <v>2.2289692024057839E-4</v>
      </c>
      <c r="L1884" s="34">
        <f t="shared" si="118"/>
        <v>0.99963712634503965</v>
      </c>
      <c r="M1884" s="34">
        <f t="shared" si="119"/>
        <v>0.99941431030821914</v>
      </c>
    </row>
    <row r="1885" spans="1:13" ht="27.6">
      <c r="A1885" t="s">
        <v>164</v>
      </c>
      <c r="B1885" t="s">
        <v>112</v>
      </c>
      <c r="C1885" s="14" t="s">
        <v>294</v>
      </c>
      <c r="D1885" t="s">
        <v>112</v>
      </c>
      <c r="E1885" t="s">
        <v>392</v>
      </c>
      <c r="F1885" s="20">
        <v>2046</v>
      </c>
      <c r="G1885" s="20">
        <v>33</v>
      </c>
      <c r="H1885" s="11">
        <v>1126.78812063903</v>
      </c>
      <c r="I1885" s="10">
        <v>4771495.1717986399</v>
      </c>
      <c r="J1885" s="34">
        <f t="shared" si="116"/>
        <v>2.3614990271786891E-4</v>
      </c>
      <c r="K1885" s="34">
        <f t="shared" si="117"/>
        <v>2.3612202152434314E-4</v>
      </c>
      <c r="L1885" s="34">
        <f t="shared" si="118"/>
        <v>0.99941431030821914</v>
      </c>
      <c r="M1885" s="34">
        <f t="shared" si="119"/>
        <v>0.99917832658092887</v>
      </c>
    </row>
    <row r="1886" spans="1:13" ht="27.6">
      <c r="A1886" t="s">
        <v>164</v>
      </c>
      <c r="B1886" t="s">
        <v>112</v>
      </c>
      <c r="C1886" s="14" t="s">
        <v>294</v>
      </c>
      <c r="D1886" t="s">
        <v>112</v>
      </c>
      <c r="E1886" t="s">
        <v>392</v>
      </c>
      <c r="F1886" s="20">
        <v>2046</v>
      </c>
      <c r="G1886" s="20">
        <v>34</v>
      </c>
      <c r="H1886" s="11">
        <v>1273.1654804166101</v>
      </c>
      <c r="I1886" s="10">
        <v>4883561.6840807702</v>
      </c>
      <c r="J1886" s="34">
        <f t="shared" si="116"/>
        <v>2.6070428977416658E-4</v>
      </c>
      <c r="K1886" s="34">
        <f t="shared" si="117"/>
        <v>2.6067030936383073E-4</v>
      </c>
      <c r="L1886" s="34">
        <f t="shared" si="118"/>
        <v>0.99917832658092887</v>
      </c>
      <c r="M1886" s="34">
        <f t="shared" si="119"/>
        <v>0.99891787045742941</v>
      </c>
    </row>
    <row r="1887" spans="1:13" ht="27.6">
      <c r="A1887" t="s">
        <v>164</v>
      </c>
      <c r="B1887" t="s">
        <v>112</v>
      </c>
      <c r="C1887" s="14" t="s">
        <v>294</v>
      </c>
      <c r="D1887" t="s">
        <v>112</v>
      </c>
      <c r="E1887" t="s">
        <v>392</v>
      </c>
      <c r="F1887" s="20">
        <v>2046</v>
      </c>
      <c r="G1887" s="20">
        <v>35</v>
      </c>
      <c r="H1887" s="11">
        <v>1653.8594639999999</v>
      </c>
      <c r="I1887" s="10">
        <v>4854826.4659342105</v>
      </c>
      <c r="J1887" s="34">
        <f t="shared" si="116"/>
        <v>3.4066294142642422E-4</v>
      </c>
      <c r="K1887" s="34">
        <f t="shared" si="117"/>
        <v>3.4060492239507134E-4</v>
      </c>
      <c r="L1887" s="34">
        <f t="shared" si="118"/>
        <v>0.99891787045742941</v>
      </c>
      <c r="M1887" s="34">
        <f t="shared" si="119"/>
        <v>0.99857763411368317</v>
      </c>
    </row>
    <row r="1888" spans="1:13" ht="27.6">
      <c r="A1888" t="s">
        <v>164</v>
      </c>
      <c r="B1888" t="s">
        <v>112</v>
      </c>
      <c r="C1888" s="14" t="s">
        <v>294</v>
      </c>
      <c r="D1888" t="s">
        <v>112</v>
      </c>
      <c r="E1888" t="s">
        <v>392</v>
      </c>
      <c r="F1888" s="20">
        <v>2046</v>
      </c>
      <c r="G1888" s="20">
        <v>36</v>
      </c>
      <c r="H1888" s="11">
        <v>1886.82857593634</v>
      </c>
      <c r="I1888" s="10">
        <v>4720258.64056639</v>
      </c>
      <c r="J1888" s="34">
        <f t="shared" si="116"/>
        <v>3.9972991304348037E-4</v>
      </c>
      <c r="K1888" s="34">
        <f t="shared" si="117"/>
        <v>3.9965003168584978E-4</v>
      </c>
      <c r="L1888" s="34">
        <f t="shared" si="118"/>
        <v>0.99857763411368317</v>
      </c>
      <c r="M1888" s="34">
        <f t="shared" si="119"/>
        <v>0.99817855253056886</v>
      </c>
    </row>
    <row r="1889" spans="1:13" ht="27.6">
      <c r="A1889" t="s">
        <v>164</v>
      </c>
      <c r="B1889" t="s">
        <v>112</v>
      </c>
      <c r="C1889" s="14" t="s">
        <v>294</v>
      </c>
      <c r="D1889" t="s">
        <v>112</v>
      </c>
      <c r="E1889" t="s">
        <v>392</v>
      </c>
      <c r="F1889" s="20">
        <v>2046</v>
      </c>
      <c r="G1889" s="20">
        <v>37</v>
      </c>
      <c r="H1889" s="11">
        <v>1996.6968845757699</v>
      </c>
      <c r="I1889" s="10">
        <v>4648349.6998669999</v>
      </c>
      <c r="J1889" s="34">
        <f t="shared" si="116"/>
        <v>4.2954962803958143E-4</v>
      </c>
      <c r="K1889" s="34">
        <f t="shared" si="117"/>
        <v>4.2945738480626439E-4</v>
      </c>
      <c r="L1889" s="34">
        <f t="shared" si="118"/>
        <v>0.99817855253056886</v>
      </c>
      <c r="M1889" s="34">
        <f t="shared" si="119"/>
        <v>0.99774987737982934</v>
      </c>
    </row>
    <row r="1890" spans="1:13" ht="27.6">
      <c r="A1890" t="s">
        <v>164</v>
      </c>
      <c r="B1890" t="s">
        <v>112</v>
      </c>
      <c r="C1890" s="14" t="s">
        <v>294</v>
      </c>
      <c r="D1890" t="s">
        <v>112</v>
      </c>
      <c r="E1890" t="s">
        <v>392</v>
      </c>
      <c r="F1890" s="20">
        <v>2046</v>
      </c>
      <c r="G1890" s="20">
        <v>38</v>
      </c>
      <c r="H1890" s="11">
        <v>2132.92509994279</v>
      </c>
      <c r="I1890" s="10">
        <v>4604053.9685765402</v>
      </c>
      <c r="J1890" s="34">
        <f t="shared" si="116"/>
        <v>4.6327108989172814E-4</v>
      </c>
      <c r="K1890" s="34">
        <f t="shared" si="117"/>
        <v>4.6316379640964911E-4</v>
      </c>
      <c r="L1890" s="34">
        <f t="shared" si="118"/>
        <v>0.99774987737982934</v>
      </c>
      <c r="M1890" s="34">
        <f t="shared" si="119"/>
        <v>0.99728775575875483</v>
      </c>
    </row>
    <row r="1891" spans="1:13" ht="27.6">
      <c r="A1891" t="s">
        <v>164</v>
      </c>
      <c r="B1891" t="s">
        <v>112</v>
      </c>
      <c r="C1891" s="14" t="s">
        <v>294</v>
      </c>
      <c r="D1891" t="s">
        <v>112</v>
      </c>
      <c r="E1891" t="s">
        <v>392</v>
      </c>
      <c r="F1891" s="20">
        <v>2046</v>
      </c>
      <c r="G1891" s="20">
        <v>39</v>
      </c>
      <c r="H1891" s="11">
        <v>2379.6083266383198</v>
      </c>
      <c r="I1891" s="10">
        <v>4627087.5642038099</v>
      </c>
      <c r="J1891" s="34">
        <f t="shared" si="116"/>
        <v>5.142777813516012E-4</v>
      </c>
      <c r="K1891" s="34">
        <f t="shared" si="117"/>
        <v>5.1414556319995253E-4</v>
      </c>
      <c r="L1891" s="34">
        <f t="shared" si="118"/>
        <v>0.99728775575875483</v>
      </c>
      <c r="M1891" s="34">
        <f t="shared" si="119"/>
        <v>0.99677500468389779</v>
      </c>
    </row>
    <row r="1892" spans="1:13" ht="27.6">
      <c r="A1892" t="s">
        <v>164</v>
      </c>
      <c r="B1892" t="s">
        <v>112</v>
      </c>
      <c r="C1892" s="14" t="s">
        <v>294</v>
      </c>
      <c r="D1892" t="s">
        <v>112</v>
      </c>
      <c r="E1892" t="s">
        <v>392</v>
      </c>
      <c r="F1892" s="20">
        <v>2046</v>
      </c>
      <c r="G1892" s="20">
        <v>40</v>
      </c>
      <c r="H1892" s="11">
        <v>3135.23619390153</v>
      </c>
      <c r="I1892" s="10">
        <v>4541927.1670522997</v>
      </c>
      <c r="J1892" s="34">
        <f t="shared" si="116"/>
        <v>6.9028764191661203E-4</v>
      </c>
      <c r="K1892" s="34">
        <f t="shared" si="117"/>
        <v>6.900494482128261E-4</v>
      </c>
      <c r="L1892" s="34">
        <f t="shared" si="118"/>
        <v>0.99677500468389779</v>
      </c>
      <c r="M1892" s="34">
        <f t="shared" si="119"/>
        <v>0.99608718064192336</v>
      </c>
    </row>
    <row r="1893" spans="1:13" ht="27.6">
      <c r="A1893" t="s">
        <v>164</v>
      </c>
      <c r="B1893" t="s">
        <v>112</v>
      </c>
      <c r="C1893" s="14" t="s">
        <v>294</v>
      </c>
      <c r="D1893" t="s">
        <v>112</v>
      </c>
      <c r="E1893" t="s">
        <v>392</v>
      </c>
      <c r="F1893" s="20">
        <v>2046</v>
      </c>
      <c r="G1893" s="20">
        <v>41</v>
      </c>
      <c r="H1893" s="11">
        <v>3484.9859649142199</v>
      </c>
      <c r="I1893" s="10">
        <v>4477385.2061539805</v>
      </c>
      <c r="J1893" s="34">
        <f t="shared" si="116"/>
        <v>7.7835294584979004E-4</v>
      </c>
      <c r="K1893" s="34">
        <f t="shared" si="117"/>
        <v>7.780501077723212E-4</v>
      </c>
      <c r="L1893" s="34">
        <f t="shared" si="118"/>
        <v>0.99608718064192336</v>
      </c>
      <c r="M1893" s="34">
        <f t="shared" si="119"/>
        <v>0.9953121749036743</v>
      </c>
    </row>
    <row r="1894" spans="1:13" ht="27.6">
      <c r="A1894" t="s">
        <v>164</v>
      </c>
      <c r="B1894" t="s">
        <v>112</v>
      </c>
      <c r="C1894" s="14" t="s">
        <v>294</v>
      </c>
      <c r="D1894" t="s">
        <v>112</v>
      </c>
      <c r="E1894" t="s">
        <v>392</v>
      </c>
      <c r="F1894" s="20">
        <v>2046</v>
      </c>
      <c r="G1894" s="20">
        <v>42</v>
      </c>
      <c r="H1894" s="11">
        <v>3669.6728771695098</v>
      </c>
      <c r="I1894" s="10">
        <v>4346272.2705562096</v>
      </c>
      <c r="J1894" s="34">
        <f t="shared" si="116"/>
        <v>8.4432650527434337E-4</v>
      </c>
      <c r="K1894" s="34">
        <f t="shared" si="117"/>
        <v>8.4397016194770469E-4</v>
      </c>
      <c r="L1894" s="34">
        <f t="shared" si="118"/>
        <v>0.9953121749036743</v>
      </c>
      <c r="M1894" s="34">
        <f t="shared" si="119"/>
        <v>0.99447216112623227</v>
      </c>
    </row>
    <row r="1895" spans="1:13" ht="27.6">
      <c r="A1895" t="s">
        <v>164</v>
      </c>
      <c r="B1895" t="s">
        <v>112</v>
      </c>
      <c r="C1895" s="14" t="s">
        <v>294</v>
      </c>
      <c r="D1895" t="s">
        <v>112</v>
      </c>
      <c r="E1895" t="s">
        <v>392</v>
      </c>
      <c r="F1895" s="20">
        <v>2046</v>
      </c>
      <c r="G1895" s="20">
        <v>43</v>
      </c>
      <c r="H1895" s="11">
        <v>3926.0024629608101</v>
      </c>
      <c r="I1895" s="10">
        <v>4276884.2175061498</v>
      </c>
      <c r="J1895" s="34">
        <f t="shared" si="116"/>
        <v>9.1795855657978538E-4</v>
      </c>
      <c r="K1895" s="34">
        <f t="shared" si="117"/>
        <v>9.1753736151367615E-4</v>
      </c>
      <c r="L1895" s="34">
        <f t="shared" si="118"/>
        <v>0.99447216112623227</v>
      </c>
      <c r="M1895" s="34">
        <f t="shared" si="119"/>
        <v>0.99355969576341374</v>
      </c>
    </row>
    <row r="1896" spans="1:13" ht="27.6">
      <c r="A1896" t="s">
        <v>164</v>
      </c>
      <c r="B1896" t="s">
        <v>112</v>
      </c>
      <c r="C1896" s="14" t="s">
        <v>294</v>
      </c>
      <c r="D1896" t="s">
        <v>112</v>
      </c>
      <c r="E1896" t="s">
        <v>392</v>
      </c>
      <c r="F1896" s="20">
        <v>2046</v>
      </c>
      <c r="G1896" s="20">
        <v>44</v>
      </c>
      <c r="H1896" s="11">
        <v>4410.5006660577701</v>
      </c>
      <c r="I1896" s="10">
        <v>4248189.7453461699</v>
      </c>
      <c r="J1896" s="34">
        <f t="shared" si="116"/>
        <v>1.0382070788832842E-3</v>
      </c>
      <c r="K1896" s="34">
        <f t="shared" si="117"/>
        <v>1.0376683283749299E-3</v>
      </c>
      <c r="L1896" s="34">
        <f t="shared" si="118"/>
        <v>0.99355969576341374</v>
      </c>
      <c r="M1896" s="34">
        <f t="shared" si="119"/>
        <v>0.99252871033477019</v>
      </c>
    </row>
    <row r="1897" spans="1:13" ht="27.6">
      <c r="A1897" t="s">
        <v>164</v>
      </c>
      <c r="B1897" t="s">
        <v>112</v>
      </c>
      <c r="C1897" s="14" t="s">
        <v>294</v>
      </c>
      <c r="D1897" t="s">
        <v>112</v>
      </c>
      <c r="E1897" t="s">
        <v>392</v>
      </c>
      <c r="F1897" s="20">
        <v>2046</v>
      </c>
      <c r="G1897" s="20">
        <v>45</v>
      </c>
      <c r="H1897" s="11">
        <v>5615.3597928917598</v>
      </c>
      <c r="I1897" s="10">
        <v>4221927.9306298196</v>
      </c>
      <c r="J1897" s="34">
        <f t="shared" si="116"/>
        <v>1.3300463402401259E-3</v>
      </c>
      <c r="K1897" s="34">
        <f t="shared" si="117"/>
        <v>1.3291622206232923E-3</v>
      </c>
      <c r="L1897" s="34">
        <f t="shared" si="118"/>
        <v>0.99252871033477019</v>
      </c>
      <c r="M1897" s="34">
        <f t="shared" si="119"/>
        <v>0.99120947867010922</v>
      </c>
    </row>
    <row r="1898" spans="1:13" ht="27.6">
      <c r="A1898" t="s">
        <v>164</v>
      </c>
      <c r="B1898" t="s">
        <v>112</v>
      </c>
      <c r="C1898" s="14" t="s">
        <v>294</v>
      </c>
      <c r="D1898" t="s">
        <v>112</v>
      </c>
      <c r="E1898" t="s">
        <v>392</v>
      </c>
      <c r="F1898" s="20">
        <v>2046</v>
      </c>
      <c r="G1898" s="20">
        <v>46</v>
      </c>
      <c r="H1898" s="11">
        <v>6174.7923091664397</v>
      </c>
      <c r="I1898" s="10">
        <v>4193747.7760802298</v>
      </c>
      <c r="J1898" s="34">
        <f t="shared" si="116"/>
        <v>1.4723804670336738E-3</v>
      </c>
      <c r="K1898" s="34">
        <f t="shared" si="117"/>
        <v>1.4712970467146702E-3</v>
      </c>
      <c r="L1898" s="34">
        <f t="shared" si="118"/>
        <v>0.99120947867010922</v>
      </c>
      <c r="M1898" s="34">
        <f t="shared" si="119"/>
        <v>0.98975111509146629</v>
      </c>
    </row>
    <row r="1899" spans="1:13" ht="27.6">
      <c r="A1899" t="s">
        <v>164</v>
      </c>
      <c r="B1899" t="s">
        <v>112</v>
      </c>
      <c r="C1899" s="14" t="s">
        <v>294</v>
      </c>
      <c r="D1899" t="s">
        <v>112</v>
      </c>
      <c r="E1899" t="s">
        <v>392</v>
      </c>
      <c r="F1899" s="20">
        <v>2046</v>
      </c>
      <c r="G1899" s="20">
        <v>47</v>
      </c>
      <c r="H1899" s="11">
        <v>6778.3346000596302</v>
      </c>
      <c r="I1899" s="10">
        <v>4204006.6807043403</v>
      </c>
      <c r="J1899" s="34">
        <f t="shared" si="116"/>
        <v>1.612351053382243E-3</v>
      </c>
      <c r="K1899" s="34">
        <f t="shared" si="117"/>
        <v>1.6110519137394474E-3</v>
      </c>
      <c r="L1899" s="34">
        <f t="shared" si="118"/>
        <v>0.98975111509146629</v>
      </c>
      <c r="M1899" s="34">
        <f t="shared" si="119"/>
        <v>0.98815657466337248</v>
      </c>
    </row>
    <row r="1900" spans="1:13" ht="27.6">
      <c r="A1900" t="s">
        <v>164</v>
      </c>
      <c r="B1900" t="s">
        <v>112</v>
      </c>
      <c r="C1900" s="14" t="s">
        <v>294</v>
      </c>
      <c r="D1900" t="s">
        <v>112</v>
      </c>
      <c r="E1900" t="s">
        <v>392</v>
      </c>
      <c r="F1900" s="20">
        <v>2046</v>
      </c>
      <c r="G1900" s="20">
        <v>48</v>
      </c>
      <c r="H1900" s="11">
        <v>7518.1617291291996</v>
      </c>
      <c r="I1900" s="10">
        <v>4251046.7638690704</v>
      </c>
      <c r="J1900" s="34">
        <f t="shared" si="116"/>
        <v>1.7685436427160306E-3</v>
      </c>
      <c r="K1900" s="34">
        <f t="shared" si="117"/>
        <v>1.7669806909265118E-3</v>
      </c>
      <c r="L1900" s="34">
        <f t="shared" si="118"/>
        <v>0.98815657466337248</v>
      </c>
      <c r="M1900" s="34">
        <f t="shared" si="119"/>
        <v>0.9864105210763302</v>
      </c>
    </row>
    <row r="1901" spans="1:13" ht="27.6">
      <c r="A1901" t="s">
        <v>164</v>
      </c>
      <c r="B1901" t="s">
        <v>112</v>
      </c>
      <c r="C1901" s="14" t="s">
        <v>294</v>
      </c>
      <c r="D1901" t="s">
        <v>112</v>
      </c>
      <c r="E1901" t="s">
        <v>392</v>
      </c>
      <c r="F1901" s="20">
        <v>2046</v>
      </c>
      <c r="G1901" s="20">
        <v>49</v>
      </c>
      <c r="H1901" s="11">
        <v>8681.0017914021901</v>
      </c>
      <c r="I1901" s="10">
        <v>4370139.6220534705</v>
      </c>
      <c r="J1901" s="34">
        <f t="shared" si="116"/>
        <v>1.9864357988917305E-3</v>
      </c>
      <c r="K1901" s="34">
        <f t="shared" si="117"/>
        <v>1.9844641410401431E-3</v>
      </c>
      <c r="L1901" s="34">
        <f t="shared" si="118"/>
        <v>0.9864105210763302</v>
      </c>
      <c r="M1901" s="34">
        <f t="shared" si="119"/>
        <v>0.9844530247689095</v>
      </c>
    </row>
    <row r="1902" spans="1:13" ht="27.6">
      <c r="A1902" t="s">
        <v>164</v>
      </c>
      <c r="B1902" t="s">
        <v>112</v>
      </c>
      <c r="C1902" s="14" t="s">
        <v>294</v>
      </c>
      <c r="D1902" t="s">
        <v>112</v>
      </c>
      <c r="E1902" t="s">
        <v>392</v>
      </c>
      <c r="F1902" s="20">
        <v>2046</v>
      </c>
      <c r="G1902" s="20">
        <v>50</v>
      </c>
      <c r="H1902" s="11">
        <v>9778.4720345318892</v>
      </c>
      <c r="I1902" s="10">
        <v>4314676.1225325903</v>
      </c>
      <c r="J1902" s="34">
        <f t="shared" si="116"/>
        <v>2.2663281685189867E-3</v>
      </c>
      <c r="K1902" s="34">
        <f t="shared" si="117"/>
        <v>2.263761985805357E-3</v>
      </c>
      <c r="L1902" s="34">
        <f t="shared" si="118"/>
        <v>0.9844530247689095</v>
      </c>
      <c r="M1902" s="34">
        <f t="shared" si="119"/>
        <v>0.9822244574346265</v>
      </c>
    </row>
    <row r="1903" spans="1:13" ht="27.6">
      <c r="A1903" t="s">
        <v>164</v>
      </c>
      <c r="B1903" t="s">
        <v>112</v>
      </c>
      <c r="C1903" s="14" t="s">
        <v>294</v>
      </c>
      <c r="D1903" t="s">
        <v>112</v>
      </c>
      <c r="E1903" t="s">
        <v>392</v>
      </c>
      <c r="F1903" s="20">
        <v>2046</v>
      </c>
      <c r="G1903" s="20">
        <v>51</v>
      </c>
      <c r="H1903" s="11">
        <v>10489.284877199099</v>
      </c>
      <c r="I1903" s="10">
        <v>4228447.2909735199</v>
      </c>
      <c r="J1903" s="34">
        <f t="shared" si="116"/>
        <v>2.4806469503807246E-3</v>
      </c>
      <c r="K1903" s="34">
        <f t="shared" si="117"/>
        <v>2.4775726883128346E-3</v>
      </c>
      <c r="L1903" s="34">
        <f t="shared" si="118"/>
        <v>0.9822244574346265</v>
      </c>
      <c r="M1903" s="34">
        <f t="shared" si="119"/>
        <v>0.97979092494509357</v>
      </c>
    </row>
    <row r="1904" spans="1:13" ht="27.6">
      <c r="A1904" t="s">
        <v>164</v>
      </c>
      <c r="B1904" t="s">
        <v>112</v>
      </c>
      <c r="C1904" s="14" t="s">
        <v>294</v>
      </c>
      <c r="D1904" t="s">
        <v>112</v>
      </c>
      <c r="E1904" t="s">
        <v>392</v>
      </c>
      <c r="F1904" s="20">
        <v>2046</v>
      </c>
      <c r="G1904" s="20">
        <v>52</v>
      </c>
      <c r="H1904" s="11">
        <v>11266.894882831</v>
      </c>
      <c r="I1904" s="10">
        <v>4156654.43393654</v>
      </c>
      <c r="J1904" s="34">
        <f t="shared" si="116"/>
        <v>2.7105680931384861E-3</v>
      </c>
      <c r="K1904" s="34">
        <f t="shared" si="117"/>
        <v>2.7068978203683702E-3</v>
      </c>
      <c r="L1904" s="34">
        <f t="shared" si="118"/>
        <v>0.97979092494509357</v>
      </c>
      <c r="M1904" s="34">
        <f t="shared" si="119"/>
        <v>0.97713873102594295</v>
      </c>
    </row>
    <row r="1905" spans="1:13" ht="27.6">
      <c r="A1905" t="s">
        <v>164</v>
      </c>
      <c r="B1905" t="s">
        <v>112</v>
      </c>
      <c r="C1905" s="14" t="s">
        <v>294</v>
      </c>
      <c r="D1905" t="s">
        <v>112</v>
      </c>
      <c r="E1905" t="s">
        <v>392</v>
      </c>
      <c r="F1905" s="20">
        <v>2046</v>
      </c>
      <c r="G1905" s="20">
        <v>53</v>
      </c>
      <c r="H1905" s="11">
        <v>12080.510514265699</v>
      </c>
      <c r="I1905" s="10">
        <v>4087000.3407311798</v>
      </c>
      <c r="J1905" s="34">
        <f t="shared" si="116"/>
        <v>2.9558379024026337E-3</v>
      </c>
      <c r="K1905" s="34">
        <f t="shared" si="117"/>
        <v>2.9514737145529546E-3</v>
      </c>
      <c r="L1905" s="34">
        <f t="shared" si="118"/>
        <v>0.97713873102594295</v>
      </c>
      <c r="M1905" s="34">
        <f t="shared" si="119"/>
        <v>0.9742547317458482</v>
      </c>
    </row>
    <row r="1906" spans="1:13" ht="27.6">
      <c r="A1906" t="s">
        <v>164</v>
      </c>
      <c r="B1906" t="s">
        <v>112</v>
      </c>
      <c r="C1906" s="14" t="s">
        <v>294</v>
      </c>
      <c r="D1906" t="s">
        <v>112</v>
      </c>
      <c r="E1906" t="s">
        <v>392</v>
      </c>
      <c r="F1906" s="20">
        <v>2046</v>
      </c>
      <c r="G1906" s="20">
        <v>54</v>
      </c>
      <c r="H1906" s="11">
        <v>13178.899944930699</v>
      </c>
      <c r="I1906" s="10">
        <v>4102277.1590437102</v>
      </c>
      <c r="J1906" s="34">
        <f t="shared" si="116"/>
        <v>3.2125815575081373E-3</v>
      </c>
      <c r="K1906" s="34">
        <f t="shared" si="117"/>
        <v>3.2074267389454736E-3</v>
      </c>
      <c r="L1906" s="34">
        <f t="shared" si="118"/>
        <v>0.9742547317458482</v>
      </c>
      <c r="M1906" s="34">
        <f t="shared" si="119"/>
        <v>0.97112988106870246</v>
      </c>
    </row>
    <row r="1907" spans="1:13" ht="27.6">
      <c r="A1907" t="s">
        <v>164</v>
      </c>
      <c r="B1907" t="s">
        <v>112</v>
      </c>
      <c r="C1907" s="14" t="s">
        <v>294</v>
      </c>
      <c r="D1907" t="s">
        <v>112</v>
      </c>
      <c r="E1907" t="s">
        <v>392</v>
      </c>
      <c r="F1907" s="20">
        <v>2046</v>
      </c>
      <c r="G1907" s="20">
        <v>55</v>
      </c>
      <c r="H1907" s="11">
        <v>14081.4435221238</v>
      </c>
      <c r="I1907" s="10">
        <v>4096638.8686517002</v>
      </c>
      <c r="J1907" s="34">
        <f t="shared" si="116"/>
        <v>3.4373162911375522E-3</v>
      </c>
      <c r="K1907" s="34">
        <f t="shared" si="117"/>
        <v>3.4314154824131027E-3</v>
      </c>
      <c r="L1907" s="34">
        <f t="shared" si="118"/>
        <v>0.97112988106870246</v>
      </c>
      <c r="M1907" s="34">
        <f t="shared" si="119"/>
        <v>0.96779753095936927</v>
      </c>
    </row>
    <row r="1908" spans="1:13" ht="27.6">
      <c r="A1908" t="s">
        <v>164</v>
      </c>
      <c r="B1908" t="s">
        <v>112</v>
      </c>
      <c r="C1908" s="14" t="s">
        <v>294</v>
      </c>
      <c r="D1908" t="s">
        <v>112</v>
      </c>
      <c r="E1908" t="s">
        <v>392</v>
      </c>
      <c r="F1908" s="20">
        <v>2046</v>
      </c>
      <c r="G1908" s="20">
        <v>56</v>
      </c>
      <c r="H1908" s="11">
        <v>20498.365539628699</v>
      </c>
      <c r="I1908" s="10">
        <v>6023024.2310763802</v>
      </c>
      <c r="J1908" s="34">
        <f t="shared" si="116"/>
        <v>3.4033343970069694E-3</v>
      </c>
      <c r="K1908" s="34">
        <f t="shared" si="117"/>
        <v>3.3975496188702881E-3</v>
      </c>
      <c r="L1908" s="34">
        <f t="shared" si="118"/>
        <v>0.96779753095936927</v>
      </c>
      <c r="M1908" s="34">
        <f t="shared" si="119"/>
        <v>0.96450939082691467</v>
      </c>
    </row>
    <row r="1909" spans="1:13" ht="27.6">
      <c r="A1909" t="s">
        <v>164</v>
      </c>
      <c r="B1909" t="s">
        <v>112</v>
      </c>
      <c r="C1909" s="14" t="s">
        <v>294</v>
      </c>
      <c r="D1909" t="s">
        <v>112</v>
      </c>
      <c r="E1909" t="s">
        <v>392</v>
      </c>
      <c r="F1909" s="20">
        <v>2046</v>
      </c>
      <c r="G1909" s="20">
        <v>57</v>
      </c>
      <c r="H1909" s="11">
        <v>16332.3787871042</v>
      </c>
      <c r="I1909" s="10">
        <v>4006890.9811059502</v>
      </c>
      <c r="J1909" s="34">
        <f t="shared" si="116"/>
        <v>4.0760726618512258E-3</v>
      </c>
      <c r="K1909" s="34">
        <f t="shared" si="117"/>
        <v>4.0677767530821196E-3</v>
      </c>
      <c r="L1909" s="34">
        <f t="shared" si="118"/>
        <v>0.96450939082691467</v>
      </c>
      <c r="M1909" s="34">
        <f t="shared" si="119"/>
        <v>0.96058598194877953</v>
      </c>
    </row>
    <row r="1910" spans="1:13" ht="27.6">
      <c r="A1910" t="s">
        <v>164</v>
      </c>
      <c r="B1910" t="s">
        <v>112</v>
      </c>
      <c r="C1910" s="14" t="s">
        <v>294</v>
      </c>
      <c r="D1910" t="s">
        <v>112</v>
      </c>
      <c r="E1910" t="s">
        <v>392</v>
      </c>
      <c r="F1910" s="20">
        <v>2046</v>
      </c>
      <c r="G1910" s="20">
        <v>58</v>
      </c>
      <c r="H1910" s="11">
        <v>17635.640014220699</v>
      </c>
      <c r="I1910" s="10">
        <v>3962672.8020796198</v>
      </c>
      <c r="J1910" s="34">
        <f t="shared" si="116"/>
        <v>4.4504406230475232E-3</v>
      </c>
      <c r="K1910" s="34">
        <f t="shared" si="117"/>
        <v>4.4405520870641757E-3</v>
      </c>
      <c r="L1910" s="34">
        <f t="shared" si="118"/>
        <v>0.96058598194877953</v>
      </c>
      <c r="M1910" s="34">
        <f t="shared" si="119"/>
        <v>0.95632044986183229</v>
      </c>
    </row>
    <row r="1911" spans="1:13" ht="27.6">
      <c r="A1911" t="s">
        <v>164</v>
      </c>
      <c r="B1911" t="s">
        <v>112</v>
      </c>
      <c r="C1911" s="14" t="s">
        <v>294</v>
      </c>
      <c r="D1911" t="s">
        <v>112</v>
      </c>
      <c r="E1911" t="s">
        <v>392</v>
      </c>
      <c r="F1911" s="20">
        <v>2046</v>
      </c>
      <c r="G1911" s="20">
        <v>59</v>
      </c>
      <c r="H1911" s="11">
        <v>18558.7546629096</v>
      </c>
      <c r="I1911" s="10">
        <v>3810849.6736850101</v>
      </c>
      <c r="J1911" s="34">
        <f t="shared" si="116"/>
        <v>4.8699781550196079E-3</v>
      </c>
      <c r="K1911" s="34">
        <f t="shared" si="117"/>
        <v>4.8581390379486278E-3</v>
      </c>
      <c r="L1911" s="34">
        <f t="shared" si="118"/>
        <v>0.95632044986183229</v>
      </c>
      <c r="M1911" s="34">
        <f t="shared" si="119"/>
        <v>0.95167451215156995</v>
      </c>
    </row>
    <row r="1912" spans="1:13" ht="27.6">
      <c r="A1912" t="s">
        <v>164</v>
      </c>
      <c r="B1912" t="s">
        <v>112</v>
      </c>
      <c r="C1912" s="14" t="s">
        <v>294</v>
      </c>
      <c r="D1912" t="s">
        <v>112</v>
      </c>
      <c r="E1912" t="s">
        <v>392</v>
      </c>
      <c r="F1912" s="20">
        <v>2046</v>
      </c>
      <c r="G1912" s="20">
        <v>60</v>
      </c>
      <c r="H1912" s="11">
        <v>19714.0042930444</v>
      </c>
      <c r="I1912" s="10">
        <v>3746609.8653834299</v>
      </c>
      <c r="J1912" s="34">
        <f t="shared" si="116"/>
        <v>5.2618246898858412E-3</v>
      </c>
      <c r="K1912" s="34">
        <f t="shared" si="117"/>
        <v>5.2480055389597657E-3</v>
      </c>
      <c r="L1912" s="34">
        <f t="shared" si="118"/>
        <v>0.95167451215156995</v>
      </c>
      <c r="M1912" s="34">
        <f t="shared" si="119"/>
        <v>0.94668011904051164</v>
      </c>
    </row>
    <row r="1913" spans="1:13" ht="27.6">
      <c r="A1913" t="s">
        <v>164</v>
      </c>
      <c r="B1913" t="s">
        <v>112</v>
      </c>
      <c r="C1913" s="14" t="s">
        <v>294</v>
      </c>
      <c r="D1913" t="s">
        <v>112</v>
      </c>
      <c r="E1913" t="s">
        <v>392</v>
      </c>
      <c r="F1913" s="20">
        <v>2046</v>
      </c>
      <c r="G1913" s="20">
        <v>61</v>
      </c>
      <c r="H1913" s="11">
        <v>21725.908798997101</v>
      </c>
      <c r="I1913" s="10">
        <v>3763511.8329519401</v>
      </c>
      <c r="J1913" s="34">
        <f t="shared" si="116"/>
        <v>5.7727754723056668E-3</v>
      </c>
      <c r="K1913" s="34">
        <f t="shared" si="117"/>
        <v>5.7561450206553566E-3</v>
      </c>
      <c r="L1913" s="34">
        <f t="shared" si="118"/>
        <v>0.94668011904051164</v>
      </c>
      <c r="M1913" s="34">
        <f t="shared" si="119"/>
        <v>0.94123089098714319</v>
      </c>
    </row>
    <row r="1914" spans="1:13" ht="27.6">
      <c r="A1914" t="s">
        <v>164</v>
      </c>
      <c r="B1914" t="s">
        <v>112</v>
      </c>
      <c r="C1914" s="14" t="s">
        <v>294</v>
      </c>
      <c r="D1914" t="s">
        <v>112</v>
      </c>
      <c r="E1914" t="s">
        <v>392</v>
      </c>
      <c r="F1914" s="20">
        <v>2046</v>
      </c>
      <c r="G1914" s="20">
        <v>62</v>
      </c>
      <c r="H1914" s="11">
        <v>24064.749478950402</v>
      </c>
      <c r="I1914" s="10">
        <v>3798395.85959019</v>
      </c>
      <c r="J1914" s="34">
        <f t="shared" si="116"/>
        <v>6.3355032936316313E-3</v>
      </c>
      <c r="K1914" s="34">
        <f t="shared" si="117"/>
        <v>6.3154763086361587E-3</v>
      </c>
      <c r="L1914" s="34">
        <f t="shared" si="118"/>
        <v>0.94123089098714319</v>
      </c>
      <c r="M1914" s="34">
        <f t="shared" si="119"/>
        <v>0.93528656959415735</v>
      </c>
    </row>
    <row r="1915" spans="1:13" ht="27.6">
      <c r="A1915" t="s">
        <v>164</v>
      </c>
      <c r="B1915" t="s">
        <v>112</v>
      </c>
      <c r="C1915" s="14" t="s">
        <v>294</v>
      </c>
      <c r="D1915" t="s">
        <v>112</v>
      </c>
      <c r="E1915" t="s">
        <v>392</v>
      </c>
      <c r="F1915" s="20">
        <v>2046</v>
      </c>
      <c r="G1915" s="20">
        <v>63</v>
      </c>
      <c r="H1915" s="11">
        <v>25954.394049883798</v>
      </c>
      <c r="I1915" s="10">
        <v>3732956.94331815</v>
      </c>
      <c r="J1915" s="34">
        <f t="shared" si="116"/>
        <v>6.9527708044801236E-3</v>
      </c>
      <c r="K1915" s="34">
        <f t="shared" si="117"/>
        <v>6.9286562136575691E-3</v>
      </c>
      <c r="L1915" s="34">
        <f t="shared" si="118"/>
        <v>0.93528656959415735</v>
      </c>
      <c r="M1915" s="34">
        <f t="shared" si="119"/>
        <v>0.92880629049218832</v>
      </c>
    </row>
    <row r="1916" spans="1:13" ht="27.6">
      <c r="A1916" t="s">
        <v>164</v>
      </c>
      <c r="B1916" t="s">
        <v>112</v>
      </c>
      <c r="C1916" s="14" t="s">
        <v>294</v>
      </c>
      <c r="D1916" t="s">
        <v>112</v>
      </c>
      <c r="E1916" t="s">
        <v>392</v>
      </c>
      <c r="F1916" s="20">
        <v>2046</v>
      </c>
      <c r="G1916" s="20">
        <v>64</v>
      </c>
      <c r="H1916" s="11">
        <v>27233.432293547499</v>
      </c>
      <c r="I1916" s="10">
        <v>3566923.57171292</v>
      </c>
      <c r="J1916" s="34">
        <f t="shared" si="116"/>
        <v>7.6349918202675057E-3</v>
      </c>
      <c r="K1916" s="34">
        <f t="shared" si="117"/>
        <v>7.6059193067391506E-3</v>
      </c>
      <c r="L1916" s="34">
        <f t="shared" si="118"/>
        <v>0.92880629049218832</v>
      </c>
      <c r="M1916" s="34">
        <f t="shared" si="119"/>
        <v>0.921741864795113</v>
      </c>
    </row>
    <row r="1917" spans="1:13" ht="27.6">
      <c r="A1917" t="s">
        <v>164</v>
      </c>
      <c r="B1917" t="s">
        <v>112</v>
      </c>
      <c r="C1917" s="14" t="s">
        <v>294</v>
      </c>
      <c r="D1917" t="s">
        <v>112</v>
      </c>
      <c r="E1917" t="s">
        <v>392</v>
      </c>
      <c r="F1917" s="20">
        <v>2046</v>
      </c>
      <c r="G1917" s="20">
        <v>65</v>
      </c>
      <c r="H1917" s="11">
        <v>27547.805745583999</v>
      </c>
      <c r="I1917" s="10">
        <v>3453589.1035451498</v>
      </c>
      <c r="J1917" s="34">
        <f t="shared" si="116"/>
        <v>7.9765730431874057E-3</v>
      </c>
      <c r="K1917" s="34">
        <f t="shared" si="117"/>
        <v>7.9448446018870467E-3</v>
      </c>
      <c r="L1917" s="34">
        <f t="shared" si="118"/>
        <v>0.921741864795113</v>
      </c>
      <c r="M1917" s="34">
        <f t="shared" si="119"/>
        <v>0.91441876891626228</v>
      </c>
    </row>
    <row r="1918" spans="1:13" ht="27.6">
      <c r="A1918" t="s">
        <v>164</v>
      </c>
      <c r="B1918" t="s">
        <v>112</v>
      </c>
      <c r="C1918" s="14" t="s">
        <v>294</v>
      </c>
      <c r="D1918" t="s">
        <v>112</v>
      </c>
      <c r="E1918" t="s">
        <v>392</v>
      </c>
      <c r="F1918" s="20">
        <v>2046</v>
      </c>
      <c r="G1918" s="20">
        <v>66</v>
      </c>
      <c r="H1918" s="11">
        <v>29359.0828612976</v>
      </c>
      <c r="I1918" s="10">
        <v>3352012.5401036502</v>
      </c>
      <c r="J1918" s="34">
        <f t="shared" si="116"/>
        <v>8.7586435044750052E-3</v>
      </c>
      <c r="K1918" s="34">
        <f t="shared" si="117"/>
        <v>8.7203983265328189E-3</v>
      </c>
      <c r="L1918" s="34">
        <f t="shared" si="118"/>
        <v>0.91441876891626228</v>
      </c>
      <c r="M1918" s="34">
        <f t="shared" si="119"/>
        <v>0.90644467301405474</v>
      </c>
    </row>
    <row r="1919" spans="1:13" ht="27.6">
      <c r="A1919" t="s">
        <v>164</v>
      </c>
      <c r="B1919" t="s">
        <v>112</v>
      </c>
      <c r="C1919" s="14" t="s">
        <v>294</v>
      </c>
      <c r="D1919" t="s">
        <v>112</v>
      </c>
      <c r="E1919" t="s">
        <v>392</v>
      </c>
      <c r="F1919" s="20">
        <v>2046</v>
      </c>
      <c r="G1919" s="20">
        <v>67</v>
      </c>
      <c r="H1919" s="11">
        <v>31193.931330510601</v>
      </c>
      <c r="I1919" s="10">
        <v>3242585.4088626001</v>
      </c>
      <c r="J1919" s="34">
        <f t="shared" si="116"/>
        <v>9.6200800895642341E-3</v>
      </c>
      <c r="K1919" s="34">
        <f t="shared" si="117"/>
        <v>9.5739551461475614E-3</v>
      </c>
      <c r="L1919" s="34">
        <f t="shared" si="118"/>
        <v>0.90644467301405474</v>
      </c>
      <c r="M1919" s="34">
        <f t="shared" si="119"/>
        <v>0.89776641237215382</v>
      </c>
    </row>
    <row r="1920" spans="1:13" ht="27.6">
      <c r="A1920" t="s">
        <v>164</v>
      </c>
      <c r="B1920" t="s">
        <v>112</v>
      </c>
      <c r="C1920" s="14" t="s">
        <v>294</v>
      </c>
      <c r="D1920" t="s">
        <v>112</v>
      </c>
      <c r="E1920" t="s">
        <v>392</v>
      </c>
      <c r="F1920" s="20">
        <v>2046</v>
      </c>
      <c r="G1920" s="20">
        <v>68</v>
      </c>
      <c r="H1920" s="11">
        <v>32934.803345843997</v>
      </c>
      <c r="I1920" s="10">
        <v>3114861.14426217</v>
      </c>
      <c r="J1920" s="34">
        <f t="shared" si="116"/>
        <v>1.0573441903345389E-2</v>
      </c>
      <c r="K1920" s="34">
        <f t="shared" si="117"/>
        <v>1.0517739561190953E-2</v>
      </c>
      <c r="L1920" s="34">
        <f t="shared" si="118"/>
        <v>0.89776641237215382</v>
      </c>
      <c r="M1920" s="34">
        <f t="shared" si="119"/>
        <v>0.8883239390600387</v>
      </c>
    </row>
    <row r="1921" spans="1:13" ht="27.6">
      <c r="A1921" t="s">
        <v>164</v>
      </c>
      <c r="B1921" t="s">
        <v>112</v>
      </c>
      <c r="C1921" s="14" t="s">
        <v>294</v>
      </c>
      <c r="D1921" t="s">
        <v>112</v>
      </c>
      <c r="E1921" t="s">
        <v>392</v>
      </c>
      <c r="F1921" s="20">
        <v>2046</v>
      </c>
      <c r="G1921" s="20">
        <v>69</v>
      </c>
      <c r="H1921" s="11">
        <v>34900.380188812298</v>
      </c>
      <c r="I1921" s="10">
        <v>2997826.9690156202</v>
      </c>
      <c r="J1921" s="34">
        <f t="shared" si="116"/>
        <v>1.1641892794190301E-2</v>
      </c>
      <c r="K1921" s="34">
        <f t="shared" si="117"/>
        <v>1.157438817473444E-2</v>
      </c>
      <c r="L1921" s="34">
        <f t="shared" si="118"/>
        <v>0.8883239390600387</v>
      </c>
      <c r="M1921" s="34">
        <f t="shared" si="119"/>
        <v>0.87804213296444866</v>
      </c>
    </row>
    <row r="1922" spans="1:13" ht="27.6">
      <c r="A1922" t="s">
        <v>164</v>
      </c>
      <c r="B1922" t="s">
        <v>112</v>
      </c>
      <c r="C1922" s="14" t="s">
        <v>294</v>
      </c>
      <c r="D1922" t="s">
        <v>112</v>
      </c>
      <c r="E1922" t="s">
        <v>392</v>
      </c>
      <c r="F1922" s="20">
        <v>2047</v>
      </c>
      <c r="G1922" s="20">
        <v>30</v>
      </c>
      <c r="H1922" s="11">
        <v>620.22668725956601</v>
      </c>
      <c r="I1922" s="10">
        <v>4320502.1403575502</v>
      </c>
      <c r="J1922" s="34">
        <f t="shared" ref="J1922:J1985" si="120">IF(I1922&gt;0,H1922/I1922,0)</f>
        <v>1.435543062150267E-4</v>
      </c>
      <c r="K1922" s="34">
        <f t="shared" ref="K1922:K1985" si="121">1-EXP(-J1922)</f>
        <v>1.4354400278859814E-4</v>
      </c>
      <c r="L1922" s="34">
        <f t="shared" ref="L1922:L1985" si="122">IF(G1922=30,1,M1921)</f>
        <v>1</v>
      </c>
      <c r="M1922" s="34">
        <f t="shared" ref="M1922:M1985" si="123">L1922*(1-K1922)</f>
        <v>0.9998564559972114</v>
      </c>
    </row>
    <row r="1923" spans="1:13" ht="27.6">
      <c r="A1923" t="s">
        <v>164</v>
      </c>
      <c r="B1923" t="s">
        <v>112</v>
      </c>
      <c r="C1923" s="14" t="s">
        <v>294</v>
      </c>
      <c r="D1923" t="s">
        <v>112</v>
      </c>
      <c r="E1923" t="s">
        <v>392</v>
      </c>
      <c r="F1923" s="20">
        <v>2047</v>
      </c>
      <c r="G1923" s="20">
        <v>31</v>
      </c>
      <c r="H1923" s="11">
        <v>938.945085385781</v>
      </c>
      <c r="I1923" s="10">
        <v>4583251.9925438398</v>
      </c>
      <c r="J1923" s="34">
        <f t="shared" si="120"/>
        <v>2.0486438164719781E-4</v>
      </c>
      <c r="K1923" s="34">
        <f t="shared" si="121"/>
        <v>2.0484339837267829E-4</v>
      </c>
      <c r="L1923" s="34">
        <f t="shared" si="122"/>
        <v>0.9998564559972114</v>
      </c>
      <c r="M1923" s="34">
        <f t="shared" si="123"/>
        <v>0.99965164200288004</v>
      </c>
    </row>
    <row r="1924" spans="1:13" ht="27.6">
      <c r="A1924" t="s">
        <v>164</v>
      </c>
      <c r="B1924" t="s">
        <v>112</v>
      </c>
      <c r="C1924" s="14" t="s">
        <v>294</v>
      </c>
      <c r="D1924" t="s">
        <v>112</v>
      </c>
      <c r="E1924" t="s">
        <v>392</v>
      </c>
      <c r="F1924" s="20">
        <v>2047</v>
      </c>
      <c r="G1924" s="20">
        <v>32</v>
      </c>
      <c r="H1924" s="11">
        <v>1033.52344198521</v>
      </c>
      <c r="I1924" s="10">
        <v>4632029.8384253299</v>
      </c>
      <c r="J1924" s="34">
        <f t="shared" si="120"/>
        <v>2.2312538520618831E-4</v>
      </c>
      <c r="K1924" s="34">
        <f t="shared" si="121"/>
        <v>2.2310049458873493E-4</v>
      </c>
      <c r="L1924" s="34">
        <f t="shared" si="122"/>
        <v>0.99965164200288004</v>
      </c>
      <c r="M1924" s="34">
        <f t="shared" si="123"/>
        <v>0.99942861922713278</v>
      </c>
    </row>
    <row r="1925" spans="1:13" ht="27.6">
      <c r="A1925" t="s">
        <v>164</v>
      </c>
      <c r="B1925" t="s">
        <v>112</v>
      </c>
      <c r="C1925" s="14" t="s">
        <v>294</v>
      </c>
      <c r="D1925" t="s">
        <v>112</v>
      </c>
      <c r="E1925" t="s">
        <v>392</v>
      </c>
      <c r="F1925" s="20">
        <v>2047</v>
      </c>
      <c r="G1925" s="20">
        <v>33</v>
      </c>
      <c r="H1925" s="11">
        <v>1110.2934293044</v>
      </c>
      <c r="I1925" s="10">
        <v>4698255.5032347403</v>
      </c>
      <c r="J1925" s="34">
        <f t="shared" si="120"/>
        <v>2.3632035944830268E-4</v>
      </c>
      <c r="K1925" s="34">
        <f t="shared" si="121"/>
        <v>2.3629243799172528E-4</v>
      </c>
      <c r="L1925" s="34">
        <f t="shared" si="122"/>
        <v>0.99942861922713278</v>
      </c>
      <c r="M1925" s="34">
        <f t="shared" si="123"/>
        <v>0.99919246180209687</v>
      </c>
    </row>
    <row r="1926" spans="1:13" ht="27.6">
      <c r="A1926" t="s">
        <v>164</v>
      </c>
      <c r="B1926" t="s">
        <v>112</v>
      </c>
      <c r="C1926" s="14" t="s">
        <v>294</v>
      </c>
      <c r="D1926" t="s">
        <v>112</v>
      </c>
      <c r="E1926" t="s">
        <v>392</v>
      </c>
      <c r="F1926" s="20">
        <v>2047</v>
      </c>
      <c r="G1926" s="20">
        <v>34</v>
      </c>
      <c r="H1926" s="11">
        <v>1199.6095748844</v>
      </c>
      <c r="I1926" s="10">
        <v>4765792.0114201</v>
      </c>
      <c r="J1926" s="34">
        <f t="shared" si="120"/>
        <v>2.5171253214781883E-4</v>
      </c>
      <c r="K1926" s="34">
        <f t="shared" si="121"/>
        <v>2.5168085520632655E-4</v>
      </c>
      <c r="L1926" s="34">
        <f t="shared" si="122"/>
        <v>0.99919246180209687</v>
      </c>
      <c r="M1926" s="34">
        <f t="shared" si="123"/>
        <v>0.99894098418879484</v>
      </c>
    </row>
    <row r="1927" spans="1:13" ht="27.6">
      <c r="A1927" t="s">
        <v>164</v>
      </c>
      <c r="B1927" t="s">
        <v>112</v>
      </c>
      <c r="C1927" s="14" t="s">
        <v>294</v>
      </c>
      <c r="D1927" t="s">
        <v>112</v>
      </c>
      <c r="E1927" t="s">
        <v>392</v>
      </c>
      <c r="F1927" s="20">
        <v>2047</v>
      </c>
      <c r="G1927" s="20">
        <v>35</v>
      </c>
      <c r="H1927" s="11">
        <v>1657.77519003405</v>
      </c>
      <c r="I1927" s="10">
        <v>4877377.3184851501</v>
      </c>
      <c r="J1927" s="34">
        <f t="shared" si="120"/>
        <v>3.3989069981342626E-4</v>
      </c>
      <c r="K1927" s="34">
        <f t="shared" si="121"/>
        <v>3.3983294351336291E-4</v>
      </c>
      <c r="L1927" s="34">
        <f t="shared" si="122"/>
        <v>0.99894098418879484</v>
      </c>
      <c r="M1927" s="34">
        <f t="shared" si="123"/>
        <v>0.99860151113374185</v>
      </c>
    </row>
    <row r="1928" spans="1:13" ht="27.6">
      <c r="A1928" t="s">
        <v>164</v>
      </c>
      <c r="B1928" t="s">
        <v>112</v>
      </c>
      <c r="C1928" s="14" t="s">
        <v>294</v>
      </c>
      <c r="D1928" t="s">
        <v>112</v>
      </c>
      <c r="E1928" t="s">
        <v>392</v>
      </c>
      <c r="F1928" s="20">
        <v>2047</v>
      </c>
      <c r="G1928" s="20">
        <v>36</v>
      </c>
      <c r="H1928" s="11">
        <v>1932.67919011053</v>
      </c>
      <c r="I1928" s="10">
        <v>4847989.3268647101</v>
      </c>
      <c r="J1928" s="34">
        <f t="shared" si="120"/>
        <v>3.9865582611759413E-4</v>
      </c>
      <c r="K1928" s="34">
        <f t="shared" si="121"/>
        <v>3.9857637344220542E-4</v>
      </c>
      <c r="L1928" s="34">
        <f t="shared" si="122"/>
        <v>0.99860151113374185</v>
      </c>
      <c r="M1928" s="34">
        <f t="shared" si="123"/>
        <v>0.99820349216492021</v>
      </c>
    </row>
    <row r="1929" spans="1:13" ht="27.6">
      <c r="A1929" t="s">
        <v>164</v>
      </c>
      <c r="B1929" t="s">
        <v>112</v>
      </c>
      <c r="C1929" s="14" t="s">
        <v>294</v>
      </c>
      <c r="D1929" t="s">
        <v>112</v>
      </c>
      <c r="E1929" t="s">
        <v>392</v>
      </c>
      <c r="F1929" s="20">
        <v>2047</v>
      </c>
      <c r="G1929" s="20">
        <v>37</v>
      </c>
      <c r="H1929" s="11">
        <v>2018.64647941206</v>
      </c>
      <c r="I1929" s="10">
        <v>4713437.5187318902</v>
      </c>
      <c r="J1929" s="34">
        <f t="shared" si="120"/>
        <v>4.2827479337313024E-4</v>
      </c>
      <c r="K1929" s="34">
        <f t="shared" si="121"/>
        <v>4.281830968146938E-4</v>
      </c>
      <c r="L1929" s="34">
        <f t="shared" si="122"/>
        <v>0.99820349216492021</v>
      </c>
      <c r="M1929" s="34">
        <f t="shared" si="123"/>
        <v>0.99777607830239379</v>
      </c>
    </row>
    <row r="1930" spans="1:13" ht="27.6">
      <c r="A1930" t="s">
        <v>164</v>
      </c>
      <c r="B1930" t="s">
        <v>112</v>
      </c>
      <c r="C1930" s="14" t="s">
        <v>294</v>
      </c>
      <c r="D1930" t="s">
        <v>112</v>
      </c>
      <c r="E1930" t="s">
        <v>392</v>
      </c>
      <c r="F1930" s="20">
        <v>2047</v>
      </c>
      <c r="G1930" s="20">
        <v>38</v>
      </c>
      <c r="H1930" s="11">
        <v>2143.19857631378</v>
      </c>
      <c r="I1930" s="10">
        <v>4641180.6757753398</v>
      </c>
      <c r="J1930" s="34">
        <f t="shared" si="120"/>
        <v>4.617787425299371E-4</v>
      </c>
      <c r="K1930" s="34">
        <f t="shared" si="121"/>
        <v>4.6167213913606009E-4</v>
      </c>
      <c r="L1930" s="34">
        <f t="shared" si="122"/>
        <v>0.99777607830239379</v>
      </c>
      <c r="M1930" s="34">
        <f t="shared" si="123"/>
        <v>0.99731543288594515</v>
      </c>
    </row>
    <row r="1931" spans="1:13" ht="27.6">
      <c r="A1931" t="s">
        <v>164</v>
      </c>
      <c r="B1931" t="s">
        <v>112</v>
      </c>
      <c r="C1931" s="14" t="s">
        <v>294</v>
      </c>
      <c r="D1931" t="s">
        <v>112</v>
      </c>
      <c r="E1931" t="s">
        <v>392</v>
      </c>
      <c r="F1931" s="20">
        <v>2047</v>
      </c>
      <c r="G1931" s="20">
        <v>39</v>
      </c>
      <c r="H1931" s="11">
        <v>2295.4797414454401</v>
      </c>
      <c r="I1931" s="10">
        <v>4596445.8215041701</v>
      </c>
      <c r="J1931" s="34">
        <f t="shared" si="120"/>
        <v>4.9940319772859905E-4</v>
      </c>
      <c r="K1931" s="34">
        <f t="shared" si="121"/>
        <v>4.9927851670783507E-4</v>
      </c>
      <c r="L1931" s="34">
        <f t="shared" si="122"/>
        <v>0.99731543288594515</v>
      </c>
      <c r="M1931" s="34">
        <f t="shared" si="123"/>
        <v>0.99681749471592407</v>
      </c>
    </row>
    <row r="1932" spans="1:13" ht="27.6">
      <c r="A1932" t="s">
        <v>164</v>
      </c>
      <c r="B1932" t="s">
        <v>112</v>
      </c>
      <c r="C1932" s="14" t="s">
        <v>294</v>
      </c>
      <c r="D1932" t="s">
        <v>112</v>
      </c>
      <c r="E1932" t="s">
        <v>392</v>
      </c>
      <c r="F1932" s="20">
        <v>2047</v>
      </c>
      <c r="G1932" s="20">
        <v>40</v>
      </c>
      <c r="H1932" s="11">
        <v>3175.2207420254399</v>
      </c>
      <c r="I1932" s="10">
        <v>4618807.0976039404</v>
      </c>
      <c r="J1932" s="34">
        <f t="shared" si="120"/>
        <v>6.8745472043476815E-4</v>
      </c>
      <c r="K1932" s="34">
        <f t="shared" si="121"/>
        <v>6.8721847757702292E-4</v>
      </c>
      <c r="L1932" s="34">
        <f t="shared" si="122"/>
        <v>0.99681749471592407</v>
      </c>
      <c r="M1932" s="34">
        <f t="shared" si="123"/>
        <v>0.99613246331478322</v>
      </c>
    </row>
    <row r="1933" spans="1:13" ht="27.6">
      <c r="A1933" t="s">
        <v>164</v>
      </c>
      <c r="B1933" t="s">
        <v>112</v>
      </c>
      <c r="C1933" s="14" t="s">
        <v>294</v>
      </c>
      <c r="D1933" t="s">
        <v>112</v>
      </c>
      <c r="E1933" t="s">
        <v>392</v>
      </c>
      <c r="F1933" s="20">
        <v>2047</v>
      </c>
      <c r="G1933" s="20">
        <v>41</v>
      </c>
      <c r="H1933" s="11">
        <v>3512.6216378242498</v>
      </c>
      <c r="I1933" s="10">
        <v>4532495.1092282999</v>
      </c>
      <c r="J1933" s="34">
        <f t="shared" si="120"/>
        <v>7.749863051528602E-4</v>
      </c>
      <c r="K1933" s="34">
        <f t="shared" si="121"/>
        <v>7.7468608082786883E-4</v>
      </c>
      <c r="L1933" s="34">
        <f t="shared" si="122"/>
        <v>0.99613246331478322</v>
      </c>
      <c r="M1933" s="34">
        <f t="shared" si="123"/>
        <v>0.99536077336079243</v>
      </c>
    </row>
    <row r="1934" spans="1:13" ht="27.6">
      <c r="A1934" t="s">
        <v>164</v>
      </c>
      <c r="B1934" t="s">
        <v>112</v>
      </c>
      <c r="C1934" s="14" t="s">
        <v>294</v>
      </c>
      <c r="D1934" t="s">
        <v>112</v>
      </c>
      <c r="E1934" t="s">
        <v>392</v>
      </c>
      <c r="F1934" s="20">
        <v>2047</v>
      </c>
      <c r="G1934" s="20">
        <v>42</v>
      </c>
      <c r="H1934" s="11">
        <v>3755.08556228004</v>
      </c>
      <c r="I1934" s="10">
        <v>4467950.13305113</v>
      </c>
      <c r="J1934" s="34">
        <f t="shared" si="120"/>
        <v>8.4044930011690166E-4</v>
      </c>
      <c r="K1934" s="34">
        <f t="shared" si="121"/>
        <v>8.4009622152569907E-4</v>
      </c>
      <c r="L1934" s="34">
        <f t="shared" si="122"/>
        <v>0.99536077336079243</v>
      </c>
      <c r="M1934" s="34">
        <f t="shared" si="123"/>
        <v>0.99452457453603715</v>
      </c>
    </row>
    <row r="1935" spans="1:13" ht="27.6">
      <c r="A1935" t="s">
        <v>164</v>
      </c>
      <c r="B1935" t="s">
        <v>112</v>
      </c>
      <c r="C1935" s="14" t="s">
        <v>294</v>
      </c>
      <c r="D1935" t="s">
        <v>112</v>
      </c>
      <c r="E1935" t="s">
        <v>392</v>
      </c>
      <c r="F1935" s="20">
        <v>2047</v>
      </c>
      <c r="G1935" s="20">
        <v>43</v>
      </c>
      <c r="H1935" s="11">
        <v>3961.2215145217401</v>
      </c>
      <c r="I1935" s="10">
        <v>4336371.0369028496</v>
      </c>
      <c r="J1935" s="34">
        <f t="shared" si="120"/>
        <v>9.1348767917031129E-4</v>
      </c>
      <c r="K1935" s="34">
        <f t="shared" si="121"/>
        <v>9.1307057631606625E-4</v>
      </c>
      <c r="L1935" s="34">
        <f t="shared" si="122"/>
        <v>0.99452457453603715</v>
      </c>
      <c r="M1935" s="34">
        <f t="shared" si="123"/>
        <v>0.99361650340960506</v>
      </c>
    </row>
    <row r="1936" spans="1:13" ht="27.6">
      <c r="A1936" t="s">
        <v>164</v>
      </c>
      <c r="B1936" t="s">
        <v>112</v>
      </c>
      <c r="C1936" s="14" t="s">
        <v>294</v>
      </c>
      <c r="D1936" t="s">
        <v>112</v>
      </c>
      <c r="E1936" t="s">
        <v>392</v>
      </c>
      <c r="F1936" s="20">
        <v>2047</v>
      </c>
      <c r="G1936" s="20">
        <v>44</v>
      </c>
      <c r="H1936" s="11">
        <v>4246.01417474954</v>
      </c>
      <c r="I1936" s="10">
        <v>4266329.7809412396</v>
      </c>
      <c r="J1936" s="34">
        <f t="shared" si="120"/>
        <v>9.952381538149127E-4</v>
      </c>
      <c r="K1936" s="34">
        <f t="shared" si="121"/>
        <v>9.9474306857971762E-4</v>
      </c>
      <c r="L1936" s="34">
        <f t="shared" si="122"/>
        <v>0.99361650340960506</v>
      </c>
      <c r="M1936" s="34">
        <f t="shared" si="123"/>
        <v>0.99262811028001197</v>
      </c>
    </row>
    <row r="1937" spans="1:13" ht="27.6">
      <c r="A1937" t="s">
        <v>164</v>
      </c>
      <c r="B1937" t="s">
        <v>112</v>
      </c>
      <c r="C1937" s="14" t="s">
        <v>294</v>
      </c>
      <c r="D1937" t="s">
        <v>112</v>
      </c>
      <c r="E1937" t="s">
        <v>392</v>
      </c>
      <c r="F1937" s="20">
        <v>2047</v>
      </c>
      <c r="G1937" s="20">
        <v>45</v>
      </c>
      <c r="H1937" s="11">
        <v>5598.55894493508</v>
      </c>
      <c r="I1937" s="10">
        <v>4236614.00301468</v>
      </c>
      <c r="J1937" s="34">
        <f t="shared" si="120"/>
        <v>1.3214701506795924E-3</v>
      </c>
      <c r="K1937" s="34">
        <f t="shared" si="121"/>
        <v>1.3205973934832249E-3</v>
      </c>
      <c r="L1937" s="34">
        <f t="shared" si="122"/>
        <v>0.99262811028001197</v>
      </c>
      <c r="M1937" s="34">
        <f t="shared" si="123"/>
        <v>0.99131724818487799</v>
      </c>
    </row>
    <row r="1938" spans="1:13" ht="27.6">
      <c r="A1938" t="s">
        <v>164</v>
      </c>
      <c r="B1938" t="s">
        <v>112</v>
      </c>
      <c r="C1938" s="14" t="s">
        <v>294</v>
      </c>
      <c r="D1938" t="s">
        <v>112</v>
      </c>
      <c r="E1938" t="s">
        <v>392</v>
      </c>
      <c r="F1938" s="20">
        <v>2047</v>
      </c>
      <c r="G1938" s="20">
        <v>46</v>
      </c>
      <c r="H1938" s="11">
        <v>6154.7362444764904</v>
      </c>
      <c r="I1938" s="10">
        <v>4208548.4555932796</v>
      </c>
      <c r="J1938" s="34">
        <f t="shared" si="120"/>
        <v>1.4624368257651096E-3</v>
      </c>
      <c r="K1938" s="34">
        <f t="shared" si="121"/>
        <v>1.4613679861307238E-3</v>
      </c>
      <c r="L1938" s="34">
        <f t="shared" si="122"/>
        <v>0.99131724818487799</v>
      </c>
      <c r="M1938" s="34">
        <f t="shared" si="123"/>
        <v>0.98986856889428143</v>
      </c>
    </row>
    <row r="1939" spans="1:13" ht="27.6">
      <c r="A1939" t="s">
        <v>164</v>
      </c>
      <c r="B1939" t="s">
        <v>112</v>
      </c>
      <c r="C1939" s="14" t="s">
        <v>294</v>
      </c>
      <c r="D1939" t="s">
        <v>112</v>
      </c>
      <c r="E1939" t="s">
        <v>392</v>
      </c>
      <c r="F1939" s="20">
        <v>2047</v>
      </c>
      <c r="G1939" s="20">
        <v>47</v>
      </c>
      <c r="H1939" s="11">
        <v>6693.8288157946099</v>
      </c>
      <c r="I1939" s="10">
        <v>4180057.59398168</v>
      </c>
      <c r="J1939" s="34">
        <f t="shared" si="120"/>
        <v>1.6013723890867392E-3</v>
      </c>
      <c r="K1939" s="34">
        <f t="shared" si="121"/>
        <v>1.6000908764733923E-3</v>
      </c>
      <c r="L1939" s="34">
        <f t="shared" si="122"/>
        <v>0.98986856889428143</v>
      </c>
      <c r="M1939" s="34">
        <f t="shared" si="123"/>
        <v>0.98828468922828594</v>
      </c>
    </row>
    <row r="1940" spans="1:13" ht="27.6">
      <c r="A1940" t="s">
        <v>164</v>
      </c>
      <c r="B1940" t="s">
        <v>112</v>
      </c>
      <c r="C1940" s="14" t="s">
        <v>294</v>
      </c>
      <c r="D1940" t="s">
        <v>112</v>
      </c>
      <c r="E1940" t="s">
        <v>392</v>
      </c>
      <c r="F1940" s="20">
        <v>2047</v>
      </c>
      <c r="G1940" s="20">
        <v>48</v>
      </c>
      <c r="H1940" s="11">
        <v>7357.89908233388</v>
      </c>
      <c r="I1940" s="10">
        <v>4189014.0628778599</v>
      </c>
      <c r="J1940" s="34">
        <f t="shared" si="120"/>
        <v>1.7564751447215221E-3</v>
      </c>
      <c r="K1940" s="34">
        <f t="shared" si="121"/>
        <v>1.7549334450389642E-3</v>
      </c>
      <c r="L1940" s="34">
        <f t="shared" si="122"/>
        <v>0.98828468922828594</v>
      </c>
      <c r="M1940" s="34">
        <f t="shared" si="123"/>
        <v>0.98655031537393933</v>
      </c>
    </row>
    <row r="1941" spans="1:13" ht="27.6">
      <c r="A1941" t="s">
        <v>164</v>
      </c>
      <c r="B1941" t="s">
        <v>112</v>
      </c>
      <c r="C1941" s="14" t="s">
        <v>294</v>
      </c>
      <c r="D1941" t="s">
        <v>112</v>
      </c>
      <c r="E1941" t="s">
        <v>392</v>
      </c>
      <c r="F1941" s="20">
        <v>2047</v>
      </c>
      <c r="G1941" s="20">
        <v>49</v>
      </c>
      <c r="H1941" s="11">
        <v>8166.0307633903203</v>
      </c>
      <c r="I1941" s="10">
        <v>4234453.8953852197</v>
      </c>
      <c r="J1941" s="34">
        <f t="shared" si="120"/>
        <v>1.9284731786287249E-3</v>
      </c>
      <c r="K1941" s="34">
        <f t="shared" si="121"/>
        <v>1.9266148689870422E-3</v>
      </c>
      <c r="L1941" s="34">
        <f t="shared" si="122"/>
        <v>0.98655031537393933</v>
      </c>
      <c r="M1941" s="34">
        <f t="shared" si="123"/>
        <v>0.9846496128673361</v>
      </c>
    </row>
    <row r="1942" spans="1:13" ht="27.6">
      <c r="A1942" t="s">
        <v>164</v>
      </c>
      <c r="B1942" t="s">
        <v>112</v>
      </c>
      <c r="C1942" s="14" t="s">
        <v>294</v>
      </c>
      <c r="D1942" t="s">
        <v>112</v>
      </c>
      <c r="E1942" t="s">
        <v>392</v>
      </c>
      <c r="F1942" s="20">
        <v>2047</v>
      </c>
      <c r="G1942" s="20">
        <v>50</v>
      </c>
      <c r="H1942" s="11">
        <v>9786.1126934371896</v>
      </c>
      <c r="I1942" s="10">
        <v>4351203.2998820497</v>
      </c>
      <c r="J1942" s="34">
        <f t="shared" si="120"/>
        <v>2.2490589427762355E-3</v>
      </c>
      <c r="K1942" s="34">
        <f t="shared" si="121"/>
        <v>2.2465317047030142E-3</v>
      </c>
      <c r="L1942" s="34">
        <f t="shared" si="122"/>
        <v>0.9846496128673361</v>
      </c>
      <c r="M1942" s="34">
        <f t="shared" si="123"/>
        <v>0.98243756629400603</v>
      </c>
    </row>
    <row r="1943" spans="1:13" ht="27.6">
      <c r="A1943" t="s">
        <v>164</v>
      </c>
      <c r="B1943" t="s">
        <v>112</v>
      </c>
      <c r="C1943" s="14" t="s">
        <v>294</v>
      </c>
      <c r="D1943" t="s">
        <v>112</v>
      </c>
      <c r="E1943" t="s">
        <v>392</v>
      </c>
      <c r="F1943" s="20">
        <v>2047</v>
      </c>
      <c r="G1943" s="20">
        <v>51</v>
      </c>
      <c r="H1943" s="11">
        <v>10570.133191991599</v>
      </c>
      <c r="I1943" s="10">
        <v>4293560.0068626897</v>
      </c>
      <c r="J1943" s="34">
        <f t="shared" si="120"/>
        <v>2.461857566936676E-3</v>
      </c>
      <c r="K1943" s="34">
        <f t="shared" si="121"/>
        <v>2.4588296808478738E-3</v>
      </c>
      <c r="L1943" s="34">
        <f t="shared" si="122"/>
        <v>0.98243756629400603</v>
      </c>
      <c r="M1943" s="34">
        <f t="shared" si="123"/>
        <v>0.98002191964642238</v>
      </c>
    </row>
    <row r="1944" spans="1:13" ht="27.6">
      <c r="A1944" t="s">
        <v>164</v>
      </c>
      <c r="B1944" t="s">
        <v>112</v>
      </c>
      <c r="C1944" s="14" t="s">
        <v>294</v>
      </c>
      <c r="D1944" t="s">
        <v>112</v>
      </c>
      <c r="E1944" t="s">
        <v>392</v>
      </c>
      <c r="F1944" s="20">
        <v>2047</v>
      </c>
      <c r="G1944" s="20">
        <v>52</v>
      </c>
      <c r="H1944" s="11">
        <v>11315.3456528678</v>
      </c>
      <c r="I1944" s="10">
        <v>4206420.8865394499</v>
      </c>
      <c r="J1944" s="34">
        <f t="shared" si="120"/>
        <v>2.6900174656979557E-3</v>
      </c>
      <c r="K1944" s="34">
        <f t="shared" si="121"/>
        <v>2.6864026107824568E-3</v>
      </c>
      <c r="L1944" s="34">
        <f t="shared" si="122"/>
        <v>0.98002191964642238</v>
      </c>
      <c r="M1944" s="34">
        <f t="shared" si="123"/>
        <v>0.97738918620286019</v>
      </c>
    </row>
    <row r="1945" spans="1:13" ht="27.6">
      <c r="A1945" t="s">
        <v>164</v>
      </c>
      <c r="B1945" t="s">
        <v>112</v>
      </c>
      <c r="C1945" s="14" t="s">
        <v>294</v>
      </c>
      <c r="D1945" t="s">
        <v>112</v>
      </c>
      <c r="E1945" t="s">
        <v>392</v>
      </c>
      <c r="F1945" s="20">
        <v>2047</v>
      </c>
      <c r="G1945" s="20">
        <v>53</v>
      </c>
      <c r="H1945" s="11">
        <v>12122.042495501901</v>
      </c>
      <c r="I1945" s="10">
        <v>4132987.5633828202</v>
      </c>
      <c r="J1945" s="34">
        <f t="shared" si="120"/>
        <v>2.9329975736922123E-3</v>
      </c>
      <c r="K1945" s="34">
        <f t="shared" si="121"/>
        <v>2.9287005383998865E-3</v>
      </c>
      <c r="L1945" s="34">
        <f t="shared" si="122"/>
        <v>0.97738918620286019</v>
      </c>
      <c r="M1945" s="34">
        <f t="shared" si="123"/>
        <v>0.97452670596700164</v>
      </c>
    </row>
    <row r="1946" spans="1:13" ht="27.6">
      <c r="A1946" t="s">
        <v>164</v>
      </c>
      <c r="B1946" t="s">
        <v>112</v>
      </c>
      <c r="C1946" s="14" t="s">
        <v>294</v>
      </c>
      <c r="D1946" t="s">
        <v>112</v>
      </c>
      <c r="E1946" t="s">
        <v>392</v>
      </c>
      <c r="F1946" s="20">
        <v>2047</v>
      </c>
      <c r="G1946" s="20">
        <v>54</v>
      </c>
      <c r="H1946" s="11">
        <v>12965.911975003501</v>
      </c>
      <c r="I1946" s="10">
        <v>4061611.8089590101</v>
      </c>
      <c r="J1946" s="34">
        <f t="shared" si="120"/>
        <v>3.1923070408657935E-3</v>
      </c>
      <c r="K1946" s="34">
        <f t="shared" si="121"/>
        <v>3.1872170464597449E-3</v>
      </c>
      <c r="L1946" s="34">
        <f t="shared" si="122"/>
        <v>0.97452670596700164</v>
      </c>
      <c r="M1946" s="34">
        <f t="shared" si="123"/>
        <v>0.9714206778375134</v>
      </c>
    </row>
    <row r="1947" spans="1:13" ht="27.6">
      <c r="A1947" t="s">
        <v>164</v>
      </c>
      <c r="B1947" t="s">
        <v>112</v>
      </c>
      <c r="C1947" s="14" t="s">
        <v>294</v>
      </c>
      <c r="D1947" t="s">
        <v>112</v>
      </c>
      <c r="E1947" t="s">
        <v>392</v>
      </c>
      <c r="F1947" s="20">
        <v>2047</v>
      </c>
      <c r="G1947" s="20">
        <v>55</v>
      </c>
      <c r="H1947" s="11">
        <v>13871.998585573499</v>
      </c>
      <c r="I1947" s="10">
        <v>4074560.3733350299</v>
      </c>
      <c r="J1947" s="34">
        <f t="shared" si="120"/>
        <v>3.4045387267680268E-3</v>
      </c>
      <c r="K1947" s="34">
        <f t="shared" si="121"/>
        <v>3.3987498561385276E-3</v>
      </c>
      <c r="L1947" s="34">
        <f t="shared" si="122"/>
        <v>0.9714206778375134</v>
      </c>
      <c r="M1947" s="34">
        <f t="shared" si="123"/>
        <v>0.9681190619484632</v>
      </c>
    </row>
    <row r="1948" spans="1:13" ht="27.6">
      <c r="A1948" t="s">
        <v>164</v>
      </c>
      <c r="B1948" t="s">
        <v>112</v>
      </c>
      <c r="C1948" s="14" t="s">
        <v>294</v>
      </c>
      <c r="D1948" t="s">
        <v>112</v>
      </c>
      <c r="E1948" t="s">
        <v>392</v>
      </c>
      <c r="F1948" s="20">
        <v>2047</v>
      </c>
      <c r="G1948" s="20">
        <v>56</v>
      </c>
      <c r="H1948" s="11">
        <v>15062.0675883163</v>
      </c>
      <c r="I1948" s="10">
        <v>4066464.4984165002</v>
      </c>
      <c r="J1948" s="34">
        <f t="shared" si="120"/>
        <v>3.7039712492710898E-3</v>
      </c>
      <c r="K1948" s="34">
        <f t="shared" si="121"/>
        <v>3.6971200093056655E-3</v>
      </c>
      <c r="L1948" s="34">
        <f t="shared" si="122"/>
        <v>0.9681190619484632</v>
      </c>
      <c r="M1948" s="34">
        <f t="shared" si="123"/>
        <v>0.96453980959314334</v>
      </c>
    </row>
    <row r="1949" spans="1:13" ht="27.6">
      <c r="A1949" t="s">
        <v>164</v>
      </c>
      <c r="B1949" t="s">
        <v>112</v>
      </c>
      <c r="C1949" s="14" t="s">
        <v>294</v>
      </c>
      <c r="D1949" t="s">
        <v>112</v>
      </c>
      <c r="E1949" t="s">
        <v>392</v>
      </c>
      <c r="F1949" s="20">
        <v>2047</v>
      </c>
      <c r="G1949" s="20">
        <v>57</v>
      </c>
      <c r="H1949" s="11">
        <v>21899.4953562382</v>
      </c>
      <c r="I1949" s="10">
        <v>5978791.8151716096</v>
      </c>
      <c r="J1949" s="34">
        <f t="shared" si="120"/>
        <v>3.6628630053093122E-3</v>
      </c>
      <c r="K1949" s="34">
        <f t="shared" si="121"/>
        <v>3.65616290562365E-3</v>
      </c>
      <c r="L1949" s="34">
        <f t="shared" si="122"/>
        <v>0.96453980959314334</v>
      </c>
      <c r="M1949" s="34">
        <f t="shared" si="123"/>
        <v>0.96101329492031162</v>
      </c>
    </row>
    <row r="1950" spans="1:13" ht="27.6">
      <c r="A1950" t="s">
        <v>164</v>
      </c>
      <c r="B1950" t="s">
        <v>112</v>
      </c>
      <c r="C1950" s="14" t="s">
        <v>294</v>
      </c>
      <c r="D1950" t="s">
        <v>112</v>
      </c>
      <c r="E1950" t="s">
        <v>392</v>
      </c>
      <c r="F1950" s="20">
        <v>2047</v>
      </c>
      <c r="G1950" s="20">
        <v>58</v>
      </c>
      <c r="H1950" s="11">
        <v>17497.8348828663</v>
      </c>
      <c r="I1950" s="10">
        <v>3972004.0603465601</v>
      </c>
      <c r="J1950" s="34">
        <f t="shared" si="120"/>
        <v>4.4052912879801037E-3</v>
      </c>
      <c r="K1950" s="34">
        <f t="shared" si="121"/>
        <v>4.3956022252502613E-3</v>
      </c>
      <c r="L1950" s="34">
        <f t="shared" si="122"/>
        <v>0.96101329492031162</v>
      </c>
      <c r="M1950" s="34">
        <f t="shared" si="123"/>
        <v>0.95678906274266484</v>
      </c>
    </row>
    <row r="1951" spans="1:13" ht="27.6">
      <c r="A1951" t="s">
        <v>164</v>
      </c>
      <c r="B1951" t="s">
        <v>112</v>
      </c>
      <c r="C1951" s="14" t="s">
        <v>294</v>
      </c>
      <c r="D1951" t="s">
        <v>112</v>
      </c>
      <c r="E1951" t="s">
        <v>392</v>
      </c>
      <c r="F1951" s="20">
        <v>2047</v>
      </c>
      <c r="G1951" s="20">
        <v>59</v>
      </c>
      <c r="H1951" s="11">
        <v>18914.076179970099</v>
      </c>
      <c r="I1951" s="10">
        <v>3925039.2663412201</v>
      </c>
      <c r="J1951" s="34">
        <f t="shared" si="120"/>
        <v>4.8188247037847139E-3</v>
      </c>
      <c r="K1951" s="34">
        <f t="shared" si="121"/>
        <v>4.8072327952881633E-3</v>
      </c>
      <c r="L1951" s="34">
        <f t="shared" si="122"/>
        <v>0.95678906274266484</v>
      </c>
      <c r="M1951" s="34">
        <f t="shared" si="123"/>
        <v>0.95218955498207525</v>
      </c>
    </row>
    <row r="1952" spans="1:13" ht="27.6">
      <c r="A1952" t="s">
        <v>164</v>
      </c>
      <c r="B1952" t="s">
        <v>112</v>
      </c>
      <c r="C1952" s="14" t="s">
        <v>294</v>
      </c>
      <c r="D1952" t="s">
        <v>112</v>
      </c>
      <c r="E1952" t="s">
        <v>392</v>
      </c>
      <c r="F1952" s="20">
        <v>2047</v>
      </c>
      <c r="G1952" s="20">
        <v>60</v>
      </c>
      <c r="H1952" s="11">
        <v>19615.2517717882</v>
      </c>
      <c r="I1952" s="10">
        <v>3771286.38736733</v>
      </c>
      <c r="J1952" s="34">
        <f t="shared" si="120"/>
        <v>5.2012098146386777E-3</v>
      </c>
      <c r="K1952" s="34">
        <f t="shared" si="121"/>
        <v>5.1877069434361767E-3</v>
      </c>
      <c r="L1952" s="34">
        <f t="shared" si="122"/>
        <v>0.95218955498207525</v>
      </c>
      <c r="M1952" s="34">
        <f t="shared" si="123"/>
        <v>0.94724987461622734</v>
      </c>
    </row>
    <row r="1953" spans="1:13" ht="27.6">
      <c r="A1953" t="s">
        <v>164</v>
      </c>
      <c r="B1953" t="s">
        <v>112</v>
      </c>
      <c r="C1953" s="14" t="s">
        <v>294</v>
      </c>
      <c r="D1953" t="s">
        <v>112</v>
      </c>
      <c r="E1953" t="s">
        <v>392</v>
      </c>
      <c r="F1953" s="20">
        <v>2047</v>
      </c>
      <c r="G1953" s="20">
        <v>61</v>
      </c>
      <c r="H1953" s="11">
        <v>21135.926188305799</v>
      </c>
      <c r="I1953" s="10">
        <v>3703985.9735520398</v>
      </c>
      <c r="J1953" s="34">
        <f t="shared" si="120"/>
        <v>5.7062651800586913E-3</v>
      </c>
      <c r="K1953" s="34">
        <f t="shared" si="121"/>
        <v>5.6900153721691771E-3</v>
      </c>
      <c r="L1953" s="34">
        <f t="shared" si="122"/>
        <v>0.94724987461622734</v>
      </c>
      <c r="M1953" s="34">
        <f t="shared" si="123"/>
        <v>0.94186000826837568</v>
      </c>
    </row>
    <row r="1954" spans="1:13" ht="27.6">
      <c r="A1954" t="s">
        <v>164</v>
      </c>
      <c r="B1954" t="s">
        <v>112</v>
      </c>
      <c r="C1954" s="14" t="s">
        <v>294</v>
      </c>
      <c r="D1954" t="s">
        <v>112</v>
      </c>
      <c r="E1954" t="s">
        <v>392</v>
      </c>
      <c r="F1954" s="20">
        <v>2047</v>
      </c>
      <c r="G1954" s="20">
        <v>62</v>
      </c>
      <c r="H1954" s="11">
        <v>23282.528644383699</v>
      </c>
      <c r="I1954" s="10">
        <v>3716626.89034579</v>
      </c>
      <c r="J1954" s="34">
        <f t="shared" si="120"/>
        <v>6.2644245255992119E-3</v>
      </c>
      <c r="K1954" s="34">
        <f t="shared" si="121"/>
        <v>6.244843926677679E-3</v>
      </c>
      <c r="L1954" s="34">
        <f t="shared" si="122"/>
        <v>0.94186000826837568</v>
      </c>
      <c r="M1954" s="34">
        <f t="shared" si="123"/>
        <v>0.93597823951596038</v>
      </c>
    </row>
    <row r="1955" spans="1:13" ht="27.6">
      <c r="A1955" t="s">
        <v>164</v>
      </c>
      <c r="B1955" t="s">
        <v>112</v>
      </c>
      <c r="C1955" s="14" t="s">
        <v>294</v>
      </c>
      <c r="D1955" t="s">
        <v>112</v>
      </c>
      <c r="E1955" t="s">
        <v>392</v>
      </c>
      <c r="F1955" s="20">
        <v>2047</v>
      </c>
      <c r="G1955" s="20">
        <v>63</v>
      </c>
      <c r="H1955" s="11">
        <v>25762.243842563101</v>
      </c>
      <c r="I1955" s="10">
        <v>3746478.8244505399</v>
      </c>
      <c r="J1955" s="34">
        <f t="shared" si="120"/>
        <v>6.8763884836160532E-3</v>
      </c>
      <c r="K1955" s="34">
        <f t="shared" si="121"/>
        <v>6.8528002226441176E-3</v>
      </c>
      <c r="L1955" s="34">
        <f t="shared" si="122"/>
        <v>0.93597823951596038</v>
      </c>
      <c r="M1955" s="34">
        <f t="shared" si="123"/>
        <v>0.92956416762781535</v>
      </c>
    </row>
    <row r="1956" spans="1:13" ht="27.6">
      <c r="A1956" t="s">
        <v>164</v>
      </c>
      <c r="B1956" t="s">
        <v>112</v>
      </c>
      <c r="C1956" s="14" t="s">
        <v>294</v>
      </c>
      <c r="D1956" t="s">
        <v>112</v>
      </c>
      <c r="E1956" t="s">
        <v>392</v>
      </c>
      <c r="F1956" s="20">
        <v>2047</v>
      </c>
      <c r="G1956" s="20">
        <v>64</v>
      </c>
      <c r="H1956" s="11">
        <v>27743.499194408501</v>
      </c>
      <c r="I1956" s="10">
        <v>3676968.8373167198</v>
      </c>
      <c r="J1956" s="34">
        <f t="shared" si="120"/>
        <v>7.545209225829178E-3</v>
      </c>
      <c r="K1956" s="34">
        <f t="shared" si="121"/>
        <v>7.5168155915478208E-3</v>
      </c>
      <c r="L1956" s="34">
        <f t="shared" si="122"/>
        <v>0.92956416762781535</v>
      </c>
      <c r="M1956" s="34">
        <f t="shared" si="123"/>
        <v>0.92257680519924645</v>
      </c>
    </row>
    <row r="1957" spans="1:13" ht="27.6">
      <c r="A1957" t="s">
        <v>164</v>
      </c>
      <c r="B1957" t="s">
        <v>112</v>
      </c>
      <c r="C1957" s="14" t="s">
        <v>294</v>
      </c>
      <c r="D1957" t="s">
        <v>112</v>
      </c>
      <c r="E1957" t="s">
        <v>392</v>
      </c>
      <c r="F1957" s="20">
        <v>2047</v>
      </c>
      <c r="G1957" s="20">
        <v>65</v>
      </c>
      <c r="H1957" s="11">
        <v>27654.020485238201</v>
      </c>
      <c r="I1957" s="10">
        <v>3508173.2876936798</v>
      </c>
      <c r="J1957" s="34">
        <f t="shared" si="120"/>
        <v>7.8827407363957006E-3</v>
      </c>
      <c r="K1957" s="34">
        <f t="shared" si="121"/>
        <v>7.8517534107791498E-3</v>
      </c>
      <c r="L1957" s="34">
        <f t="shared" si="122"/>
        <v>0.92257680519924645</v>
      </c>
      <c r="M1957" s="34">
        <f t="shared" si="123"/>
        <v>0.91533295962231753</v>
      </c>
    </row>
    <row r="1958" spans="1:13" ht="27.6">
      <c r="A1958" t="s">
        <v>164</v>
      </c>
      <c r="B1958" t="s">
        <v>112</v>
      </c>
      <c r="C1958" s="14" t="s">
        <v>294</v>
      </c>
      <c r="D1958" t="s">
        <v>112</v>
      </c>
      <c r="E1958" t="s">
        <v>392</v>
      </c>
      <c r="F1958" s="20">
        <v>2047</v>
      </c>
      <c r="G1958" s="20">
        <v>66</v>
      </c>
      <c r="H1958" s="11">
        <v>29362.151229905499</v>
      </c>
      <c r="I1958" s="10">
        <v>3391929.3167783599</v>
      </c>
      <c r="J1958" s="34">
        <f t="shared" si="120"/>
        <v>8.656474969765451E-3</v>
      </c>
      <c r="K1958" s="34">
        <f t="shared" si="121"/>
        <v>8.6191155682748821E-3</v>
      </c>
      <c r="L1958" s="34">
        <f t="shared" si="122"/>
        <v>0.91533295962231753</v>
      </c>
      <c r="M1958" s="34">
        <f t="shared" si="123"/>
        <v>0.9074435990598817</v>
      </c>
    </row>
    <row r="1959" spans="1:13" ht="27.6">
      <c r="A1959" t="s">
        <v>164</v>
      </c>
      <c r="B1959" t="s">
        <v>112</v>
      </c>
      <c r="C1959" s="14" t="s">
        <v>294</v>
      </c>
      <c r="D1959" t="s">
        <v>112</v>
      </c>
      <c r="E1959" t="s">
        <v>392</v>
      </c>
      <c r="F1959" s="20">
        <v>2047</v>
      </c>
      <c r="G1959" s="20">
        <v>67</v>
      </c>
      <c r="H1959" s="11">
        <v>31242.565032470899</v>
      </c>
      <c r="I1959" s="10">
        <v>3285645.3981730398</v>
      </c>
      <c r="J1959" s="34">
        <f t="shared" si="120"/>
        <v>9.5088061084872728E-3</v>
      </c>
      <c r="K1959" s="34">
        <f t="shared" si="121"/>
        <v>9.4637403652694241E-3</v>
      </c>
      <c r="L1959" s="34">
        <f t="shared" si="122"/>
        <v>0.9074435990598817</v>
      </c>
      <c r="M1959" s="34">
        <f t="shared" si="123"/>
        <v>0.89885578844225333</v>
      </c>
    </row>
    <row r="1960" spans="1:13" ht="27.6">
      <c r="A1960" t="s">
        <v>164</v>
      </c>
      <c r="B1960" t="s">
        <v>112</v>
      </c>
      <c r="C1960" s="14" t="s">
        <v>294</v>
      </c>
      <c r="D1960" t="s">
        <v>112</v>
      </c>
      <c r="E1960" t="s">
        <v>392</v>
      </c>
      <c r="F1960" s="20">
        <v>2047</v>
      </c>
      <c r="G1960" s="20">
        <v>68</v>
      </c>
      <c r="H1960" s="11">
        <v>33155.394673398099</v>
      </c>
      <c r="I1960" s="10">
        <v>3172126.5650933101</v>
      </c>
      <c r="J1960" s="34">
        <f t="shared" si="120"/>
        <v>1.045210334235917E-2</v>
      </c>
      <c r="K1960" s="34">
        <f t="shared" si="121"/>
        <v>1.0397669923196684E-2</v>
      </c>
      <c r="L1960" s="34">
        <f t="shared" si="122"/>
        <v>0.89885578844225333</v>
      </c>
      <c r="M1960" s="34">
        <f t="shared" si="123"/>
        <v>0.88950978264547609</v>
      </c>
    </row>
    <row r="1961" spans="1:13" ht="27.6">
      <c r="A1961" t="s">
        <v>164</v>
      </c>
      <c r="B1961" t="s">
        <v>112</v>
      </c>
      <c r="C1961" s="14" t="s">
        <v>294</v>
      </c>
      <c r="D1961" t="s">
        <v>112</v>
      </c>
      <c r="E1961" t="s">
        <v>392</v>
      </c>
      <c r="F1961" s="20">
        <v>2047</v>
      </c>
      <c r="G1961" s="20">
        <v>69</v>
      </c>
      <c r="H1961" s="11">
        <v>34965.570191931598</v>
      </c>
      <c r="I1961" s="10">
        <v>3040546.8297581002</v>
      </c>
      <c r="J1961" s="34">
        <f t="shared" si="120"/>
        <v>1.1499763743061109E-2</v>
      </c>
      <c r="K1961" s="34">
        <f t="shared" si="121"/>
        <v>1.1433894196512528E-2</v>
      </c>
      <c r="L1961" s="34">
        <f t="shared" si="122"/>
        <v>0.88950978264547609</v>
      </c>
      <c r="M1961" s="34">
        <f t="shared" si="123"/>
        <v>0.87933922190394487</v>
      </c>
    </row>
    <row r="1962" spans="1:13" ht="27.6">
      <c r="A1962" t="s">
        <v>164</v>
      </c>
      <c r="B1962" t="s">
        <v>112</v>
      </c>
      <c r="C1962" s="14" t="s">
        <v>294</v>
      </c>
      <c r="D1962" t="s">
        <v>112</v>
      </c>
      <c r="E1962" t="s">
        <v>392</v>
      </c>
      <c r="F1962" s="20">
        <v>2048</v>
      </c>
      <c r="G1962" s="20">
        <v>30</v>
      </c>
      <c r="H1962" s="11">
        <v>614.66639897339201</v>
      </c>
      <c r="I1962" s="10">
        <v>4275283.8739315802</v>
      </c>
      <c r="J1962" s="34">
        <f t="shared" si="120"/>
        <v>1.4377206686117444E-4</v>
      </c>
      <c r="K1962" s="34">
        <f t="shared" si="121"/>
        <v>1.4376173215280286E-4</v>
      </c>
      <c r="L1962" s="34">
        <f t="shared" si="122"/>
        <v>1</v>
      </c>
      <c r="M1962" s="34">
        <f t="shared" si="123"/>
        <v>0.9998562382678472</v>
      </c>
    </row>
    <row r="1963" spans="1:13" ht="27.6">
      <c r="A1963" t="s">
        <v>164</v>
      </c>
      <c r="B1963" t="s">
        <v>112</v>
      </c>
      <c r="C1963" s="14" t="s">
        <v>294</v>
      </c>
      <c r="D1963" t="s">
        <v>112</v>
      </c>
      <c r="E1963" t="s">
        <v>392</v>
      </c>
      <c r="F1963" s="20">
        <v>2048</v>
      </c>
      <c r="G1963" s="20">
        <v>31</v>
      </c>
      <c r="H1963" s="11">
        <v>853.93815841067703</v>
      </c>
      <c r="I1963" s="10">
        <v>4315810.8330565197</v>
      </c>
      <c r="J1963" s="34">
        <f t="shared" si="120"/>
        <v>1.9786274038473221E-4</v>
      </c>
      <c r="K1963" s="34">
        <f t="shared" si="121"/>
        <v>1.9784316684368086E-4</v>
      </c>
      <c r="L1963" s="34">
        <f t="shared" si="122"/>
        <v>0.9998562382678472</v>
      </c>
      <c r="M1963" s="34">
        <f t="shared" si="123"/>
        <v>0.99965842354327983</v>
      </c>
    </row>
    <row r="1964" spans="1:13" ht="27.6">
      <c r="A1964" t="s">
        <v>164</v>
      </c>
      <c r="B1964" t="s">
        <v>112</v>
      </c>
      <c r="C1964" s="14" t="s">
        <v>294</v>
      </c>
      <c r="D1964" t="s">
        <v>112</v>
      </c>
      <c r="E1964" t="s">
        <v>392</v>
      </c>
      <c r="F1964" s="20">
        <v>2048</v>
      </c>
      <c r="G1964" s="20">
        <v>32</v>
      </c>
      <c r="H1964" s="11">
        <v>990.01179181488305</v>
      </c>
      <c r="I1964" s="10">
        <v>4578301.5936361998</v>
      </c>
      <c r="J1964" s="34">
        <f t="shared" si="120"/>
        <v>2.1623996837407807E-4</v>
      </c>
      <c r="K1964" s="34">
        <f t="shared" si="121"/>
        <v>2.1621659019721573E-4</v>
      </c>
      <c r="L1964" s="34">
        <f t="shared" si="122"/>
        <v>0.99965842354327983</v>
      </c>
      <c r="M1964" s="34">
        <f t="shared" si="123"/>
        <v>0.99944228080757935</v>
      </c>
    </row>
    <row r="1965" spans="1:13" ht="27.6">
      <c r="A1965" t="s">
        <v>164</v>
      </c>
      <c r="B1965" t="s">
        <v>112</v>
      </c>
      <c r="C1965" s="14" t="s">
        <v>294</v>
      </c>
      <c r="D1965" t="s">
        <v>112</v>
      </c>
      <c r="E1965" t="s">
        <v>392</v>
      </c>
      <c r="F1965" s="20">
        <v>2048</v>
      </c>
      <c r="G1965" s="20">
        <v>33</v>
      </c>
      <c r="H1965" s="11">
        <v>1094.0459394970101</v>
      </c>
      <c r="I1965" s="10">
        <v>4626788.3346035099</v>
      </c>
      <c r="J1965" s="34">
        <f t="shared" si="120"/>
        <v>2.3645904251004898E-4</v>
      </c>
      <c r="K1965" s="34">
        <f t="shared" si="121"/>
        <v>2.3643108827409165E-4</v>
      </c>
      <c r="L1965" s="34">
        <f t="shared" si="122"/>
        <v>0.99944228080757935</v>
      </c>
      <c r="M1965" s="34">
        <f t="shared" si="123"/>
        <v>0.9992059815814609</v>
      </c>
    </row>
    <row r="1966" spans="1:13" ht="27.6">
      <c r="A1966" t="s">
        <v>164</v>
      </c>
      <c r="B1966" t="s">
        <v>112</v>
      </c>
      <c r="C1966" s="14" t="s">
        <v>294</v>
      </c>
      <c r="D1966" t="s">
        <v>112</v>
      </c>
      <c r="E1966" t="s">
        <v>392</v>
      </c>
      <c r="F1966" s="20">
        <v>2048</v>
      </c>
      <c r="G1966" s="20">
        <v>34</v>
      </c>
      <c r="H1966" s="11">
        <v>1181.6030329247401</v>
      </c>
      <c r="I1966" s="10">
        <v>4692694.7367550498</v>
      </c>
      <c r="J1966" s="34">
        <f t="shared" si="120"/>
        <v>2.5179627041792334E-4</v>
      </c>
      <c r="K1966" s="34">
        <f t="shared" si="121"/>
        <v>2.5176457239761696E-4</v>
      </c>
      <c r="L1966" s="34">
        <f t="shared" si="122"/>
        <v>0.9992059815814609</v>
      </c>
      <c r="M1966" s="34">
        <f t="shared" si="123"/>
        <v>0.99895441691477094</v>
      </c>
    </row>
    <row r="1967" spans="1:13" ht="27.6">
      <c r="A1967" t="s">
        <v>164</v>
      </c>
      <c r="B1967" t="s">
        <v>112</v>
      </c>
      <c r="C1967" s="14" t="s">
        <v>294</v>
      </c>
      <c r="D1967" t="s">
        <v>112</v>
      </c>
      <c r="E1967" t="s">
        <v>392</v>
      </c>
      <c r="F1967" s="20">
        <v>2048</v>
      </c>
      <c r="G1967" s="20">
        <v>35</v>
      </c>
      <c r="H1967" s="11">
        <v>1551.7836060219599</v>
      </c>
      <c r="I1967" s="10">
        <v>4759860.3515323699</v>
      </c>
      <c r="J1967" s="34">
        <f t="shared" si="120"/>
        <v>3.2601452383416779E-4</v>
      </c>
      <c r="K1967" s="34">
        <f t="shared" si="121"/>
        <v>3.2596138687390752E-4</v>
      </c>
      <c r="L1967" s="34">
        <f t="shared" si="122"/>
        <v>0.99895441691477094</v>
      </c>
      <c r="M1967" s="34">
        <f t="shared" si="123"/>
        <v>0.99862879634760959</v>
      </c>
    </row>
    <row r="1968" spans="1:13" ht="27.6">
      <c r="A1968" t="s">
        <v>164</v>
      </c>
      <c r="B1968" t="s">
        <v>112</v>
      </c>
      <c r="C1968" s="14" t="s">
        <v>294</v>
      </c>
      <c r="D1968" t="s">
        <v>112</v>
      </c>
      <c r="E1968" t="s">
        <v>392</v>
      </c>
      <c r="F1968" s="20">
        <v>2048</v>
      </c>
      <c r="G1968" s="20">
        <v>36</v>
      </c>
      <c r="H1968" s="11">
        <v>1936.1457038000201</v>
      </c>
      <c r="I1968" s="10">
        <v>4870578.6790521601</v>
      </c>
      <c r="J1968" s="34">
        <f t="shared" si="120"/>
        <v>3.9751861768031312E-4</v>
      </c>
      <c r="K1968" s="34">
        <f t="shared" si="121"/>
        <v>3.9743961762295221E-4</v>
      </c>
      <c r="L1968" s="34">
        <f t="shared" si="122"/>
        <v>0.99862879634760959</v>
      </c>
      <c r="M1968" s="34">
        <f t="shared" si="123"/>
        <v>0.99823190170064191</v>
      </c>
    </row>
    <row r="1969" spans="1:13" ht="27.6">
      <c r="A1969" t="s">
        <v>164</v>
      </c>
      <c r="B1969" t="s">
        <v>112</v>
      </c>
      <c r="C1969" s="14" t="s">
        <v>294</v>
      </c>
      <c r="D1969" t="s">
        <v>112</v>
      </c>
      <c r="E1969" t="s">
        <v>392</v>
      </c>
      <c r="F1969" s="20">
        <v>2048</v>
      </c>
      <c r="G1969" s="20">
        <v>37</v>
      </c>
      <c r="H1969" s="11">
        <v>2066.9474765927898</v>
      </c>
      <c r="I1969" s="10">
        <v>4841054.2078956002</v>
      </c>
      <c r="J1969" s="34">
        <f t="shared" si="120"/>
        <v>4.2696226644635925E-4</v>
      </c>
      <c r="K1969" s="34">
        <f t="shared" si="121"/>
        <v>4.2687113102879426E-4</v>
      </c>
      <c r="L1969" s="34">
        <f t="shared" si="122"/>
        <v>0.99823190170064191</v>
      </c>
      <c r="M1969" s="34">
        <f t="shared" si="123"/>
        <v>0.99780578531973396</v>
      </c>
    </row>
    <row r="1970" spans="1:13" ht="27.6">
      <c r="A1970" t="s">
        <v>164</v>
      </c>
      <c r="B1970" t="s">
        <v>112</v>
      </c>
      <c r="C1970" s="14" t="s">
        <v>294</v>
      </c>
      <c r="D1970" t="s">
        <v>112</v>
      </c>
      <c r="E1970" t="s">
        <v>392</v>
      </c>
      <c r="F1970" s="20">
        <v>2048</v>
      </c>
      <c r="G1970" s="20">
        <v>38</v>
      </c>
      <c r="H1970" s="11">
        <v>2166.0644812372898</v>
      </c>
      <c r="I1970" s="10">
        <v>4706243.4646536298</v>
      </c>
      <c r="J1970" s="34">
        <f t="shared" si="120"/>
        <v>4.6025338414928518E-4</v>
      </c>
      <c r="K1970" s="34">
        <f t="shared" si="121"/>
        <v>4.6014748380807102E-4</v>
      </c>
      <c r="L1970" s="34">
        <f t="shared" si="122"/>
        <v>0.99780578531973396</v>
      </c>
      <c r="M1970" s="34">
        <f t="shared" si="123"/>
        <v>0.99734664749828994</v>
      </c>
    </row>
    <row r="1971" spans="1:13" ht="27.6">
      <c r="A1971" t="s">
        <v>164</v>
      </c>
      <c r="B1971" t="s">
        <v>112</v>
      </c>
      <c r="C1971" s="14" t="s">
        <v>294</v>
      </c>
      <c r="D1971" t="s">
        <v>112</v>
      </c>
      <c r="E1971" t="s">
        <v>392</v>
      </c>
      <c r="F1971" s="20">
        <v>2048</v>
      </c>
      <c r="G1971" s="20">
        <v>39</v>
      </c>
      <c r="H1971" s="11">
        <v>2305.8695155740202</v>
      </c>
      <c r="I1971" s="10">
        <v>4633592.5450861203</v>
      </c>
      <c r="J1971" s="34">
        <f t="shared" si="120"/>
        <v>4.9764183905625715E-4</v>
      </c>
      <c r="K1971" s="34">
        <f t="shared" si="121"/>
        <v>4.9751803589370702E-4</v>
      </c>
      <c r="L1971" s="34">
        <f t="shared" si="122"/>
        <v>0.99734664749828994</v>
      </c>
      <c r="M1971" s="34">
        <f t="shared" si="123"/>
        <v>0.99685044955312141</v>
      </c>
    </row>
    <row r="1972" spans="1:13" ht="27.6">
      <c r="A1972" t="s">
        <v>164</v>
      </c>
      <c r="B1972" t="s">
        <v>112</v>
      </c>
      <c r="C1972" s="14" t="s">
        <v>294</v>
      </c>
      <c r="D1972" t="s">
        <v>112</v>
      </c>
      <c r="E1972" t="s">
        <v>392</v>
      </c>
      <c r="F1972" s="20">
        <v>2048</v>
      </c>
      <c r="G1972" s="20">
        <v>40</v>
      </c>
      <c r="H1972" s="11">
        <v>3064.8577348571098</v>
      </c>
      <c r="I1972" s="10">
        <v>4588369.3404433001</v>
      </c>
      <c r="J1972" s="34">
        <f t="shared" si="120"/>
        <v>6.679622993385711E-4</v>
      </c>
      <c r="K1972" s="34">
        <f t="shared" si="121"/>
        <v>6.6773926218477442E-4</v>
      </c>
      <c r="L1972" s="34">
        <f t="shared" si="122"/>
        <v>0.99685044955312141</v>
      </c>
      <c r="M1972" s="34">
        <f t="shared" si="123"/>
        <v>0.99618481336942821</v>
      </c>
    </row>
    <row r="1973" spans="1:13" ht="27.6">
      <c r="A1973" t="s">
        <v>164</v>
      </c>
      <c r="B1973" t="s">
        <v>112</v>
      </c>
      <c r="C1973" s="14" t="s">
        <v>294</v>
      </c>
      <c r="D1973" t="s">
        <v>112</v>
      </c>
      <c r="E1973" t="s">
        <v>392</v>
      </c>
      <c r="F1973" s="20">
        <v>2048</v>
      </c>
      <c r="G1973" s="20">
        <v>41</v>
      </c>
      <c r="H1973" s="11">
        <v>3555.9373758801398</v>
      </c>
      <c r="I1973" s="10">
        <v>4609316.3187638205</v>
      </c>
      <c r="J1973" s="34">
        <f t="shared" si="120"/>
        <v>7.7146742162269571E-4</v>
      </c>
      <c r="K1973" s="34">
        <f t="shared" si="121"/>
        <v>7.7116991714132332E-4</v>
      </c>
      <c r="L1973" s="34">
        <f t="shared" si="122"/>
        <v>0.99618481336942821</v>
      </c>
      <c r="M1973" s="34">
        <f t="shared" si="123"/>
        <v>0.99541658560944468</v>
      </c>
    </row>
    <row r="1974" spans="1:13" ht="27.6">
      <c r="A1974" t="s">
        <v>164</v>
      </c>
      <c r="B1974" t="s">
        <v>112</v>
      </c>
      <c r="C1974" s="14" t="s">
        <v>294</v>
      </c>
      <c r="D1974" t="s">
        <v>112</v>
      </c>
      <c r="E1974" t="s">
        <v>392</v>
      </c>
      <c r="F1974" s="20">
        <v>2048</v>
      </c>
      <c r="G1974" s="20">
        <v>42</v>
      </c>
      <c r="H1974" s="11">
        <v>3783.2036059328102</v>
      </c>
      <c r="I1974" s="10">
        <v>4523047.0689078402</v>
      </c>
      <c r="J1974" s="34">
        <f t="shared" si="120"/>
        <v>8.3642808670711518E-4</v>
      </c>
      <c r="K1974" s="34">
        <f t="shared" si="121"/>
        <v>8.3607837824384301E-4</v>
      </c>
      <c r="L1974" s="34">
        <f t="shared" si="122"/>
        <v>0.99541658560944468</v>
      </c>
      <c r="M1974" s="34">
        <f t="shared" si="123"/>
        <v>0.99458433932487134</v>
      </c>
    </row>
    <row r="1975" spans="1:13" ht="27.6">
      <c r="A1975" t="s">
        <v>164</v>
      </c>
      <c r="B1975" t="s">
        <v>112</v>
      </c>
      <c r="C1975" s="14" t="s">
        <v>294</v>
      </c>
      <c r="D1975" t="s">
        <v>112</v>
      </c>
      <c r="E1975" t="s">
        <v>392</v>
      </c>
      <c r="F1975" s="20">
        <v>2048</v>
      </c>
      <c r="G1975" s="20">
        <v>43</v>
      </c>
      <c r="H1975" s="11">
        <v>4051.2156311553899</v>
      </c>
      <c r="I1975" s="10">
        <v>4457883.5384701202</v>
      </c>
      <c r="J1975" s="34">
        <f t="shared" si="120"/>
        <v>9.0877556495020219E-4</v>
      </c>
      <c r="K1975" s="34">
        <f t="shared" si="121"/>
        <v>9.0836275349692741E-4</v>
      </c>
      <c r="L1975" s="34">
        <f t="shared" si="122"/>
        <v>0.99458433932487134</v>
      </c>
      <c r="M1975" s="34">
        <f t="shared" si="123"/>
        <v>0.99368089595581732</v>
      </c>
    </row>
    <row r="1976" spans="1:13" ht="27.6">
      <c r="A1976" t="s">
        <v>164</v>
      </c>
      <c r="B1976" t="s">
        <v>112</v>
      </c>
      <c r="C1976" s="14" t="s">
        <v>294</v>
      </c>
      <c r="D1976" t="s">
        <v>112</v>
      </c>
      <c r="E1976" t="s">
        <v>392</v>
      </c>
      <c r="F1976" s="20">
        <v>2048</v>
      </c>
      <c r="G1976" s="20">
        <v>44</v>
      </c>
      <c r="H1976" s="11">
        <v>4281.4449249382697</v>
      </c>
      <c r="I1976" s="10">
        <v>4325789.6581590697</v>
      </c>
      <c r="J1976" s="34">
        <f t="shared" si="120"/>
        <v>9.8974875416395713E-4</v>
      </c>
      <c r="K1976" s="34">
        <f t="shared" si="121"/>
        <v>9.8925911441916092E-4</v>
      </c>
      <c r="L1976" s="34">
        <f t="shared" si="122"/>
        <v>0.99368089595581732</v>
      </c>
      <c r="M1976" s="34">
        <f t="shared" si="123"/>
        <v>0.99269788807266879</v>
      </c>
    </row>
    <row r="1977" spans="1:13" ht="27.6">
      <c r="A1977" t="s">
        <v>164</v>
      </c>
      <c r="B1977" t="s">
        <v>112</v>
      </c>
      <c r="C1977" s="14" t="s">
        <v>294</v>
      </c>
      <c r="D1977" t="s">
        <v>112</v>
      </c>
      <c r="E1977" t="s">
        <v>392</v>
      </c>
      <c r="F1977" s="20">
        <v>2048</v>
      </c>
      <c r="G1977" s="20">
        <v>45</v>
      </c>
      <c r="H1977" s="11">
        <v>5400.4566169321997</v>
      </c>
      <c r="I1977" s="10">
        <v>4255030.7446245104</v>
      </c>
      <c r="J1977" s="34">
        <f t="shared" si="120"/>
        <v>1.2691933245734441E-3</v>
      </c>
      <c r="K1977" s="34">
        <f t="shared" si="121"/>
        <v>1.2683882393648149E-3</v>
      </c>
      <c r="L1977" s="34">
        <f t="shared" si="122"/>
        <v>0.99269788807266879</v>
      </c>
      <c r="M1977" s="34">
        <f t="shared" si="123"/>
        <v>0.99143876174619516</v>
      </c>
    </row>
    <row r="1978" spans="1:13" ht="27.6">
      <c r="A1978" t="s">
        <v>164</v>
      </c>
      <c r="B1978" t="s">
        <v>112</v>
      </c>
      <c r="C1978" s="14" t="s">
        <v>294</v>
      </c>
      <c r="D1978" t="s">
        <v>112</v>
      </c>
      <c r="E1978" t="s">
        <v>392</v>
      </c>
      <c r="F1978" s="20">
        <v>2048</v>
      </c>
      <c r="G1978" s="20">
        <v>46</v>
      </c>
      <c r="H1978" s="11">
        <v>6133.3297565656503</v>
      </c>
      <c r="I1978" s="10">
        <v>4223345.7762774797</v>
      </c>
      <c r="J1978" s="34">
        <f t="shared" si="120"/>
        <v>1.4522442824872509E-3</v>
      </c>
      <c r="K1978" s="34">
        <f t="shared" si="121"/>
        <v>1.4511902860411263E-3</v>
      </c>
      <c r="L1978" s="34">
        <f t="shared" si="122"/>
        <v>0.99143876174619516</v>
      </c>
      <c r="M1978" s="34">
        <f t="shared" si="123"/>
        <v>0.98999999544594441</v>
      </c>
    </row>
    <row r="1979" spans="1:13" ht="27.6">
      <c r="A1979" t="s">
        <v>164</v>
      </c>
      <c r="B1979" t="s">
        <v>112</v>
      </c>
      <c r="C1979" s="14" t="s">
        <v>294</v>
      </c>
      <c r="D1979" t="s">
        <v>112</v>
      </c>
      <c r="E1979" t="s">
        <v>392</v>
      </c>
      <c r="F1979" s="20">
        <v>2048</v>
      </c>
      <c r="G1979" s="20">
        <v>47</v>
      </c>
      <c r="H1979" s="11">
        <v>6668.9548608172299</v>
      </c>
      <c r="I1979" s="10">
        <v>4194977.1233370602</v>
      </c>
      <c r="J1979" s="34">
        <f t="shared" si="120"/>
        <v>1.5897476111889131E-3</v>
      </c>
      <c r="K1979" s="34">
        <f t="shared" si="121"/>
        <v>1.5884846318167112E-3</v>
      </c>
      <c r="L1979" s="34">
        <f t="shared" si="122"/>
        <v>0.98999999544594441</v>
      </c>
      <c r="M1979" s="34">
        <f t="shared" si="123"/>
        <v>0.9884273956676799</v>
      </c>
    </row>
    <row r="1980" spans="1:13" ht="27.6">
      <c r="A1980" t="s">
        <v>164</v>
      </c>
      <c r="B1980" t="s">
        <v>112</v>
      </c>
      <c r="C1980" s="14" t="s">
        <v>294</v>
      </c>
      <c r="D1980" t="s">
        <v>112</v>
      </c>
      <c r="E1980" t="s">
        <v>392</v>
      </c>
      <c r="F1980" s="20">
        <v>2048</v>
      </c>
      <c r="G1980" s="20">
        <v>48</v>
      </c>
      <c r="H1980" s="11">
        <v>7263.3814437733299</v>
      </c>
      <c r="I1980" s="10">
        <v>4165334.7078408799</v>
      </c>
      <c r="J1980" s="34">
        <f t="shared" si="120"/>
        <v>1.7437689773406797E-3</v>
      </c>
      <c r="K1980" s="34">
        <f t="shared" si="121"/>
        <v>1.7422494955542378E-3</v>
      </c>
      <c r="L1980" s="34">
        <f t="shared" si="122"/>
        <v>0.9884273956676799</v>
      </c>
      <c r="M1980" s="34">
        <f t="shared" si="123"/>
        <v>0.98670530853618588</v>
      </c>
    </row>
    <row r="1981" spans="1:13" ht="27.6">
      <c r="A1981" t="s">
        <v>164</v>
      </c>
      <c r="B1981" t="s">
        <v>112</v>
      </c>
      <c r="C1981" s="14" t="s">
        <v>294</v>
      </c>
      <c r="D1981" t="s">
        <v>112</v>
      </c>
      <c r="E1981" t="s">
        <v>392</v>
      </c>
      <c r="F1981" s="20">
        <v>2048</v>
      </c>
      <c r="G1981" s="20">
        <v>49</v>
      </c>
      <c r="H1981" s="11">
        <v>7989.5752920350797</v>
      </c>
      <c r="I1981" s="10">
        <v>4172867.1307812901</v>
      </c>
      <c r="J1981" s="34">
        <f t="shared" si="120"/>
        <v>1.9146488593177859E-3</v>
      </c>
      <c r="K1981" s="34">
        <f t="shared" si="121"/>
        <v>1.9128170884430418E-3</v>
      </c>
      <c r="L1981" s="34">
        <f t="shared" si="122"/>
        <v>0.98670530853618588</v>
      </c>
      <c r="M1981" s="34">
        <f t="shared" si="123"/>
        <v>0.98481792176076044</v>
      </c>
    </row>
    <row r="1982" spans="1:13" ht="27.6">
      <c r="A1982" t="s">
        <v>164</v>
      </c>
      <c r="B1982" t="s">
        <v>112</v>
      </c>
      <c r="C1982" s="14" t="s">
        <v>294</v>
      </c>
      <c r="D1982" t="s">
        <v>112</v>
      </c>
      <c r="E1982" t="s">
        <v>392</v>
      </c>
      <c r="F1982" s="20">
        <v>2048</v>
      </c>
      <c r="G1982" s="20">
        <v>50</v>
      </c>
      <c r="H1982" s="11">
        <v>9206.7446814573395</v>
      </c>
      <c r="I1982" s="10">
        <v>4216568.0459219804</v>
      </c>
      <c r="J1982" s="34">
        <f t="shared" si="120"/>
        <v>2.1834687786816505E-3</v>
      </c>
      <c r="K1982" s="34">
        <f t="shared" si="121"/>
        <v>2.1810867447422666E-3</v>
      </c>
      <c r="L1982" s="34">
        <f t="shared" si="122"/>
        <v>0.98481792176076044</v>
      </c>
      <c r="M1982" s="34">
        <f t="shared" si="123"/>
        <v>0.98266994844562339</v>
      </c>
    </row>
    <row r="1983" spans="1:13" ht="27.6">
      <c r="A1983" t="s">
        <v>164</v>
      </c>
      <c r="B1983" t="s">
        <v>112</v>
      </c>
      <c r="C1983" s="14" t="s">
        <v>294</v>
      </c>
      <c r="D1983" t="s">
        <v>112</v>
      </c>
      <c r="E1983" t="s">
        <v>392</v>
      </c>
      <c r="F1983" s="20">
        <v>2048</v>
      </c>
      <c r="G1983" s="20">
        <v>51</v>
      </c>
      <c r="H1983" s="11">
        <v>10575.8023915509</v>
      </c>
      <c r="I1983" s="10">
        <v>4330175.9729294404</v>
      </c>
      <c r="J1983" s="34">
        <f t="shared" si="120"/>
        <v>2.4423493312204082E-3</v>
      </c>
      <c r="K1983" s="34">
        <f t="shared" si="121"/>
        <v>2.439369222741572E-3</v>
      </c>
      <c r="L1983" s="34">
        <f t="shared" si="122"/>
        <v>0.98266994844562339</v>
      </c>
      <c r="M1983" s="34">
        <f t="shared" si="123"/>
        <v>0.98027285361727212</v>
      </c>
    </row>
    <row r="1984" spans="1:13" ht="27.6">
      <c r="A1984" t="s">
        <v>164</v>
      </c>
      <c r="B1984" t="s">
        <v>112</v>
      </c>
      <c r="C1984" s="14" t="s">
        <v>294</v>
      </c>
      <c r="D1984" t="s">
        <v>112</v>
      </c>
      <c r="E1984" t="s">
        <v>392</v>
      </c>
      <c r="F1984" s="20">
        <v>2048</v>
      </c>
      <c r="G1984" s="20">
        <v>52</v>
      </c>
      <c r="H1984" s="11">
        <v>11398.4998044639</v>
      </c>
      <c r="I1984" s="10">
        <v>4271466.76052617</v>
      </c>
      <c r="J1984" s="34">
        <f t="shared" si="120"/>
        <v>2.6685212465658525E-3</v>
      </c>
      <c r="K1984" s="34">
        <f t="shared" si="121"/>
        <v>2.6649639087249488E-3</v>
      </c>
      <c r="L1984" s="34">
        <f t="shared" si="122"/>
        <v>0.98027285361727212</v>
      </c>
      <c r="M1984" s="34">
        <f t="shared" si="123"/>
        <v>0.97766046184167932</v>
      </c>
    </row>
    <row r="1985" spans="1:13" ht="27.6">
      <c r="A1985" t="s">
        <v>164</v>
      </c>
      <c r="B1985" t="s">
        <v>112</v>
      </c>
      <c r="C1985" s="14" t="s">
        <v>294</v>
      </c>
      <c r="D1985" t="s">
        <v>112</v>
      </c>
      <c r="E1985" t="s">
        <v>392</v>
      </c>
      <c r="F1985" s="20">
        <v>2048</v>
      </c>
      <c r="G1985" s="20">
        <v>53</v>
      </c>
      <c r="H1985" s="11">
        <v>12167.993247934101</v>
      </c>
      <c r="I1985" s="10">
        <v>4182761.6731859599</v>
      </c>
      <c r="J1985" s="34">
        <f t="shared" si="120"/>
        <v>2.9090811761851793E-3</v>
      </c>
      <c r="K1985" s="34">
        <f t="shared" si="121"/>
        <v>2.9048538996974127E-3</v>
      </c>
      <c r="L1985" s="34">
        <f t="shared" si="122"/>
        <v>0.97766046184167932</v>
      </c>
      <c r="M1985" s="34">
        <f t="shared" si="123"/>
        <v>0.97482050103651852</v>
      </c>
    </row>
    <row r="1986" spans="1:13" ht="27.6">
      <c r="A1986" t="s">
        <v>164</v>
      </c>
      <c r="B1986" t="s">
        <v>112</v>
      </c>
      <c r="C1986" s="14" t="s">
        <v>294</v>
      </c>
      <c r="D1986" t="s">
        <v>112</v>
      </c>
      <c r="E1986" t="s">
        <v>392</v>
      </c>
      <c r="F1986" s="20">
        <v>2048</v>
      </c>
      <c r="G1986" s="20">
        <v>54</v>
      </c>
      <c r="H1986" s="11">
        <v>13002.0591967032</v>
      </c>
      <c r="I1986" s="10">
        <v>4107627.6732634399</v>
      </c>
      <c r="J1986" s="34">
        <f t="shared" ref="J1986:J2049" si="124">IF(I1986&gt;0,H1986/I1986,0)</f>
        <v>3.1653451166797904E-3</v>
      </c>
      <c r="K1986" s="34">
        <f t="shared" ref="K1986:K2049" si="125">1-EXP(-J1986)</f>
        <v>3.160340693460717E-3</v>
      </c>
      <c r="L1986" s="34">
        <f t="shared" ref="L1986:L2049" si="126">IF(G1986=30,1,M1985)</f>
        <v>0.97482050103651852</v>
      </c>
      <c r="M1986" s="34">
        <f t="shared" ref="M1986:M2049" si="127">L1986*(1-K1986)</f>
        <v>0.97173973613827302</v>
      </c>
    </row>
    <row r="1987" spans="1:13" ht="27.6">
      <c r="A1987" t="s">
        <v>164</v>
      </c>
      <c r="B1987" t="s">
        <v>112</v>
      </c>
      <c r="C1987" s="14" t="s">
        <v>294</v>
      </c>
      <c r="D1987" t="s">
        <v>112</v>
      </c>
      <c r="E1987" t="s">
        <v>392</v>
      </c>
      <c r="F1987" s="20">
        <v>2048</v>
      </c>
      <c r="G1987" s="20">
        <v>55</v>
      </c>
      <c r="H1987" s="11">
        <v>13617.422311479701</v>
      </c>
      <c r="I1987" s="10">
        <v>4034474.85822568</v>
      </c>
      <c r="J1987" s="34">
        <f t="shared" si="124"/>
        <v>3.3752651311522862E-3</v>
      </c>
      <c r="K1987" s="34">
        <f t="shared" si="125"/>
        <v>3.3695753271320017E-3</v>
      </c>
      <c r="L1987" s="34">
        <f t="shared" si="126"/>
        <v>0.97173973613827302</v>
      </c>
      <c r="M1987" s="34">
        <f t="shared" si="127"/>
        <v>0.96846538589898779</v>
      </c>
    </row>
    <row r="1988" spans="1:13" ht="27.6">
      <c r="A1988" t="s">
        <v>164</v>
      </c>
      <c r="B1988" t="s">
        <v>112</v>
      </c>
      <c r="C1988" s="14" t="s">
        <v>294</v>
      </c>
      <c r="D1988" t="s">
        <v>112</v>
      </c>
      <c r="E1988" t="s">
        <v>392</v>
      </c>
      <c r="F1988" s="20">
        <v>2048</v>
      </c>
      <c r="G1988" s="20">
        <v>56</v>
      </c>
      <c r="H1988" s="11">
        <v>14828.1943052232</v>
      </c>
      <c r="I1988" s="10">
        <v>4044946.3211936499</v>
      </c>
      <c r="J1988" s="34">
        <f t="shared" si="124"/>
        <v>3.6658568810988448E-3</v>
      </c>
      <c r="K1988" s="34">
        <f t="shared" si="125"/>
        <v>3.6591458308502522E-3</v>
      </c>
      <c r="L1988" s="34">
        <f t="shared" si="126"/>
        <v>0.96846538589898779</v>
      </c>
      <c r="M1988" s="34">
        <f t="shared" si="127"/>
        <v>0.96492162981985274</v>
      </c>
    </row>
    <row r="1989" spans="1:13" ht="27.6">
      <c r="A1989" t="s">
        <v>164</v>
      </c>
      <c r="B1989" t="s">
        <v>112</v>
      </c>
      <c r="C1989" s="14" t="s">
        <v>294</v>
      </c>
      <c r="D1989" t="s">
        <v>112</v>
      </c>
      <c r="E1989" t="s">
        <v>392</v>
      </c>
      <c r="F1989" s="20">
        <v>2048</v>
      </c>
      <c r="G1989" s="20">
        <v>57</v>
      </c>
      <c r="H1989" s="11">
        <v>16110.2885757984</v>
      </c>
      <c r="I1989" s="10">
        <v>4034369.2995865298</v>
      </c>
      <c r="J1989" s="34">
        <f t="shared" si="124"/>
        <v>3.993260750187023E-3</v>
      </c>
      <c r="K1989" s="34">
        <f t="shared" si="125"/>
        <v>3.98529828673444E-3</v>
      </c>
      <c r="L1989" s="34">
        <f t="shared" si="126"/>
        <v>0.96492162981985274</v>
      </c>
      <c r="M1989" s="34">
        <f t="shared" si="127"/>
        <v>0.96107612930169872</v>
      </c>
    </row>
    <row r="1990" spans="1:13" ht="27.6">
      <c r="A1990" t="s">
        <v>164</v>
      </c>
      <c r="B1990" t="s">
        <v>112</v>
      </c>
      <c r="C1990" s="14" t="s">
        <v>294</v>
      </c>
      <c r="D1990" t="s">
        <v>112</v>
      </c>
      <c r="E1990" t="s">
        <v>392</v>
      </c>
      <c r="F1990" s="20">
        <v>2048</v>
      </c>
      <c r="G1990" s="20">
        <v>58</v>
      </c>
      <c r="H1990" s="11">
        <v>23412.079338934</v>
      </c>
      <c r="I1990" s="10">
        <v>5931723.3536619702</v>
      </c>
      <c r="J1990" s="34">
        <f t="shared" si="124"/>
        <v>3.9469270468388369E-3</v>
      </c>
      <c r="K1990" s="34">
        <f t="shared" si="125"/>
        <v>3.9391481678701101E-3</v>
      </c>
      <c r="L1990" s="34">
        <f t="shared" si="126"/>
        <v>0.96107612930169872</v>
      </c>
      <c r="M1990" s="34">
        <f t="shared" si="127"/>
        <v>0.95729030802777626</v>
      </c>
    </row>
    <row r="1991" spans="1:13" ht="27.6">
      <c r="A1991" t="s">
        <v>164</v>
      </c>
      <c r="B1991" t="s">
        <v>112</v>
      </c>
      <c r="C1991" s="14" t="s">
        <v>294</v>
      </c>
      <c r="D1991" t="s">
        <v>112</v>
      </c>
      <c r="E1991" t="s">
        <v>392</v>
      </c>
      <c r="F1991" s="20">
        <v>2048</v>
      </c>
      <c r="G1991" s="20">
        <v>59</v>
      </c>
      <c r="H1991" s="11">
        <v>18758.646780115701</v>
      </c>
      <c r="I1991" s="10">
        <v>3934786.52001944</v>
      </c>
      <c r="J1991" s="34">
        <f t="shared" si="124"/>
        <v>4.7673861554306191E-3</v>
      </c>
      <c r="K1991" s="34">
        <f t="shared" si="125"/>
        <v>4.7560402073857366E-3</v>
      </c>
      <c r="L1991" s="34">
        <f t="shared" si="126"/>
        <v>0.95729030802777626</v>
      </c>
      <c r="M1991" s="34">
        <f t="shared" si="127"/>
        <v>0.95273739683265546</v>
      </c>
    </row>
    <row r="1992" spans="1:13" ht="27.6">
      <c r="A1992" t="s">
        <v>164</v>
      </c>
      <c r="B1992" t="s">
        <v>112</v>
      </c>
      <c r="C1992" s="14" t="s">
        <v>294</v>
      </c>
      <c r="D1992" t="s">
        <v>112</v>
      </c>
      <c r="E1992" t="s">
        <v>392</v>
      </c>
      <c r="F1992" s="20">
        <v>2048</v>
      </c>
      <c r="G1992" s="20">
        <v>60</v>
      </c>
      <c r="H1992" s="11">
        <v>19952.588045602599</v>
      </c>
      <c r="I1992" s="10">
        <v>3884850.6694521299</v>
      </c>
      <c r="J1992" s="34">
        <f t="shared" si="124"/>
        <v>5.1359987148274248E-3</v>
      </c>
      <c r="K1992" s="34">
        <f t="shared" si="125"/>
        <v>5.1228320244407488E-3</v>
      </c>
      <c r="L1992" s="34">
        <f t="shared" si="126"/>
        <v>0.95273739683265546</v>
      </c>
      <c r="M1992" s="34">
        <f t="shared" si="127"/>
        <v>0.94785668318527883</v>
      </c>
    </row>
    <row r="1993" spans="1:13" ht="27.6">
      <c r="A1993" t="s">
        <v>164</v>
      </c>
      <c r="B1993" t="s">
        <v>112</v>
      </c>
      <c r="C1993" s="14" t="s">
        <v>294</v>
      </c>
      <c r="D1993" t="s">
        <v>112</v>
      </c>
      <c r="E1993" t="s">
        <v>392</v>
      </c>
      <c r="F1993" s="20">
        <v>2048</v>
      </c>
      <c r="G1993" s="20">
        <v>61</v>
      </c>
      <c r="H1993" s="11">
        <v>21026.816397835199</v>
      </c>
      <c r="I1993" s="10">
        <v>3728974.81041937</v>
      </c>
      <c r="J1993" s="34">
        <f t="shared" si="124"/>
        <v>5.6387660058959928E-3</v>
      </c>
      <c r="K1993" s="34">
        <f t="shared" si="125"/>
        <v>5.6228980041871379E-3</v>
      </c>
      <c r="L1993" s="34">
        <f t="shared" si="126"/>
        <v>0.94785668318527883</v>
      </c>
      <c r="M1993" s="34">
        <f t="shared" si="127"/>
        <v>0.94252698173314087</v>
      </c>
    </row>
    <row r="1994" spans="1:13" ht="27.6">
      <c r="A1994" t="s">
        <v>164</v>
      </c>
      <c r="B1994" t="s">
        <v>112</v>
      </c>
      <c r="C1994" s="14" t="s">
        <v>294</v>
      </c>
      <c r="D1994" t="s">
        <v>112</v>
      </c>
      <c r="E1994" t="s">
        <v>392</v>
      </c>
      <c r="F1994" s="20">
        <v>2048</v>
      </c>
      <c r="G1994" s="20">
        <v>62</v>
      </c>
      <c r="H1994" s="11">
        <v>22647.188276592799</v>
      </c>
      <c r="I1994" s="10">
        <v>3658455.0516754999</v>
      </c>
      <c r="J1994" s="34">
        <f t="shared" si="124"/>
        <v>6.1903694200700467E-3</v>
      </c>
      <c r="K1994" s="34">
        <f t="shared" si="125"/>
        <v>6.1712485587017696E-3</v>
      </c>
      <c r="L1994" s="34">
        <f t="shared" si="126"/>
        <v>0.94252698173314087</v>
      </c>
      <c r="M1994" s="34">
        <f t="shared" si="127"/>
        <v>0.9367104134555827</v>
      </c>
    </row>
    <row r="1995" spans="1:13" ht="27.6">
      <c r="A1995" t="s">
        <v>164</v>
      </c>
      <c r="B1995" t="s">
        <v>112</v>
      </c>
      <c r="C1995" s="14" t="s">
        <v>294</v>
      </c>
      <c r="D1995" t="s">
        <v>112</v>
      </c>
      <c r="E1995" t="s">
        <v>392</v>
      </c>
      <c r="F1995" s="20">
        <v>2048</v>
      </c>
      <c r="G1995" s="20">
        <v>63</v>
      </c>
      <c r="H1995" s="11">
        <v>24921.236552112401</v>
      </c>
      <c r="I1995" s="10">
        <v>3666486.32355728</v>
      </c>
      <c r="J1995" s="34">
        <f t="shared" si="124"/>
        <v>6.7970351865197856E-3</v>
      </c>
      <c r="K1995" s="34">
        <f t="shared" si="125"/>
        <v>6.7739875908601199E-3</v>
      </c>
      <c r="L1995" s="34">
        <f t="shared" si="126"/>
        <v>0.9367104134555827</v>
      </c>
      <c r="M1995" s="34">
        <f t="shared" si="127"/>
        <v>0.9303651487386051</v>
      </c>
    </row>
    <row r="1996" spans="1:13" ht="27.6">
      <c r="A1996" t="s">
        <v>164</v>
      </c>
      <c r="B1996" t="s">
        <v>112</v>
      </c>
      <c r="C1996" s="14" t="s">
        <v>294</v>
      </c>
      <c r="D1996" t="s">
        <v>112</v>
      </c>
      <c r="E1996" t="s">
        <v>392</v>
      </c>
      <c r="F1996" s="20">
        <v>2048</v>
      </c>
      <c r="G1996" s="20">
        <v>64</v>
      </c>
      <c r="H1996" s="11">
        <v>27533.331422815401</v>
      </c>
      <c r="I1996" s="10">
        <v>3691002.83487726</v>
      </c>
      <c r="J1996" s="34">
        <f t="shared" si="124"/>
        <v>7.4595801343325142E-3</v>
      </c>
      <c r="K1996" s="34">
        <f t="shared" si="125"/>
        <v>7.4318265194245337E-3</v>
      </c>
      <c r="L1996" s="34">
        <f t="shared" si="126"/>
        <v>0.9303651487386051</v>
      </c>
      <c r="M1996" s="34">
        <f t="shared" si="127"/>
        <v>0.92345083635346115</v>
      </c>
    </row>
    <row r="1997" spans="1:13" ht="27.6">
      <c r="A1997" t="s">
        <v>164</v>
      </c>
      <c r="B1997" t="s">
        <v>112</v>
      </c>
      <c r="C1997" s="14" t="s">
        <v>294</v>
      </c>
      <c r="D1997" t="s">
        <v>112</v>
      </c>
      <c r="E1997" t="s">
        <v>392</v>
      </c>
      <c r="F1997" s="20">
        <v>2048</v>
      </c>
      <c r="G1997" s="20">
        <v>65</v>
      </c>
      <c r="H1997" s="11">
        <v>28142.525968361399</v>
      </c>
      <c r="I1997" s="10">
        <v>3617224.7745570899</v>
      </c>
      <c r="J1997" s="34">
        <f t="shared" si="124"/>
        <v>7.780142988710814E-3</v>
      </c>
      <c r="K1997" s="34">
        <f t="shared" si="125"/>
        <v>7.7499560133069689E-3</v>
      </c>
      <c r="L1997" s="34">
        <f t="shared" si="126"/>
        <v>0.92345083635346115</v>
      </c>
      <c r="M1997" s="34">
        <f t="shared" si="127"/>
        <v>0.91629413299127027</v>
      </c>
    </row>
    <row r="1998" spans="1:13" ht="27.6">
      <c r="A1998" t="s">
        <v>164</v>
      </c>
      <c r="B1998" t="s">
        <v>112</v>
      </c>
      <c r="C1998" s="14" t="s">
        <v>294</v>
      </c>
      <c r="D1998" t="s">
        <v>112</v>
      </c>
      <c r="E1998" t="s">
        <v>392</v>
      </c>
      <c r="F1998" s="20">
        <v>2048</v>
      </c>
      <c r="G1998" s="20">
        <v>66</v>
      </c>
      <c r="H1998" s="11">
        <v>29471.9187976582</v>
      </c>
      <c r="I1998" s="10">
        <v>3446341.7124520098</v>
      </c>
      <c r="J1998" s="34">
        <f t="shared" si="124"/>
        <v>8.551653102526929E-3</v>
      </c>
      <c r="K1998" s="34">
        <f t="shared" si="125"/>
        <v>8.5151917261737653E-3</v>
      </c>
      <c r="L1998" s="34">
        <f t="shared" si="126"/>
        <v>0.91629413299127027</v>
      </c>
      <c r="M1998" s="34">
        <f t="shared" si="127"/>
        <v>0.90849171277128149</v>
      </c>
    </row>
    <row r="1999" spans="1:13" ht="27.6">
      <c r="A1999" t="s">
        <v>164</v>
      </c>
      <c r="B1999" t="s">
        <v>112</v>
      </c>
      <c r="C1999" s="14" t="s">
        <v>294</v>
      </c>
      <c r="D1999" t="s">
        <v>112</v>
      </c>
      <c r="E1999" t="s">
        <v>392</v>
      </c>
      <c r="F1999" s="20">
        <v>2048</v>
      </c>
      <c r="G1999" s="20">
        <v>67</v>
      </c>
      <c r="H1999" s="11">
        <v>31242.559365452202</v>
      </c>
      <c r="I1999" s="10">
        <v>3325603.7558527999</v>
      </c>
      <c r="J1999" s="34">
        <f t="shared" si="124"/>
        <v>9.3945525862688135E-3</v>
      </c>
      <c r="K1999" s="34">
        <f t="shared" si="125"/>
        <v>9.3505616433103844E-3</v>
      </c>
      <c r="L1999" s="34">
        <f t="shared" si="126"/>
        <v>0.90849171277128149</v>
      </c>
      <c r="M1999" s="34">
        <f t="shared" si="127"/>
        <v>0.89999680500857704</v>
      </c>
    </row>
    <row r="2000" spans="1:13" ht="27.6">
      <c r="A2000" t="s">
        <v>164</v>
      </c>
      <c r="B2000" t="s">
        <v>112</v>
      </c>
      <c r="C2000" s="14" t="s">
        <v>294</v>
      </c>
      <c r="D2000" t="s">
        <v>112</v>
      </c>
      <c r="E2000" t="s">
        <v>392</v>
      </c>
      <c r="F2000" s="20">
        <v>2048</v>
      </c>
      <c r="G2000" s="20">
        <v>68</v>
      </c>
      <c r="H2000" s="11">
        <v>33204.7234507373</v>
      </c>
      <c r="I2000" s="10">
        <v>3215128.4059033198</v>
      </c>
      <c r="J2000" s="34">
        <f t="shared" si="124"/>
        <v>1.0327650799193549E-2</v>
      </c>
      <c r="K2000" s="34">
        <f t="shared" si="125"/>
        <v>1.0274503732482176E-2</v>
      </c>
      <c r="L2000" s="34">
        <f t="shared" si="126"/>
        <v>0.89999680500857704</v>
      </c>
      <c r="M2000" s="34">
        <f t="shared" si="127"/>
        <v>0.89074978447629438</v>
      </c>
    </row>
    <row r="2001" spans="1:13" ht="27.6">
      <c r="A2001" t="s">
        <v>164</v>
      </c>
      <c r="B2001" t="s">
        <v>112</v>
      </c>
      <c r="C2001" s="14" t="s">
        <v>294</v>
      </c>
      <c r="D2001" t="s">
        <v>112</v>
      </c>
      <c r="E2001" t="s">
        <v>392</v>
      </c>
      <c r="F2001" s="20">
        <v>2048</v>
      </c>
      <c r="G2001" s="20">
        <v>69</v>
      </c>
      <c r="H2001" s="11">
        <v>35198.847273391999</v>
      </c>
      <c r="I2001" s="10">
        <v>3097370.2224350902</v>
      </c>
      <c r="J2001" s="34">
        <f t="shared" si="124"/>
        <v>1.1364107208895219E-2</v>
      </c>
      <c r="K2001" s="34">
        <f t="shared" si="125"/>
        <v>1.1299779648253683E-2</v>
      </c>
      <c r="L2001" s="34">
        <f t="shared" si="126"/>
        <v>0.89074978447629438</v>
      </c>
      <c r="M2001" s="34">
        <f t="shared" si="127"/>
        <v>0.88068450818998278</v>
      </c>
    </row>
    <row r="2002" spans="1:13" ht="27.6">
      <c r="A2002" t="s">
        <v>164</v>
      </c>
      <c r="B2002" t="s">
        <v>112</v>
      </c>
      <c r="C2002" s="14" t="s">
        <v>294</v>
      </c>
      <c r="D2002" t="s">
        <v>112</v>
      </c>
      <c r="E2002" t="s">
        <v>392</v>
      </c>
      <c r="F2002" s="20">
        <v>2049</v>
      </c>
      <c r="G2002" s="20">
        <v>30</v>
      </c>
      <c r="H2002" s="11">
        <v>613.95011455684005</v>
      </c>
      <c r="I2002" s="10">
        <v>4266580.0782773299</v>
      </c>
      <c r="J2002" s="34">
        <f t="shared" si="124"/>
        <v>1.4389747837680991E-4</v>
      </c>
      <c r="K2002" s="34">
        <f t="shared" si="125"/>
        <v>1.4388712563129236E-4</v>
      </c>
      <c r="L2002" s="34">
        <f t="shared" si="126"/>
        <v>1</v>
      </c>
      <c r="M2002" s="34">
        <f t="shared" si="127"/>
        <v>0.99985611287436871</v>
      </c>
    </row>
    <row r="2003" spans="1:13" ht="27.6">
      <c r="A2003" t="s">
        <v>164</v>
      </c>
      <c r="B2003" t="s">
        <v>112</v>
      </c>
      <c r="C2003" s="14" t="s">
        <v>294</v>
      </c>
      <c r="D2003" t="s">
        <v>112</v>
      </c>
      <c r="E2003" t="s">
        <v>392</v>
      </c>
      <c r="F2003" s="20">
        <v>2049</v>
      </c>
      <c r="G2003" s="20">
        <v>31</v>
      </c>
      <c r="H2003" s="11">
        <v>845.57973909026396</v>
      </c>
      <c r="I2003" s="10">
        <v>4270683.5412570499</v>
      </c>
      <c r="J2003" s="34">
        <f t="shared" si="124"/>
        <v>1.9799634670223602E-4</v>
      </c>
      <c r="K2003" s="34">
        <f t="shared" si="125"/>
        <v>1.9797674671917509E-4</v>
      </c>
      <c r="L2003" s="34">
        <f t="shared" si="126"/>
        <v>0.99985611287436871</v>
      </c>
      <c r="M2003" s="34">
        <f t="shared" si="127"/>
        <v>0.99965816461395451</v>
      </c>
    </row>
    <row r="2004" spans="1:13" ht="27.6">
      <c r="A2004" t="s">
        <v>164</v>
      </c>
      <c r="B2004" t="s">
        <v>112</v>
      </c>
      <c r="C2004" s="14" t="s">
        <v>294</v>
      </c>
      <c r="D2004" t="s">
        <v>112</v>
      </c>
      <c r="E2004" t="s">
        <v>392</v>
      </c>
      <c r="F2004" s="20">
        <v>2049</v>
      </c>
      <c r="G2004" s="20">
        <v>32</v>
      </c>
      <c r="H2004" s="11">
        <v>900.57969190030497</v>
      </c>
      <c r="I2004" s="10">
        <v>4311227.228898</v>
      </c>
      <c r="J2004" s="34">
        <f t="shared" si="124"/>
        <v>2.0889172481184751E-4</v>
      </c>
      <c r="K2004" s="34">
        <f t="shared" si="125"/>
        <v>2.0886990845458975E-4</v>
      </c>
      <c r="L2004" s="34">
        <f t="shared" si="126"/>
        <v>0.99965816461395451</v>
      </c>
      <c r="M2004" s="34">
        <f t="shared" si="127"/>
        <v>0.99944936610462576</v>
      </c>
    </row>
    <row r="2005" spans="1:13" ht="27.6">
      <c r="A2005" t="s">
        <v>164</v>
      </c>
      <c r="B2005" t="s">
        <v>112</v>
      </c>
      <c r="C2005" s="14" t="s">
        <v>294</v>
      </c>
      <c r="D2005" t="s">
        <v>112</v>
      </c>
      <c r="E2005" t="s">
        <v>392</v>
      </c>
      <c r="F2005" s="20">
        <v>2049</v>
      </c>
      <c r="G2005" s="20">
        <v>33</v>
      </c>
      <c r="H2005" s="11">
        <v>1048.38045629983</v>
      </c>
      <c r="I2005" s="10">
        <v>4573201.9638042701</v>
      </c>
      <c r="J2005" s="34">
        <f t="shared" si="124"/>
        <v>2.2924429417233146E-4</v>
      </c>
      <c r="K2005" s="34">
        <f t="shared" si="125"/>
        <v>2.2921801970687827E-4</v>
      </c>
      <c r="L2005" s="34">
        <f t="shared" si="126"/>
        <v>0.99944936610462576</v>
      </c>
      <c r="M2005" s="34">
        <f t="shared" si="127"/>
        <v>0.99922027430012994</v>
      </c>
    </row>
    <row r="2006" spans="1:13" ht="27.6">
      <c r="A2006" t="s">
        <v>164</v>
      </c>
      <c r="B2006" t="s">
        <v>112</v>
      </c>
      <c r="C2006" s="14" t="s">
        <v>294</v>
      </c>
      <c r="D2006" t="s">
        <v>112</v>
      </c>
      <c r="E2006" t="s">
        <v>392</v>
      </c>
      <c r="F2006" s="20">
        <v>2049</v>
      </c>
      <c r="G2006" s="20">
        <v>34</v>
      </c>
      <c r="H2006" s="11">
        <v>1163.4684636594</v>
      </c>
      <c r="I2006" s="10">
        <v>4621364.8515109299</v>
      </c>
      <c r="J2006" s="34">
        <f t="shared" si="124"/>
        <v>2.5175862565341713E-4</v>
      </c>
      <c r="K2006" s="34">
        <f t="shared" si="125"/>
        <v>2.5172693710995286E-4</v>
      </c>
      <c r="L2006" s="34">
        <f t="shared" si="126"/>
        <v>0.99922027430012994</v>
      </c>
      <c r="M2006" s="34">
        <f t="shared" si="127"/>
        <v>0.9989687436409822</v>
      </c>
    </row>
    <row r="2007" spans="1:13" ht="27.6">
      <c r="A2007" t="s">
        <v>164</v>
      </c>
      <c r="B2007" t="s">
        <v>112</v>
      </c>
      <c r="C2007" s="14" t="s">
        <v>294</v>
      </c>
      <c r="D2007" t="s">
        <v>112</v>
      </c>
      <c r="E2007" t="s">
        <v>392</v>
      </c>
      <c r="F2007" s="20">
        <v>2049</v>
      </c>
      <c r="G2007" s="20">
        <v>35</v>
      </c>
      <c r="H2007" s="11">
        <v>1523.9510937421501</v>
      </c>
      <c r="I2007" s="10">
        <v>4686911.4784351904</v>
      </c>
      <c r="J2007" s="34">
        <f t="shared" si="124"/>
        <v>3.251503897084373E-4</v>
      </c>
      <c r="K2007" s="34">
        <f t="shared" si="125"/>
        <v>3.250975340493012E-4</v>
      </c>
      <c r="L2007" s="34">
        <f t="shared" si="126"/>
        <v>0.9989687436409822</v>
      </c>
      <c r="M2007" s="34">
        <f t="shared" si="127"/>
        <v>0.99864398136583221</v>
      </c>
    </row>
    <row r="2008" spans="1:13" ht="27.6">
      <c r="A2008" t="s">
        <v>164</v>
      </c>
      <c r="B2008" t="s">
        <v>112</v>
      </c>
      <c r="C2008" s="14" t="s">
        <v>294</v>
      </c>
      <c r="D2008" t="s">
        <v>112</v>
      </c>
      <c r="E2008" t="s">
        <v>392</v>
      </c>
      <c r="F2008" s="20">
        <v>2049</v>
      </c>
      <c r="G2008" s="20">
        <v>36</v>
      </c>
      <c r="H2008" s="11">
        <v>1836.3050170573499</v>
      </c>
      <c r="I2008" s="10">
        <v>4753355.5677889604</v>
      </c>
      <c r="J2008" s="34">
        <f t="shared" si="124"/>
        <v>3.8631762149270762E-4</v>
      </c>
      <c r="K2008" s="34">
        <f t="shared" si="125"/>
        <v>3.8624301044853926E-4</v>
      </c>
      <c r="L2008" s="34">
        <f t="shared" si="126"/>
        <v>0.99864398136583221</v>
      </c>
      <c r="M2008" s="34">
        <f t="shared" si="127"/>
        <v>0.9982582621081032</v>
      </c>
    </row>
    <row r="2009" spans="1:13" ht="27.6">
      <c r="A2009" t="s">
        <v>164</v>
      </c>
      <c r="B2009" t="s">
        <v>112</v>
      </c>
      <c r="C2009" s="14" t="s">
        <v>294</v>
      </c>
      <c r="D2009" t="s">
        <v>112</v>
      </c>
      <c r="E2009" t="s">
        <v>392</v>
      </c>
      <c r="F2009" s="20">
        <v>2049</v>
      </c>
      <c r="G2009" s="20">
        <v>37</v>
      </c>
      <c r="H2009" s="11">
        <v>2069.5811177843698</v>
      </c>
      <c r="I2009" s="10">
        <v>4863681.33735698</v>
      </c>
      <c r="J2009" s="34">
        <f t="shared" si="124"/>
        <v>4.2551741658901956E-4</v>
      </c>
      <c r="K2009" s="34">
        <f t="shared" si="125"/>
        <v>4.254268968928443E-4</v>
      </c>
      <c r="L2009" s="34">
        <f t="shared" si="126"/>
        <v>0.9982582621081032</v>
      </c>
      <c r="M2009" s="34">
        <f t="shared" si="127"/>
        <v>0.99783357619335689</v>
      </c>
    </row>
    <row r="2010" spans="1:13" ht="27.6">
      <c r="A2010" t="s">
        <v>164</v>
      </c>
      <c r="B2010" t="s">
        <v>112</v>
      </c>
      <c r="C2010" s="14" t="s">
        <v>294</v>
      </c>
      <c r="D2010" t="s">
        <v>112</v>
      </c>
      <c r="E2010" t="s">
        <v>392</v>
      </c>
      <c r="F2010" s="20">
        <v>2049</v>
      </c>
      <c r="G2010" s="20">
        <v>38</v>
      </c>
      <c r="H2010" s="11">
        <v>2216.9679585675399</v>
      </c>
      <c r="I2010" s="10">
        <v>4833741.4931889996</v>
      </c>
      <c r="J2010" s="34">
        <f t="shared" si="124"/>
        <v>4.5864429483690144E-4</v>
      </c>
      <c r="K2010" s="34">
        <f t="shared" si="125"/>
        <v>4.5853913362015053E-4</v>
      </c>
      <c r="L2010" s="34">
        <f t="shared" si="126"/>
        <v>0.99783357619335689</v>
      </c>
      <c r="M2010" s="34">
        <f t="shared" si="127"/>
        <v>0.99737603044983214</v>
      </c>
    </row>
    <row r="2011" spans="1:13" ht="27.6">
      <c r="A2011" t="s">
        <v>164</v>
      </c>
      <c r="B2011" t="s">
        <v>112</v>
      </c>
      <c r="C2011" s="14" t="s">
        <v>294</v>
      </c>
      <c r="D2011" t="s">
        <v>112</v>
      </c>
      <c r="E2011" t="s">
        <v>392</v>
      </c>
      <c r="F2011" s="20">
        <v>2049</v>
      </c>
      <c r="G2011" s="20">
        <v>39</v>
      </c>
      <c r="H2011" s="11">
        <v>2329.7080358237399</v>
      </c>
      <c r="I2011" s="10">
        <v>4698630.1507924199</v>
      </c>
      <c r="J2011" s="34">
        <f t="shared" si="124"/>
        <v>4.9582707322278527E-4</v>
      </c>
      <c r="K2011" s="34">
        <f t="shared" si="125"/>
        <v>4.9570417129307653E-4</v>
      </c>
      <c r="L2011" s="34">
        <f t="shared" si="126"/>
        <v>0.99737603044983214</v>
      </c>
      <c r="M2011" s="34">
        <f t="shared" si="127"/>
        <v>0.99688162699119043</v>
      </c>
    </row>
    <row r="2012" spans="1:13" ht="27.6">
      <c r="A2012" t="s">
        <v>164</v>
      </c>
      <c r="B2012" t="s">
        <v>112</v>
      </c>
      <c r="C2012" s="14" t="s">
        <v>294</v>
      </c>
      <c r="D2012" t="s">
        <v>112</v>
      </c>
      <c r="E2012" t="s">
        <v>392</v>
      </c>
      <c r="F2012" s="20">
        <v>2049</v>
      </c>
      <c r="G2012" s="20">
        <v>40</v>
      </c>
      <c r="H2012" s="11">
        <v>3076.3374039917499</v>
      </c>
      <c r="I2012" s="10">
        <v>4625538.3494434301</v>
      </c>
      <c r="J2012" s="34">
        <f t="shared" si="124"/>
        <v>6.6507661845716006E-4</v>
      </c>
      <c r="K2012" s="34">
        <f t="shared" si="125"/>
        <v>6.6485550402506366E-4</v>
      </c>
      <c r="L2012" s="34">
        <f t="shared" si="126"/>
        <v>0.99688162699119043</v>
      </c>
      <c r="M2012" s="34">
        <f t="shared" si="127"/>
        <v>0.99621884475462386</v>
      </c>
    </row>
    <row r="2013" spans="1:13" ht="27.6">
      <c r="A2013" t="s">
        <v>164</v>
      </c>
      <c r="B2013" t="s">
        <v>112</v>
      </c>
      <c r="C2013" s="14" t="s">
        <v>294</v>
      </c>
      <c r="D2013" t="s">
        <v>112</v>
      </c>
      <c r="E2013" t="s">
        <v>392</v>
      </c>
      <c r="F2013" s="20">
        <v>2049</v>
      </c>
      <c r="G2013" s="20">
        <v>41</v>
      </c>
      <c r="H2013" s="11">
        <v>3457.8094291162602</v>
      </c>
      <c r="I2013" s="10">
        <v>4579117.6849551303</v>
      </c>
      <c r="J2013" s="34">
        <f t="shared" si="124"/>
        <v>7.5512569604337272E-4</v>
      </c>
      <c r="K2013" s="34">
        <f t="shared" si="125"/>
        <v>7.5484066038533637E-4</v>
      </c>
      <c r="L2013" s="34">
        <f t="shared" si="126"/>
        <v>0.99621884475462386</v>
      </c>
      <c r="M2013" s="34">
        <f t="shared" si="127"/>
        <v>0.99546685826396097</v>
      </c>
    </row>
    <row r="2014" spans="1:13" ht="27.6">
      <c r="A2014" t="s">
        <v>164</v>
      </c>
      <c r="B2014" t="s">
        <v>112</v>
      </c>
      <c r="C2014" s="14" t="s">
        <v>294</v>
      </c>
      <c r="D2014" t="s">
        <v>112</v>
      </c>
      <c r="E2014" t="s">
        <v>392</v>
      </c>
      <c r="F2014" s="20">
        <v>2049</v>
      </c>
      <c r="G2014" s="20">
        <v>42</v>
      </c>
      <c r="H2014" s="11">
        <v>3828.64233859559</v>
      </c>
      <c r="I2014" s="10">
        <v>4599812.6849809503</v>
      </c>
      <c r="J2014" s="34">
        <f t="shared" si="124"/>
        <v>8.3234744560287371E-4</v>
      </c>
      <c r="K2014" s="34">
        <f t="shared" si="125"/>
        <v>8.32001140556482E-4</v>
      </c>
      <c r="L2014" s="34">
        <f t="shared" si="126"/>
        <v>0.99546685826396097</v>
      </c>
      <c r="M2014" s="34">
        <f t="shared" si="127"/>
        <v>0.99463862870249919</v>
      </c>
    </row>
    <row r="2015" spans="1:13" ht="27.6">
      <c r="A2015" t="s">
        <v>164</v>
      </c>
      <c r="B2015" t="s">
        <v>112</v>
      </c>
      <c r="C2015" s="14" t="s">
        <v>294</v>
      </c>
      <c r="D2015" t="s">
        <v>112</v>
      </c>
      <c r="E2015" t="s">
        <v>392</v>
      </c>
      <c r="F2015" s="20">
        <v>2049</v>
      </c>
      <c r="G2015" s="20">
        <v>43</v>
      </c>
      <c r="H2015" s="11">
        <v>4080.1269802961001</v>
      </c>
      <c r="I2015" s="10">
        <v>4512969.0489932802</v>
      </c>
      <c r="J2015" s="34">
        <f t="shared" si="124"/>
        <v>9.0408928933520267E-4</v>
      </c>
      <c r="K2015" s="34">
        <f t="shared" si="125"/>
        <v>9.0368072374957809E-4</v>
      </c>
      <c r="L2015" s="34">
        <f t="shared" si="126"/>
        <v>0.99463862870249919</v>
      </c>
      <c r="M2015" s="34">
        <f t="shared" si="127"/>
        <v>0.99373979294664405</v>
      </c>
    </row>
    <row r="2016" spans="1:13" ht="27.6">
      <c r="A2016" t="s">
        <v>164</v>
      </c>
      <c r="B2016" t="s">
        <v>112</v>
      </c>
      <c r="C2016" s="14" t="s">
        <v>294</v>
      </c>
      <c r="D2016" t="s">
        <v>112</v>
      </c>
      <c r="E2016" t="s">
        <v>392</v>
      </c>
      <c r="F2016" s="20">
        <v>2049</v>
      </c>
      <c r="G2016" s="20">
        <v>44</v>
      </c>
      <c r="H2016" s="11">
        <v>4377.1942820357799</v>
      </c>
      <c r="I2016" s="10">
        <v>4447129.06071968</v>
      </c>
      <c r="J2016" s="34">
        <f t="shared" si="124"/>
        <v>9.8427417380313621E-4</v>
      </c>
      <c r="K2016" s="34">
        <f t="shared" si="125"/>
        <v>9.8378993486614164E-4</v>
      </c>
      <c r="L2016" s="34">
        <f t="shared" si="126"/>
        <v>0.99373979294664405</v>
      </c>
      <c r="M2016" s="34">
        <f t="shared" si="127"/>
        <v>0.99276216174046716</v>
      </c>
    </row>
    <row r="2017" spans="1:13" ht="27.6">
      <c r="A2017" t="s">
        <v>164</v>
      </c>
      <c r="B2017" t="s">
        <v>112</v>
      </c>
      <c r="C2017" s="14" t="s">
        <v>294</v>
      </c>
      <c r="D2017" t="s">
        <v>112</v>
      </c>
      <c r="E2017" t="s">
        <v>392</v>
      </c>
      <c r="F2017" s="20">
        <v>2049</v>
      </c>
      <c r="G2017" s="20">
        <v>45</v>
      </c>
      <c r="H2017" s="11">
        <v>5441.3179112603502</v>
      </c>
      <c r="I2017" s="10">
        <v>4314466.6526300702</v>
      </c>
      <c r="J2017" s="34">
        <f t="shared" si="124"/>
        <v>1.2611797353778036E-3</v>
      </c>
      <c r="K2017" s="34">
        <f t="shared" si="125"/>
        <v>1.2603847824432801E-3</v>
      </c>
      <c r="L2017" s="34">
        <f t="shared" si="126"/>
        <v>0.99276216174046716</v>
      </c>
      <c r="M2017" s="34">
        <f t="shared" si="127"/>
        <v>0.99151089941922399</v>
      </c>
    </row>
    <row r="2018" spans="1:13" ht="27.6">
      <c r="A2018" t="s">
        <v>164</v>
      </c>
      <c r="B2018" t="s">
        <v>112</v>
      </c>
      <c r="C2018" s="14" t="s">
        <v>294</v>
      </c>
      <c r="D2018" t="s">
        <v>112</v>
      </c>
      <c r="E2018" t="s">
        <v>392</v>
      </c>
      <c r="F2018" s="20">
        <v>2049</v>
      </c>
      <c r="G2018" s="20">
        <v>46</v>
      </c>
      <c r="H2018" s="11">
        <v>5981.3882699035703</v>
      </c>
      <c r="I2018" s="10">
        <v>4242087.4770940198</v>
      </c>
      <c r="J2018" s="34">
        <f t="shared" si="124"/>
        <v>1.4100105908237972E-3</v>
      </c>
      <c r="K2018" s="34">
        <f t="shared" si="125"/>
        <v>1.4090169929400487E-3</v>
      </c>
      <c r="L2018" s="34">
        <f t="shared" si="126"/>
        <v>0.99151089941922399</v>
      </c>
      <c r="M2018" s="34">
        <f t="shared" si="127"/>
        <v>0.99011384371325706</v>
      </c>
    </row>
    <row r="2019" spans="1:13" ht="27.6">
      <c r="A2019" t="s">
        <v>164</v>
      </c>
      <c r="B2019" t="s">
        <v>112</v>
      </c>
      <c r="C2019" s="14" t="s">
        <v>294</v>
      </c>
      <c r="D2019" t="s">
        <v>112</v>
      </c>
      <c r="E2019" t="s">
        <v>392</v>
      </c>
      <c r="F2019" s="20">
        <v>2049</v>
      </c>
      <c r="G2019" s="20">
        <v>47</v>
      </c>
      <c r="H2019" s="11">
        <v>6645.9084144805602</v>
      </c>
      <c r="I2019" s="10">
        <v>4209894.6580423098</v>
      </c>
      <c r="J2019" s="34">
        <f t="shared" si="124"/>
        <v>1.5786400739944044E-3</v>
      </c>
      <c r="K2019" s="34">
        <f t="shared" si="125"/>
        <v>1.5773946771834302E-3</v>
      </c>
      <c r="L2019" s="34">
        <f t="shared" si="126"/>
        <v>0.99011384371325706</v>
      </c>
      <c r="M2019" s="34">
        <f t="shared" si="127"/>
        <v>0.98855204340637814</v>
      </c>
    </row>
    <row r="2020" spans="1:13" ht="27.6">
      <c r="A2020" t="s">
        <v>164</v>
      </c>
      <c r="B2020" t="s">
        <v>112</v>
      </c>
      <c r="C2020" s="14" t="s">
        <v>294</v>
      </c>
      <c r="D2020" t="s">
        <v>112</v>
      </c>
      <c r="E2020" t="s">
        <v>392</v>
      </c>
      <c r="F2020" s="20">
        <v>2049</v>
      </c>
      <c r="G2020" s="20">
        <v>48</v>
      </c>
      <c r="H2020" s="11">
        <v>7237.7465516746697</v>
      </c>
      <c r="I2020" s="10">
        <v>4180388.1438246402</v>
      </c>
      <c r="J2020" s="34">
        <f t="shared" si="124"/>
        <v>1.7313575444821852E-3</v>
      </c>
      <c r="K2020" s="34">
        <f t="shared" si="125"/>
        <v>1.7298596096204655E-3</v>
      </c>
      <c r="L2020" s="34">
        <f t="shared" si="126"/>
        <v>0.98855204340637814</v>
      </c>
      <c r="M2020" s="34">
        <f t="shared" si="127"/>
        <v>0.98684198715448168</v>
      </c>
    </row>
    <row r="2021" spans="1:13" ht="27.6">
      <c r="A2021" t="s">
        <v>164</v>
      </c>
      <c r="B2021" t="s">
        <v>112</v>
      </c>
      <c r="C2021" s="14" t="s">
        <v>294</v>
      </c>
      <c r="D2021" t="s">
        <v>112</v>
      </c>
      <c r="E2021" t="s">
        <v>392</v>
      </c>
      <c r="F2021" s="20">
        <v>2049</v>
      </c>
      <c r="G2021" s="20">
        <v>49</v>
      </c>
      <c r="H2021" s="11">
        <v>7889.3419486923603</v>
      </c>
      <c r="I2021" s="10">
        <v>4149483.5546107702</v>
      </c>
      <c r="J2021" s="34">
        <f t="shared" si="124"/>
        <v>1.9012828572186971E-3</v>
      </c>
      <c r="K2021" s="34">
        <f t="shared" si="125"/>
        <v>1.8994765639066546E-3</v>
      </c>
      <c r="L2021" s="34">
        <f t="shared" si="126"/>
        <v>0.98684198715448168</v>
      </c>
      <c r="M2021" s="34">
        <f t="shared" si="127"/>
        <v>0.98496750392760268</v>
      </c>
    </row>
    <row r="2022" spans="1:13" ht="27.6">
      <c r="A2022" t="s">
        <v>164</v>
      </c>
      <c r="B2022" t="s">
        <v>112</v>
      </c>
      <c r="C2022" s="14" t="s">
        <v>294</v>
      </c>
      <c r="D2022" t="s">
        <v>112</v>
      </c>
      <c r="E2022" t="s">
        <v>392</v>
      </c>
      <c r="F2022" s="20">
        <v>2049</v>
      </c>
      <c r="G2022" s="20">
        <v>50</v>
      </c>
      <c r="H2022" s="11">
        <v>9001.2401943627501</v>
      </c>
      <c r="I2022" s="10">
        <v>4155466.1214330001</v>
      </c>
      <c r="J2022" s="34">
        <f t="shared" si="124"/>
        <v>2.1661204618986761E-3</v>
      </c>
      <c r="K2022" s="34">
        <f t="shared" si="125"/>
        <v>2.1637761159883917E-3</v>
      </c>
      <c r="L2022" s="34">
        <f t="shared" si="126"/>
        <v>0.98496750392760268</v>
      </c>
      <c r="M2022" s="34">
        <f t="shared" si="127"/>
        <v>0.98283625476757941</v>
      </c>
    </row>
    <row r="2023" spans="1:13" ht="27.6">
      <c r="A2023" t="s">
        <v>164</v>
      </c>
      <c r="B2023" t="s">
        <v>112</v>
      </c>
      <c r="C2023" s="14" t="s">
        <v>294</v>
      </c>
      <c r="D2023" t="s">
        <v>112</v>
      </c>
      <c r="E2023" t="s">
        <v>392</v>
      </c>
      <c r="F2023" s="20">
        <v>2049</v>
      </c>
      <c r="G2023" s="20">
        <v>51</v>
      </c>
      <c r="H2023" s="11">
        <v>10026.890103027599</v>
      </c>
      <c r="I2023" s="10">
        <v>4196720.6043674499</v>
      </c>
      <c r="J2023" s="34">
        <f t="shared" si="124"/>
        <v>2.3892203099231337E-3</v>
      </c>
      <c r="K2023" s="34">
        <f t="shared" si="125"/>
        <v>2.3863683948150971E-3</v>
      </c>
      <c r="L2023" s="34">
        <f t="shared" si="126"/>
        <v>0.98283625476757941</v>
      </c>
      <c r="M2023" s="34">
        <f t="shared" si="127"/>
        <v>0.98049084539192366</v>
      </c>
    </row>
    <row r="2024" spans="1:13" ht="27.6">
      <c r="A2024" t="s">
        <v>164</v>
      </c>
      <c r="B2024" t="s">
        <v>112</v>
      </c>
      <c r="C2024" s="14" t="s">
        <v>294</v>
      </c>
      <c r="D2024" t="s">
        <v>112</v>
      </c>
      <c r="E2024" t="s">
        <v>392</v>
      </c>
      <c r="F2024" s="20">
        <v>2049</v>
      </c>
      <c r="G2024" s="20">
        <v>52</v>
      </c>
      <c r="H2024" s="11">
        <v>11408.773929982401</v>
      </c>
      <c r="I2024" s="10">
        <v>4308171.6292764097</v>
      </c>
      <c r="J2024" s="34">
        <f t="shared" si="124"/>
        <v>2.6481707117825739E-3</v>
      </c>
      <c r="K2024" s="34">
        <f t="shared" si="125"/>
        <v>2.6446674008606674E-3</v>
      </c>
      <c r="L2024" s="34">
        <f t="shared" si="126"/>
        <v>0.98049084539192366</v>
      </c>
      <c r="M2024" s="34">
        <f t="shared" si="127"/>
        <v>0.97789777321627336</v>
      </c>
    </row>
    <row r="2025" spans="1:13" ht="27.6">
      <c r="A2025" t="s">
        <v>164</v>
      </c>
      <c r="B2025" t="s">
        <v>112</v>
      </c>
      <c r="C2025" s="14" t="s">
        <v>294</v>
      </c>
      <c r="D2025" t="s">
        <v>112</v>
      </c>
      <c r="E2025" t="s">
        <v>392</v>
      </c>
      <c r="F2025" s="20">
        <v>2049</v>
      </c>
      <c r="G2025" s="20">
        <v>53</v>
      </c>
      <c r="H2025" s="11">
        <v>12260.562717262799</v>
      </c>
      <c r="I2025" s="10">
        <v>4247741.2227967298</v>
      </c>
      <c r="J2025" s="34">
        <f t="shared" si="124"/>
        <v>2.8863723268882173E-3</v>
      </c>
      <c r="K2025" s="34">
        <f t="shared" si="125"/>
        <v>2.8822107591910395E-3</v>
      </c>
      <c r="L2025" s="34">
        <f t="shared" si="126"/>
        <v>0.97789777321627336</v>
      </c>
      <c r="M2025" s="34">
        <f t="shared" si="127"/>
        <v>0.97507926573292047</v>
      </c>
    </row>
    <row r="2026" spans="1:13" ht="27.6">
      <c r="A2026" t="s">
        <v>164</v>
      </c>
      <c r="B2026" t="s">
        <v>112</v>
      </c>
      <c r="C2026" s="14" t="s">
        <v>294</v>
      </c>
      <c r="D2026" t="s">
        <v>112</v>
      </c>
      <c r="E2026" t="s">
        <v>392</v>
      </c>
      <c r="F2026" s="20">
        <v>2049</v>
      </c>
      <c r="G2026" s="20">
        <v>54</v>
      </c>
      <c r="H2026" s="11">
        <v>13053.510057773699</v>
      </c>
      <c r="I2026" s="10">
        <v>4157419.1014658101</v>
      </c>
      <c r="J2026" s="34">
        <f t="shared" si="124"/>
        <v>3.1398109594414796E-3</v>
      </c>
      <c r="K2026" s="34">
        <f t="shared" si="125"/>
        <v>3.1348869078894337E-3</v>
      </c>
      <c r="L2026" s="34">
        <f t="shared" si="126"/>
        <v>0.97507926573292047</v>
      </c>
      <c r="M2026" s="34">
        <f t="shared" si="127"/>
        <v>0.97202250250861988</v>
      </c>
    </row>
    <row r="2027" spans="1:13" ht="27.6">
      <c r="A2027" t="s">
        <v>164</v>
      </c>
      <c r="B2027" t="s">
        <v>112</v>
      </c>
      <c r="C2027" s="14" t="s">
        <v>294</v>
      </c>
      <c r="D2027" t="s">
        <v>112</v>
      </c>
      <c r="E2027" t="s">
        <v>392</v>
      </c>
      <c r="F2027" s="20">
        <v>2049</v>
      </c>
      <c r="G2027" s="20">
        <v>55</v>
      </c>
      <c r="H2027" s="11">
        <v>13639.4674926428</v>
      </c>
      <c r="I2027" s="10">
        <v>4080534.9100496601</v>
      </c>
      <c r="J2027" s="34">
        <f t="shared" si="124"/>
        <v>3.342568509596897E-3</v>
      </c>
      <c r="K2027" s="34">
        <f t="shared" si="125"/>
        <v>3.336988346566705E-3</v>
      </c>
      <c r="L2027" s="34">
        <f t="shared" si="126"/>
        <v>0.97202250250861988</v>
      </c>
      <c r="M2027" s="34">
        <f t="shared" si="127"/>
        <v>0.96877887474514801</v>
      </c>
    </row>
    <row r="2028" spans="1:13" ht="27.6">
      <c r="A2028" t="s">
        <v>164</v>
      </c>
      <c r="B2028" t="s">
        <v>112</v>
      </c>
      <c r="C2028" s="14" t="s">
        <v>294</v>
      </c>
      <c r="D2028" t="s">
        <v>112</v>
      </c>
      <c r="E2028" t="s">
        <v>392</v>
      </c>
      <c r="F2028" s="20">
        <v>2049</v>
      </c>
      <c r="G2028" s="20">
        <v>56</v>
      </c>
      <c r="H2028" s="11">
        <v>14560.2026669772</v>
      </c>
      <c r="I2028" s="10">
        <v>4005517.48138039</v>
      </c>
      <c r="J2028" s="34">
        <f t="shared" si="124"/>
        <v>3.6350366050479531E-3</v>
      </c>
      <c r="K2028" s="34">
        <f t="shared" si="125"/>
        <v>3.6284378574723553E-3</v>
      </c>
      <c r="L2028" s="34">
        <f t="shared" si="126"/>
        <v>0.96877887474514801</v>
      </c>
      <c r="M2028" s="34">
        <f t="shared" si="127"/>
        <v>0.96526372080050327</v>
      </c>
    </row>
    <row r="2029" spans="1:13" ht="27.6">
      <c r="A2029" t="s">
        <v>164</v>
      </c>
      <c r="B2029" t="s">
        <v>112</v>
      </c>
      <c r="C2029" s="14" t="s">
        <v>294</v>
      </c>
      <c r="D2029" t="s">
        <v>112</v>
      </c>
      <c r="E2029" t="s">
        <v>392</v>
      </c>
      <c r="F2029" s="20">
        <v>2049</v>
      </c>
      <c r="G2029" s="20">
        <v>57</v>
      </c>
      <c r="H2029" s="11">
        <v>15865.748348629701</v>
      </c>
      <c r="I2029" s="10">
        <v>4013448.31420821</v>
      </c>
      <c r="J2029" s="34">
        <f t="shared" si="124"/>
        <v>3.9531462987731939E-3</v>
      </c>
      <c r="K2029" s="34">
        <f t="shared" si="125"/>
        <v>3.9453429019863373E-3</v>
      </c>
      <c r="L2029" s="34">
        <f t="shared" si="126"/>
        <v>0.96526372080050327</v>
      </c>
      <c r="M2029" s="34">
        <f t="shared" si="127"/>
        <v>0.9614554244310981</v>
      </c>
    </row>
    <row r="2030" spans="1:13" ht="27.6">
      <c r="A2030" t="s">
        <v>164</v>
      </c>
      <c r="B2030" t="s">
        <v>112</v>
      </c>
      <c r="C2030" s="14" t="s">
        <v>294</v>
      </c>
      <c r="D2030" t="s">
        <v>112</v>
      </c>
      <c r="E2030" t="s">
        <v>392</v>
      </c>
      <c r="F2030" s="20">
        <v>2049</v>
      </c>
      <c r="G2030" s="20">
        <v>58</v>
      </c>
      <c r="H2030" s="11">
        <v>17259.458144280001</v>
      </c>
      <c r="I2030" s="10">
        <v>4000176.3881139099</v>
      </c>
      <c r="J2030" s="34">
        <f t="shared" si="124"/>
        <v>4.3146742717557673E-3</v>
      </c>
      <c r="K2030" s="34">
        <f t="shared" si="125"/>
        <v>4.30537943758591E-3</v>
      </c>
      <c r="L2030" s="34">
        <f t="shared" si="126"/>
        <v>0.9614554244310981</v>
      </c>
      <c r="M2030" s="34">
        <f t="shared" si="127"/>
        <v>0.95731599401659706</v>
      </c>
    </row>
    <row r="2031" spans="1:13" ht="27.6">
      <c r="A2031" t="s">
        <v>164</v>
      </c>
      <c r="B2031" t="s">
        <v>112</v>
      </c>
      <c r="C2031" s="14" t="s">
        <v>294</v>
      </c>
      <c r="D2031" t="s">
        <v>112</v>
      </c>
      <c r="E2031" t="s">
        <v>392</v>
      </c>
      <c r="F2031" s="20">
        <v>2049</v>
      </c>
      <c r="G2031" s="20">
        <v>59</v>
      </c>
      <c r="H2031" s="11">
        <v>25077.568253327299</v>
      </c>
      <c r="I2031" s="10">
        <v>5881615.49412267</v>
      </c>
      <c r="J2031" s="34">
        <f t="shared" si="124"/>
        <v>4.2637211287250235E-3</v>
      </c>
      <c r="K2031" s="34">
        <f t="shared" si="125"/>
        <v>4.2546443746249718E-3</v>
      </c>
      <c r="L2031" s="34">
        <f t="shared" si="126"/>
        <v>0.95731599401659706</v>
      </c>
      <c r="M2031" s="34">
        <f t="shared" si="127"/>
        <v>0.95324295490791588</v>
      </c>
    </row>
    <row r="2032" spans="1:13" ht="27.6">
      <c r="A2032" t="s">
        <v>164</v>
      </c>
      <c r="B2032" t="s">
        <v>112</v>
      </c>
      <c r="C2032" s="14" t="s">
        <v>294</v>
      </c>
      <c r="D2032" t="s">
        <v>112</v>
      </c>
      <c r="E2032" t="s">
        <v>392</v>
      </c>
      <c r="F2032" s="20">
        <v>2049</v>
      </c>
      <c r="G2032" s="20">
        <v>60</v>
      </c>
      <c r="H2032" s="11">
        <v>19771.254627136899</v>
      </c>
      <c r="I2032" s="10">
        <v>3895057.4861660199</v>
      </c>
      <c r="J2032" s="34">
        <f t="shared" si="124"/>
        <v>5.075985321746336E-3</v>
      </c>
      <c r="K2032" s="34">
        <f t="shared" si="125"/>
        <v>5.0631242782773755E-3</v>
      </c>
      <c r="L2032" s="34">
        <f t="shared" si="126"/>
        <v>0.95324295490791588</v>
      </c>
      <c r="M2032" s="34">
        <f t="shared" si="127"/>
        <v>0.94841656735982471</v>
      </c>
    </row>
    <row r="2033" spans="1:13" ht="27.6">
      <c r="A2033" t="s">
        <v>164</v>
      </c>
      <c r="B2033" t="s">
        <v>112</v>
      </c>
      <c r="C2033" s="14" t="s">
        <v>294</v>
      </c>
      <c r="D2033" t="s">
        <v>112</v>
      </c>
      <c r="E2033" t="s">
        <v>392</v>
      </c>
      <c r="F2033" s="20">
        <v>2049</v>
      </c>
      <c r="G2033" s="20">
        <v>61</v>
      </c>
      <c r="H2033" s="11">
        <v>21407.50451418</v>
      </c>
      <c r="I2033" s="10">
        <v>3841909.4674336701</v>
      </c>
      <c r="J2033" s="34">
        <f t="shared" si="124"/>
        <v>5.5721002006015119E-3</v>
      </c>
      <c r="K2033" s="34">
        <f t="shared" si="125"/>
        <v>5.5566048441972882E-3</v>
      </c>
      <c r="L2033" s="34">
        <f t="shared" si="126"/>
        <v>0.94841656735982471</v>
      </c>
      <c r="M2033" s="34">
        <f t="shared" si="127"/>
        <v>0.94314659126731615</v>
      </c>
    </row>
    <row r="2034" spans="1:13" ht="27.6">
      <c r="A2034" t="s">
        <v>164</v>
      </c>
      <c r="B2034" t="s">
        <v>112</v>
      </c>
      <c r="C2034" s="14" t="s">
        <v>294</v>
      </c>
      <c r="D2034" t="s">
        <v>112</v>
      </c>
      <c r="E2034" t="s">
        <v>392</v>
      </c>
      <c r="F2034" s="20">
        <v>2049</v>
      </c>
      <c r="G2034" s="20">
        <v>62</v>
      </c>
      <c r="H2034" s="11">
        <v>22550.831209273401</v>
      </c>
      <c r="I2034" s="10">
        <v>3683757.71287798</v>
      </c>
      <c r="J2034" s="34">
        <f t="shared" si="124"/>
        <v>6.1216922954618787E-3</v>
      </c>
      <c r="K2034" s="34">
        <f t="shared" si="125"/>
        <v>6.1029929139260197E-3</v>
      </c>
      <c r="L2034" s="34">
        <f t="shared" si="126"/>
        <v>0.94314659126731615</v>
      </c>
      <c r="M2034" s="34">
        <f t="shared" si="127"/>
        <v>0.93739057430401829</v>
      </c>
    </row>
    <row r="2035" spans="1:13" ht="27.6">
      <c r="A2035" t="s">
        <v>164</v>
      </c>
      <c r="B2035" t="s">
        <v>112</v>
      </c>
      <c r="C2035" s="14" t="s">
        <v>294</v>
      </c>
      <c r="D2035" t="s">
        <v>112</v>
      </c>
      <c r="E2035" t="s">
        <v>392</v>
      </c>
      <c r="F2035" s="20">
        <v>2049</v>
      </c>
      <c r="G2035" s="20">
        <v>63</v>
      </c>
      <c r="H2035" s="11">
        <v>24263.148590278499</v>
      </c>
      <c r="I2035" s="10">
        <v>3609768.0877415398</v>
      </c>
      <c r="J2035" s="34">
        <f t="shared" si="124"/>
        <v>6.7215255940330492E-3</v>
      </c>
      <c r="K2035" s="34">
        <f t="shared" si="125"/>
        <v>6.6989866678068832E-3</v>
      </c>
      <c r="L2035" s="34">
        <f t="shared" si="126"/>
        <v>0.93739057430401829</v>
      </c>
      <c r="M2035" s="34">
        <f t="shared" si="127"/>
        <v>0.9311110073442278</v>
      </c>
    </row>
    <row r="2036" spans="1:13" ht="27.6">
      <c r="A2036" t="s">
        <v>164</v>
      </c>
      <c r="B2036" t="s">
        <v>112</v>
      </c>
      <c r="C2036" s="14" t="s">
        <v>294</v>
      </c>
      <c r="D2036" t="s">
        <v>112</v>
      </c>
      <c r="E2036" t="s">
        <v>392</v>
      </c>
      <c r="F2036" s="20">
        <v>2049</v>
      </c>
      <c r="G2036" s="20">
        <v>64</v>
      </c>
      <c r="H2036" s="11">
        <v>26657.9709023711</v>
      </c>
      <c r="I2036" s="10">
        <v>3612914.3654372399</v>
      </c>
      <c r="J2036" s="34">
        <f t="shared" si="124"/>
        <v>7.3785227674902044E-3</v>
      </c>
      <c r="K2036" s="34">
        <f t="shared" si="125"/>
        <v>7.3513682960489879E-3</v>
      </c>
      <c r="L2036" s="34">
        <f t="shared" si="126"/>
        <v>0.9311110073442278</v>
      </c>
      <c r="M2036" s="34">
        <f t="shared" si="127"/>
        <v>0.92426606740473516</v>
      </c>
    </row>
    <row r="2037" spans="1:13" ht="27.6">
      <c r="A2037" t="s">
        <v>164</v>
      </c>
      <c r="B2037" t="s">
        <v>112</v>
      </c>
      <c r="C2037" s="14" t="s">
        <v>294</v>
      </c>
      <c r="D2037" t="s">
        <v>112</v>
      </c>
      <c r="E2037" t="s">
        <v>392</v>
      </c>
      <c r="F2037" s="20">
        <v>2049</v>
      </c>
      <c r="G2037" s="20">
        <v>65</v>
      </c>
      <c r="H2037" s="11">
        <v>27925.541096475801</v>
      </c>
      <c r="I2037" s="10">
        <v>3631812.8447541301</v>
      </c>
      <c r="J2037" s="34">
        <f t="shared" si="124"/>
        <v>7.6891465199843828E-3</v>
      </c>
      <c r="K2037" s="34">
        <f t="shared" si="125"/>
        <v>7.6596606549934609E-3</v>
      </c>
      <c r="L2037" s="34">
        <f t="shared" si="126"/>
        <v>0.92426606740473516</v>
      </c>
      <c r="M2037" s="34">
        <f t="shared" si="127"/>
        <v>0.91718650297348958</v>
      </c>
    </row>
    <row r="2038" spans="1:13" ht="27.6">
      <c r="A2038" t="s">
        <v>164</v>
      </c>
      <c r="B2038" t="s">
        <v>112</v>
      </c>
      <c r="C2038" s="14" t="s">
        <v>294</v>
      </c>
      <c r="D2038" t="s">
        <v>112</v>
      </c>
      <c r="E2038" t="s">
        <v>392</v>
      </c>
      <c r="F2038" s="20">
        <v>2049</v>
      </c>
      <c r="G2038" s="20">
        <v>66</v>
      </c>
      <c r="H2038" s="11">
        <v>30021.4270893869</v>
      </c>
      <c r="I2038" s="10">
        <v>3554376.3634396102</v>
      </c>
      <c r="J2038" s="34">
        <f t="shared" si="124"/>
        <v>8.4463275747014097E-3</v>
      </c>
      <c r="K2038" s="34">
        <f t="shared" si="125"/>
        <v>8.4107575657164091E-3</v>
      </c>
      <c r="L2038" s="34">
        <f t="shared" si="126"/>
        <v>0.91718650297348958</v>
      </c>
      <c r="M2038" s="34">
        <f t="shared" si="127"/>
        <v>0.90947226965443229</v>
      </c>
    </row>
    <row r="2039" spans="1:13" ht="27.6">
      <c r="A2039" t="s">
        <v>164</v>
      </c>
      <c r="B2039" t="s">
        <v>112</v>
      </c>
      <c r="C2039" s="14" t="s">
        <v>294</v>
      </c>
      <c r="D2039" t="s">
        <v>112</v>
      </c>
      <c r="E2039" t="s">
        <v>392</v>
      </c>
      <c r="F2039" s="20">
        <v>2049</v>
      </c>
      <c r="G2039" s="20">
        <v>67</v>
      </c>
      <c r="H2039" s="11">
        <v>31388.609269152399</v>
      </c>
      <c r="I2039" s="10">
        <v>3379816.4805306401</v>
      </c>
      <c r="J2039" s="34">
        <f t="shared" si="124"/>
        <v>9.2870750379394282E-3</v>
      </c>
      <c r="K2039" s="34">
        <f t="shared" si="125"/>
        <v>9.2440833485113449E-3</v>
      </c>
      <c r="L2039" s="34">
        <f t="shared" si="126"/>
        <v>0.90947226965443229</v>
      </c>
      <c r="M2039" s="34">
        <f t="shared" si="127"/>
        <v>0.90106503219058698</v>
      </c>
    </row>
    <row r="2040" spans="1:13" ht="27.6">
      <c r="A2040" t="s">
        <v>164</v>
      </c>
      <c r="B2040" t="s">
        <v>112</v>
      </c>
      <c r="C2040" s="14" t="s">
        <v>294</v>
      </c>
      <c r="D2040" t="s">
        <v>112</v>
      </c>
      <c r="E2040" t="s">
        <v>392</v>
      </c>
      <c r="F2040" s="20">
        <v>2049</v>
      </c>
      <c r="G2040" s="20">
        <v>68</v>
      </c>
      <c r="H2040" s="11">
        <v>33236.395905341597</v>
      </c>
      <c r="I2040" s="10">
        <v>3255138.20971211</v>
      </c>
      <c r="J2040" s="34">
        <f t="shared" si="124"/>
        <v>1.0210440775195558E-2</v>
      </c>
      <c r="K2040" s="34">
        <f t="shared" si="125"/>
        <v>1.0158491184529272E-2</v>
      </c>
      <c r="L2040" s="34">
        <f t="shared" si="126"/>
        <v>0.90106503219058698</v>
      </c>
      <c r="M2040" s="34">
        <f t="shared" si="127"/>
        <v>0.89191157100439133</v>
      </c>
    </row>
    <row r="2041" spans="1:13" ht="27.6">
      <c r="A2041" t="s">
        <v>164</v>
      </c>
      <c r="B2041" t="s">
        <v>112</v>
      </c>
      <c r="C2041" s="14" t="s">
        <v>294</v>
      </c>
      <c r="D2041" t="s">
        <v>112</v>
      </c>
      <c r="E2041" t="s">
        <v>392</v>
      </c>
      <c r="F2041" s="20">
        <v>2049</v>
      </c>
      <c r="G2041" s="20">
        <v>69</v>
      </c>
      <c r="H2041" s="11">
        <v>35285.8696681457</v>
      </c>
      <c r="I2041" s="10">
        <v>3140316.18428582</v>
      </c>
      <c r="J2041" s="34">
        <f t="shared" si="124"/>
        <v>1.1236406653800218E-2</v>
      </c>
      <c r="K2041" s="34">
        <f t="shared" si="125"/>
        <v>1.117351401936828E-2</v>
      </c>
      <c r="L2041" s="34">
        <f t="shared" si="126"/>
        <v>0.89191157100439133</v>
      </c>
      <c r="M2041" s="34">
        <f t="shared" si="127"/>
        <v>0.881945784561737</v>
      </c>
    </row>
    <row r="2042" spans="1:13" ht="27.6">
      <c r="A2042" t="s">
        <v>164</v>
      </c>
      <c r="B2042" t="s">
        <v>112</v>
      </c>
      <c r="C2042" s="14" t="s">
        <v>294</v>
      </c>
      <c r="D2042" t="s">
        <v>112</v>
      </c>
      <c r="E2042" t="s">
        <v>392</v>
      </c>
      <c r="F2042" s="20">
        <v>2050</v>
      </c>
      <c r="G2042" s="20">
        <v>30</v>
      </c>
      <c r="H2042" s="11">
        <v>612.445799566593</v>
      </c>
      <c r="I2042" s="10">
        <v>4253315.1016025897</v>
      </c>
      <c r="J2042" s="34">
        <f t="shared" si="124"/>
        <v>1.4399257636374789E-4</v>
      </c>
      <c r="K2042" s="34">
        <f t="shared" si="125"/>
        <v>1.4398220993028232E-4</v>
      </c>
      <c r="L2042" s="34">
        <f t="shared" si="126"/>
        <v>1</v>
      </c>
      <c r="M2042" s="34">
        <f t="shared" si="127"/>
        <v>0.99985601779006972</v>
      </c>
    </row>
    <row r="2043" spans="1:13" ht="27.6">
      <c r="A2043" t="s">
        <v>164</v>
      </c>
      <c r="B2043" t="s">
        <v>112</v>
      </c>
      <c r="C2043" s="14" t="s">
        <v>294</v>
      </c>
      <c r="D2043" t="s">
        <v>112</v>
      </c>
      <c r="E2043" t="s">
        <v>392</v>
      </c>
      <c r="F2043" s="20">
        <v>2050</v>
      </c>
      <c r="G2043" s="20">
        <v>31</v>
      </c>
      <c r="H2043" s="11">
        <v>844.33323600769097</v>
      </c>
      <c r="I2043" s="10">
        <v>4262032.0916932402</v>
      </c>
      <c r="J2043" s="34">
        <f t="shared" si="124"/>
        <v>1.981057903466537E-4</v>
      </c>
      <c r="K2043" s="34">
        <f t="shared" si="125"/>
        <v>1.9808616869032569E-4</v>
      </c>
      <c r="L2043" s="34">
        <f t="shared" si="126"/>
        <v>0.99985601779006972</v>
      </c>
      <c r="M2043" s="34">
        <f t="shared" si="127"/>
        <v>0.99965796014226371</v>
      </c>
    </row>
    <row r="2044" spans="1:13" ht="27.6">
      <c r="A2044" t="s">
        <v>164</v>
      </c>
      <c r="B2044" t="s">
        <v>112</v>
      </c>
      <c r="C2044" s="14" t="s">
        <v>294</v>
      </c>
      <c r="D2044" t="s">
        <v>112</v>
      </c>
      <c r="E2044" t="s">
        <v>392</v>
      </c>
      <c r="F2044" s="20">
        <v>2050</v>
      </c>
      <c r="G2044" s="20">
        <v>32</v>
      </c>
      <c r="H2044" s="11">
        <v>891.53952047435803</v>
      </c>
      <c r="I2044" s="10">
        <v>4266191.7002142901</v>
      </c>
      <c r="J2044" s="34">
        <f t="shared" si="124"/>
        <v>2.089778385789781E-4</v>
      </c>
      <c r="K2044" s="34">
        <f t="shared" si="125"/>
        <v>2.089560042314309E-4</v>
      </c>
      <c r="L2044" s="34">
        <f t="shared" si="126"/>
        <v>0.99965796014226371</v>
      </c>
      <c r="M2044" s="34">
        <f t="shared" si="127"/>
        <v>0.99944907560931429</v>
      </c>
    </row>
    <row r="2045" spans="1:13" ht="27.6">
      <c r="A2045" t="s">
        <v>164</v>
      </c>
      <c r="B2045" t="s">
        <v>112</v>
      </c>
      <c r="C2045" s="14" t="s">
        <v>294</v>
      </c>
      <c r="D2045" t="s">
        <v>112</v>
      </c>
      <c r="E2045" t="s">
        <v>392</v>
      </c>
      <c r="F2045" s="20">
        <v>2050</v>
      </c>
      <c r="G2045" s="20">
        <v>33</v>
      </c>
      <c r="H2045" s="11">
        <v>954.22025978234694</v>
      </c>
      <c r="I2045" s="10">
        <v>4306507.1600775803</v>
      </c>
      <c r="J2045" s="34">
        <f t="shared" si="124"/>
        <v>2.2157637833003323E-4</v>
      </c>
      <c r="K2045" s="34">
        <f t="shared" si="125"/>
        <v>2.2155183209726648E-4</v>
      </c>
      <c r="L2045" s="34">
        <f t="shared" si="126"/>
        <v>0.99944907560931429</v>
      </c>
      <c r="M2045" s="34">
        <f t="shared" si="127"/>
        <v>0.99922764583552515</v>
      </c>
    </row>
    <row r="2046" spans="1:13" ht="27.6">
      <c r="A2046" t="s">
        <v>164</v>
      </c>
      <c r="B2046" t="s">
        <v>112</v>
      </c>
      <c r="C2046" s="14" t="s">
        <v>294</v>
      </c>
      <c r="D2046" t="s">
        <v>112</v>
      </c>
      <c r="E2046" t="s">
        <v>392</v>
      </c>
      <c r="F2046" s="20">
        <v>2050</v>
      </c>
      <c r="G2046" s="20">
        <v>34</v>
      </c>
      <c r="H2046" s="11">
        <v>1115.8171414835899</v>
      </c>
      <c r="I2046" s="10">
        <v>4567927.1541139996</v>
      </c>
      <c r="J2046" s="34">
        <f t="shared" si="124"/>
        <v>2.442720962567572E-4</v>
      </c>
      <c r="K2046" s="34">
        <f t="shared" si="125"/>
        <v>2.4424226425734386E-4</v>
      </c>
      <c r="L2046" s="34">
        <f t="shared" si="126"/>
        <v>0.99922764583552515</v>
      </c>
      <c r="M2046" s="34">
        <f t="shared" si="127"/>
        <v>0.99898359221279776</v>
      </c>
    </row>
    <row r="2047" spans="1:13" ht="27.6">
      <c r="A2047" t="s">
        <v>164</v>
      </c>
      <c r="B2047" t="s">
        <v>112</v>
      </c>
      <c r="C2047" s="14" t="s">
        <v>294</v>
      </c>
      <c r="D2047" t="s">
        <v>112</v>
      </c>
      <c r="E2047" t="s">
        <v>392</v>
      </c>
      <c r="F2047" s="20">
        <v>2050</v>
      </c>
      <c r="G2047" s="20">
        <v>35</v>
      </c>
      <c r="H2047" s="11">
        <v>1496.6606741007399</v>
      </c>
      <c r="I2047" s="10">
        <v>4615726.9602482803</v>
      </c>
      <c r="J2047" s="34">
        <f t="shared" si="124"/>
        <v>3.2425242805528395E-4</v>
      </c>
      <c r="K2047" s="34">
        <f t="shared" si="125"/>
        <v>3.2419986391818423E-4</v>
      </c>
      <c r="L2047" s="34">
        <f t="shared" si="126"/>
        <v>0.99898359221279776</v>
      </c>
      <c r="M2047" s="34">
        <f t="shared" si="127"/>
        <v>0.99865972186814589</v>
      </c>
    </row>
    <row r="2048" spans="1:13" ht="27.6">
      <c r="A2048" t="s">
        <v>164</v>
      </c>
      <c r="B2048" t="s">
        <v>112</v>
      </c>
      <c r="C2048" s="14" t="s">
        <v>294</v>
      </c>
      <c r="D2048" t="s">
        <v>112</v>
      </c>
      <c r="E2048" t="s">
        <v>392</v>
      </c>
      <c r="F2048" s="20">
        <v>2050</v>
      </c>
      <c r="G2048" s="20">
        <v>36</v>
      </c>
      <c r="H2048" s="11">
        <v>1802.4229832237099</v>
      </c>
      <c r="I2048" s="10">
        <v>4680572.9671358401</v>
      </c>
      <c r="J2048" s="34">
        <f t="shared" si="124"/>
        <v>3.8508597043123501E-4</v>
      </c>
      <c r="K2048" s="34">
        <f t="shared" si="125"/>
        <v>3.8501183434547226E-4</v>
      </c>
      <c r="L2048" s="34">
        <f t="shared" si="126"/>
        <v>0.99865972186814589</v>
      </c>
      <c r="M2048" s="34">
        <f t="shared" si="127"/>
        <v>0.99827522605674246</v>
      </c>
    </row>
    <row r="2049" spans="1:13" ht="27.6">
      <c r="A2049" t="s">
        <v>164</v>
      </c>
      <c r="B2049" t="s">
        <v>112</v>
      </c>
      <c r="C2049" s="14" t="s">
        <v>294</v>
      </c>
      <c r="D2049" t="s">
        <v>112</v>
      </c>
      <c r="E2049" t="s">
        <v>392</v>
      </c>
      <c r="F2049" s="20">
        <v>2050</v>
      </c>
      <c r="G2049" s="20">
        <v>37</v>
      </c>
      <c r="H2049" s="11">
        <v>1964.24909121214</v>
      </c>
      <c r="I2049" s="10">
        <v>4746740.6812761901</v>
      </c>
      <c r="J2049" s="34">
        <f t="shared" si="124"/>
        <v>4.1381006949889657E-4</v>
      </c>
      <c r="K2049" s="34">
        <f t="shared" si="125"/>
        <v>4.1372446192089463E-4</v>
      </c>
      <c r="L2049" s="34">
        <f t="shared" si="126"/>
        <v>0.99827522605674246</v>
      </c>
      <c r="M2049" s="34">
        <f t="shared" si="127"/>
        <v>0.99786221517599316</v>
      </c>
    </row>
    <row r="2050" spans="1:13" ht="27.6">
      <c r="A2050" t="s">
        <v>164</v>
      </c>
      <c r="B2050" t="s">
        <v>112</v>
      </c>
      <c r="C2050" s="14" t="s">
        <v>294</v>
      </c>
      <c r="D2050" t="s">
        <v>112</v>
      </c>
      <c r="E2050" t="s">
        <v>392</v>
      </c>
      <c r="F2050" s="20">
        <v>2050</v>
      </c>
      <c r="G2050" s="20">
        <v>38</v>
      </c>
      <c r="H2050" s="11">
        <v>2219.3101944223799</v>
      </c>
      <c r="I2050" s="10">
        <v>4856411.2318150904</v>
      </c>
      <c r="J2050" s="34">
        <f t="shared" ref="J2050:J2113" si="128">IF(I2050&gt;0,H2050/I2050,0)</f>
        <v>4.5698563990696268E-4</v>
      </c>
      <c r="K2050" s="34">
        <f t="shared" ref="K2050:K2113" si="129">1-EXP(-J2050)</f>
        <v>4.5688123787346324E-4</v>
      </c>
      <c r="L2050" s="34">
        <f t="shared" ref="L2050:L2081" si="130">IF(G2050=30,1,M2049)</f>
        <v>0.99786221517599316</v>
      </c>
      <c r="M2050" s="34">
        <f t="shared" ref="M2050:M2113" si="131">L2050*(1-K2050)</f>
        <v>0.99740631065189644</v>
      </c>
    </row>
    <row r="2051" spans="1:13" ht="27.6">
      <c r="A2051" t="s">
        <v>164</v>
      </c>
      <c r="B2051" t="s">
        <v>112</v>
      </c>
      <c r="C2051" s="14" t="s">
        <v>294</v>
      </c>
      <c r="D2051" t="s">
        <v>112</v>
      </c>
      <c r="E2051" t="s">
        <v>392</v>
      </c>
      <c r="F2051" s="20">
        <v>2050</v>
      </c>
      <c r="G2051" s="20">
        <v>39</v>
      </c>
      <c r="H2051" s="11">
        <v>2384.0635979978902</v>
      </c>
      <c r="I2051" s="10">
        <v>4826004.7097374797</v>
      </c>
      <c r="J2051" s="34">
        <f t="shared" si="128"/>
        <v>4.9400357881697473E-4</v>
      </c>
      <c r="K2051" s="34">
        <f t="shared" si="129"/>
        <v>4.938815791393214E-4</v>
      </c>
      <c r="L2051" s="34">
        <f t="shared" si="130"/>
        <v>0.99740631065189644</v>
      </c>
      <c r="M2051" s="34">
        <f t="shared" si="131"/>
        <v>0.99691371004814822</v>
      </c>
    </row>
    <row r="2052" spans="1:13" ht="27.6">
      <c r="A2052" t="s">
        <v>164</v>
      </c>
      <c r="B2052" t="s">
        <v>112</v>
      </c>
      <c r="C2052" s="14" t="s">
        <v>294</v>
      </c>
      <c r="D2052" t="s">
        <v>112</v>
      </c>
      <c r="E2052" t="s">
        <v>392</v>
      </c>
      <c r="F2052" s="20">
        <v>2050</v>
      </c>
      <c r="G2052" s="20">
        <v>40</v>
      </c>
      <c r="H2052" s="11">
        <v>3106.1992036297602</v>
      </c>
      <c r="I2052" s="10">
        <v>4690550.6166594401</v>
      </c>
      <c r="J2052" s="34">
        <f t="shared" si="128"/>
        <v>6.6222485535012991E-4</v>
      </c>
      <c r="K2052" s="34">
        <f t="shared" si="129"/>
        <v>6.6200563286478165E-4</v>
      </c>
      <c r="L2052" s="34">
        <f t="shared" si="130"/>
        <v>0.99691371004814822</v>
      </c>
      <c r="M2052" s="34">
        <f t="shared" si="131"/>
        <v>0.99625374755661622</v>
      </c>
    </row>
    <row r="2053" spans="1:13" ht="27.6">
      <c r="A2053" t="s">
        <v>164</v>
      </c>
      <c r="B2053" t="s">
        <v>112</v>
      </c>
      <c r="C2053" s="14" t="s">
        <v>294</v>
      </c>
      <c r="D2053" t="s">
        <v>112</v>
      </c>
      <c r="E2053" t="s">
        <v>392</v>
      </c>
      <c r="F2053" s="20">
        <v>2050</v>
      </c>
      <c r="G2053" s="20">
        <v>41</v>
      </c>
      <c r="H2053" s="11">
        <v>3469.7955610907102</v>
      </c>
      <c r="I2053" s="10">
        <v>4616310.4371054396</v>
      </c>
      <c r="J2053" s="34">
        <f t="shared" si="128"/>
        <v>7.5163826357968521E-4</v>
      </c>
      <c r="K2053" s="34">
        <f t="shared" si="129"/>
        <v>7.513558543009724E-4</v>
      </c>
      <c r="L2053" s="34">
        <f t="shared" si="130"/>
        <v>0.99625374755661622</v>
      </c>
      <c r="M2053" s="34">
        <f t="shared" si="131"/>
        <v>0.99550520647102025</v>
      </c>
    </row>
    <row r="2054" spans="1:13" ht="27.6">
      <c r="A2054" t="s">
        <v>164</v>
      </c>
      <c r="B2054" t="s">
        <v>112</v>
      </c>
      <c r="C2054" s="14" t="s">
        <v>294</v>
      </c>
      <c r="D2054" t="s">
        <v>112</v>
      </c>
      <c r="E2054" t="s">
        <v>392</v>
      </c>
      <c r="F2054" s="20">
        <v>2050</v>
      </c>
      <c r="G2054" s="20">
        <v>42</v>
      </c>
      <c r="H2054" s="11">
        <v>3725.4243619461699</v>
      </c>
      <c r="I2054" s="10">
        <v>4569838.0015834998</v>
      </c>
      <c r="J2054" s="34">
        <f t="shared" si="128"/>
        <v>8.1522022458022992E-4</v>
      </c>
      <c r="K2054" s="34">
        <f t="shared" si="129"/>
        <v>8.1488802285156758E-4</v>
      </c>
      <c r="L2054" s="34">
        <f t="shared" si="130"/>
        <v>0.99550520647102025</v>
      </c>
      <c r="M2054" s="34">
        <f t="shared" si="131"/>
        <v>0.99469398120158059</v>
      </c>
    </row>
    <row r="2055" spans="1:13" ht="27.6">
      <c r="A2055" t="s">
        <v>164</v>
      </c>
      <c r="B2055" t="s">
        <v>112</v>
      </c>
      <c r="C2055" s="14" t="s">
        <v>294</v>
      </c>
      <c r="D2055" t="s">
        <v>112</v>
      </c>
      <c r="E2055" t="s">
        <v>392</v>
      </c>
      <c r="F2055" s="20">
        <v>2050</v>
      </c>
      <c r="G2055" s="20">
        <v>43</v>
      </c>
      <c r="H2055" s="11">
        <v>4127.8101400362302</v>
      </c>
      <c r="I2055" s="10">
        <v>4589676.5026562</v>
      </c>
      <c r="J2055" s="34">
        <f t="shared" si="128"/>
        <v>8.9936842774154737E-4</v>
      </c>
      <c r="K2055" s="34">
        <f t="shared" si="129"/>
        <v>8.9896411717427238E-4</v>
      </c>
      <c r="L2055" s="34">
        <f t="shared" si="130"/>
        <v>0.99469398120158059</v>
      </c>
      <c r="M2055" s="34">
        <f t="shared" si="131"/>
        <v>0.99379978700491112</v>
      </c>
    </row>
    <row r="2056" spans="1:13" ht="27.6">
      <c r="A2056" t="s">
        <v>164</v>
      </c>
      <c r="B2056" t="s">
        <v>112</v>
      </c>
      <c r="C2056" s="14" t="s">
        <v>294</v>
      </c>
      <c r="D2056" t="s">
        <v>112</v>
      </c>
      <c r="E2056" t="s">
        <v>392</v>
      </c>
      <c r="F2056" s="20">
        <v>2050</v>
      </c>
      <c r="G2056" s="20">
        <v>44</v>
      </c>
      <c r="H2056" s="11">
        <v>4406.8133024678</v>
      </c>
      <c r="I2056" s="10">
        <v>4502203.9162246799</v>
      </c>
      <c r="J2056" s="34">
        <f t="shared" si="128"/>
        <v>9.788124626223351E-4</v>
      </c>
      <c r="K2056" s="34">
        <f t="shared" si="129"/>
        <v>9.7833358196142139E-4</v>
      </c>
      <c r="L2056" s="34">
        <f t="shared" si="130"/>
        <v>0.99379978700491112</v>
      </c>
      <c r="M2056" s="34">
        <f t="shared" si="131"/>
        <v>0.99282751929953805</v>
      </c>
    </row>
    <row r="2057" spans="1:13" ht="27.6">
      <c r="A2057" t="s">
        <v>164</v>
      </c>
      <c r="B2057" t="s">
        <v>112</v>
      </c>
      <c r="C2057" s="14" t="s">
        <v>294</v>
      </c>
      <c r="D2057" t="s">
        <v>112</v>
      </c>
      <c r="E2057" t="s">
        <v>392</v>
      </c>
      <c r="F2057" s="20">
        <v>2050</v>
      </c>
      <c r="G2057" s="20">
        <v>45</v>
      </c>
      <c r="H2057" s="11">
        <v>5558.39544350913</v>
      </c>
      <c r="I2057" s="10">
        <v>4435622.7423257995</v>
      </c>
      <c r="J2057" s="34">
        <f t="shared" si="128"/>
        <v>1.2531262838179538E-3</v>
      </c>
      <c r="K2057" s="34">
        <f t="shared" si="129"/>
        <v>1.2523414489430396E-3</v>
      </c>
      <c r="L2057" s="34">
        <f t="shared" si="130"/>
        <v>0.99282751929953805</v>
      </c>
      <c r="M2057" s="34">
        <f t="shared" si="131"/>
        <v>0.99158416024546792</v>
      </c>
    </row>
    <row r="2058" spans="1:13" ht="27.6">
      <c r="A2058" t="s">
        <v>164</v>
      </c>
      <c r="B2058" t="s">
        <v>112</v>
      </c>
      <c r="C2058" s="14" t="s">
        <v>294</v>
      </c>
      <c r="D2058" t="s">
        <v>112</v>
      </c>
      <c r="E2058" t="s">
        <v>392</v>
      </c>
      <c r="F2058" s="20">
        <v>2050</v>
      </c>
      <c r="G2058" s="20">
        <v>46</v>
      </c>
      <c r="H2058" s="11">
        <v>6024.9265236174297</v>
      </c>
      <c r="I2058" s="10">
        <v>4301496.2384221498</v>
      </c>
      <c r="J2058" s="34">
        <f t="shared" si="128"/>
        <v>1.4006583267006318E-3</v>
      </c>
      <c r="K2058" s="34">
        <f t="shared" si="129"/>
        <v>1.3996778626450546E-3</v>
      </c>
      <c r="L2058" s="34">
        <f t="shared" si="130"/>
        <v>0.99158416024546792</v>
      </c>
      <c r="M2058" s="34">
        <f t="shared" si="131"/>
        <v>0.99019626184742282</v>
      </c>
    </row>
    <row r="2059" spans="1:13" ht="27.6">
      <c r="A2059" t="s">
        <v>164</v>
      </c>
      <c r="B2059" t="s">
        <v>112</v>
      </c>
      <c r="C2059" s="14" t="s">
        <v>294</v>
      </c>
      <c r="D2059" t="s">
        <v>112</v>
      </c>
      <c r="E2059" t="s">
        <v>392</v>
      </c>
      <c r="F2059" s="20">
        <v>2050</v>
      </c>
      <c r="G2059" s="20">
        <v>47</v>
      </c>
      <c r="H2059" s="11">
        <v>6488.2529183165498</v>
      </c>
      <c r="I2059" s="10">
        <v>4228908.4120809799</v>
      </c>
      <c r="J2059" s="34">
        <f t="shared" si="128"/>
        <v>1.5342618676207702E-3</v>
      </c>
      <c r="K2059" s="34">
        <f t="shared" si="129"/>
        <v>1.5330854895824197E-3</v>
      </c>
      <c r="L2059" s="34">
        <f t="shared" si="130"/>
        <v>0.99019626184742282</v>
      </c>
      <c r="M2059" s="34">
        <f t="shared" si="131"/>
        <v>0.98867820632654579</v>
      </c>
    </row>
    <row r="2060" spans="1:13" ht="27.6">
      <c r="A2060" t="s">
        <v>164</v>
      </c>
      <c r="B2060" t="s">
        <v>112</v>
      </c>
      <c r="C2060" s="14" t="s">
        <v>294</v>
      </c>
      <c r="D2060" t="s">
        <v>112</v>
      </c>
      <c r="E2060" t="s">
        <v>392</v>
      </c>
      <c r="F2060" s="20">
        <v>2050</v>
      </c>
      <c r="G2060" s="20">
        <v>48</v>
      </c>
      <c r="H2060" s="11">
        <v>7212.6039638395996</v>
      </c>
      <c r="I2060" s="10">
        <v>4195433.7927994803</v>
      </c>
      <c r="J2060" s="34">
        <f t="shared" si="128"/>
        <v>1.7191557107201678E-3</v>
      </c>
      <c r="K2060" s="34">
        <f t="shared" si="129"/>
        <v>1.7176788090038642E-3</v>
      </c>
      <c r="L2060" s="34">
        <f t="shared" si="130"/>
        <v>0.98867820632654579</v>
      </c>
      <c r="M2060" s="34">
        <f t="shared" si="131"/>
        <v>0.98697997472261478</v>
      </c>
    </row>
    <row r="2061" spans="1:13" ht="27.6">
      <c r="A2061" t="s">
        <v>164</v>
      </c>
      <c r="B2061" t="s">
        <v>112</v>
      </c>
      <c r="C2061" s="14" t="s">
        <v>294</v>
      </c>
      <c r="D2061" t="s">
        <v>112</v>
      </c>
      <c r="E2061" t="s">
        <v>392</v>
      </c>
      <c r="F2061" s="20">
        <v>2050</v>
      </c>
      <c r="G2061" s="20">
        <v>49</v>
      </c>
      <c r="H2061" s="11">
        <v>7862.1712474112801</v>
      </c>
      <c r="I2061" s="10">
        <v>4164677.5470901001</v>
      </c>
      <c r="J2061" s="34">
        <f t="shared" si="128"/>
        <v>1.8878223244209276E-3</v>
      </c>
      <c r="K2061" s="34">
        <f t="shared" si="129"/>
        <v>1.8860415086541238E-3</v>
      </c>
      <c r="L2061" s="34">
        <f t="shared" si="130"/>
        <v>0.98697997472261478</v>
      </c>
      <c r="M2061" s="34">
        <f t="shared" si="131"/>
        <v>0.98511848952207759</v>
      </c>
    </row>
    <row r="2062" spans="1:13" ht="27.6">
      <c r="A2062" t="s">
        <v>164</v>
      </c>
      <c r="B2062" t="s">
        <v>112</v>
      </c>
      <c r="C2062" s="14" t="s">
        <v>294</v>
      </c>
      <c r="D2062" t="s">
        <v>112</v>
      </c>
      <c r="E2062" t="s">
        <v>392</v>
      </c>
      <c r="F2062" s="20">
        <v>2050</v>
      </c>
      <c r="G2062" s="20">
        <v>50</v>
      </c>
      <c r="H2062" s="11">
        <v>8879.6920472284801</v>
      </c>
      <c r="I2062" s="10">
        <v>4132395.0740356599</v>
      </c>
      <c r="J2062" s="34">
        <f t="shared" si="128"/>
        <v>2.1488003659235447E-3</v>
      </c>
      <c r="K2062" s="34">
        <f t="shared" si="129"/>
        <v>2.1464933471539993E-3</v>
      </c>
      <c r="L2062" s="34">
        <f t="shared" si="130"/>
        <v>0.98511848952207759</v>
      </c>
      <c r="M2062" s="34">
        <f t="shared" si="131"/>
        <v>0.9830039392381601</v>
      </c>
    </row>
    <row r="2063" spans="1:13" ht="27.6">
      <c r="A2063" t="s">
        <v>164</v>
      </c>
      <c r="B2063" t="s">
        <v>112</v>
      </c>
      <c r="C2063" s="14" t="s">
        <v>294</v>
      </c>
      <c r="D2063" t="s">
        <v>112</v>
      </c>
      <c r="E2063" t="s">
        <v>392</v>
      </c>
      <c r="F2063" s="20">
        <v>2050</v>
      </c>
      <c r="G2063" s="20">
        <v>51</v>
      </c>
      <c r="H2063" s="11">
        <v>9805.55521240284</v>
      </c>
      <c r="I2063" s="10">
        <v>4136155.2594798901</v>
      </c>
      <c r="J2063" s="34">
        <f t="shared" si="128"/>
        <v>2.3706932156206972E-3</v>
      </c>
      <c r="K2063" s="34">
        <f t="shared" si="129"/>
        <v>2.3678853417669066E-3</v>
      </c>
      <c r="L2063" s="34">
        <f t="shared" si="130"/>
        <v>0.9830039392381601</v>
      </c>
      <c r="M2063" s="34">
        <f t="shared" si="131"/>
        <v>0.98067629861953898</v>
      </c>
    </row>
    <row r="2064" spans="1:13" ht="27.6">
      <c r="A2064" t="s">
        <v>164</v>
      </c>
      <c r="B2064" t="s">
        <v>112</v>
      </c>
      <c r="C2064" s="14" t="s">
        <v>294</v>
      </c>
      <c r="D2064" t="s">
        <v>112</v>
      </c>
      <c r="E2064" t="s">
        <v>392</v>
      </c>
      <c r="F2064" s="20">
        <v>2050</v>
      </c>
      <c r="G2064" s="20">
        <v>52</v>
      </c>
      <c r="H2064" s="11">
        <v>10827.746993483001</v>
      </c>
      <c r="I2064" s="10">
        <v>4175848.99687503</v>
      </c>
      <c r="J2064" s="34">
        <f t="shared" si="128"/>
        <v>2.5929450517932703E-3</v>
      </c>
      <c r="K2064" s="34">
        <f t="shared" si="129"/>
        <v>2.5895862734421904E-3</v>
      </c>
      <c r="L2064" s="34">
        <f t="shared" si="130"/>
        <v>0.98067629861953898</v>
      </c>
      <c r="M2064" s="34">
        <f t="shared" si="131"/>
        <v>0.97813675273794376</v>
      </c>
    </row>
    <row r="2065" spans="1:13" ht="27.6">
      <c r="A2065" t="s">
        <v>164</v>
      </c>
      <c r="B2065" t="s">
        <v>112</v>
      </c>
      <c r="C2065" s="14" t="s">
        <v>294</v>
      </c>
      <c r="D2065" t="s">
        <v>112</v>
      </c>
      <c r="E2065" t="s">
        <v>392</v>
      </c>
      <c r="F2065" s="20">
        <v>2050</v>
      </c>
      <c r="G2065" s="20">
        <v>53</v>
      </c>
      <c r="H2065" s="11">
        <v>12270.488078103101</v>
      </c>
      <c r="I2065" s="10">
        <v>4284530.0987240504</v>
      </c>
      <c r="J2065" s="34">
        <f t="shared" si="128"/>
        <v>2.8639052113923298E-3</v>
      </c>
      <c r="K2065" s="34">
        <f t="shared" si="129"/>
        <v>2.8598081469970449E-3</v>
      </c>
      <c r="L2065" s="34">
        <f t="shared" si="130"/>
        <v>0.97813675273794376</v>
      </c>
      <c r="M2065" s="34">
        <f t="shared" si="131"/>
        <v>0.9753394692835865</v>
      </c>
    </row>
    <row r="2066" spans="1:13" ht="27.6">
      <c r="A2066" t="s">
        <v>164</v>
      </c>
      <c r="B2066" t="s">
        <v>112</v>
      </c>
      <c r="C2066" s="14" t="s">
        <v>294</v>
      </c>
      <c r="D2066" t="s">
        <v>112</v>
      </c>
      <c r="E2066" t="s">
        <v>392</v>
      </c>
      <c r="F2066" s="20">
        <v>2050</v>
      </c>
      <c r="G2066" s="20">
        <v>54</v>
      </c>
      <c r="H2066" s="11">
        <v>13150.0187837471</v>
      </c>
      <c r="I2066" s="10">
        <v>4222317.6145317797</v>
      </c>
      <c r="J2066" s="34">
        <f t="shared" si="128"/>
        <v>3.1144077694414112E-3</v>
      </c>
      <c r="K2066" s="34">
        <f t="shared" si="129"/>
        <v>3.1095630323648704E-3</v>
      </c>
      <c r="L2066" s="34">
        <f t="shared" si="130"/>
        <v>0.9753394692835865</v>
      </c>
      <c r="M2066" s="34">
        <f t="shared" si="131"/>
        <v>0.9723065897258959</v>
      </c>
    </row>
    <row r="2067" spans="1:13" ht="27.6">
      <c r="A2067" t="s">
        <v>164</v>
      </c>
      <c r="B2067" t="s">
        <v>112</v>
      </c>
      <c r="C2067" s="14" t="s">
        <v>294</v>
      </c>
      <c r="D2067" t="s">
        <v>112</v>
      </c>
      <c r="E2067" t="s">
        <v>392</v>
      </c>
      <c r="F2067" s="20">
        <v>2050</v>
      </c>
      <c r="G2067" s="20">
        <v>55</v>
      </c>
      <c r="H2067" s="11">
        <v>13672.2690218975</v>
      </c>
      <c r="I2067" s="10">
        <v>4130336.7911022599</v>
      </c>
      <c r="J2067" s="34">
        <f t="shared" si="128"/>
        <v>3.3102068217175074E-3</v>
      </c>
      <c r="K2067" s="34">
        <f t="shared" si="129"/>
        <v>3.3047341273649833E-3</v>
      </c>
      <c r="L2067" s="34">
        <f t="shared" si="130"/>
        <v>0.9723065897258959</v>
      </c>
      <c r="M2067" s="34">
        <f t="shared" si="131"/>
        <v>0.96909337495656689</v>
      </c>
    </row>
    <row r="2068" spans="1:13" ht="27.6">
      <c r="A2068" t="s">
        <v>164</v>
      </c>
      <c r="B2068" t="s">
        <v>112</v>
      </c>
      <c r="C2068" s="14" t="s">
        <v>294</v>
      </c>
      <c r="D2068" t="s">
        <v>112</v>
      </c>
      <c r="E2068" t="s">
        <v>392</v>
      </c>
      <c r="F2068" s="20">
        <v>2050</v>
      </c>
      <c r="G2068" s="20">
        <v>56</v>
      </c>
      <c r="H2068" s="11">
        <v>14581.042316986701</v>
      </c>
      <c r="I2068" s="10">
        <v>4051635.0458965101</v>
      </c>
      <c r="J2068" s="34">
        <f t="shared" si="128"/>
        <v>3.598804470741845E-3</v>
      </c>
      <c r="K2068" s="34">
        <f t="shared" si="129"/>
        <v>3.592336535203966E-3</v>
      </c>
      <c r="L2068" s="34">
        <f t="shared" si="130"/>
        <v>0.96909337495656689</v>
      </c>
      <c r="M2068" s="34">
        <f t="shared" si="131"/>
        <v>0.96561206541968625</v>
      </c>
    </row>
    <row r="2069" spans="1:13" ht="27.6">
      <c r="A2069" t="s">
        <v>164</v>
      </c>
      <c r="B2069" t="s">
        <v>112</v>
      </c>
      <c r="C2069" s="14" t="s">
        <v>294</v>
      </c>
      <c r="D2069" t="s">
        <v>112</v>
      </c>
      <c r="E2069" t="s">
        <v>392</v>
      </c>
      <c r="F2069" s="20">
        <v>2050</v>
      </c>
      <c r="G2069" s="20">
        <v>57</v>
      </c>
      <c r="H2069" s="11">
        <v>15577.653712031601</v>
      </c>
      <c r="I2069" s="10">
        <v>3974688.19132462</v>
      </c>
      <c r="J2069" s="34">
        <f t="shared" si="128"/>
        <v>3.9192140269096506E-3</v>
      </c>
      <c r="K2069" s="34">
        <f t="shared" si="129"/>
        <v>3.9115439311360189E-3</v>
      </c>
      <c r="L2069" s="34">
        <f t="shared" si="130"/>
        <v>0.96561206541968625</v>
      </c>
      <c r="M2069" s="34">
        <f t="shared" si="131"/>
        <v>0.9618350314053622</v>
      </c>
    </row>
    <row r="2070" spans="1:13" ht="27.6">
      <c r="A2070" t="s">
        <v>164</v>
      </c>
      <c r="B2070" t="s">
        <v>112</v>
      </c>
      <c r="C2070" s="14" t="s">
        <v>294</v>
      </c>
      <c r="D2070" t="s">
        <v>112</v>
      </c>
      <c r="E2070" t="s">
        <v>392</v>
      </c>
      <c r="F2070" s="20">
        <v>2050</v>
      </c>
      <c r="G2070" s="20">
        <v>58</v>
      </c>
      <c r="H2070" s="11">
        <v>16997.464420250199</v>
      </c>
      <c r="I2070" s="10">
        <v>3979879.01536685</v>
      </c>
      <c r="J2070" s="34">
        <f t="shared" si="128"/>
        <v>4.2708495295009459E-3</v>
      </c>
      <c r="K2070" s="34">
        <f t="shared" si="129"/>
        <v>4.2617424212917365E-3</v>
      </c>
      <c r="L2070" s="34">
        <f t="shared" si="130"/>
        <v>0.9618350314053622</v>
      </c>
      <c r="M2070" s="34">
        <f t="shared" si="131"/>
        <v>0.95773593824973746</v>
      </c>
    </row>
    <row r="2071" spans="1:13" ht="27.6">
      <c r="A2071" t="s">
        <v>164</v>
      </c>
      <c r="B2071" t="s">
        <v>112</v>
      </c>
      <c r="C2071" s="14" t="s">
        <v>294</v>
      </c>
      <c r="D2071" t="s">
        <v>112</v>
      </c>
      <c r="E2071" t="s">
        <v>392</v>
      </c>
      <c r="F2071" s="20">
        <v>2050</v>
      </c>
      <c r="G2071" s="20">
        <v>59</v>
      </c>
      <c r="H2071" s="11">
        <v>18516.668265067401</v>
      </c>
      <c r="I2071" s="10">
        <v>3963698.9546801401</v>
      </c>
      <c r="J2071" s="34">
        <f t="shared" si="128"/>
        <v>4.6715627187589089E-3</v>
      </c>
      <c r="K2071" s="34">
        <f t="shared" si="129"/>
        <v>4.6606679414555874E-3</v>
      </c>
      <c r="L2071" s="34">
        <f t="shared" si="130"/>
        <v>0.95773593824973746</v>
      </c>
      <c r="M2071" s="34">
        <f t="shared" si="131"/>
        <v>0.95327224906595698</v>
      </c>
    </row>
    <row r="2072" spans="1:13" ht="27.6">
      <c r="A2072" t="s">
        <v>164</v>
      </c>
      <c r="B2072" t="s">
        <v>112</v>
      </c>
      <c r="C2072" s="14" t="s">
        <v>294</v>
      </c>
      <c r="D2072" t="s">
        <v>112</v>
      </c>
      <c r="E2072" t="s">
        <v>392</v>
      </c>
      <c r="F2072" s="20">
        <v>2050</v>
      </c>
      <c r="G2072" s="20">
        <v>60</v>
      </c>
      <c r="H2072" s="11">
        <v>26743.388260386098</v>
      </c>
      <c r="I2072" s="10">
        <v>5828171.2914196299</v>
      </c>
      <c r="J2072" s="34">
        <f t="shared" si="128"/>
        <v>4.5886414319631164E-3</v>
      </c>
      <c r="K2072" s="34">
        <f t="shared" si="129"/>
        <v>4.5781297012015276E-3</v>
      </c>
      <c r="L2072" s="34">
        <f t="shared" si="130"/>
        <v>0.95327224906595698</v>
      </c>
      <c r="M2072" s="34">
        <f t="shared" si="131"/>
        <v>0.94890804506917692</v>
      </c>
    </row>
    <row r="2073" spans="1:13" ht="27.6">
      <c r="A2073" t="s">
        <v>164</v>
      </c>
      <c r="B2073" t="s">
        <v>112</v>
      </c>
      <c r="C2073" s="14" t="s">
        <v>294</v>
      </c>
      <c r="D2073" t="s">
        <v>112</v>
      </c>
      <c r="E2073" t="s">
        <v>392</v>
      </c>
      <c r="F2073" s="20">
        <v>2050</v>
      </c>
      <c r="G2073" s="20">
        <v>61</v>
      </c>
      <c r="H2073" s="11">
        <v>21220.529753426701</v>
      </c>
      <c r="I2073" s="10">
        <v>3852602.4983477099</v>
      </c>
      <c r="J2073" s="34">
        <f t="shared" si="128"/>
        <v>5.5081025780696772E-3</v>
      </c>
      <c r="K2073" s="34">
        <f t="shared" si="129"/>
        <v>5.4929607946526682E-3</v>
      </c>
      <c r="L2073" s="34">
        <f t="shared" si="130"/>
        <v>0.94890804506917692</v>
      </c>
      <c r="M2073" s="34">
        <f t="shared" si="131"/>
        <v>0.94369573037988141</v>
      </c>
    </row>
    <row r="2074" spans="1:13" ht="27.6">
      <c r="A2074" t="s">
        <v>164</v>
      </c>
      <c r="B2074" t="s">
        <v>112</v>
      </c>
      <c r="C2074" s="14" t="s">
        <v>294</v>
      </c>
      <c r="D2074" t="s">
        <v>112</v>
      </c>
      <c r="E2074" t="s">
        <v>392</v>
      </c>
      <c r="F2074" s="20">
        <v>2050</v>
      </c>
      <c r="G2074" s="20">
        <v>62</v>
      </c>
      <c r="H2074" s="11">
        <v>22967.650248648799</v>
      </c>
      <c r="I2074" s="10">
        <v>3795953.6329981601</v>
      </c>
      <c r="J2074" s="34">
        <f t="shared" si="128"/>
        <v>6.0505613264059416E-3</v>
      </c>
      <c r="K2074" s="34">
        <f t="shared" si="129"/>
        <v>6.0322935422425505E-3</v>
      </c>
      <c r="L2074" s="34">
        <f t="shared" si="130"/>
        <v>0.94369573037988141</v>
      </c>
      <c r="M2074" s="34">
        <f t="shared" si="131"/>
        <v>0.93800308071966898</v>
      </c>
    </row>
    <row r="2075" spans="1:13" ht="27.6">
      <c r="A2075" t="s">
        <v>164</v>
      </c>
      <c r="B2075" t="s">
        <v>112</v>
      </c>
      <c r="C2075" s="14" t="s">
        <v>294</v>
      </c>
      <c r="D2075" t="s">
        <v>112</v>
      </c>
      <c r="E2075" t="s">
        <v>392</v>
      </c>
      <c r="F2075" s="20">
        <v>2050</v>
      </c>
      <c r="G2075" s="20">
        <v>63</v>
      </c>
      <c r="H2075" s="11">
        <v>24168.558136197102</v>
      </c>
      <c r="I2075" s="10">
        <v>3635361.0261593498</v>
      </c>
      <c r="J2075" s="34">
        <f t="shared" si="128"/>
        <v>6.6481865108540435E-3</v>
      </c>
      <c r="K2075" s="34">
        <f t="shared" si="129"/>
        <v>6.6261362108080979E-3</v>
      </c>
      <c r="L2075" s="34">
        <f t="shared" si="130"/>
        <v>0.93800308071966898</v>
      </c>
      <c r="M2075" s="34">
        <f t="shared" si="131"/>
        <v>0.93178774454066282</v>
      </c>
    </row>
    <row r="2076" spans="1:13" ht="27.6">
      <c r="A2076" t="s">
        <v>164</v>
      </c>
      <c r="B2076" t="s">
        <v>112</v>
      </c>
      <c r="C2076" s="14" t="s">
        <v>294</v>
      </c>
      <c r="D2076" t="s">
        <v>112</v>
      </c>
      <c r="E2076" t="s">
        <v>392</v>
      </c>
      <c r="F2076" s="20">
        <v>2050</v>
      </c>
      <c r="G2076" s="20">
        <v>64</v>
      </c>
      <c r="H2076" s="11">
        <v>25962.571948758999</v>
      </c>
      <c r="I2076" s="10">
        <v>3557700.1278818599</v>
      </c>
      <c r="J2076" s="34">
        <f t="shared" si="128"/>
        <v>7.2975717501565481E-3</v>
      </c>
      <c r="K2076" s="34">
        <f t="shared" si="129"/>
        <v>7.2710091269232446E-3</v>
      </c>
      <c r="L2076" s="34">
        <f t="shared" si="130"/>
        <v>0.93178774454066282</v>
      </c>
      <c r="M2076" s="34">
        <f t="shared" si="131"/>
        <v>0.92501270734575247</v>
      </c>
    </row>
    <row r="2077" spans="1:13" ht="27.6">
      <c r="A2077" t="s">
        <v>164</v>
      </c>
      <c r="B2077" t="s">
        <v>112</v>
      </c>
      <c r="C2077" s="14" t="s">
        <v>294</v>
      </c>
      <c r="D2077" t="s">
        <v>112</v>
      </c>
      <c r="E2077" t="s">
        <v>392</v>
      </c>
      <c r="F2077" s="20">
        <v>2050</v>
      </c>
      <c r="G2077" s="20">
        <v>65</v>
      </c>
      <c r="H2077" s="11">
        <v>27019.687174969898</v>
      </c>
      <c r="I2077" s="10">
        <v>3555702.9700062801</v>
      </c>
      <c r="J2077" s="34">
        <f t="shared" si="128"/>
        <v>7.5989719621946308E-3</v>
      </c>
      <c r="K2077" s="34">
        <f t="shared" si="129"/>
        <v>7.5701727690115073E-3</v>
      </c>
      <c r="L2077" s="34">
        <f t="shared" si="130"/>
        <v>0.92501270734575247</v>
      </c>
      <c r="M2077" s="34">
        <f t="shared" si="131"/>
        <v>0.91801020133761402</v>
      </c>
    </row>
    <row r="2078" spans="1:13" ht="27.6">
      <c r="A2078" t="s">
        <v>164</v>
      </c>
      <c r="B2078" t="s">
        <v>112</v>
      </c>
      <c r="C2078" s="14" t="s">
        <v>294</v>
      </c>
      <c r="D2078" t="s">
        <v>112</v>
      </c>
      <c r="E2078" t="s">
        <v>392</v>
      </c>
      <c r="F2078" s="20">
        <v>2050</v>
      </c>
      <c r="G2078" s="20">
        <v>66</v>
      </c>
      <c r="H2078" s="11">
        <v>29800.802264171001</v>
      </c>
      <c r="I2078" s="10">
        <v>3569514.4573428901</v>
      </c>
      <c r="J2078" s="34">
        <f t="shared" si="128"/>
        <v>8.3486991354993455E-3</v>
      </c>
      <c r="K2078" s="34">
        <f t="shared" si="129"/>
        <v>8.3139455299208187E-3</v>
      </c>
      <c r="L2078" s="34">
        <f t="shared" si="130"/>
        <v>0.91801020133761402</v>
      </c>
      <c r="M2078" s="34">
        <f t="shared" si="131"/>
        <v>0.9103779145277815</v>
      </c>
    </row>
    <row r="2079" spans="1:13" ht="27.6">
      <c r="A2079" t="s">
        <v>164</v>
      </c>
      <c r="B2079" t="s">
        <v>112</v>
      </c>
      <c r="C2079" s="14" t="s">
        <v>294</v>
      </c>
      <c r="D2079" t="s">
        <v>112</v>
      </c>
      <c r="E2079" t="s">
        <v>392</v>
      </c>
      <c r="F2079" s="20">
        <v>2050</v>
      </c>
      <c r="G2079" s="20">
        <v>67</v>
      </c>
      <c r="H2079" s="11">
        <v>31986.793725324798</v>
      </c>
      <c r="I2079" s="10">
        <v>3486672.9032592499</v>
      </c>
      <c r="J2079" s="34">
        <f t="shared" si="128"/>
        <v>9.174016207664443E-3</v>
      </c>
      <c r="K2079" s="34">
        <f t="shared" si="129"/>
        <v>9.132063311178773E-3</v>
      </c>
      <c r="L2079" s="34">
        <f t="shared" si="130"/>
        <v>0.9103779145277815</v>
      </c>
      <c r="M2079" s="34">
        <f t="shared" si="131"/>
        <v>0.90206428577521491</v>
      </c>
    </row>
    <row r="2080" spans="1:13" ht="27.6">
      <c r="A2080" t="s">
        <v>164</v>
      </c>
      <c r="B2080" t="s">
        <v>112</v>
      </c>
      <c r="C2080" s="14" t="s">
        <v>294</v>
      </c>
      <c r="D2080" t="s">
        <v>112</v>
      </c>
      <c r="E2080" t="s">
        <v>392</v>
      </c>
      <c r="F2080" s="20">
        <v>2050</v>
      </c>
      <c r="G2080" s="20">
        <v>68</v>
      </c>
      <c r="H2080" s="11">
        <v>33404.7712267034</v>
      </c>
      <c r="I2080" s="10">
        <v>3309071.9972345899</v>
      </c>
      <c r="J2080" s="34">
        <f t="shared" si="128"/>
        <v>1.009490614124442E-2</v>
      </c>
      <c r="K2080" s="34">
        <f t="shared" si="129"/>
        <v>1.0044123601557486E-2</v>
      </c>
      <c r="L2080" s="34">
        <f t="shared" si="130"/>
        <v>0.90206428577521491</v>
      </c>
      <c r="M2080" s="34">
        <f t="shared" si="131"/>
        <v>0.89300384059233795</v>
      </c>
    </row>
    <row r="2081" spans="1:13" ht="27.6">
      <c r="A2081" t="s">
        <v>164</v>
      </c>
      <c r="B2081" t="s">
        <v>112</v>
      </c>
      <c r="C2081" s="14" t="s">
        <v>294</v>
      </c>
      <c r="D2081" t="s">
        <v>112</v>
      </c>
      <c r="E2081" t="s">
        <v>392</v>
      </c>
      <c r="F2081" s="20">
        <v>2050</v>
      </c>
      <c r="G2081" s="20">
        <v>69</v>
      </c>
      <c r="H2081" s="11">
        <v>35334.4673836199</v>
      </c>
      <c r="I2081" s="10">
        <v>3180308.89407865</v>
      </c>
      <c r="J2081" s="34">
        <f t="shared" si="128"/>
        <v>1.1110388506414706E-2</v>
      </c>
      <c r="K2081" s="34">
        <f t="shared" si="129"/>
        <v>1.104889608562365E-2</v>
      </c>
      <c r="L2081" s="34">
        <f t="shared" si="130"/>
        <v>0.89300384059233795</v>
      </c>
      <c r="M2081" s="34">
        <f t="shared" si="131"/>
        <v>0.88313713395357041</v>
      </c>
    </row>
  </sheetData>
  <autoFilter ref="A1:M1" xr:uid="{00000000-0009-0000-0000-00000B000000}"/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M131"/>
  <sheetViews>
    <sheetView topLeftCell="U1" workbookViewId="0">
      <pane ySplit="1" topLeftCell="A106" activePane="bottomLeft" state="frozen"/>
      <selection pane="bottomLeft" activeCell="Y2" sqref="Y2:Y131"/>
    </sheetView>
  </sheetViews>
  <sheetFormatPr defaultColWidth="11.19921875" defaultRowHeight="13.8"/>
  <cols>
    <col min="1" max="2" width="11.69921875" customWidth="1"/>
    <col min="3" max="3" width="17.69921875" customWidth="1"/>
    <col min="4" max="4" width="12.69921875" customWidth="1"/>
    <col min="5" max="5" width="16.69921875" customWidth="1"/>
    <col min="6" max="6" width="20.69921875" customWidth="1"/>
    <col min="7" max="7" width="15.69921875" customWidth="1"/>
    <col min="8" max="8" width="12.69921875" customWidth="1"/>
    <col min="9" max="9" width="28.69921875" customWidth="1"/>
    <col min="10" max="10" width="29.69921875" customWidth="1"/>
    <col min="11" max="12" width="19.69921875" customWidth="1"/>
    <col min="13" max="13" width="20.69921875" customWidth="1"/>
    <col min="14" max="14" width="15.69921875" customWidth="1"/>
    <col min="15" max="16" width="14.69921875" customWidth="1"/>
    <col min="17" max="18" width="22.69921875" customWidth="1"/>
    <col min="19" max="20" width="25.69921875" customWidth="1"/>
    <col min="21" max="21" width="12.69921875" customWidth="1"/>
    <col min="22" max="22" width="17.69921875" customWidth="1"/>
    <col min="23" max="24" width="20.69921875" customWidth="1"/>
    <col min="25" max="25" width="23.69921875" customWidth="1"/>
    <col min="26" max="26" width="12.69921875" customWidth="1"/>
    <col min="27" max="27" width="16.69921875" customWidth="1"/>
    <col min="28" max="28" width="17.69921875" customWidth="1"/>
    <col min="29" max="29" width="13.69921875" customWidth="1"/>
    <col min="30" max="30" width="12.69921875" customWidth="1"/>
    <col min="31" max="31" width="11.69921875" customWidth="1"/>
    <col min="32" max="33" width="21.69921875" customWidth="1"/>
    <col min="34" max="34" width="24.69921875" customWidth="1"/>
    <col min="35" max="35" width="21.69921875" customWidth="1"/>
    <col min="36" max="37" width="33.69921875" customWidth="1"/>
    <col min="38" max="38" width="36.69921875" customWidth="1"/>
    <col min="39" max="39" width="34.69921875" customWidth="1"/>
  </cols>
  <sheetData>
    <row r="1" spans="1:39" ht="28.05" customHeight="1">
      <c r="A1" s="1" t="s">
        <v>282</v>
      </c>
      <c r="B1" s="1" t="s">
        <v>42</v>
      </c>
      <c r="C1" s="1" t="s">
        <v>182</v>
      </c>
      <c r="D1" s="1" t="s">
        <v>186</v>
      </c>
      <c r="E1" s="1" t="s">
        <v>241</v>
      </c>
      <c r="F1" s="1" t="s">
        <v>242</v>
      </c>
      <c r="G1" s="1" t="s">
        <v>198</v>
      </c>
      <c r="H1" s="1" t="s">
        <v>199</v>
      </c>
      <c r="I1" s="1" t="s">
        <v>245</v>
      </c>
      <c r="J1" s="1" t="s">
        <v>246</v>
      </c>
      <c r="K1" s="1" t="s">
        <v>295</v>
      </c>
      <c r="L1" s="1" t="s">
        <v>296</v>
      </c>
      <c r="M1" s="1" t="s">
        <v>247</v>
      </c>
      <c r="N1" s="1" t="s">
        <v>251</v>
      </c>
      <c r="O1" s="1" t="s">
        <v>297</v>
      </c>
      <c r="P1" s="1" t="s">
        <v>298</v>
      </c>
      <c r="Q1" s="1" t="s">
        <v>299</v>
      </c>
      <c r="R1" s="1" t="s">
        <v>300</v>
      </c>
      <c r="S1" s="1" t="s">
        <v>301</v>
      </c>
      <c r="T1" s="1" t="s">
        <v>253</v>
      </c>
      <c r="U1" s="1" t="s">
        <v>252</v>
      </c>
      <c r="V1" s="1" t="s">
        <v>302</v>
      </c>
      <c r="W1" s="1" t="s">
        <v>303</v>
      </c>
      <c r="X1" s="1" t="s">
        <v>304</v>
      </c>
      <c r="Y1" s="1" t="s">
        <v>305</v>
      </c>
      <c r="Z1" s="1" t="s">
        <v>255</v>
      </c>
      <c r="AA1" s="1" t="s">
        <v>256</v>
      </c>
      <c r="AB1" s="1" t="s">
        <v>257</v>
      </c>
      <c r="AC1" s="1" t="s">
        <v>248</v>
      </c>
      <c r="AD1" s="1" t="s">
        <v>249</v>
      </c>
      <c r="AE1" s="1" t="s">
        <v>250</v>
      </c>
      <c r="AF1" s="1" t="s">
        <v>306</v>
      </c>
      <c r="AG1" s="1" t="s">
        <v>307</v>
      </c>
      <c r="AH1" s="1" t="s">
        <v>308</v>
      </c>
      <c r="AI1" s="1" t="s">
        <v>309</v>
      </c>
      <c r="AJ1" s="1" t="s">
        <v>310</v>
      </c>
      <c r="AK1" s="1" t="s">
        <v>311</v>
      </c>
      <c r="AL1" s="1" t="s">
        <v>312</v>
      </c>
      <c r="AM1" s="1" t="s">
        <v>313</v>
      </c>
    </row>
    <row r="2" spans="1:39">
      <c r="A2" t="s">
        <v>115</v>
      </c>
      <c r="B2" s="20">
        <v>2025</v>
      </c>
      <c r="C2" t="s">
        <v>204</v>
      </c>
      <c r="E2" s="22" t="s">
        <v>267</v>
      </c>
      <c r="F2" s="22" t="s">
        <v>268</v>
      </c>
      <c r="G2" s="22" t="s">
        <v>213</v>
      </c>
      <c r="H2" s="22" t="s">
        <v>214</v>
      </c>
      <c r="I2" s="22" t="s">
        <v>265</v>
      </c>
      <c r="J2" s="17">
        <f>IFERROR(INDEX(Cost_Components!$K$2:$K$6,MATCH(E2,Cost_Components!$A$2:$A$6,0)),"")</f>
        <v>0.2</v>
      </c>
      <c r="K2" s="31">
        <v>0.113766857372906</v>
      </c>
      <c r="L2" s="17">
        <f>IFERROR(INDEX(Cost_Components!$S$2:$S$6,MATCH(E2,Cost_Components!$A$2:$A$6,0)),"")</f>
        <v>0.113766857372906</v>
      </c>
      <c r="M2" s="28">
        <f>IFERROR(INDEX(Cost_Components!$L$2:$L$6,MATCH(E2,Cost_Components!$A$2:$A$6,0)),"")</f>
        <v>1</v>
      </c>
      <c r="N2" s="29">
        <f>IFERROR(INDEX(Cost_Components!$P$2:$P$6,MATCH(E2,Cost_Components!$A$2:$A$6,0)),"")</f>
        <v>1.2915840000000001</v>
      </c>
      <c r="O2" s="23">
        <f t="shared" ref="O2:O33" si="0">AF2*J2</f>
        <v>31018637.156183399</v>
      </c>
      <c r="P2" s="23">
        <f t="shared" ref="P2:P33" si="1">AG2*J2</f>
        <v>31018637.156183399</v>
      </c>
      <c r="Q2" s="23">
        <f t="shared" ref="Q2:Q33" si="2">P2*L2*M2*N2</f>
        <v>4557861.5676366678</v>
      </c>
      <c r="R2" s="23">
        <f t="shared" ref="R2:R33" si="3">O2*K2*M2*N2</f>
        <v>4557861.5676366678</v>
      </c>
      <c r="S2" s="23">
        <f t="shared" ref="S2:S33" si="4">R2-Q2</f>
        <v>0</v>
      </c>
      <c r="T2" s="16">
        <f>IFERROR(INDEX(Cost_Components!$R$2:$R$6,MATCH(E2,Cost_Components!$A$2:$A$6,0)),"")</f>
        <v>1</v>
      </c>
      <c r="U2" s="26">
        <f>IFERROR(INDEX(Cost_Components!$Q$2:$Q$6,MATCH(E2,Cost_Components!$A$2:$A$6,0)),"")</f>
        <v>2023</v>
      </c>
      <c r="V2" s="30">
        <f>1/(1+Calculation_Assumptions!$B$5)^(B2-Calculation_Assumptions!$B$2)</f>
        <v>1</v>
      </c>
      <c r="W2" s="23">
        <f t="shared" ref="W2:W33" si="5">Q2*V2</f>
        <v>4557861.5676366678</v>
      </c>
      <c r="X2" s="23">
        <f t="shared" ref="X2:X33" si="6">R2*V2</f>
        <v>4557861.5676366678</v>
      </c>
      <c r="Y2" s="23">
        <f t="shared" ref="Y2:Y33" si="7">S2*V2</f>
        <v>0</v>
      </c>
      <c r="Z2" s="17">
        <f>IFERROR(INDEX(Cost_Components!$T$2:$T$6,MATCH(E2,Cost_Components!$A$2:$A$6,0)),"")</f>
        <v>0.41649999999999998</v>
      </c>
      <c r="AA2" s="26">
        <f>IFERROR(INDEX(Cost_Components!$U$2:$U$6,MATCH(E2,Cost_Components!$A$2:$A$6,0)),"")</f>
        <v>2025</v>
      </c>
      <c r="AB2" s="26">
        <f>IFERROR(INDEX(Cost_Components!$V$2:$V$6,MATCH(E2,Cost_Components!$A$2:$A$6,0)),"")</f>
        <v>2040</v>
      </c>
      <c r="AC2" s="26">
        <f>IFERROR(INDEX(Cost_Components!$M$2:$M$6,MATCH(E2,Cost_Components!$A$2:$A$6,0)),"")</f>
        <v>30</v>
      </c>
      <c r="AD2" s="26">
        <f>IFERROR(INDEX(Cost_Components!$N$2:$N$6,MATCH(E2,Cost_Components!$A$2:$A$6,0)),"")</f>
        <v>95</v>
      </c>
      <c r="AE2" s="16" t="str">
        <f>IFERROR(INDEX(Cost_Components!$O$2:$O$6,MATCH(E2,Cost_Components!$A$2:$A$6,0)),"")</f>
        <v>Both</v>
      </c>
      <c r="AF2" s="11">
        <v>155093185.78091699</v>
      </c>
      <c r="AG2" s="11">
        <v>155093185.78091699</v>
      </c>
      <c r="AH2" s="23">
        <f t="shared" ref="AH2:AH33" si="8">IF(H2="shared-count-once",COUNTIFS($A$2:$A$131,A2,$B$2:$B$131,B2,$E$2:$E$131,E2),1)</f>
        <v>1</v>
      </c>
      <c r="AI2" s="10">
        <v>288391907.64445603</v>
      </c>
      <c r="AJ2" s="29">
        <f t="shared" ref="AJ2:AJ33" si="9">IF(AI2=0,"",Q2/AI2)</f>
        <v>1.580440174228407E-2</v>
      </c>
      <c r="AK2" s="29">
        <f t="shared" ref="AK2:AK33" si="10">IF(AI2=0,"",R2/AI2)</f>
        <v>1.580440174228407E-2</v>
      </c>
      <c r="AL2" s="29">
        <f t="shared" ref="AL2:AL33" si="11">IF(AI2=0,"",S2/AI2)</f>
        <v>0</v>
      </c>
      <c r="AM2" s="29">
        <f t="shared" ref="AM2:AM33" si="12">IF(AI2=0,"",Y2/AI2)</f>
        <v>0</v>
      </c>
    </row>
    <row r="3" spans="1:39">
      <c r="A3" t="s">
        <v>115</v>
      </c>
      <c r="B3" s="20">
        <v>2026</v>
      </c>
      <c r="C3" t="s">
        <v>204</v>
      </c>
      <c r="E3" s="22" t="s">
        <v>267</v>
      </c>
      <c r="F3" s="22" t="s">
        <v>268</v>
      </c>
      <c r="G3" s="22" t="s">
        <v>213</v>
      </c>
      <c r="H3" s="22" t="s">
        <v>214</v>
      </c>
      <c r="I3" s="22" t="s">
        <v>265</v>
      </c>
      <c r="J3" s="17">
        <f>IFERROR(INDEX(Cost_Components!$K$2:$K$6,MATCH(E3,Cost_Components!$A$2:$A$6,0)),"")</f>
        <v>0.2</v>
      </c>
      <c r="K3" s="31">
        <v>0.11831348589832499</v>
      </c>
      <c r="L3" s="17">
        <f>IFERROR(INDEX(Cost_Components!$S$2:$S$6,MATCH(E3,Cost_Components!$A$2:$A$6,0)),"")</f>
        <v>0.113766857372906</v>
      </c>
      <c r="M3" s="28">
        <f>IFERROR(INDEX(Cost_Components!$L$2:$L$6,MATCH(E3,Cost_Components!$A$2:$A$6,0)),"")</f>
        <v>1</v>
      </c>
      <c r="N3" s="29">
        <f>IFERROR(INDEX(Cost_Components!$P$2:$P$6,MATCH(E3,Cost_Components!$A$2:$A$6,0)),"")</f>
        <v>1.2915840000000001</v>
      </c>
      <c r="O3" s="23">
        <f t="shared" si="0"/>
        <v>31500765.685001805</v>
      </c>
      <c r="P3" s="23">
        <f t="shared" si="1"/>
        <v>31500765.685001805</v>
      </c>
      <c r="Q3" s="23">
        <f t="shared" si="2"/>
        <v>4628705.2697986299</v>
      </c>
      <c r="R3" s="23">
        <f t="shared" si="3"/>
        <v>4813688.8748782901</v>
      </c>
      <c r="S3" s="23">
        <f t="shared" si="4"/>
        <v>184983.60507966019</v>
      </c>
      <c r="T3" s="16">
        <f>IFERROR(INDEX(Cost_Components!$R$2:$R$6,MATCH(E3,Cost_Components!$A$2:$A$6,0)),"")</f>
        <v>1</v>
      </c>
      <c r="U3" s="26">
        <f>IFERROR(INDEX(Cost_Components!$Q$2:$Q$6,MATCH(E3,Cost_Components!$A$2:$A$6,0)),"")</f>
        <v>2023</v>
      </c>
      <c r="V3" s="30">
        <f>1/(1+Calculation_Assumptions!$B$5)^(B3-Calculation_Assumptions!$B$2)</f>
        <v>0.970873786407767</v>
      </c>
      <c r="W3" s="23">
        <f t="shared" si="5"/>
        <v>4493888.6114549804</v>
      </c>
      <c r="X3" s="23">
        <f t="shared" si="6"/>
        <v>4673484.3445420293</v>
      </c>
      <c r="Y3" s="23">
        <f t="shared" si="7"/>
        <v>179595.73308704872</v>
      </c>
      <c r="Z3" s="17">
        <f>IFERROR(INDEX(Cost_Components!$T$2:$T$6,MATCH(E3,Cost_Components!$A$2:$A$6,0)),"")</f>
        <v>0.41649999999999998</v>
      </c>
      <c r="AA3" s="26">
        <f>IFERROR(INDEX(Cost_Components!$U$2:$U$6,MATCH(E3,Cost_Components!$A$2:$A$6,0)),"")</f>
        <v>2025</v>
      </c>
      <c r="AB3" s="26">
        <f>IFERROR(INDEX(Cost_Components!$V$2:$V$6,MATCH(E3,Cost_Components!$A$2:$A$6,0)),"")</f>
        <v>2040</v>
      </c>
      <c r="AC3" s="26">
        <f>IFERROR(INDEX(Cost_Components!$M$2:$M$6,MATCH(E3,Cost_Components!$A$2:$A$6,0)),"")</f>
        <v>30</v>
      </c>
      <c r="AD3" s="26">
        <f>IFERROR(INDEX(Cost_Components!$N$2:$N$6,MATCH(E3,Cost_Components!$A$2:$A$6,0)),"")</f>
        <v>95</v>
      </c>
      <c r="AE3" s="16" t="str">
        <f>IFERROR(INDEX(Cost_Components!$O$2:$O$6,MATCH(E3,Cost_Components!$A$2:$A$6,0)),"")</f>
        <v>Both</v>
      </c>
      <c r="AF3" s="11">
        <v>157503828.42500901</v>
      </c>
      <c r="AG3" s="11">
        <v>157503828.42500901</v>
      </c>
      <c r="AH3" s="23">
        <f t="shared" si="8"/>
        <v>1</v>
      </c>
      <c r="AI3" s="10">
        <v>290472130.233437</v>
      </c>
      <c r="AJ3" s="29">
        <f t="shared" si="9"/>
        <v>1.5935109733518273E-2</v>
      </c>
      <c r="AK3" s="29">
        <f t="shared" si="10"/>
        <v>1.6571947439535023E-2</v>
      </c>
      <c r="AL3" s="29">
        <f t="shared" si="11"/>
        <v>6.3683770601674833E-4</v>
      </c>
      <c r="AM3" s="29">
        <f t="shared" si="12"/>
        <v>6.1828903496771682E-4</v>
      </c>
    </row>
    <row r="4" spans="1:39">
      <c r="A4" t="s">
        <v>115</v>
      </c>
      <c r="B4" s="20">
        <v>2027</v>
      </c>
      <c r="C4" t="s">
        <v>204</v>
      </c>
      <c r="E4" s="22" t="s">
        <v>267</v>
      </c>
      <c r="F4" s="22" t="s">
        <v>268</v>
      </c>
      <c r="G4" s="22" t="s">
        <v>213</v>
      </c>
      <c r="H4" s="22" t="s">
        <v>214</v>
      </c>
      <c r="I4" s="22" t="s">
        <v>265</v>
      </c>
      <c r="J4" s="17">
        <f>IFERROR(INDEX(Cost_Components!$K$2:$K$6,MATCH(E4,Cost_Components!$A$2:$A$6,0)),"")</f>
        <v>0.2</v>
      </c>
      <c r="K4" s="31">
        <v>0.122860114423744</v>
      </c>
      <c r="L4" s="17">
        <f>IFERROR(INDEX(Cost_Components!$S$2:$S$6,MATCH(E4,Cost_Components!$A$2:$A$6,0)),"")</f>
        <v>0.113766857372906</v>
      </c>
      <c r="M4" s="28">
        <f>IFERROR(INDEX(Cost_Components!$L$2:$L$6,MATCH(E4,Cost_Components!$A$2:$A$6,0)),"")</f>
        <v>1</v>
      </c>
      <c r="N4" s="29">
        <f>IFERROR(INDEX(Cost_Components!$P$2:$P$6,MATCH(E4,Cost_Components!$A$2:$A$6,0)),"")</f>
        <v>1.2915840000000001</v>
      </c>
      <c r="O4" s="23">
        <f t="shared" si="0"/>
        <v>31986853.313364204</v>
      </c>
      <c r="P4" s="23">
        <f t="shared" si="1"/>
        <v>31991422.432163402</v>
      </c>
      <c r="Q4" s="23">
        <f t="shared" si="2"/>
        <v>4700802.1036965586</v>
      </c>
      <c r="R4" s="23">
        <f t="shared" si="3"/>
        <v>5075806.8859924059</v>
      </c>
      <c r="S4" s="23">
        <f t="shared" si="4"/>
        <v>375004.78229584731</v>
      </c>
      <c r="T4" s="16">
        <f>IFERROR(INDEX(Cost_Components!$R$2:$R$6,MATCH(E4,Cost_Components!$A$2:$A$6,0)),"")</f>
        <v>1</v>
      </c>
      <c r="U4" s="26">
        <f>IFERROR(INDEX(Cost_Components!$Q$2:$Q$6,MATCH(E4,Cost_Components!$A$2:$A$6,0)),"")</f>
        <v>2023</v>
      </c>
      <c r="V4" s="30">
        <f>1/(1+Calculation_Assumptions!$B$5)^(B4-Calculation_Assumptions!$B$2)</f>
        <v>0.94259590913375435</v>
      </c>
      <c r="W4" s="23">
        <f t="shared" si="5"/>
        <v>4430956.8325917227</v>
      </c>
      <c r="X4" s="23">
        <f t="shared" si="6"/>
        <v>4784434.8062893823</v>
      </c>
      <c r="Y4" s="23">
        <f t="shared" si="7"/>
        <v>353477.97369765985</v>
      </c>
      <c r="Z4" s="17">
        <f>IFERROR(INDEX(Cost_Components!$T$2:$T$6,MATCH(E4,Cost_Components!$A$2:$A$6,0)),"")</f>
        <v>0.41649999999999998</v>
      </c>
      <c r="AA4" s="26">
        <f>IFERROR(INDEX(Cost_Components!$U$2:$U$6,MATCH(E4,Cost_Components!$A$2:$A$6,0)),"")</f>
        <v>2025</v>
      </c>
      <c r="AB4" s="26">
        <f>IFERROR(INDEX(Cost_Components!$V$2:$V$6,MATCH(E4,Cost_Components!$A$2:$A$6,0)),"")</f>
        <v>2040</v>
      </c>
      <c r="AC4" s="26">
        <f>IFERROR(INDEX(Cost_Components!$M$2:$M$6,MATCH(E4,Cost_Components!$A$2:$A$6,0)),"")</f>
        <v>30</v>
      </c>
      <c r="AD4" s="26">
        <f>IFERROR(INDEX(Cost_Components!$N$2:$N$6,MATCH(E4,Cost_Components!$A$2:$A$6,0)),"")</f>
        <v>95</v>
      </c>
      <c r="AE4" s="16" t="str">
        <f>IFERROR(INDEX(Cost_Components!$O$2:$O$6,MATCH(E4,Cost_Components!$A$2:$A$6,0)),"")</f>
        <v>Both</v>
      </c>
      <c r="AF4" s="11">
        <v>159934266.56682101</v>
      </c>
      <c r="AG4" s="11">
        <v>159957112.160817</v>
      </c>
      <c r="AH4" s="23">
        <f t="shared" si="8"/>
        <v>1</v>
      </c>
      <c r="AI4" s="10">
        <v>292505080.826208</v>
      </c>
      <c r="AJ4" s="29">
        <f t="shared" si="9"/>
        <v>1.6070839147199437E-2</v>
      </c>
      <c r="AK4" s="29">
        <f t="shared" si="10"/>
        <v>1.735288450940857E-2</v>
      </c>
      <c r="AL4" s="29">
        <f t="shared" si="11"/>
        <v>1.2820453622091321E-3</v>
      </c>
      <c r="AM4" s="29">
        <f t="shared" si="12"/>
        <v>1.2084507137422305E-3</v>
      </c>
    </row>
    <row r="5" spans="1:39">
      <c r="A5" t="s">
        <v>115</v>
      </c>
      <c r="B5" s="20">
        <v>2028</v>
      </c>
      <c r="C5" t="s">
        <v>204</v>
      </c>
      <c r="E5" s="22" t="s">
        <v>267</v>
      </c>
      <c r="F5" s="22" t="s">
        <v>268</v>
      </c>
      <c r="G5" s="22" t="s">
        <v>213</v>
      </c>
      <c r="H5" s="22" t="s">
        <v>214</v>
      </c>
      <c r="I5" s="22" t="s">
        <v>265</v>
      </c>
      <c r="J5" s="17">
        <f>IFERROR(INDEX(Cost_Components!$K$2:$K$6,MATCH(E5,Cost_Components!$A$2:$A$6,0)),"")</f>
        <v>0.2</v>
      </c>
      <c r="K5" s="31">
        <v>0.12740674294916199</v>
      </c>
      <c r="L5" s="17">
        <f>IFERROR(INDEX(Cost_Components!$S$2:$S$6,MATCH(E5,Cost_Components!$A$2:$A$6,0)),"")</f>
        <v>0.113766857372906</v>
      </c>
      <c r="M5" s="28">
        <f>IFERROR(INDEX(Cost_Components!$L$2:$L$6,MATCH(E5,Cost_Components!$A$2:$A$6,0)),"")</f>
        <v>1</v>
      </c>
      <c r="N5" s="29">
        <f>IFERROR(INDEX(Cost_Components!$P$2:$P$6,MATCH(E5,Cost_Components!$A$2:$A$6,0)),"")</f>
        <v>1.2915840000000001</v>
      </c>
      <c r="O5" s="23">
        <f t="shared" si="0"/>
        <v>32440960.283505604</v>
      </c>
      <c r="P5" s="23">
        <f t="shared" si="1"/>
        <v>32440867.225235999</v>
      </c>
      <c r="Q5" s="23">
        <f t="shared" si="2"/>
        <v>4766843.2756154099</v>
      </c>
      <c r="R5" s="23">
        <f t="shared" si="3"/>
        <v>5338371.2275324753</v>
      </c>
      <c r="S5" s="23">
        <f t="shared" si="4"/>
        <v>571527.95191706531</v>
      </c>
      <c r="T5" s="16">
        <f>IFERROR(INDEX(Cost_Components!$R$2:$R$6,MATCH(E5,Cost_Components!$A$2:$A$6,0)),"")</f>
        <v>1</v>
      </c>
      <c r="U5" s="26">
        <f>IFERROR(INDEX(Cost_Components!$Q$2:$Q$6,MATCH(E5,Cost_Components!$A$2:$A$6,0)),"")</f>
        <v>2023</v>
      </c>
      <c r="V5" s="30">
        <f>1/(1+Calculation_Assumptions!$B$5)^(B5-Calculation_Assumptions!$B$2)</f>
        <v>0.91514165935315961</v>
      </c>
      <c r="W5" s="23">
        <f t="shared" si="5"/>
        <v>4362336.8651231369</v>
      </c>
      <c r="X5" s="23">
        <f t="shared" si="6"/>
        <v>4885365.9034072328</v>
      </c>
      <c r="Y5" s="23">
        <f t="shared" si="7"/>
        <v>523029.03828409594</v>
      </c>
      <c r="Z5" s="17">
        <f>IFERROR(INDEX(Cost_Components!$T$2:$T$6,MATCH(E5,Cost_Components!$A$2:$A$6,0)),"")</f>
        <v>0.41649999999999998</v>
      </c>
      <c r="AA5" s="26">
        <f>IFERROR(INDEX(Cost_Components!$U$2:$U$6,MATCH(E5,Cost_Components!$A$2:$A$6,0)),"")</f>
        <v>2025</v>
      </c>
      <c r="AB5" s="26">
        <f>IFERROR(INDEX(Cost_Components!$V$2:$V$6,MATCH(E5,Cost_Components!$A$2:$A$6,0)),"")</f>
        <v>2040</v>
      </c>
      <c r="AC5" s="26">
        <f>IFERROR(INDEX(Cost_Components!$M$2:$M$6,MATCH(E5,Cost_Components!$A$2:$A$6,0)),"")</f>
        <v>30</v>
      </c>
      <c r="AD5" s="26">
        <f>IFERROR(INDEX(Cost_Components!$N$2:$N$6,MATCH(E5,Cost_Components!$A$2:$A$6,0)),"")</f>
        <v>95</v>
      </c>
      <c r="AE5" s="16" t="str">
        <f>IFERROR(INDEX(Cost_Components!$O$2:$O$6,MATCH(E5,Cost_Components!$A$2:$A$6,0)),"")</f>
        <v>Both</v>
      </c>
      <c r="AF5" s="11">
        <v>162204801.417528</v>
      </c>
      <c r="AG5" s="11">
        <v>162204336.12617999</v>
      </c>
      <c r="AH5" s="23">
        <f t="shared" si="8"/>
        <v>1</v>
      </c>
      <c r="AI5" s="10">
        <v>294484707.92155403</v>
      </c>
      <c r="AJ5" s="29">
        <f t="shared" si="9"/>
        <v>1.6187065567035214E-2</v>
      </c>
      <c r="AK5" s="29">
        <f t="shared" si="10"/>
        <v>1.8127838505470142E-2</v>
      </c>
      <c r="AL5" s="29">
        <f t="shared" si="11"/>
        <v>1.9407729384349258E-3</v>
      </c>
      <c r="AM5" s="29">
        <f t="shared" si="12"/>
        <v>1.7760821673070454E-3</v>
      </c>
    </row>
    <row r="6" spans="1:39">
      <c r="A6" t="s">
        <v>115</v>
      </c>
      <c r="B6" s="20">
        <v>2029</v>
      </c>
      <c r="C6" t="s">
        <v>204</v>
      </c>
      <c r="E6" s="22" t="s">
        <v>267</v>
      </c>
      <c r="F6" s="22" t="s">
        <v>268</v>
      </c>
      <c r="G6" s="22" t="s">
        <v>213</v>
      </c>
      <c r="H6" s="22" t="s">
        <v>214</v>
      </c>
      <c r="I6" s="22" t="s">
        <v>265</v>
      </c>
      <c r="J6" s="17">
        <f>IFERROR(INDEX(Cost_Components!$K$2:$K$6,MATCH(E6,Cost_Components!$A$2:$A$6,0)),"")</f>
        <v>0.2</v>
      </c>
      <c r="K6" s="31">
        <v>0.131953371474581</v>
      </c>
      <c r="L6" s="17">
        <f>IFERROR(INDEX(Cost_Components!$S$2:$S$6,MATCH(E6,Cost_Components!$A$2:$A$6,0)),"")</f>
        <v>0.113766857372906</v>
      </c>
      <c r="M6" s="28">
        <f>IFERROR(INDEX(Cost_Components!$L$2:$L$6,MATCH(E6,Cost_Components!$A$2:$A$6,0)),"")</f>
        <v>1</v>
      </c>
      <c r="N6" s="29">
        <f>IFERROR(INDEX(Cost_Components!$P$2:$P$6,MATCH(E6,Cost_Components!$A$2:$A$6,0)),"")</f>
        <v>1.2915840000000001</v>
      </c>
      <c r="O6" s="23">
        <f t="shared" si="0"/>
        <v>32867536.065568402</v>
      </c>
      <c r="P6" s="23">
        <f t="shared" si="1"/>
        <v>32870901.433873601</v>
      </c>
      <c r="Q6" s="23">
        <f t="shared" si="2"/>
        <v>4830032.266880543</v>
      </c>
      <c r="R6" s="23">
        <f t="shared" si="3"/>
        <v>5601576.8125275644</v>
      </c>
      <c r="S6" s="23">
        <f t="shared" si="4"/>
        <v>771544.54564702138</v>
      </c>
      <c r="T6" s="16">
        <f>IFERROR(INDEX(Cost_Components!$R$2:$R$6,MATCH(E6,Cost_Components!$A$2:$A$6,0)),"")</f>
        <v>1</v>
      </c>
      <c r="U6" s="26">
        <f>IFERROR(INDEX(Cost_Components!$Q$2:$Q$6,MATCH(E6,Cost_Components!$A$2:$A$6,0)),"")</f>
        <v>2023</v>
      </c>
      <c r="V6" s="30">
        <f>1/(1+Calculation_Assumptions!$B$5)^(B6-Calculation_Assumptions!$B$2)</f>
        <v>0.888487047915689</v>
      </c>
      <c r="W6" s="23">
        <f t="shared" si="5"/>
        <v>4291421.110138217</v>
      </c>
      <c r="X6" s="23">
        <f t="shared" si="6"/>
        <v>4976928.4458355904</v>
      </c>
      <c r="Y6" s="23">
        <f t="shared" si="7"/>
        <v>685507.33569737361</v>
      </c>
      <c r="Z6" s="17">
        <f>IFERROR(INDEX(Cost_Components!$T$2:$T$6,MATCH(E6,Cost_Components!$A$2:$A$6,0)),"")</f>
        <v>0.41649999999999998</v>
      </c>
      <c r="AA6" s="26">
        <f>IFERROR(INDEX(Cost_Components!$U$2:$U$6,MATCH(E6,Cost_Components!$A$2:$A$6,0)),"")</f>
        <v>2025</v>
      </c>
      <c r="AB6" s="26">
        <f>IFERROR(INDEX(Cost_Components!$V$2:$V$6,MATCH(E6,Cost_Components!$A$2:$A$6,0)),"")</f>
        <v>2040</v>
      </c>
      <c r="AC6" s="26">
        <f>IFERROR(INDEX(Cost_Components!$M$2:$M$6,MATCH(E6,Cost_Components!$A$2:$A$6,0)),"")</f>
        <v>30</v>
      </c>
      <c r="AD6" s="26">
        <f>IFERROR(INDEX(Cost_Components!$N$2:$N$6,MATCH(E6,Cost_Components!$A$2:$A$6,0)),"")</f>
        <v>95</v>
      </c>
      <c r="AE6" s="16" t="str">
        <f>IFERROR(INDEX(Cost_Components!$O$2:$O$6,MATCH(E6,Cost_Components!$A$2:$A$6,0)),"")</f>
        <v>Both</v>
      </c>
      <c r="AF6" s="11">
        <v>164337680.327842</v>
      </c>
      <c r="AG6" s="11">
        <v>164354507.169368</v>
      </c>
      <c r="AH6" s="23">
        <f t="shared" si="8"/>
        <v>1</v>
      </c>
      <c r="AI6" s="10">
        <v>296414030.31142998</v>
      </c>
      <c r="AJ6" s="29">
        <f t="shared" si="9"/>
        <v>1.629488409103249E-2</v>
      </c>
      <c r="AK6" s="29">
        <f t="shared" si="10"/>
        <v>1.8897812652937579E-2</v>
      </c>
      <c r="AL6" s="29">
        <f t="shared" si="11"/>
        <v>2.6029285619050871E-3</v>
      </c>
      <c r="AM6" s="29">
        <f t="shared" si="12"/>
        <v>2.3126683139024808E-3</v>
      </c>
    </row>
    <row r="7" spans="1:39">
      <c r="A7" t="s">
        <v>115</v>
      </c>
      <c r="B7" s="20">
        <v>2030</v>
      </c>
      <c r="C7" t="s">
        <v>204</v>
      </c>
      <c r="E7" s="22" t="s">
        <v>267</v>
      </c>
      <c r="F7" s="22" t="s">
        <v>268</v>
      </c>
      <c r="G7" s="22" t="s">
        <v>213</v>
      </c>
      <c r="H7" s="22" t="s">
        <v>214</v>
      </c>
      <c r="I7" s="22" t="s">
        <v>265</v>
      </c>
      <c r="J7" s="17">
        <f>IFERROR(INDEX(Cost_Components!$K$2:$K$6,MATCH(E7,Cost_Components!$A$2:$A$6,0)),"")</f>
        <v>0.2</v>
      </c>
      <c r="K7" s="31">
        <v>0.13650000000000001</v>
      </c>
      <c r="L7" s="17">
        <f>IFERROR(INDEX(Cost_Components!$S$2:$S$6,MATCH(E7,Cost_Components!$A$2:$A$6,0)),"")</f>
        <v>0.113766857372906</v>
      </c>
      <c r="M7" s="28">
        <f>IFERROR(INDEX(Cost_Components!$L$2:$L$6,MATCH(E7,Cost_Components!$A$2:$A$6,0)),"")</f>
        <v>1</v>
      </c>
      <c r="N7" s="29">
        <f>IFERROR(INDEX(Cost_Components!$P$2:$P$6,MATCH(E7,Cost_Components!$A$2:$A$6,0)),"")</f>
        <v>1.2915840000000001</v>
      </c>
      <c r="O7" s="23">
        <f t="shared" si="0"/>
        <v>33287214.655506402</v>
      </c>
      <c r="P7" s="23">
        <f t="shared" si="1"/>
        <v>33283110.456569202</v>
      </c>
      <c r="Q7" s="23">
        <f t="shared" si="2"/>
        <v>4890602.0350788468</v>
      </c>
      <c r="R7" s="23">
        <f t="shared" si="3"/>
        <v>5868576.4210188007</v>
      </c>
      <c r="S7" s="23">
        <f t="shared" si="4"/>
        <v>977974.38593995385</v>
      </c>
      <c r="T7" s="16">
        <f>IFERROR(INDEX(Cost_Components!$R$2:$R$6,MATCH(E7,Cost_Components!$A$2:$A$6,0)),"")</f>
        <v>1</v>
      </c>
      <c r="U7" s="26">
        <f>IFERROR(INDEX(Cost_Components!$Q$2:$Q$6,MATCH(E7,Cost_Components!$A$2:$A$6,0)),"")</f>
        <v>2023</v>
      </c>
      <c r="V7" s="30">
        <f>1/(1+Calculation_Assumptions!$B$5)^(B7-Calculation_Assumptions!$B$2)</f>
        <v>0.86260878438416411</v>
      </c>
      <c r="W7" s="23">
        <f t="shared" si="5"/>
        <v>4218676.2763860831</v>
      </c>
      <c r="X7" s="23">
        <f t="shared" si="6"/>
        <v>5062285.5726005966</v>
      </c>
      <c r="Y7" s="23">
        <f t="shared" si="7"/>
        <v>843609.2962145129</v>
      </c>
      <c r="Z7" s="17">
        <f>IFERROR(INDEX(Cost_Components!$T$2:$T$6,MATCH(E7,Cost_Components!$A$2:$A$6,0)),"")</f>
        <v>0.41649999999999998</v>
      </c>
      <c r="AA7" s="26">
        <f>IFERROR(INDEX(Cost_Components!$U$2:$U$6,MATCH(E7,Cost_Components!$A$2:$A$6,0)),"")</f>
        <v>2025</v>
      </c>
      <c r="AB7" s="26">
        <f>IFERROR(INDEX(Cost_Components!$V$2:$V$6,MATCH(E7,Cost_Components!$A$2:$A$6,0)),"")</f>
        <v>2040</v>
      </c>
      <c r="AC7" s="26">
        <f>IFERROR(INDEX(Cost_Components!$M$2:$M$6,MATCH(E7,Cost_Components!$A$2:$A$6,0)),"")</f>
        <v>30</v>
      </c>
      <c r="AD7" s="26">
        <f>IFERROR(INDEX(Cost_Components!$N$2:$N$6,MATCH(E7,Cost_Components!$A$2:$A$6,0)),"")</f>
        <v>95</v>
      </c>
      <c r="AE7" s="16" t="str">
        <f>IFERROR(INDEX(Cost_Components!$O$2:$O$6,MATCH(E7,Cost_Components!$A$2:$A$6,0)),"")</f>
        <v>Both</v>
      </c>
      <c r="AF7" s="11">
        <v>166436073.27753201</v>
      </c>
      <c r="AG7" s="11">
        <v>166415552.282846</v>
      </c>
      <c r="AH7" s="23">
        <f t="shared" si="8"/>
        <v>1</v>
      </c>
      <c r="AI7" s="10">
        <v>298289404.664994</v>
      </c>
      <c r="AJ7" s="29">
        <f t="shared" si="9"/>
        <v>1.6395493633343885E-2</v>
      </c>
      <c r="AK7" s="29">
        <f t="shared" si="10"/>
        <v>1.9674102831811084E-2</v>
      </c>
      <c r="AL7" s="29">
        <f t="shared" si="11"/>
        <v>3.2786091984671984E-3</v>
      </c>
      <c r="AM7" s="29">
        <f t="shared" si="12"/>
        <v>2.8281570951605287E-3</v>
      </c>
    </row>
    <row r="8" spans="1:39">
      <c r="A8" t="s">
        <v>115</v>
      </c>
      <c r="B8" s="20">
        <v>2031</v>
      </c>
      <c r="C8" t="s">
        <v>204</v>
      </c>
      <c r="E8" s="22" t="s">
        <v>267</v>
      </c>
      <c r="F8" s="22" t="s">
        <v>268</v>
      </c>
      <c r="G8" s="22" t="s">
        <v>213</v>
      </c>
      <c r="H8" s="22" t="s">
        <v>214</v>
      </c>
      <c r="I8" s="22" t="s">
        <v>265</v>
      </c>
      <c r="J8" s="17">
        <f>IFERROR(INDEX(Cost_Components!$K$2:$K$6,MATCH(E8,Cost_Components!$A$2:$A$6,0)),"")</f>
        <v>0.2</v>
      </c>
      <c r="K8" s="31">
        <v>0.16450000000000001</v>
      </c>
      <c r="L8" s="17">
        <f>IFERROR(INDEX(Cost_Components!$S$2:$S$6,MATCH(E8,Cost_Components!$A$2:$A$6,0)),"")</f>
        <v>0.113766857372906</v>
      </c>
      <c r="M8" s="28">
        <f>IFERROR(INDEX(Cost_Components!$L$2:$L$6,MATCH(E8,Cost_Components!$A$2:$A$6,0)),"")</f>
        <v>1</v>
      </c>
      <c r="N8" s="29">
        <f>IFERROR(INDEX(Cost_Components!$P$2:$P$6,MATCH(E8,Cost_Components!$A$2:$A$6,0)),"")</f>
        <v>1.2915840000000001</v>
      </c>
      <c r="O8" s="23">
        <f t="shared" si="0"/>
        <v>33696763.149103396</v>
      </c>
      <c r="P8" s="23">
        <f t="shared" si="1"/>
        <v>33692257.180777006</v>
      </c>
      <c r="Q8" s="23">
        <f t="shared" si="2"/>
        <v>4950721.8308133101</v>
      </c>
      <c r="R8" s="23">
        <f t="shared" si="3"/>
        <v>7159401.9222357227</v>
      </c>
      <c r="S8" s="23">
        <f t="shared" si="4"/>
        <v>2208680.0914224125</v>
      </c>
      <c r="T8" s="16">
        <f>IFERROR(INDEX(Cost_Components!$R$2:$R$6,MATCH(E8,Cost_Components!$A$2:$A$6,0)),"")</f>
        <v>1</v>
      </c>
      <c r="U8" s="26">
        <f>IFERROR(INDEX(Cost_Components!$Q$2:$Q$6,MATCH(E8,Cost_Components!$A$2:$A$6,0)),"")</f>
        <v>2023</v>
      </c>
      <c r="V8" s="30">
        <f>1/(1+Calculation_Assumptions!$B$5)^(B8-Calculation_Assumptions!$B$2)</f>
        <v>0.83748425668365445</v>
      </c>
      <c r="W8" s="23">
        <f t="shared" si="5"/>
        <v>4146151.5925262258</v>
      </c>
      <c r="X8" s="23">
        <f t="shared" si="6"/>
        <v>5995886.3971431106</v>
      </c>
      <c r="Y8" s="23">
        <f t="shared" si="7"/>
        <v>1849734.804616885</v>
      </c>
      <c r="Z8" s="17">
        <f>IFERROR(INDEX(Cost_Components!$T$2:$T$6,MATCH(E8,Cost_Components!$A$2:$A$6,0)),"")</f>
        <v>0.41649999999999998</v>
      </c>
      <c r="AA8" s="26">
        <f>IFERROR(INDEX(Cost_Components!$U$2:$U$6,MATCH(E8,Cost_Components!$A$2:$A$6,0)),"")</f>
        <v>2025</v>
      </c>
      <c r="AB8" s="26">
        <f>IFERROR(INDEX(Cost_Components!$V$2:$V$6,MATCH(E8,Cost_Components!$A$2:$A$6,0)),"")</f>
        <v>2040</v>
      </c>
      <c r="AC8" s="26">
        <f>IFERROR(INDEX(Cost_Components!$M$2:$M$6,MATCH(E8,Cost_Components!$A$2:$A$6,0)),"")</f>
        <v>30</v>
      </c>
      <c r="AD8" s="26">
        <f>IFERROR(INDEX(Cost_Components!$N$2:$N$6,MATCH(E8,Cost_Components!$A$2:$A$6,0)),"")</f>
        <v>95</v>
      </c>
      <c r="AE8" s="16" t="str">
        <f>IFERROR(INDEX(Cost_Components!$O$2:$O$6,MATCH(E8,Cost_Components!$A$2:$A$6,0)),"")</f>
        <v>Both</v>
      </c>
      <c r="AF8" s="11">
        <v>168483815.74551699</v>
      </c>
      <c r="AG8" s="11">
        <v>168461285.90388501</v>
      </c>
      <c r="AH8" s="23">
        <f t="shared" si="8"/>
        <v>1</v>
      </c>
      <c r="AI8" s="10">
        <v>300119636.92551899</v>
      </c>
      <c r="AJ8" s="29">
        <f t="shared" si="9"/>
        <v>1.649582773566375E-2</v>
      </c>
      <c r="AK8" s="29">
        <f t="shared" si="10"/>
        <v>2.385515988083272E-2</v>
      </c>
      <c r="AL8" s="29">
        <f t="shared" si="11"/>
        <v>7.3593321451689711E-3</v>
      </c>
      <c r="AM8" s="29">
        <f t="shared" si="12"/>
        <v>6.1633248112849598E-3</v>
      </c>
    </row>
    <row r="9" spans="1:39">
      <c r="A9" t="s">
        <v>115</v>
      </c>
      <c r="B9" s="20">
        <v>2032</v>
      </c>
      <c r="C9" t="s">
        <v>204</v>
      </c>
      <c r="E9" s="22" t="s">
        <v>267</v>
      </c>
      <c r="F9" s="22" t="s">
        <v>268</v>
      </c>
      <c r="G9" s="22" t="s">
        <v>213</v>
      </c>
      <c r="H9" s="22" t="s">
        <v>214</v>
      </c>
      <c r="I9" s="22" t="s">
        <v>265</v>
      </c>
      <c r="J9" s="17">
        <f>IFERROR(INDEX(Cost_Components!$K$2:$K$6,MATCH(E9,Cost_Components!$A$2:$A$6,0)),"")</f>
        <v>0.2</v>
      </c>
      <c r="K9" s="31">
        <v>0.1925</v>
      </c>
      <c r="L9" s="17">
        <f>IFERROR(INDEX(Cost_Components!$S$2:$S$6,MATCH(E9,Cost_Components!$A$2:$A$6,0)),"")</f>
        <v>0.113766857372906</v>
      </c>
      <c r="M9" s="28">
        <f>IFERROR(INDEX(Cost_Components!$L$2:$L$6,MATCH(E9,Cost_Components!$A$2:$A$6,0)),"")</f>
        <v>1</v>
      </c>
      <c r="N9" s="29">
        <f>IFERROR(INDEX(Cost_Components!$P$2:$P$6,MATCH(E9,Cost_Components!$A$2:$A$6,0)),"")</f>
        <v>1.2915840000000001</v>
      </c>
      <c r="O9" s="23">
        <f t="shared" si="0"/>
        <v>34100779.782166205</v>
      </c>
      <c r="P9" s="23">
        <f t="shared" si="1"/>
        <v>34095323.070252798</v>
      </c>
      <c r="Q9" s="23">
        <f t="shared" si="2"/>
        <v>5009948.1120202132</v>
      </c>
      <c r="R9" s="23">
        <f t="shared" si="3"/>
        <v>8478474.1491776016</v>
      </c>
      <c r="S9" s="23">
        <f t="shared" si="4"/>
        <v>3468526.0371573884</v>
      </c>
      <c r="T9" s="16">
        <f>IFERROR(INDEX(Cost_Components!$R$2:$R$6,MATCH(E9,Cost_Components!$A$2:$A$6,0)),"")</f>
        <v>1</v>
      </c>
      <c r="U9" s="26">
        <f>IFERROR(INDEX(Cost_Components!$Q$2:$Q$6,MATCH(E9,Cost_Components!$A$2:$A$6,0)),"")</f>
        <v>2023</v>
      </c>
      <c r="V9" s="30">
        <f>1/(1+Calculation_Assumptions!$B$5)^(B9-Calculation_Assumptions!$B$2)</f>
        <v>0.81309151134335378</v>
      </c>
      <c r="W9" s="23">
        <f t="shared" si="5"/>
        <v>4073546.282154297</v>
      </c>
      <c r="X9" s="23">
        <f t="shared" si="6"/>
        <v>6893775.3598403716</v>
      </c>
      <c r="Y9" s="23">
        <f t="shared" si="7"/>
        <v>2820229.0776860747</v>
      </c>
      <c r="Z9" s="17">
        <f>IFERROR(INDEX(Cost_Components!$T$2:$T$6,MATCH(E9,Cost_Components!$A$2:$A$6,0)),"")</f>
        <v>0.41649999999999998</v>
      </c>
      <c r="AA9" s="26">
        <f>IFERROR(INDEX(Cost_Components!$U$2:$U$6,MATCH(E9,Cost_Components!$A$2:$A$6,0)),"")</f>
        <v>2025</v>
      </c>
      <c r="AB9" s="26">
        <f>IFERROR(INDEX(Cost_Components!$V$2:$V$6,MATCH(E9,Cost_Components!$A$2:$A$6,0)),"")</f>
        <v>2040</v>
      </c>
      <c r="AC9" s="26">
        <f>IFERROR(INDEX(Cost_Components!$M$2:$M$6,MATCH(E9,Cost_Components!$A$2:$A$6,0)),"")</f>
        <v>30</v>
      </c>
      <c r="AD9" s="26">
        <f>IFERROR(INDEX(Cost_Components!$N$2:$N$6,MATCH(E9,Cost_Components!$A$2:$A$6,0)),"")</f>
        <v>95</v>
      </c>
      <c r="AE9" s="16" t="str">
        <f>IFERROR(INDEX(Cost_Components!$O$2:$O$6,MATCH(E9,Cost_Components!$A$2:$A$6,0)),"")</f>
        <v>Both</v>
      </c>
      <c r="AF9" s="11">
        <v>170503898.910831</v>
      </c>
      <c r="AG9" s="11">
        <v>170476615.351264</v>
      </c>
      <c r="AH9" s="23">
        <f t="shared" si="8"/>
        <v>1</v>
      </c>
      <c r="AI9" s="10">
        <v>301904628.08354098</v>
      </c>
      <c r="AJ9" s="29">
        <f t="shared" si="9"/>
        <v>1.65944727108784E-2</v>
      </c>
      <c r="AK9" s="29">
        <f t="shared" si="10"/>
        <v>2.8083286443795409E-2</v>
      </c>
      <c r="AL9" s="29">
        <f t="shared" si="11"/>
        <v>1.1488813732917011E-2</v>
      </c>
      <c r="AM9" s="29">
        <f t="shared" si="12"/>
        <v>9.3414569216397712E-3</v>
      </c>
    </row>
    <row r="10" spans="1:39">
      <c r="A10" t="s">
        <v>115</v>
      </c>
      <c r="B10" s="20">
        <v>2033</v>
      </c>
      <c r="C10" t="s">
        <v>204</v>
      </c>
      <c r="E10" s="22" t="s">
        <v>267</v>
      </c>
      <c r="F10" s="22" t="s">
        <v>268</v>
      </c>
      <c r="G10" s="22" t="s">
        <v>213</v>
      </c>
      <c r="H10" s="22" t="s">
        <v>214</v>
      </c>
      <c r="I10" s="22" t="s">
        <v>265</v>
      </c>
      <c r="J10" s="17">
        <f>IFERROR(INDEX(Cost_Components!$K$2:$K$6,MATCH(E10,Cost_Components!$A$2:$A$6,0)),"")</f>
        <v>0.2</v>
      </c>
      <c r="K10" s="31">
        <v>0.2205</v>
      </c>
      <c r="L10" s="17">
        <f>IFERROR(INDEX(Cost_Components!$S$2:$S$6,MATCH(E10,Cost_Components!$A$2:$A$6,0)),"")</f>
        <v>0.113766857372906</v>
      </c>
      <c r="M10" s="28">
        <f>IFERROR(INDEX(Cost_Components!$L$2:$L$6,MATCH(E10,Cost_Components!$A$2:$A$6,0)),"")</f>
        <v>1</v>
      </c>
      <c r="N10" s="29">
        <f>IFERROR(INDEX(Cost_Components!$P$2:$P$6,MATCH(E10,Cost_Components!$A$2:$A$6,0)),"")</f>
        <v>1.2915840000000001</v>
      </c>
      <c r="O10" s="23">
        <f t="shared" si="0"/>
        <v>34499735.4468152</v>
      </c>
      <c r="P10" s="23">
        <f t="shared" si="1"/>
        <v>34492301.9682514</v>
      </c>
      <c r="Q10" s="23">
        <f t="shared" si="2"/>
        <v>5068279.974030789</v>
      </c>
      <c r="R10" s="23">
        <f t="shared" si="3"/>
        <v>9825327.0407683291</v>
      </c>
      <c r="S10" s="23">
        <f t="shared" si="4"/>
        <v>4757047.0667375401</v>
      </c>
      <c r="T10" s="16">
        <f>IFERROR(INDEX(Cost_Components!$R$2:$R$6,MATCH(E10,Cost_Components!$A$2:$A$6,0)),"")</f>
        <v>1</v>
      </c>
      <c r="U10" s="26">
        <f>IFERROR(INDEX(Cost_Components!$Q$2:$Q$6,MATCH(E10,Cost_Components!$A$2:$A$6,0)),"")</f>
        <v>2023</v>
      </c>
      <c r="V10" s="30">
        <f>1/(1+Calculation_Assumptions!$B$5)^(B10-Calculation_Assumptions!$B$2)</f>
        <v>0.78940923431393573</v>
      </c>
      <c r="W10" s="23">
        <f t="shared" si="5"/>
        <v>4000947.013588299</v>
      </c>
      <c r="X10" s="23">
        <f t="shared" si="6"/>
        <v>7756203.8961369349</v>
      </c>
      <c r="Y10" s="23">
        <f t="shared" si="7"/>
        <v>3755256.8825486354</v>
      </c>
      <c r="Z10" s="17">
        <f>IFERROR(INDEX(Cost_Components!$T$2:$T$6,MATCH(E10,Cost_Components!$A$2:$A$6,0)),"")</f>
        <v>0.41649999999999998</v>
      </c>
      <c r="AA10" s="26">
        <f>IFERROR(INDEX(Cost_Components!$U$2:$U$6,MATCH(E10,Cost_Components!$A$2:$A$6,0)),"")</f>
        <v>2025</v>
      </c>
      <c r="AB10" s="26">
        <f>IFERROR(INDEX(Cost_Components!$V$2:$V$6,MATCH(E10,Cost_Components!$A$2:$A$6,0)),"")</f>
        <v>2040</v>
      </c>
      <c r="AC10" s="26">
        <f>IFERROR(INDEX(Cost_Components!$M$2:$M$6,MATCH(E10,Cost_Components!$A$2:$A$6,0)),"")</f>
        <v>30</v>
      </c>
      <c r="AD10" s="26">
        <f>IFERROR(INDEX(Cost_Components!$N$2:$N$6,MATCH(E10,Cost_Components!$A$2:$A$6,0)),"")</f>
        <v>95</v>
      </c>
      <c r="AE10" s="16" t="str">
        <f>IFERROR(INDEX(Cost_Components!$O$2:$O$6,MATCH(E10,Cost_Components!$A$2:$A$6,0)),"")</f>
        <v>Both</v>
      </c>
      <c r="AF10" s="11">
        <v>172498677.23407599</v>
      </c>
      <c r="AG10" s="11">
        <v>172461509.84125701</v>
      </c>
      <c r="AH10" s="23">
        <f t="shared" si="8"/>
        <v>1</v>
      </c>
      <c r="AI10" s="10">
        <v>303644277.16916001</v>
      </c>
      <c r="AJ10" s="29">
        <f t="shared" si="9"/>
        <v>1.6691505011330262E-2</v>
      </c>
      <c r="AK10" s="29">
        <f t="shared" si="10"/>
        <v>3.2358018179590609E-2</v>
      </c>
      <c r="AL10" s="29">
        <f t="shared" si="11"/>
        <v>1.5666513168260347E-2</v>
      </c>
      <c r="AM10" s="29">
        <f t="shared" si="12"/>
        <v>1.2367290164525592E-2</v>
      </c>
    </row>
    <row r="11" spans="1:39">
      <c r="A11" t="s">
        <v>115</v>
      </c>
      <c r="B11" s="20">
        <v>2034</v>
      </c>
      <c r="C11" t="s">
        <v>204</v>
      </c>
      <c r="E11" s="22" t="s">
        <v>267</v>
      </c>
      <c r="F11" s="22" t="s">
        <v>268</v>
      </c>
      <c r="G11" s="22" t="s">
        <v>213</v>
      </c>
      <c r="H11" s="22" t="s">
        <v>214</v>
      </c>
      <c r="I11" s="22" t="s">
        <v>265</v>
      </c>
      <c r="J11" s="17">
        <f>IFERROR(INDEX(Cost_Components!$K$2:$K$6,MATCH(E11,Cost_Components!$A$2:$A$6,0)),"")</f>
        <v>0.2</v>
      </c>
      <c r="K11" s="31">
        <v>0.2485</v>
      </c>
      <c r="L11" s="17">
        <f>IFERROR(INDEX(Cost_Components!$S$2:$S$6,MATCH(E11,Cost_Components!$A$2:$A$6,0)),"")</f>
        <v>0.113766857372906</v>
      </c>
      <c r="M11" s="28">
        <f>IFERROR(INDEX(Cost_Components!$L$2:$L$6,MATCH(E11,Cost_Components!$A$2:$A$6,0)),"")</f>
        <v>1</v>
      </c>
      <c r="N11" s="29">
        <f>IFERROR(INDEX(Cost_Components!$P$2:$P$6,MATCH(E11,Cost_Components!$A$2:$A$6,0)),"")</f>
        <v>1.2915840000000001</v>
      </c>
      <c r="O11" s="23">
        <f t="shared" si="0"/>
        <v>34902857.810964607</v>
      </c>
      <c r="P11" s="23">
        <f t="shared" si="1"/>
        <v>34892337.255633406</v>
      </c>
      <c r="Q11" s="23">
        <f t="shared" si="2"/>
        <v>5127060.9402246391</v>
      </c>
      <c r="R11" s="23">
        <f t="shared" si="3"/>
        <v>11202373.216674853</v>
      </c>
      <c r="S11" s="23">
        <f t="shared" si="4"/>
        <v>6075312.276450214</v>
      </c>
      <c r="T11" s="16">
        <f>IFERROR(INDEX(Cost_Components!$R$2:$R$6,MATCH(E11,Cost_Components!$A$2:$A$6,0)),"")</f>
        <v>1</v>
      </c>
      <c r="U11" s="26">
        <f>IFERROR(INDEX(Cost_Components!$Q$2:$Q$6,MATCH(E11,Cost_Components!$A$2:$A$6,0)),"")</f>
        <v>2023</v>
      </c>
      <c r="V11" s="30">
        <f>1/(1+Calculation_Assumptions!$B$5)^(B11-Calculation_Assumptions!$B$2)</f>
        <v>0.76641673234362695</v>
      </c>
      <c r="W11" s="23">
        <f t="shared" si="5"/>
        <v>3929465.2923336118</v>
      </c>
      <c r="X11" s="23">
        <f t="shared" si="6"/>
        <v>8585686.2752177063</v>
      </c>
      <c r="Y11" s="23">
        <f t="shared" si="7"/>
        <v>4656220.9828840941</v>
      </c>
      <c r="Z11" s="17">
        <f>IFERROR(INDEX(Cost_Components!$T$2:$T$6,MATCH(E11,Cost_Components!$A$2:$A$6,0)),"")</f>
        <v>0.41649999999999998</v>
      </c>
      <c r="AA11" s="26">
        <f>IFERROR(INDEX(Cost_Components!$U$2:$U$6,MATCH(E11,Cost_Components!$A$2:$A$6,0)),"")</f>
        <v>2025</v>
      </c>
      <c r="AB11" s="26">
        <f>IFERROR(INDEX(Cost_Components!$V$2:$V$6,MATCH(E11,Cost_Components!$A$2:$A$6,0)),"")</f>
        <v>2040</v>
      </c>
      <c r="AC11" s="26">
        <f>IFERROR(INDEX(Cost_Components!$M$2:$M$6,MATCH(E11,Cost_Components!$A$2:$A$6,0)),"")</f>
        <v>30</v>
      </c>
      <c r="AD11" s="26">
        <f>IFERROR(INDEX(Cost_Components!$N$2:$N$6,MATCH(E11,Cost_Components!$A$2:$A$6,0)),"")</f>
        <v>95</v>
      </c>
      <c r="AE11" s="16" t="str">
        <f>IFERROR(INDEX(Cost_Components!$O$2:$O$6,MATCH(E11,Cost_Components!$A$2:$A$6,0)),"")</f>
        <v>Both</v>
      </c>
      <c r="AF11" s="11">
        <v>174514289.05482301</v>
      </c>
      <c r="AG11" s="11">
        <v>174461686.27816701</v>
      </c>
      <c r="AH11" s="23">
        <f t="shared" si="8"/>
        <v>1</v>
      </c>
      <c r="AI11" s="10">
        <v>305332541.18498403</v>
      </c>
      <c r="AJ11" s="29">
        <f t="shared" si="9"/>
        <v>1.6791727866039795E-2</v>
      </c>
      <c r="AK11" s="29">
        <f t="shared" si="10"/>
        <v>3.6689090436279298E-2</v>
      </c>
      <c r="AL11" s="29">
        <f t="shared" si="11"/>
        <v>1.9897362570239507E-2</v>
      </c>
      <c r="AM11" s="29">
        <f t="shared" si="12"/>
        <v>1.5249671603339352E-2</v>
      </c>
    </row>
    <row r="12" spans="1:39">
      <c r="A12" t="s">
        <v>115</v>
      </c>
      <c r="B12" s="20">
        <v>2035</v>
      </c>
      <c r="C12" t="s">
        <v>204</v>
      </c>
      <c r="E12" s="22" t="s">
        <v>267</v>
      </c>
      <c r="F12" s="22" t="s">
        <v>268</v>
      </c>
      <c r="G12" s="22" t="s">
        <v>213</v>
      </c>
      <c r="H12" s="22" t="s">
        <v>214</v>
      </c>
      <c r="I12" s="22" t="s">
        <v>265</v>
      </c>
      <c r="J12" s="17">
        <f>IFERROR(INDEX(Cost_Components!$K$2:$K$6,MATCH(E12,Cost_Components!$A$2:$A$6,0)),"")</f>
        <v>0.2</v>
      </c>
      <c r="K12" s="31">
        <v>0.27650000000000002</v>
      </c>
      <c r="L12" s="17">
        <f>IFERROR(INDEX(Cost_Components!$S$2:$S$6,MATCH(E12,Cost_Components!$A$2:$A$6,0)),"")</f>
        <v>0.113766857372906</v>
      </c>
      <c r="M12" s="28">
        <f>IFERROR(INDEX(Cost_Components!$L$2:$L$6,MATCH(E12,Cost_Components!$A$2:$A$6,0)),"")</f>
        <v>1</v>
      </c>
      <c r="N12" s="29">
        <f>IFERROR(INDEX(Cost_Components!$P$2:$P$6,MATCH(E12,Cost_Components!$A$2:$A$6,0)),"")</f>
        <v>1.2915840000000001</v>
      </c>
      <c r="O12" s="23">
        <f t="shared" si="0"/>
        <v>35319425.941834204</v>
      </c>
      <c r="P12" s="23">
        <f t="shared" si="1"/>
        <v>35307753.260416001</v>
      </c>
      <c r="Q12" s="23">
        <f t="shared" si="2"/>
        <v>5188101.940615668</v>
      </c>
      <c r="R12" s="23">
        <f t="shared" si="3"/>
        <v>12613378.502959436</v>
      </c>
      <c r="S12" s="23">
        <f t="shared" si="4"/>
        <v>7425276.5623437678</v>
      </c>
      <c r="T12" s="16">
        <f>IFERROR(INDEX(Cost_Components!$R$2:$R$6,MATCH(E12,Cost_Components!$A$2:$A$6,0)),"")</f>
        <v>1</v>
      </c>
      <c r="U12" s="26">
        <f>IFERROR(INDEX(Cost_Components!$Q$2:$Q$6,MATCH(E12,Cost_Components!$A$2:$A$6,0)),"")</f>
        <v>2023</v>
      </c>
      <c r="V12" s="30">
        <f>1/(1+Calculation_Assumptions!$B$5)^(B12-Calculation_Assumptions!$B$2)</f>
        <v>0.74409391489672516</v>
      </c>
      <c r="W12" s="23">
        <f t="shared" si="5"/>
        <v>3860435.0838760096</v>
      </c>
      <c r="X12" s="23">
        <f t="shared" si="6"/>
        <v>9385538.1903412808</v>
      </c>
      <c r="Y12" s="23">
        <f t="shared" si="7"/>
        <v>5525103.1064652717</v>
      </c>
      <c r="Z12" s="17">
        <f>IFERROR(INDEX(Cost_Components!$T$2:$T$6,MATCH(E12,Cost_Components!$A$2:$A$6,0)),"")</f>
        <v>0.41649999999999998</v>
      </c>
      <c r="AA12" s="26">
        <f>IFERROR(INDEX(Cost_Components!$U$2:$U$6,MATCH(E12,Cost_Components!$A$2:$A$6,0)),"")</f>
        <v>2025</v>
      </c>
      <c r="AB12" s="26">
        <f>IFERROR(INDEX(Cost_Components!$V$2:$V$6,MATCH(E12,Cost_Components!$A$2:$A$6,0)),"")</f>
        <v>2040</v>
      </c>
      <c r="AC12" s="26">
        <f>IFERROR(INDEX(Cost_Components!$M$2:$M$6,MATCH(E12,Cost_Components!$A$2:$A$6,0)),"")</f>
        <v>30</v>
      </c>
      <c r="AD12" s="26">
        <f>IFERROR(INDEX(Cost_Components!$N$2:$N$6,MATCH(E12,Cost_Components!$A$2:$A$6,0)),"")</f>
        <v>95</v>
      </c>
      <c r="AE12" s="16" t="str">
        <f>IFERROR(INDEX(Cost_Components!$O$2:$O$6,MATCH(E12,Cost_Components!$A$2:$A$6,0)),"")</f>
        <v>Both</v>
      </c>
      <c r="AF12" s="11">
        <v>176597129.709171</v>
      </c>
      <c r="AG12" s="11">
        <v>176538766.30208001</v>
      </c>
      <c r="AH12" s="23">
        <f t="shared" si="8"/>
        <v>1</v>
      </c>
      <c r="AI12" s="10">
        <v>306964650.16711998</v>
      </c>
      <c r="AJ12" s="29">
        <f t="shared" si="9"/>
        <v>1.6901300973226469E-2</v>
      </c>
      <c r="AK12" s="29">
        <f t="shared" si="10"/>
        <v>4.1090654888412612E-2</v>
      </c>
      <c r="AL12" s="29">
        <f t="shared" si="11"/>
        <v>2.4189353915186142E-2</v>
      </c>
      <c r="AM12" s="29">
        <f t="shared" si="12"/>
        <v>1.7999151053573283E-2</v>
      </c>
    </row>
    <row r="13" spans="1:39">
      <c r="A13" t="s">
        <v>115</v>
      </c>
      <c r="B13" s="20">
        <v>2036</v>
      </c>
      <c r="C13" t="s">
        <v>204</v>
      </c>
      <c r="E13" s="22" t="s">
        <v>267</v>
      </c>
      <c r="F13" s="22" t="s">
        <v>268</v>
      </c>
      <c r="G13" s="22" t="s">
        <v>213</v>
      </c>
      <c r="H13" s="22" t="s">
        <v>214</v>
      </c>
      <c r="I13" s="22" t="s">
        <v>265</v>
      </c>
      <c r="J13" s="17">
        <f>IFERROR(INDEX(Cost_Components!$K$2:$K$6,MATCH(E13,Cost_Components!$A$2:$A$6,0)),"")</f>
        <v>0.2</v>
      </c>
      <c r="K13" s="31">
        <v>0.30449999999999999</v>
      </c>
      <c r="L13" s="17">
        <f>IFERROR(INDEX(Cost_Components!$S$2:$S$6,MATCH(E13,Cost_Components!$A$2:$A$6,0)),"")</f>
        <v>0.113766857372906</v>
      </c>
      <c r="M13" s="28">
        <f>IFERROR(INDEX(Cost_Components!$L$2:$L$6,MATCH(E13,Cost_Components!$A$2:$A$6,0)),"")</f>
        <v>1</v>
      </c>
      <c r="N13" s="29">
        <f>IFERROR(INDEX(Cost_Components!$P$2:$P$6,MATCH(E13,Cost_Components!$A$2:$A$6,0)),"")</f>
        <v>1.2915840000000001</v>
      </c>
      <c r="O13" s="23">
        <f t="shared" si="0"/>
        <v>35742251.252438404</v>
      </c>
      <c r="P13" s="23">
        <f t="shared" si="1"/>
        <v>35724731.9140402</v>
      </c>
      <c r="Q13" s="23">
        <f t="shared" si="2"/>
        <v>5249372.5557722645</v>
      </c>
      <c r="R13" s="23">
        <f t="shared" si="3"/>
        <v>14056974.491776153</v>
      </c>
      <c r="S13" s="23">
        <f t="shared" si="4"/>
        <v>8807601.9360038899</v>
      </c>
      <c r="T13" s="16">
        <f>IFERROR(INDEX(Cost_Components!$R$2:$R$6,MATCH(E13,Cost_Components!$A$2:$A$6,0)),"")</f>
        <v>1</v>
      </c>
      <c r="U13" s="26">
        <f>IFERROR(INDEX(Cost_Components!$Q$2:$Q$6,MATCH(E13,Cost_Components!$A$2:$A$6,0)),"")</f>
        <v>2023</v>
      </c>
      <c r="V13" s="30">
        <f>1/(1+Calculation_Assumptions!$B$5)^(B13-Calculation_Assumptions!$B$2)</f>
        <v>0.72242127659876232</v>
      </c>
      <c r="W13" s="23">
        <f t="shared" si="5"/>
        <v>3792258.423083507</v>
      </c>
      <c r="X13" s="23">
        <f t="shared" si="6"/>
        <v>10155057.457465166</v>
      </c>
      <c r="Y13" s="23">
        <f t="shared" si="7"/>
        <v>6362799.0343816606</v>
      </c>
      <c r="Z13" s="17">
        <f>IFERROR(INDEX(Cost_Components!$T$2:$T$6,MATCH(E13,Cost_Components!$A$2:$A$6,0)),"")</f>
        <v>0.41649999999999998</v>
      </c>
      <c r="AA13" s="26">
        <f>IFERROR(INDEX(Cost_Components!$U$2:$U$6,MATCH(E13,Cost_Components!$A$2:$A$6,0)),"")</f>
        <v>2025</v>
      </c>
      <c r="AB13" s="26">
        <f>IFERROR(INDEX(Cost_Components!$V$2:$V$6,MATCH(E13,Cost_Components!$A$2:$A$6,0)),"")</f>
        <v>2040</v>
      </c>
      <c r="AC13" s="26">
        <f>IFERROR(INDEX(Cost_Components!$M$2:$M$6,MATCH(E13,Cost_Components!$A$2:$A$6,0)),"")</f>
        <v>30</v>
      </c>
      <c r="AD13" s="26">
        <f>IFERROR(INDEX(Cost_Components!$N$2:$N$6,MATCH(E13,Cost_Components!$A$2:$A$6,0)),"")</f>
        <v>95</v>
      </c>
      <c r="AE13" s="16" t="str">
        <f>IFERROR(INDEX(Cost_Components!$O$2:$O$6,MATCH(E13,Cost_Components!$A$2:$A$6,0)),"")</f>
        <v>Both</v>
      </c>
      <c r="AF13" s="11">
        <v>178711256.26219201</v>
      </c>
      <c r="AG13" s="11">
        <v>178623659.57020101</v>
      </c>
      <c r="AH13" s="23">
        <f t="shared" si="8"/>
        <v>1</v>
      </c>
      <c r="AI13" s="10">
        <v>308542769.75662202</v>
      </c>
      <c r="AJ13" s="29">
        <f t="shared" si="9"/>
        <v>1.7013435641071609E-2</v>
      </c>
      <c r="AK13" s="29">
        <f t="shared" si="10"/>
        <v>4.5559241277519709E-2</v>
      </c>
      <c r="AL13" s="29">
        <f t="shared" si="11"/>
        <v>2.8545805636448103E-2</v>
      </c>
      <c r="AM13" s="29">
        <f t="shared" si="12"/>
        <v>2.0622097349422983E-2</v>
      </c>
    </row>
    <row r="14" spans="1:39">
      <c r="A14" t="s">
        <v>115</v>
      </c>
      <c r="B14" s="20">
        <v>2037</v>
      </c>
      <c r="C14" t="s">
        <v>204</v>
      </c>
      <c r="E14" s="22" t="s">
        <v>267</v>
      </c>
      <c r="F14" s="22" t="s">
        <v>268</v>
      </c>
      <c r="G14" s="22" t="s">
        <v>213</v>
      </c>
      <c r="H14" s="22" t="s">
        <v>214</v>
      </c>
      <c r="I14" s="22" t="s">
        <v>265</v>
      </c>
      <c r="J14" s="17">
        <f>IFERROR(INDEX(Cost_Components!$K$2:$K$6,MATCH(E14,Cost_Components!$A$2:$A$6,0)),"")</f>
        <v>0.2</v>
      </c>
      <c r="K14" s="31">
        <v>0.33250000000000002</v>
      </c>
      <c r="L14" s="17">
        <f>IFERROR(INDEX(Cost_Components!$S$2:$S$6,MATCH(E14,Cost_Components!$A$2:$A$6,0)),"")</f>
        <v>0.113766857372906</v>
      </c>
      <c r="M14" s="28">
        <f>IFERROR(INDEX(Cost_Components!$L$2:$L$6,MATCH(E14,Cost_Components!$A$2:$A$6,0)),"")</f>
        <v>1</v>
      </c>
      <c r="N14" s="29">
        <f>IFERROR(INDEX(Cost_Components!$P$2:$P$6,MATCH(E14,Cost_Components!$A$2:$A$6,0)),"")</f>
        <v>1.2915840000000001</v>
      </c>
      <c r="O14" s="23">
        <f t="shared" si="0"/>
        <v>36172576.965641998</v>
      </c>
      <c r="P14" s="23">
        <f t="shared" si="1"/>
        <v>36147585.490798406</v>
      </c>
      <c r="Q14" s="23">
        <f t="shared" si="2"/>
        <v>5311506.4289189037</v>
      </c>
      <c r="R14" s="23">
        <f t="shared" si="3"/>
        <v>15534373.947824258</v>
      </c>
      <c r="S14" s="23">
        <f t="shared" si="4"/>
        <v>10222867.518905355</v>
      </c>
      <c r="T14" s="16">
        <f>IFERROR(INDEX(Cost_Components!$R$2:$R$6,MATCH(E14,Cost_Components!$A$2:$A$6,0)),"")</f>
        <v>1</v>
      </c>
      <c r="U14" s="26">
        <f>IFERROR(INDEX(Cost_Components!$Q$2:$Q$6,MATCH(E14,Cost_Components!$A$2:$A$6,0)),"")</f>
        <v>2023</v>
      </c>
      <c r="V14" s="30">
        <f>1/(1+Calculation_Assumptions!$B$5)^(B14-Calculation_Assumptions!$B$2)</f>
        <v>0.70137988019297326</v>
      </c>
      <c r="W14" s="23">
        <f t="shared" si="5"/>
        <v>3725383.7427593479</v>
      </c>
      <c r="X14" s="23">
        <f t="shared" si="6"/>
        <v>10895497.338397823</v>
      </c>
      <c r="Y14" s="23">
        <f t="shared" si="7"/>
        <v>7170113.5956384754</v>
      </c>
      <c r="Z14" s="17">
        <f>IFERROR(INDEX(Cost_Components!$T$2:$T$6,MATCH(E14,Cost_Components!$A$2:$A$6,0)),"")</f>
        <v>0.41649999999999998</v>
      </c>
      <c r="AA14" s="26">
        <f>IFERROR(INDEX(Cost_Components!$U$2:$U$6,MATCH(E14,Cost_Components!$A$2:$A$6,0)),"")</f>
        <v>2025</v>
      </c>
      <c r="AB14" s="26">
        <f>IFERROR(INDEX(Cost_Components!$V$2:$V$6,MATCH(E14,Cost_Components!$A$2:$A$6,0)),"")</f>
        <v>2040</v>
      </c>
      <c r="AC14" s="26">
        <f>IFERROR(INDEX(Cost_Components!$M$2:$M$6,MATCH(E14,Cost_Components!$A$2:$A$6,0)),"")</f>
        <v>30</v>
      </c>
      <c r="AD14" s="26">
        <f>IFERROR(INDEX(Cost_Components!$N$2:$N$6,MATCH(E14,Cost_Components!$A$2:$A$6,0)),"")</f>
        <v>95</v>
      </c>
      <c r="AE14" s="16" t="str">
        <f>IFERROR(INDEX(Cost_Components!$O$2:$O$6,MATCH(E14,Cost_Components!$A$2:$A$6,0)),"")</f>
        <v>Both</v>
      </c>
      <c r="AF14" s="11">
        <v>180862884.82821</v>
      </c>
      <c r="AG14" s="11">
        <v>180737927.45399201</v>
      </c>
      <c r="AH14" s="23">
        <f t="shared" si="8"/>
        <v>1</v>
      </c>
      <c r="AI14" s="10">
        <v>310068287.63643003</v>
      </c>
      <c r="AJ14" s="29">
        <f t="shared" si="9"/>
        <v>1.7130118237524826E-2</v>
      </c>
      <c r="AK14" s="29">
        <f t="shared" si="10"/>
        <v>5.0099847573058034E-2</v>
      </c>
      <c r="AL14" s="29">
        <f t="shared" si="11"/>
        <v>3.2969729335533202E-2</v>
      </c>
      <c r="AM14" s="29">
        <f t="shared" si="12"/>
        <v>2.3124304811351033E-2</v>
      </c>
    </row>
    <row r="15" spans="1:39">
      <c r="A15" t="s">
        <v>115</v>
      </c>
      <c r="B15" s="20">
        <v>2038</v>
      </c>
      <c r="C15" t="s">
        <v>204</v>
      </c>
      <c r="E15" s="22" t="s">
        <v>267</v>
      </c>
      <c r="F15" s="22" t="s">
        <v>268</v>
      </c>
      <c r="G15" s="22" t="s">
        <v>213</v>
      </c>
      <c r="H15" s="22" t="s">
        <v>214</v>
      </c>
      <c r="I15" s="22" t="s">
        <v>265</v>
      </c>
      <c r="J15" s="17">
        <f>IFERROR(INDEX(Cost_Components!$K$2:$K$6,MATCH(E15,Cost_Components!$A$2:$A$6,0)),"")</f>
        <v>0.2</v>
      </c>
      <c r="K15" s="31">
        <v>0.36049999999999999</v>
      </c>
      <c r="L15" s="17">
        <f>IFERROR(INDEX(Cost_Components!$S$2:$S$6,MATCH(E15,Cost_Components!$A$2:$A$6,0)),"")</f>
        <v>0.113766857372906</v>
      </c>
      <c r="M15" s="28">
        <f>IFERROR(INDEX(Cost_Components!$L$2:$L$6,MATCH(E15,Cost_Components!$A$2:$A$6,0)),"")</f>
        <v>1</v>
      </c>
      <c r="N15" s="29">
        <f>IFERROR(INDEX(Cost_Components!$P$2:$P$6,MATCH(E15,Cost_Components!$A$2:$A$6,0)),"")</f>
        <v>1.2915840000000001</v>
      </c>
      <c r="O15" s="23">
        <f t="shared" si="0"/>
        <v>36594965.388937198</v>
      </c>
      <c r="P15" s="23">
        <f t="shared" si="1"/>
        <v>36560754.225877397</v>
      </c>
      <c r="Q15" s="23">
        <f t="shared" si="2"/>
        <v>5372217.216729586</v>
      </c>
      <c r="R15" s="23">
        <f t="shared" si="3"/>
        <v>17039202.575574275</v>
      </c>
      <c r="S15" s="23">
        <f t="shared" si="4"/>
        <v>11666985.35884469</v>
      </c>
      <c r="T15" s="16">
        <f>IFERROR(INDEX(Cost_Components!$R$2:$R$6,MATCH(E15,Cost_Components!$A$2:$A$6,0)),"")</f>
        <v>1</v>
      </c>
      <c r="U15" s="26">
        <f>IFERROR(INDEX(Cost_Components!$Q$2:$Q$6,MATCH(E15,Cost_Components!$A$2:$A$6,0)),"")</f>
        <v>2023</v>
      </c>
      <c r="V15" s="30">
        <f>1/(1+Calculation_Assumptions!$B$5)^(B15-Calculation_Assumptions!$B$2)</f>
        <v>0.68095133999317792</v>
      </c>
      <c r="W15" s="23">
        <f t="shared" si="5"/>
        <v>3658218.5124664325</v>
      </c>
      <c r="X15" s="23">
        <f t="shared" si="6"/>
        <v>11602867.826252511</v>
      </c>
      <c r="Y15" s="23">
        <f t="shared" si="7"/>
        <v>7944649.3137860792</v>
      </c>
      <c r="Z15" s="17">
        <f>IFERROR(INDEX(Cost_Components!$T$2:$T$6,MATCH(E15,Cost_Components!$A$2:$A$6,0)),"")</f>
        <v>0.41649999999999998</v>
      </c>
      <c r="AA15" s="26">
        <f>IFERROR(INDEX(Cost_Components!$U$2:$U$6,MATCH(E15,Cost_Components!$A$2:$A$6,0)),"")</f>
        <v>2025</v>
      </c>
      <c r="AB15" s="26">
        <f>IFERROR(INDEX(Cost_Components!$V$2:$V$6,MATCH(E15,Cost_Components!$A$2:$A$6,0)),"")</f>
        <v>2040</v>
      </c>
      <c r="AC15" s="26">
        <f>IFERROR(INDEX(Cost_Components!$M$2:$M$6,MATCH(E15,Cost_Components!$A$2:$A$6,0)),"")</f>
        <v>30</v>
      </c>
      <c r="AD15" s="26">
        <f>IFERROR(INDEX(Cost_Components!$N$2:$N$6,MATCH(E15,Cost_Components!$A$2:$A$6,0)),"")</f>
        <v>95</v>
      </c>
      <c r="AE15" s="16" t="str">
        <f>IFERROR(INDEX(Cost_Components!$O$2:$O$6,MATCH(E15,Cost_Components!$A$2:$A$6,0)),"")</f>
        <v>Both</v>
      </c>
      <c r="AF15" s="11">
        <v>182974826.944686</v>
      </c>
      <c r="AG15" s="11">
        <v>182803771.12938699</v>
      </c>
      <c r="AH15" s="23">
        <f t="shared" si="8"/>
        <v>1</v>
      </c>
      <c r="AI15" s="10">
        <v>311532999.13163</v>
      </c>
      <c r="AJ15" s="29">
        <f t="shared" si="9"/>
        <v>1.724445638729815E-2</v>
      </c>
      <c r="AK15" s="29">
        <f t="shared" si="10"/>
        <v>5.4694695660072956E-2</v>
      </c>
      <c r="AL15" s="29">
        <f t="shared" si="11"/>
        <v>3.7450239272774806E-2</v>
      </c>
      <c r="AM15" s="29">
        <f t="shared" si="12"/>
        <v>2.5501790615861143E-2</v>
      </c>
    </row>
    <row r="16" spans="1:39">
      <c r="A16" t="s">
        <v>115</v>
      </c>
      <c r="B16" s="20">
        <v>2039</v>
      </c>
      <c r="C16" t="s">
        <v>204</v>
      </c>
      <c r="E16" s="22" t="s">
        <v>267</v>
      </c>
      <c r="F16" s="22" t="s">
        <v>268</v>
      </c>
      <c r="G16" s="22" t="s">
        <v>213</v>
      </c>
      <c r="H16" s="22" t="s">
        <v>214</v>
      </c>
      <c r="I16" s="22" t="s">
        <v>265</v>
      </c>
      <c r="J16" s="17">
        <f>IFERROR(INDEX(Cost_Components!$K$2:$K$6,MATCH(E16,Cost_Components!$A$2:$A$6,0)),"")</f>
        <v>0.2</v>
      </c>
      <c r="K16" s="31">
        <v>0.38850000000000001</v>
      </c>
      <c r="L16" s="17">
        <f>IFERROR(INDEX(Cost_Components!$S$2:$S$6,MATCH(E16,Cost_Components!$A$2:$A$6,0)),"")</f>
        <v>0.113766857372906</v>
      </c>
      <c r="M16" s="28">
        <f>IFERROR(INDEX(Cost_Components!$L$2:$L$6,MATCH(E16,Cost_Components!$A$2:$A$6,0)),"")</f>
        <v>1</v>
      </c>
      <c r="N16" s="29">
        <f>IFERROR(INDEX(Cost_Components!$P$2:$P$6,MATCH(E16,Cost_Components!$A$2:$A$6,0)),"")</f>
        <v>1.2915840000000001</v>
      </c>
      <c r="O16" s="23">
        <f t="shared" si="0"/>
        <v>37011698.430749401</v>
      </c>
      <c r="P16" s="23">
        <f t="shared" si="1"/>
        <v>36966477.090850405</v>
      </c>
      <c r="Q16" s="23">
        <f t="shared" si="2"/>
        <v>5431833.9124619216</v>
      </c>
      <c r="R16" s="23">
        <f t="shared" si="3"/>
        <v>18571744.251073632</v>
      </c>
      <c r="S16" s="23">
        <f t="shared" si="4"/>
        <v>13139910.338611711</v>
      </c>
      <c r="T16" s="16">
        <f>IFERROR(INDEX(Cost_Components!$R$2:$R$6,MATCH(E16,Cost_Components!$A$2:$A$6,0)),"")</f>
        <v>1</v>
      </c>
      <c r="U16" s="26">
        <f>IFERROR(INDEX(Cost_Components!$Q$2:$Q$6,MATCH(E16,Cost_Components!$A$2:$A$6,0)),"")</f>
        <v>2023</v>
      </c>
      <c r="V16" s="30">
        <f>1/(1+Calculation_Assumptions!$B$5)^(B16-Calculation_Assumptions!$B$2)</f>
        <v>0.66111780581861923</v>
      </c>
      <c r="W16" s="23">
        <f t="shared" si="5"/>
        <v>3591082.1177779916</v>
      </c>
      <c r="X16" s="23">
        <f t="shared" si="6"/>
        <v>12278110.809494356</v>
      </c>
      <c r="Y16" s="23">
        <f t="shared" si="7"/>
        <v>8687028.6917163637</v>
      </c>
      <c r="Z16" s="17">
        <f>IFERROR(INDEX(Cost_Components!$T$2:$T$6,MATCH(E16,Cost_Components!$A$2:$A$6,0)),"")</f>
        <v>0.41649999999999998</v>
      </c>
      <c r="AA16" s="26">
        <f>IFERROR(INDEX(Cost_Components!$U$2:$U$6,MATCH(E16,Cost_Components!$A$2:$A$6,0)),"")</f>
        <v>2025</v>
      </c>
      <c r="AB16" s="26">
        <f>IFERROR(INDEX(Cost_Components!$V$2:$V$6,MATCH(E16,Cost_Components!$A$2:$A$6,0)),"")</f>
        <v>2040</v>
      </c>
      <c r="AC16" s="26">
        <f>IFERROR(INDEX(Cost_Components!$M$2:$M$6,MATCH(E16,Cost_Components!$A$2:$A$6,0)),"")</f>
        <v>30</v>
      </c>
      <c r="AD16" s="26">
        <f>IFERROR(INDEX(Cost_Components!$N$2:$N$6,MATCH(E16,Cost_Components!$A$2:$A$6,0)),"")</f>
        <v>95</v>
      </c>
      <c r="AE16" s="16" t="str">
        <f>IFERROR(INDEX(Cost_Components!$O$2:$O$6,MATCH(E16,Cost_Components!$A$2:$A$6,0)),"")</f>
        <v>Both</v>
      </c>
      <c r="AF16" s="11">
        <v>185058492.15374699</v>
      </c>
      <c r="AG16" s="11">
        <v>184832385.454252</v>
      </c>
      <c r="AH16" s="23">
        <f t="shared" si="8"/>
        <v>1</v>
      </c>
      <c r="AI16" s="10">
        <v>312936391.85847902</v>
      </c>
      <c r="AJ16" s="29">
        <f t="shared" si="9"/>
        <v>1.7357629389803887E-2</v>
      </c>
      <c r="AK16" s="29">
        <f t="shared" si="10"/>
        <v>5.9346706660669997E-2</v>
      </c>
      <c r="AL16" s="29">
        <f t="shared" si="11"/>
        <v>4.1989077270866107E-2</v>
      </c>
      <c r="AM16" s="29">
        <f t="shared" si="12"/>
        <v>2.7759726633663453E-2</v>
      </c>
    </row>
    <row r="17" spans="1:39">
      <c r="A17" t="s">
        <v>115</v>
      </c>
      <c r="B17" s="20">
        <v>2040</v>
      </c>
      <c r="C17" t="s">
        <v>204</v>
      </c>
      <c r="E17" s="22" t="s">
        <v>267</v>
      </c>
      <c r="F17" s="22" t="s">
        <v>268</v>
      </c>
      <c r="G17" s="22" t="s">
        <v>213</v>
      </c>
      <c r="H17" s="22" t="s">
        <v>214</v>
      </c>
      <c r="I17" s="22" t="s">
        <v>265</v>
      </c>
      <c r="J17" s="17">
        <f>IFERROR(INDEX(Cost_Components!$K$2:$K$6,MATCH(E17,Cost_Components!$A$2:$A$6,0)),"")</f>
        <v>0.2</v>
      </c>
      <c r="K17" s="31">
        <v>0.41649999999999998</v>
      </c>
      <c r="L17" s="17">
        <f>IFERROR(INDEX(Cost_Components!$S$2:$S$6,MATCH(E17,Cost_Components!$A$2:$A$6,0)),"")</f>
        <v>0.113766857372906</v>
      </c>
      <c r="M17" s="28">
        <f>IFERROR(INDEX(Cost_Components!$L$2:$L$6,MATCH(E17,Cost_Components!$A$2:$A$6,0)),"")</f>
        <v>1</v>
      </c>
      <c r="N17" s="29">
        <f>IFERROR(INDEX(Cost_Components!$P$2:$P$6,MATCH(E17,Cost_Components!$A$2:$A$6,0)),"")</f>
        <v>1.2915840000000001</v>
      </c>
      <c r="O17" s="23">
        <f t="shared" si="0"/>
        <v>37432811.980369799</v>
      </c>
      <c r="P17" s="23">
        <f t="shared" si="1"/>
        <v>37374694.220673196</v>
      </c>
      <c r="Q17" s="23">
        <f t="shared" si="2"/>
        <v>5491817.1141062062</v>
      </c>
      <c r="R17" s="23">
        <f t="shared" si="3"/>
        <v>20136784.15851767</v>
      </c>
      <c r="S17" s="23">
        <f t="shared" si="4"/>
        <v>14644967.044411464</v>
      </c>
      <c r="T17" s="16">
        <f>IFERROR(INDEX(Cost_Components!$R$2:$R$6,MATCH(E17,Cost_Components!$A$2:$A$6,0)),"")</f>
        <v>1</v>
      </c>
      <c r="U17" s="26">
        <f>IFERROR(INDEX(Cost_Components!$Q$2:$Q$6,MATCH(E17,Cost_Components!$A$2:$A$6,0)),"")</f>
        <v>2023</v>
      </c>
      <c r="V17" s="30">
        <f>1/(1+Calculation_Assumptions!$B$5)^(B17-Calculation_Assumptions!$B$2)</f>
        <v>0.64186194739671765</v>
      </c>
      <c r="W17" s="23">
        <f t="shared" si="5"/>
        <v>3524988.4276068313</v>
      </c>
      <c r="X17" s="23">
        <f t="shared" si="6"/>
        <v>12925035.494293526</v>
      </c>
      <c r="Y17" s="23">
        <f t="shared" si="7"/>
        <v>9400047.0666866936</v>
      </c>
      <c r="Z17" s="17">
        <f>IFERROR(INDEX(Cost_Components!$T$2:$T$6,MATCH(E17,Cost_Components!$A$2:$A$6,0)),"")</f>
        <v>0.41649999999999998</v>
      </c>
      <c r="AA17" s="26">
        <f>IFERROR(INDEX(Cost_Components!$U$2:$U$6,MATCH(E17,Cost_Components!$A$2:$A$6,0)),"")</f>
        <v>2025</v>
      </c>
      <c r="AB17" s="26">
        <f>IFERROR(INDEX(Cost_Components!$V$2:$V$6,MATCH(E17,Cost_Components!$A$2:$A$6,0)),"")</f>
        <v>2040</v>
      </c>
      <c r="AC17" s="26">
        <f>IFERROR(INDEX(Cost_Components!$M$2:$M$6,MATCH(E17,Cost_Components!$A$2:$A$6,0)),"")</f>
        <v>30</v>
      </c>
      <c r="AD17" s="26">
        <f>IFERROR(INDEX(Cost_Components!$N$2:$N$6,MATCH(E17,Cost_Components!$A$2:$A$6,0)),"")</f>
        <v>95</v>
      </c>
      <c r="AE17" s="16" t="str">
        <f>IFERROR(INDEX(Cost_Components!$O$2:$O$6,MATCH(E17,Cost_Components!$A$2:$A$6,0)),"")</f>
        <v>Both</v>
      </c>
      <c r="AF17" s="11">
        <v>187164059.901849</v>
      </c>
      <c r="AG17" s="11">
        <v>186873471.10336599</v>
      </c>
      <c r="AH17" s="23">
        <f t="shared" si="8"/>
        <v>1</v>
      </c>
      <c r="AI17" s="10">
        <v>314265537.41082901</v>
      </c>
      <c r="AJ17" s="29">
        <f t="shared" si="9"/>
        <v>1.7475085430468103E-2</v>
      </c>
      <c r="AK17" s="29">
        <f t="shared" si="10"/>
        <v>6.4075699564198521E-2</v>
      </c>
      <c r="AL17" s="29">
        <f t="shared" si="11"/>
        <v>4.6600614133730421E-2</v>
      </c>
      <c r="AM17" s="29">
        <f t="shared" si="12"/>
        <v>2.9911160937759206E-2</v>
      </c>
    </row>
    <row r="18" spans="1:39">
      <c r="A18" t="s">
        <v>115</v>
      </c>
      <c r="B18" s="20">
        <v>2041</v>
      </c>
      <c r="C18" t="s">
        <v>204</v>
      </c>
      <c r="E18" s="22" t="s">
        <v>267</v>
      </c>
      <c r="F18" s="22" t="s">
        <v>268</v>
      </c>
      <c r="G18" s="22" t="s">
        <v>213</v>
      </c>
      <c r="H18" s="22" t="s">
        <v>214</v>
      </c>
      <c r="I18" s="22" t="s">
        <v>265</v>
      </c>
      <c r="J18" s="17">
        <f>IFERROR(INDEX(Cost_Components!$K$2:$K$6,MATCH(E18,Cost_Components!$A$2:$A$6,0)),"")</f>
        <v>0.2</v>
      </c>
      <c r="K18" s="31">
        <v>0.41649999999999998</v>
      </c>
      <c r="L18" s="17">
        <f>IFERROR(INDEX(Cost_Components!$S$2:$S$6,MATCH(E18,Cost_Components!$A$2:$A$6,0)),"")</f>
        <v>0.113766857372906</v>
      </c>
      <c r="M18" s="28">
        <f>IFERROR(INDEX(Cost_Components!$L$2:$L$6,MATCH(E18,Cost_Components!$A$2:$A$6,0)),"")</f>
        <v>1</v>
      </c>
      <c r="N18" s="29">
        <f>IFERROR(INDEX(Cost_Components!$P$2:$P$6,MATCH(E18,Cost_Components!$A$2:$A$6,0)),"")</f>
        <v>1.2915840000000001</v>
      </c>
      <c r="O18" s="23">
        <f t="shared" si="0"/>
        <v>37871059.254290998</v>
      </c>
      <c r="P18" s="23">
        <f t="shared" si="1"/>
        <v>37786880.045656003</v>
      </c>
      <c r="Q18" s="23">
        <f t="shared" si="2"/>
        <v>5552383.4736452894</v>
      </c>
      <c r="R18" s="23">
        <f t="shared" si="3"/>
        <v>20372536.972589929</v>
      </c>
      <c r="S18" s="23">
        <f t="shared" si="4"/>
        <v>14820153.49894464</v>
      </c>
      <c r="T18" s="16">
        <f>IFERROR(INDEX(Cost_Components!$R$2:$R$6,MATCH(E18,Cost_Components!$A$2:$A$6,0)),"")</f>
        <v>1</v>
      </c>
      <c r="U18" s="26">
        <f>IFERROR(INDEX(Cost_Components!$Q$2:$Q$6,MATCH(E18,Cost_Components!$A$2:$A$6,0)),"")</f>
        <v>2023</v>
      </c>
      <c r="V18" s="30">
        <f>1/(1+Calculation_Assumptions!$B$5)^(B18-Calculation_Assumptions!$B$2)</f>
        <v>0.62316693922011435</v>
      </c>
      <c r="W18" s="23">
        <f t="shared" si="5"/>
        <v>3460061.8146478813</v>
      </c>
      <c r="X18" s="23">
        <f t="shared" si="6"/>
        <v>12695491.50935748</v>
      </c>
      <c r="Y18" s="23">
        <f t="shared" si="7"/>
        <v>9235429.694709599</v>
      </c>
      <c r="Z18" s="17">
        <f>IFERROR(INDEX(Cost_Components!$T$2:$T$6,MATCH(E18,Cost_Components!$A$2:$A$6,0)),"")</f>
        <v>0.41649999999999998</v>
      </c>
      <c r="AA18" s="26">
        <f>IFERROR(INDEX(Cost_Components!$U$2:$U$6,MATCH(E18,Cost_Components!$A$2:$A$6,0)),"")</f>
        <v>2025</v>
      </c>
      <c r="AB18" s="26">
        <f>IFERROR(INDEX(Cost_Components!$V$2:$V$6,MATCH(E18,Cost_Components!$A$2:$A$6,0)),"")</f>
        <v>2040</v>
      </c>
      <c r="AC18" s="26">
        <f>IFERROR(INDEX(Cost_Components!$M$2:$M$6,MATCH(E18,Cost_Components!$A$2:$A$6,0)),"")</f>
        <v>30</v>
      </c>
      <c r="AD18" s="26">
        <f>IFERROR(INDEX(Cost_Components!$N$2:$N$6,MATCH(E18,Cost_Components!$A$2:$A$6,0)),"")</f>
        <v>95</v>
      </c>
      <c r="AE18" s="16" t="str">
        <f>IFERROR(INDEX(Cost_Components!$O$2:$O$6,MATCH(E18,Cost_Components!$A$2:$A$6,0)),"")</f>
        <v>Both</v>
      </c>
      <c r="AF18" s="11">
        <v>189355296.27145499</v>
      </c>
      <c r="AG18" s="11">
        <v>188934400.22828001</v>
      </c>
      <c r="AH18" s="23">
        <f t="shared" si="8"/>
        <v>1</v>
      </c>
      <c r="AI18" s="10">
        <v>315525215.31254798</v>
      </c>
      <c r="AJ18" s="29">
        <f t="shared" si="9"/>
        <v>1.7597273384776228E-2</v>
      </c>
      <c r="AK18" s="29">
        <f t="shared" si="10"/>
        <v>6.4567064639856508E-2</v>
      </c>
      <c r="AL18" s="29">
        <f t="shared" si="11"/>
        <v>4.6969791255080287E-2</v>
      </c>
      <c r="AM18" s="29">
        <f t="shared" si="12"/>
        <v>2.9270021052236073E-2</v>
      </c>
    </row>
    <row r="19" spans="1:39">
      <c r="A19" t="s">
        <v>115</v>
      </c>
      <c r="B19" s="20">
        <v>2042</v>
      </c>
      <c r="C19" t="s">
        <v>204</v>
      </c>
      <c r="E19" s="22" t="s">
        <v>267</v>
      </c>
      <c r="F19" s="22" t="s">
        <v>268</v>
      </c>
      <c r="G19" s="22" t="s">
        <v>213</v>
      </c>
      <c r="H19" s="22" t="s">
        <v>214</v>
      </c>
      <c r="I19" s="22" t="s">
        <v>265</v>
      </c>
      <c r="J19" s="17">
        <f>IFERROR(INDEX(Cost_Components!$K$2:$K$6,MATCH(E19,Cost_Components!$A$2:$A$6,0)),"")</f>
        <v>0.2</v>
      </c>
      <c r="K19" s="31">
        <v>0.41649999999999998</v>
      </c>
      <c r="L19" s="17">
        <f>IFERROR(INDEX(Cost_Components!$S$2:$S$6,MATCH(E19,Cost_Components!$A$2:$A$6,0)),"")</f>
        <v>0.113766857372906</v>
      </c>
      <c r="M19" s="28">
        <f>IFERROR(INDEX(Cost_Components!$L$2:$L$6,MATCH(E19,Cost_Components!$A$2:$A$6,0)),"")</f>
        <v>1</v>
      </c>
      <c r="N19" s="29">
        <f>IFERROR(INDEX(Cost_Components!$P$2:$P$6,MATCH(E19,Cost_Components!$A$2:$A$6,0)),"")</f>
        <v>1.2915840000000001</v>
      </c>
      <c r="O19" s="23">
        <f t="shared" si="0"/>
        <v>38293408.441792801</v>
      </c>
      <c r="P19" s="23">
        <f t="shared" si="1"/>
        <v>38204098.980930403</v>
      </c>
      <c r="Q19" s="23">
        <f t="shared" si="2"/>
        <v>5613689.3956560632</v>
      </c>
      <c r="R19" s="23">
        <f t="shared" si="3"/>
        <v>20599737.494760398</v>
      </c>
      <c r="S19" s="23">
        <f t="shared" si="4"/>
        <v>14986048.099104334</v>
      </c>
      <c r="T19" s="16">
        <f>IFERROR(INDEX(Cost_Components!$R$2:$R$6,MATCH(E19,Cost_Components!$A$2:$A$6,0)),"")</f>
        <v>1</v>
      </c>
      <c r="U19" s="26">
        <f>IFERROR(INDEX(Cost_Components!$Q$2:$Q$6,MATCH(E19,Cost_Components!$A$2:$A$6,0)),"")</f>
        <v>2023</v>
      </c>
      <c r="V19" s="30">
        <f>1/(1+Calculation_Assumptions!$B$5)^(B19-Calculation_Assumptions!$B$2)</f>
        <v>0.60501644584477121</v>
      </c>
      <c r="W19" s="23">
        <f t="shared" si="5"/>
        <v>3396374.4062363128</v>
      </c>
      <c r="X19" s="23">
        <f t="shared" si="6"/>
        <v>12463179.964415208</v>
      </c>
      <c r="Y19" s="23">
        <f t="shared" si="7"/>
        <v>9066805.5581788942</v>
      </c>
      <c r="Z19" s="17">
        <f>IFERROR(INDEX(Cost_Components!$T$2:$T$6,MATCH(E19,Cost_Components!$A$2:$A$6,0)),"")</f>
        <v>0.41649999999999998</v>
      </c>
      <c r="AA19" s="26">
        <f>IFERROR(INDEX(Cost_Components!$U$2:$U$6,MATCH(E19,Cost_Components!$A$2:$A$6,0)),"")</f>
        <v>2025</v>
      </c>
      <c r="AB19" s="26">
        <f>IFERROR(INDEX(Cost_Components!$V$2:$V$6,MATCH(E19,Cost_Components!$A$2:$A$6,0)),"")</f>
        <v>2040</v>
      </c>
      <c r="AC19" s="26">
        <f>IFERROR(INDEX(Cost_Components!$M$2:$M$6,MATCH(E19,Cost_Components!$A$2:$A$6,0)),"")</f>
        <v>30</v>
      </c>
      <c r="AD19" s="26">
        <f>IFERROR(INDEX(Cost_Components!$N$2:$N$6,MATCH(E19,Cost_Components!$A$2:$A$6,0)),"")</f>
        <v>95</v>
      </c>
      <c r="AE19" s="16" t="str">
        <f>IFERROR(INDEX(Cost_Components!$O$2:$O$6,MATCH(E19,Cost_Components!$A$2:$A$6,0)),"")</f>
        <v>Both</v>
      </c>
      <c r="AF19" s="11">
        <v>191467042.20896399</v>
      </c>
      <c r="AG19" s="11">
        <v>191020494.904652</v>
      </c>
      <c r="AH19" s="23">
        <f t="shared" si="8"/>
        <v>1</v>
      </c>
      <c r="AI19" s="10">
        <v>316707694.211882</v>
      </c>
      <c r="AJ19" s="29">
        <f t="shared" si="9"/>
        <v>1.7725143715328951E-2</v>
      </c>
      <c r="AK19" s="29">
        <f t="shared" si="10"/>
        <v>6.5043375551775751E-2</v>
      </c>
      <c r="AL19" s="29">
        <f t="shared" si="11"/>
        <v>4.7318231836446803E-2</v>
      </c>
      <c r="AM19" s="29">
        <f t="shared" si="12"/>
        <v>2.8628308449345947E-2</v>
      </c>
    </row>
    <row r="20" spans="1:39">
      <c r="A20" t="s">
        <v>115</v>
      </c>
      <c r="B20" s="20">
        <v>2043</v>
      </c>
      <c r="C20" t="s">
        <v>204</v>
      </c>
      <c r="E20" s="22" t="s">
        <v>267</v>
      </c>
      <c r="F20" s="22" t="s">
        <v>268</v>
      </c>
      <c r="G20" s="22" t="s">
        <v>213</v>
      </c>
      <c r="H20" s="22" t="s">
        <v>214</v>
      </c>
      <c r="I20" s="22" t="s">
        <v>265</v>
      </c>
      <c r="J20" s="17">
        <f>IFERROR(INDEX(Cost_Components!$K$2:$K$6,MATCH(E20,Cost_Components!$A$2:$A$6,0)),"")</f>
        <v>0.2</v>
      </c>
      <c r="K20" s="31">
        <v>0.41649999999999998</v>
      </c>
      <c r="L20" s="17">
        <f>IFERROR(INDEX(Cost_Components!$S$2:$S$6,MATCH(E20,Cost_Components!$A$2:$A$6,0)),"")</f>
        <v>0.113766857372906</v>
      </c>
      <c r="M20" s="28">
        <f>IFERROR(INDEX(Cost_Components!$L$2:$L$6,MATCH(E20,Cost_Components!$A$2:$A$6,0)),"")</f>
        <v>1</v>
      </c>
      <c r="N20" s="29">
        <f>IFERROR(INDEX(Cost_Components!$P$2:$P$6,MATCH(E20,Cost_Components!$A$2:$A$6,0)),"")</f>
        <v>1.2915840000000001</v>
      </c>
      <c r="O20" s="23">
        <f t="shared" si="0"/>
        <v>38694096.807135396</v>
      </c>
      <c r="P20" s="23">
        <f t="shared" si="1"/>
        <v>38587241.3200856</v>
      </c>
      <c r="Q20" s="23">
        <f t="shared" si="2"/>
        <v>5669988.1212827545</v>
      </c>
      <c r="R20" s="23">
        <f t="shared" si="3"/>
        <v>20815285.691672891</v>
      </c>
      <c r="S20" s="23">
        <f t="shared" si="4"/>
        <v>15145297.570390137</v>
      </c>
      <c r="T20" s="16">
        <f>IFERROR(INDEX(Cost_Components!$R$2:$R$6,MATCH(E20,Cost_Components!$A$2:$A$6,0)),"")</f>
        <v>1</v>
      </c>
      <c r="U20" s="26">
        <f>IFERROR(INDEX(Cost_Components!$Q$2:$Q$6,MATCH(E20,Cost_Components!$A$2:$A$6,0)),"")</f>
        <v>2023</v>
      </c>
      <c r="V20" s="30">
        <f>1/(1+Calculation_Assumptions!$B$5)^(B20-Calculation_Assumptions!$B$2)</f>
        <v>0.5873946076162827</v>
      </c>
      <c r="W20" s="23">
        <f t="shared" si="5"/>
        <v>3330520.4476898676</v>
      </c>
      <c r="X20" s="23">
        <f t="shared" si="6"/>
        <v>12226786.571281021</v>
      </c>
      <c r="Y20" s="23">
        <f t="shared" si="7"/>
        <v>8896266.1235911548</v>
      </c>
      <c r="Z20" s="17">
        <f>IFERROR(INDEX(Cost_Components!$T$2:$T$6,MATCH(E20,Cost_Components!$A$2:$A$6,0)),"")</f>
        <v>0.41649999999999998</v>
      </c>
      <c r="AA20" s="26">
        <f>IFERROR(INDEX(Cost_Components!$U$2:$U$6,MATCH(E20,Cost_Components!$A$2:$A$6,0)),"")</f>
        <v>2025</v>
      </c>
      <c r="AB20" s="26">
        <f>IFERROR(INDEX(Cost_Components!$V$2:$V$6,MATCH(E20,Cost_Components!$A$2:$A$6,0)),"")</f>
        <v>2040</v>
      </c>
      <c r="AC20" s="26">
        <f>IFERROR(INDEX(Cost_Components!$M$2:$M$6,MATCH(E20,Cost_Components!$A$2:$A$6,0)),"")</f>
        <v>30</v>
      </c>
      <c r="AD20" s="26">
        <f>IFERROR(INDEX(Cost_Components!$N$2:$N$6,MATCH(E20,Cost_Components!$A$2:$A$6,0)),"")</f>
        <v>95</v>
      </c>
      <c r="AE20" s="16" t="str">
        <f>IFERROR(INDEX(Cost_Components!$O$2:$O$6,MATCH(E20,Cost_Components!$A$2:$A$6,0)),"")</f>
        <v>Both</v>
      </c>
      <c r="AF20" s="11">
        <v>193470484.03567699</v>
      </c>
      <c r="AG20" s="11">
        <v>192936206.60042799</v>
      </c>
      <c r="AH20" s="23">
        <f t="shared" si="8"/>
        <v>1</v>
      </c>
      <c r="AI20" s="10">
        <v>317814114.06715202</v>
      </c>
      <c r="AJ20" s="29">
        <f t="shared" si="9"/>
        <v>1.7840579981557154E-2</v>
      </c>
      <c r="AK20" s="29">
        <f t="shared" si="10"/>
        <v>6.5495158239809198E-2</v>
      </c>
      <c r="AL20" s="29">
        <f t="shared" si="11"/>
        <v>4.7654578258252041E-2</v>
      </c>
      <c r="AM20" s="29">
        <f t="shared" si="12"/>
        <v>2.7992042297125395E-2</v>
      </c>
    </row>
    <row r="21" spans="1:39">
      <c r="A21" t="s">
        <v>115</v>
      </c>
      <c r="B21" s="20">
        <v>2044</v>
      </c>
      <c r="C21" t="s">
        <v>204</v>
      </c>
      <c r="E21" s="22" t="s">
        <v>267</v>
      </c>
      <c r="F21" s="22" t="s">
        <v>268</v>
      </c>
      <c r="G21" s="22" t="s">
        <v>213</v>
      </c>
      <c r="H21" s="22" t="s">
        <v>214</v>
      </c>
      <c r="I21" s="22" t="s">
        <v>265</v>
      </c>
      <c r="J21" s="17">
        <f>IFERROR(INDEX(Cost_Components!$K$2:$K$6,MATCH(E21,Cost_Components!$A$2:$A$6,0)),"")</f>
        <v>0.2</v>
      </c>
      <c r="K21" s="31">
        <v>0.41649999999999998</v>
      </c>
      <c r="L21" s="17">
        <f>IFERROR(INDEX(Cost_Components!$S$2:$S$6,MATCH(E21,Cost_Components!$A$2:$A$6,0)),"")</f>
        <v>0.113766857372906</v>
      </c>
      <c r="M21" s="28">
        <f>IFERROR(INDEX(Cost_Components!$L$2:$L$6,MATCH(E21,Cost_Components!$A$2:$A$6,0)),"")</f>
        <v>1</v>
      </c>
      <c r="N21" s="29">
        <f>IFERROR(INDEX(Cost_Components!$P$2:$P$6,MATCH(E21,Cost_Components!$A$2:$A$6,0)),"")</f>
        <v>1.2915840000000001</v>
      </c>
      <c r="O21" s="23">
        <f t="shared" si="0"/>
        <v>39073418.787091203</v>
      </c>
      <c r="P21" s="23">
        <f t="shared" si="1"/>
        <v>38948167.973310001</v>
      </c>
      <c r="Q21" s="23">
        <f t="shared" si="2"/>
        <v>5723022.4861771287</v>
      </c>
      <c r="R21" s="23">
        <f t="shared" si="3"/>
        <v>21019339.954039216</v>
      </c>
      <c r="S21" s="23">
        <f t="shared" si="4"/>
        <v>15296317.467862088</v>
      </c>
      <c r="T21" s="16">
        <f>IFERROR(INDEX(Cost_Components!$R$2:$R$6,MATCH(E21,Cost_Components!$A$2:$A$6,0)),"")</f>
        <v>1</v>
      </c>
      <c r="U21" s="26">
        <f>IFERROR(INDEX(Cost_Components!$Q$2:$Q$6,MATCH(E21,Cost_Components!$A$2:$A$6,0)),"")</f>
        <v>2023</v>
      </c>
      <c r="V21" s="30">
        <f>1/(1+Calculation_Assumptions!$B$5)^(B21-Calculation_Assumptions!$B$2)</f>
        <v>0.57028602681192497</v>
      </c>
      <c r="W21" s="23">
        <f t="shared" si="5"/>
        <v>3263759.7549972595</v>
      </c>
      <c r="X21" s="23">
        <f t="shared" si="6"/>
        <v>11987035.868598174</v>
      </c>
      <c r="Y21" s="23">
        <f t="shared" si="7"/>
        <v>8723276.1136009153</v>
      </c>
      <c r="Z21" s="17">
        <f>IFERROR(INDEX(Cost_Components!$T$2:$T$6,MATCH(E21,Cost_Components!$A$2:$A$6,0)),"")</f>
        <v>0.41649999999999998</v>
      </c>
      <c r="AA21" s="26">
        <f>IFERROR(INDEX(Cost_Components!$U$2:$U$6,MATCH(E21,Cost_Components!$A$2:$A$6,0)),"")</f>
        <v>2025</v>
      </c>
      <c r="AB21" s="26">
        <f>IFERROR(INDEX(Cost_Components!$V$2:$V$6,MATCH(E21,Cost_Components!$A$2:$A$6,0)),"")</f>
        <v>2040</v>
      </c>
      <c r="AC21" s="26">
        <f>IFERROR(INDEX(Cost_Components!$M$2:$M$6,MATCH(E21,Cost_Components!$A$2:$A$6,0)),"")</f>
        <v>30</v>
      </c>
      <c r="AD21" s="26">
        <f>IFERROR(INDEX(Cost_Components!$N$2:$N$6,MATCH(E21,Cost_Components!$A$2:$A$6,0)),"")</f>
        <v>95</v>
      </c>
      <c r="AE21" s="16" t="str">
        <f>IFERROR(INDEX(Cost_Components!$O$2:$O$6,MATCH(E21,Cost_Components!$A$2:$A$6,0)),"")</f>
        <v>Both</v>
      </c>
      <c r="AF21" s="11">
        <v>195367093.93545601</v>
      </c>
      <c r="AG21" s="11">
        <v>194740839.86655</v>
      </c>
      <c r="AH21" s="23">
        <f t="shared" si="8"/>
        <v>1</v>
      </c>
      <c r="AI21" s="10">
        <v>318840890.73215598</v>
      </c>
      <c r="AJ21" s="29">
        <f t="shared" si="9"/>
        <v>1.7949462106429708E-2</v>
      </c>
      <c r="AK21" s="29">
        <f t="shared" si="10"/>
        <v>6.5924229184570388E-2</v>
      </c>
      <c r="AL21" s="29">
        <f t="shared" si="11"/>
        <v>4.7974767078140683E-2</v>
      </c>
      <c r="AM21" s="29">
        <f t="shared" si="12"/>
        <v>2.7359339304220395E-2</v>
      </c>
    </row>
    <row r="22" spans="1:39">
      <c r="A22" t="s">
        <v>115</v>
      </c>
      <c r="B22" s="20">
        <v>2045</v>
      </c>
      <c r="C22" t="s">
        <v>204</v>
      </c>
      <c r="E22" s="22" t="s">
        <v>267</v>
      </c>
      <c r="F22" s="22" t="s">
        <v>268</v>
      </c>
      <c r="G22" s="22" t="s">
        <v>213</v>
      </c>
      <c r="H22" s="22" t="s">
        <v>214</v>
      </c>
      <c r="I22" s="22" t="s">
        <v>265</v>
      </c>
      <c r="J22" s="17">
        <f>IFERROR(INDEX(Cost_Components!$K$2:$K$6,MATCH(E22,Cost_Components!$A$2:$A$6,0)),"")</f>
        <v>0.2</v>
      </c>
      <c r="K22" s="31">
        <v>0.41649999999999998</v>
      </c>
      <c r="L22" s="17">
        <f>IFERROR(INDEX(Cost_Components!$S$2:$S$6,MATCH(E22,Cost_Components!$A$2:$A$6,0)),"")</f>
        <v>0.113766857372906</v>
      </c>
      <c r="M22" s="28">
        <f>IFERROR(INDEX(Cost_Components!$L$2:$L$6,MATCH(E22,Cost_Components!$A$2:$A$6,0)),"")</f>
        <v>1</v>
      </c>
      <c r="N22" s="29">
        <f>IFERROR(INDEX(Cost_Components!$P$2:$P$6,MATCH(E22,Cost_Components!$A$2:$A$6,0)),"")</f>
        <v>1.2915840000000001</v>
      </c>
      <c r="O22" s="23">
        <f t="shared" si="0"/>
        <v>39427162.004383199</v>
      </c>
      <c r="P22" s="23">
        <f t="shared" si="1"/>
        <v>39282979.812899604</v>
      </c>
      <c r="Q22" s="23">
        <f t="shared" si="2"/>
        <v>5772219.5546483006</v>
      </c>
      <c r="R22" s="23">
        <f t="shared" si="3"/>
        <v>21209634.255677152</v>
      </c>
      <c r="S22" s="23">
        <f t="shared" si="4"/>
        <v>15437414.701028852</v>
      </c>
      <c r="T22" s="16">
        <f>IFERROR(INDEX(Cost_Components!$R$2:$R$6,MATCH(E22,Cost_Components!$A$2:$A$6,0)),"")</f>
        <v>1</v>
      </c>
      <c r="U22" s="26">
        <f>IFERROR(INDEX(Cost_Components!$Q$2:$Q$6,MATCH(E22,Cost_Components!$A$2:$A$6,0)),"")</f>
        <v>2023</v>
      </c>
      <c r="V22" s="30">
        <f>1/(1+Calculation_Assumptions!$B$5)^(B22-Calculation_Assumptions!$B$2)</f>
        <v>0.55367575418633497</v>
      </c>
      <c r="W22" s="23">
        <f t="shared" si="5"/>
        <v>3195938.0152490083</v>
      </c>
      <c r="X22" s="23">
        <f t="shared" si="6"/>
        <v>11743260.242528373</v>
      </c>
      <c r="Y22" s="23">
        <f t="shared" si="7"/>
        <v>8547322.2272793651</v>
      </c>
      <c r="Z22" s="17">
        <f>IFERROR(INDEX(Cost_Components!$T$2:$T$6,MATCH(E22,Cost_Components!$A$2:$A$6,0)),"")</f>
        <v>0.41649999999999998</v>
      </c>
      <c r="AA22" s="26">
        <f>IFERROR(INDEX(Cost_Components!$U$2:$U$6,MATCH(E22,Cost_Components!$A$2:$A$6,0)),"")</f>
        <v>2025</v>
      </c>
      <c r="AB22" s="26">
        <f>IFERROR(INDEX(Cost_Components!$V$2:$V$6,MATCH(E22,Cost_Components!$A$2:$A$6,0)),"")</f>
        <v>2040</v>
      </c>
      <c r="AC22" s="26">
        <f>IFERROR(INDEX(Cost_Components!$M$2:$M$6,MATCH(E22,Cost_Components!$A$2:$A$6,0)),"")</f>
        <v>30</v>
      </c>
      <c r="AD22" s="26">
        <f>IFERROR(INDEX(Cost_Components!$N$2:$N$6,MATCH(E22,Cost_Components!$A$2:$A$6,0)),"")</f>
        <v>95</v>
      </c>
      <c r="AE22" s="16" t="str">
        <f>IFERROR(INDEX(Cost_Components!$O$2:$O$6,MATCH(E22,Cost_Components!$A$2:$A$6,0)),"")</f>
        <v>Both</v>
      </c>
      <c r="AF22" s="11">
        <v>197135810.021916</v>
      </c>
      <c r="AG22" s="11">
        <v>196414899.06449801</v>
      </c>
      <c r="AH22" s="23">
        <f t="shared" si="8"/>
        <v>1</v>
      </c>
      <c r="AI22" s="10">
        <v>319784682.33108002</v>
      </c>
      <c r="AJ22" s="29">
        <f t="shared" si="9"/>
        <v>1.8050331593657123E-2</v>
      </c>
      <c r="AK22" s="29">
        <f t="shared" si="10"/>
        <v>6.6324734821783485E-2</v>
      </c>
      <c r="AL22" s="29">
        <f t="shared" si="11"/>
        <v>4.8274403228126359E-2</v>
      </c>
      <c r="AM22" s="29">
        <f t="shared" si="12"/>
        <v>2.6728366615228108E-2</v>
      </c>
    </row>
    <row r="23" spans="1:39">
      <c r="A23" t="s">
        <v>115</v>
      </c>
      <c r="B23" s="20">
        <v>2046</v>
      </c>
      <c r="C23" t="s">
        <v>204</v>
      </c>
      <c r="E23" s="22" t="s">
        <v>267</v>
      </c>
      <c r="F23" s="22" t="s">
        <v>268</v>
      </c>
      <c r="G23" s="22" t="s">
        <v>213</v>
      </c>
      <c r="H23" s="22" t="s">
        <v>214</v>
      </c>
      <c r="I23" s="22" t="s">
        <v>265</v>
      </c>
      <c r="J23" s="17">
        <f>IFERROR(INDEX(Cost_Components!$K$2:$K$6,MATCH(E23,Cost_Components!$A$2:$A$6,0)),"")</f>
        <v>0.2</v>
      </c>
      <c r="K23" s="31">
        <v>0.41649999999999998</v>
      </c>
      <c r="L23" s="17">
        <f>IFERROR(INDEX(Cost_Components!$S$2:$S$6,MATCH(E23,Cost_Components!$A$2:$A$6,0)),"")</f>
        <v>0.113766857372906</v>
      </c>
      <c r="M23" s="28">
        <f>IFERROR(INDEX(Cost_Components!$L$2:$L$6,MATCH(E23,Cost_Components!$A$2:$A$6,0)),"")</f>
        <v>1</v>
      </c>
      <c r="N23" s="29">
        <f>IFERROR(INDEX(Cost_Components!$P$2:$P$6,MATCH(E23,Cost_Components!$A$2:$A$6,0)),"")</f>
        <v>1.2915840000000001</v>
      </c>
      <c r="O23" s="23">
        <f t="shared" si="0"/>
        <v>39754900.801261805</v>
      </c>
      <c r="P23" s="23">
        <f t="shared" si="1"/>
        <v>39596613.829148002</v>
      </c>
      <c r="Q23" s="23">
        <f t="shared" si="2"/>
        <v>5818304.765348061</v>
      </c>
      <c r="R23" s="23">
        <f t="shared" si="3"/>
        <v>21385939.616240971</v>
      </c>
      <c r="S23" s="23">
        <f t="shared" si="4"/>
        <v>15567634.850892909</v>
      </c>
      <c r="T23" s="16">
        <f>IFERROR(INDEX(Cost_Components!$R$2:$R$6,MATCH(E23,Cost_Components!$A$2:$A$6,0)),"")</f>
        <v>1</v>
      </c>
      <c r="U23" s="26">
        <f>IFERROR(INDEX(Cost_Components!$Q$2:$Q$6,MATCH(E23,Cost_Components!$A$2:$A$6,0)),"")</f>
        <v>2023</v>
      </c>
      <c r="V23" s="30">
        <f>1/(1+Calculation_Assumptions!$B$5)^(B23-Calculation_Assumptions!$B$2)</f>
        <v>0.5375492759090631</v>
      </c>
      <c r="W23" s="23">
        <f t="shared" si="5"/>
        <v>3127625.5136311012</v>
      </c>
      <c r="X23" s="23">
        <f t="shared" si="6"/>
        <v>11495996.355345281</v>
      </c>
      <c r="Y23" s="23">
        <f t="shared" si="7"/>
        <v>8368370.8417141782</v>
      </c>
      <c r="Z23" s="17">
        <f>IFERROR(INDEX(Cost_Components!$T$2:$T$6,MATCH(E23,Cost_Components!$A$2:$A$6,0)),"")</f>
        <v>0.41649999999999998</v>
      </c>
      <c r="AA23" s="26">
        <f>IFERROR(INDEX(Cost_Components!$U$2:$U$6,MATCH(E23,Cost_Components!$A$2:$A$6,0)),"")</f>
        <v>2025</v>
      </c>
      <c r="AB23" s="26">
        <f>IFERROR(INDEX(Cost_Components!$V$2:$V$6,MATCH(E23,Cost_Components!$A$2:$A$6,0)),"")</f>
        <v>2040</v>
      </c>
      <c r="AC23" s="26">
        <f>IFERROR(INDEX(Cost_Components!$M$2:$M$6,MATCH(E23,Cost_Components!$A$2:$A$6,0)),"")</f>
        <v>30</v>
      </c>
      <c r="AD23" s="26">
        <f>IFERROR(INDEX(Cost_Components!$N$2:$N$6,MATCH(E23,Cost_Components!$A$2:$A$6,0)),"")</f>
        <v>95</v>
      </c>
      <c r="AE23" s="16" t="str">
        <f>IFERROR(INDEX(Cost_Components!$O$2:$O$6,MATCH(E23,Cost_Components!$A$2:$A$6,0)),"")</f>
        <v>Both</v>
      </c>
      <c r="AF23" s="11">
        <v>198774504.006309</v>
      </c>
      <c r="AG23" s="11">
        <v>197983069.14574</v>
      </c>
      <c r="AH23" s="23">
        <f t="shared" si="8"/>
        <v>1</v>
      </c>
      <c r="AI23" s="10">
        <v>320645615.981408</v>
      </c>
      <c r="AJ23" s="29">
        <f t="shared" si="9"/>
        <v>1.8145592752109928E-2</v>
      </c>
      <c r="AK23" s="29">
        <f t="shared" si="10"/>
        <v>6.669649778552092E-2</v>
      </c>
      <c r="AL23" s="29">
        <f t="shared" si="11"/>
        <v>4.8550905033410988E-2</v>
      </c>
      <c r="AM23" s="29">
        <f t="shared" si="12"/>
        <v>2.6098503845439762E-2</v>
      </c>
    </row>
    <row r="24" spans="1:39">
      <c r="A24" t="s">
        <v>115</v>
      </c>
      <c r="B24" s="20">
        <v>2047</v>
      </c>
      <c r="C24" t="s">
        <v>204</v>
      </c>
      <c r="E24" s="22" t="s">
        <v>267</v>
      </c>
      <c r="F24" s="22" t="s">
        <v>268</v>
      </c>
      <c r="G24" s="22" t="s">
        <v>213</v>
      </c>
      <c r="H24" s="22" t="s">
        <v>214</v>
      </c>
      <c r="I24" s="22" t="s">
        <v>265</v>
      </c>
      <c r="J24" s="17">
        <f>IFERROR(INDEX(Cost_Components!$K$2:$K$6,MATCH(E24,Cost_Components!$A$2:$A$6,0)),"")</f>
        <v>0.2</v>
      </c>
      <c r="K24" s="31">
        <v>0.41649999999999998</v>
      </c>
      <c r="L24" s="17">
        <f>IFERROR(INDEX(Cost_Components!$S$2:$S$6,MATCH(E24,Cost_Components!$A$2:$A$6,0)),"")</f>
        <v>0.113766857372906</v>
      </c>
      <c r="M24" s="28">
        <f>IFERROR(INDEX(Cost_Components!$L$2:$L$6,MATCH(E24,Cost_Components!$A$2:$A$6,0)),"")</f>
        <v>1</v>
      </c>
      <c r="N24" s="29">
        <f>IFERROR(INDEX(Cost_Components!$P$2:$P$6,MATCH(E24,Cost_Components!$A$2:$A$6,0)),"")</f>
        <v>1.2915840000000001</v>
      </c>
      <c r="O24" s="23">
        <f t="shared" si="0"/>
        <v>40023672.546306007</v>
      </c>
      <c r="P24" s="23">
        <f t="shared" si="1"/>
        <v>39846335.306775801</v>
      </c>
      <c r="Q24" s="23">
        <f t="shared" si="2"/>
        <v>5854998.7026014021</v>
      </c>
      <c r="R24" s="23">
        <f t="shared" si="3"/>
        <v>21530523.961673032</v>
      </c>
      <c r="S24" s="23">
        <f t="shared" si="4"/>
        <v>15675525.259071629</v>
      </c>
      <c r="T24" s="16">
        <f>IFERROR(INDEX(Cost_Components!$R$2:$R$6,MATCH(E24,Cost_Components!$A$2:$A$6,0)),"")</f>
        <v>1</v>
      </c>
      <c r="U24" s="26">
        <f>IFERROR(INDEX(Cost_Components!$Q$2:$Q$6,MATCH(E24,Cost_Components!$A$2:$A$6,0)),"")</f>
        <v>2023</v>
      </c>
      <c r="V24" s="30">
        <f>1/(1+Calculation_Assumptions!$B$5)^(B24-Calculation_Assumptions!$B$2)</f>
        <v>0.52189250088258554</v>
      </c>
      <c r="W24" s="23">
        <f t="shared" si="5"/>
        <v>3055679.9155649394</v>
      </c>
      <c r="X24" s="23">
        <f t="shared" si="6"/>
        <v>11236618.995669972</v>
      </c>
      <c r="Y24" s="23">
        <f t="shared" si="7"/>
        <v>8180939.0801050328</v>
      </c>
      <c r="Z24" s="17">
        <f>IFERROR(INDEX(Cost_Components!$T$2:$T$6,MATCH(E24,Cost_Components!$A$2:$A$6,0)),"")</f>
        <v>0.41649999999999998</v>
      </c>
      <c r="AA24" s="26">
        <f>IFERROR(INDEX(Cost_Components!$U$2:$U$6,MATCH(E24,Cost_Components!$A$2:$A$6,0)),"")</f>
        <v>2025</v>
      </c>
      <c r="AB24" s="26">
        <f>IFERROR(INDEX(Cost_Components!$V$2:$V$6,MATCH(E24,Cost_Components!$A$2:$A$6,0)),"")</f>
        <v>2040</v>
      </c>
      <c r="AC24" s="26">
        <f>IFERROR(INDEX(Cost_Components!$M$2:$M$6,MATCH(E24,Cost_Components!$A$2:$A$6,0)),"")</f>
        <v>30</v>
      </c>
      <c r="AD24" s="26">
        <f>IFERROR(INDEX(Cost_Components!$N$2:$N$6,MATCH(E24,Cost_Components!$A$2:$A$6,0)),"")</f>
        <v>95</v>
      </c>
      <c r="AE24" s="16" t="str">
        <f>IFERROR(INDEX(Cost_Components!$O$2:$O$6,MATCH(E24,Cost_Components!$A$2:$A$6,0)),"")</f>
        <v>Both</v>
      </c>
      <c r="AF24" s="11">
        <v>200118362.73153001</v>
      </c>
      <c r="AG24" s="11">
        <v>199231676.53387901</v>
      </c>
      <c r="AH24" s="23">
        <f t="shared" si="8"/>
        <v>1</v>
      </c>
      <c r="AI24" s="10">
        <v>321429520.52287501</v>
      </c>
      <c r="AJ24" s="29">
        <f t="shared" si="9"/>
        <v>1.8215497733615051E-2</v>
      </c>
      <c r="AK24" s="29">
        <f t="shared" si="10"/>
        <v>6.6983654540034007E-2</v>
      </c>
      <c r="AL24" s="29">
        <f t="shared" si="11"/>
        <v>4.8768156806418959E-2</v>
      </c>
      <c r="AM24" s="29">
        <f t="shared" si="12"/>
        <v>2.5451735319136078E-2</v>
      </c>
    </row>
    <row r="25" spans="1:39">
      <c r="A25" t="s">
        <v>115</v>
      </c>
      <c r="B25" s="20">
        <v>2048</v>
      </c>
      <c r="C25" t="s">
        <v>204</v>
      </c>
      <c r="E25" s="22" t="s">
        <v>267</v>
      </c>
      <c r="F25" s="22" t="s">
        <v>268</v>
      </c>
      <c r="G25" s="22" t="s">
        <v>213</v>
      </c>
      <c r="H25" s="22" t="s">
        <v>214</v>
      </c>
      <c r="I25" s="22" t="s">
        <v>265</v>
      </c>
      <c r="J25" s="17">
        <f>IFERROR(INDEX(Cost_Components!$K$2:$K$6,MATCH(E25,Cost_Components!$A$2:$A$6,0)),"")</f>
        <v>0.2</v>
      </c>
      <c r="K25" s="31">
        <v>0.41649999999999998</v>
      </c>
      <c r="L25" s="17">
        <f>IFERROR(INDEX(Cost_Components!$S$2:$S$6,MATCH(E25,Cost_Components!$A$2:$A$6,0)),"")</f>
        <v>0.113766857372906</v>
      </c>
      <c r="M25" s="28">
        <f>IFERROR(INDEX(Cost_Components!$L$2:$L$6,MATCH(E25,Cost_Components!$A$2:$A$6,0)),"")</f>
        <v>1</v>
      </c>
      <c r="N25" s="29">
        <f>IFERROR(INDEX(Cost_Components!$P$2:$P$6,MATCH(E25,Cost_Components!$A$2:$A$6,0)),"")</f>
        <v>1.2915840000000001</v>
      </c>
      <c r="O25" s="23">
        <f t="shared" si="0"/>
        <v>40273309.932613403</v>
      </c>
      <c r="P25" s="23">
        <f t="shared" si="1"/>
        <v>40076817.292443804</v>
      </c>
      <c r="Q25" s="23">
        <f t="shared" si="2"/>
        <v>5888865.5994356936</v>
      </c>
      <c r="R25" s="23">
        <f t="shared" si="3"/>
        <v>21664815.079545893</v>
      </c>
      <c r="S25" s="23">
        <f t="shared" si="4"/>
        <v>15775949.480110198</v>
      </c>
      <c r="T25" s="16">
        <f>IFERROR(INDEX(Cost_Components!$R$2:$R$6,MATCH(E25,Cost_Components!$A$2:$A$6,0)),"")</f>
        <v>1</v>
      </c>
      <c r="U25" s="26">
        <f>IFERROR(INDEX(Cost_Components!$Q$2:$Q$6,MATCH(E25,Cost_Components!$A$2:$A$6,0)),"")</f>
        <v>2023</v>
      </c>
      <c r="V25" s="30">
        <f>1/(1+Calculation_Assumptions!$B$5)^(B25-Calculation_Assumptions!$B$2)</f>
        <v>0.50669174842969467</v>
      </c>
      <c r="W25" s="23">
        <f t="shared" si="5"/>
        <v>2983839.6068455535</v>
      </c>
      <c r="X25" s="23">
        <f t="shared" si="6"/>
        <v>10977383.032061122</v>
      </c>
      <c r="Y25" s="23">
        <f t="shared" si="7"/>
        <v>7993543.4252155693</v>
      </c>
      <c r="Z25" s="17">
        <f>IFERROR(INDEX(Cost_Components!$T$2:$T$6,MATCH(E25,Cost_Components!$A$2:$A$6,0)),"")</f>
        <v>0.41649999999999998</v>
      </c>
      <c r="AA25" s="26">
        <f>IFERROR(INDEX(Cost_Components!$U$2:$U$6,MATCH(E25,Cost_Components!$A$2:$A$6,0)),"")</f>
        <v>2025</v>
      </c>
      <c r="AB25" s="26">
        <f>IFERROR(INDEX(Cost_Components!$V$2:$V$6,MATCH(E25,Cost_Components!$A$2:$A$6,0)),"")</f>
        <v>2040</v>
      </c>
      <c r="AC25" s="26">
        <f>IFERROR(INDEX(Cost_Components!$M$2:$M$6,MATCH(E25,Cost_Components!$A$2:$A$6,0)),"")</f>
        <v>30</v>
      </c>
      <c r="AD25" s="26">
        <f>IFERROR(INDEX(Cost_Components!$N$2:$N$6,MATCH(E25,Cost_Components!$A$2:$A$6,0)),"")</f>
        <v>95</v>
      </c>
      <c r="AE25" s="16" t="str">
        <f>IFERROR(INDEX(Cost_Components!$O$2:$O$6,MATCH(E25,Cost_Components!$A$2:$A$6,0)),"")</f>
        <v>Both</v>
      </c>
      <c r="AF25" s="11">
        <v>201366549.66306701</v>
      </c>
      <c r="AG25" s="11">
        <v>200384086.462219</v>
      </c>
      <c r="AH25" s="23">
        <f t="shared" si="8"/>
        <v>1</v>
      </c>
      <c r="AI25" s="10">
        <v>322136832.26016098</v>
      </c>
      <c r="AJ25" s="29">
        <f t="shared" si="9"/>
        <v>1.8280634220304823E-2</v>
      </c>
      <c r="AK25" s="29">
        <f t="shared" si="10"/>
        <v>6.7253455395156952E-2</v>
      </c>
      <c r="AL25" s="29">
        <f t="shared" si="11"/>
        <v>4.8972821174852126E-2</v>
      </c>
      <c r="AM25" s="29">
        <f t="shared" si="12"/>
        <v>2.4814124386620597E-2</v>
      </c>
    </row>
    <row r="26" spans="1:39">
      <c r="A26" t="s">
        <v>115</v>
      </c>
      <c r="B26" s="20">
        <v>2049</v>
      </c>
      <c r="C26" t="s">
        <v>204</v>
      </c>
      <c r="E26" s="22" t="s">
        <v>267</v>
      </c>
      <c r="F26" s="22" t="s">
        <v>268</v>
      </c>
      <c r="G26" s="22" t="s">
        <v>213</v>
      </c>
      <c r="H26" s="22" t="s">
        <v>214</v>
      </c>
      <c r="I26" s="22" t="s">
        <v>265</v>
      </c>
      <c r="J26" s="17">
        <f>IFERROR(INDEX(Cost_Components!$K$2:$K$6,MATCH(E26,Cost_Components!$A$2:$A$6,0)),"")</f>
        <v>0.2</v>
      </c>
      <c r="K26" s="31">
        <v>0.41649999999999998</v>
      </c>
      <c r="L26" s="17">
        <f>IFERROR(INDEX(Cost_Components!$S$2:$S$6,MATCH(E26,Cost_Components!$A$2:$A$6,0)),"")</f>
        <v>0.113766857372906</v>
      </c>
      <c r="M26" s="28">
        <f>IFERROR(INDEX(Cost_Components!$L$2:$L$6,MATCH(E26,Cost_Components!$A$2:$A$6,0)),"")</f>
        <v>1</v>
      </c>
      <c r="N26" s="29">
        <f>IFERROR(INDEX(Cost_Components!$P$2:$P$6,MATCH(E26,Cost_Components!$A$2:$A$6,0)),"")</f>
        <v>1.2915840000000001</v>
      </c>
      <c r="O26" s="23">
        <f t="shared" si="0"/>
        <v>40511402.434936203</v>
      </c>
      <c r="P26" s="23">
        <f t="shared" si="1"/>
        <v>40295942.300163805</v>
      </c>
      <c r="Q26" s="23">
        <f t="shared" si="2"/>
        <v>5921063.7081458298</v>
      </c>
      <c r="R26" s="23">
        <f t="shared" si="3"/>
        <v>21792895.687851511</v>
      </c>
      <c r="S26" s="23">
        <f t="shared" si="4"/>
        <v>15871831.97970568</v>
      </c>
      <c r="T26" s="16">
        <f>IFERROR(INDEX(Cost_Components!$R$2:$R$6,MATCH(E26,Cost_Components!$A$2:$A$6,0)),"")</f>
        <v>1</v>
      </c>
      <c r="U26" s="26">
        <f>IFERROR(INDEX(Cost_Components!$Q$2:$Q$6,MATCH(E26,Cost_Components!$A$2:$A$6,0)),"")</f>
        <v>2023</v>
      </c>
      <c r="V26" s="30">
        <f>1/(1+Calculation_Assumptions!$B$5)^(B26-Calculation_Assumptions!$B$2)</f>
        <v>0.49193373633950943</v>
      </c>
      <c r="W26" s="23">
        <f t="shared" si="5"/>
        <v>2912770.9930524486</v>
      </c>
      <c r="X26" s="23">
        <f t="shared" si="6"/>
        <v>10720660.601381978</v>
      </c>
      <c r="Y26" s="23">
        <f t="shared" si="7"/>
        <v>7807889.608329528</v>
      </c>
      <c r="Z26" s="17">
        <f>IFERROR(INDEX(Cost_Components!$T$2:$T$6,MATCH(E26,Cost_Components!$A$2:$A$6,0)),"")</f>
        <v>0.41649999999999998</v>
      </c>
      <c r="AA26" s="26">
        <f>IFERROR(INDEX(Cost_Components!$U$2:$U$6,MATCH(E26,Cost_Components!$A$2:$A$6,0)),"")</f>
        <v>2025</v>
      </c>
      <c r="AB26" s="26">
        <f>IFERROR(INDEX(Cost_Components!$V$2:$V$6,MATCH(E26,Cost_Components!$A$2:$A$6,0)),"")</f>
        <v>2040</v>
      </c>
      <c r="AC26" s="26">
        <f>IFERROR(INDEX(Cost_Components!$M$2:$M$6,MATCH(E26,Cost_Components!$A$2:$A$6,0)),"")</f>
        <v>30</v>
      </c>
      <c r="AD26" s="26">
        <f>IFERROR(INDEX(Cost_Components!$N$2:$N$6,MATCH(E26,Cost_Components!$A$2:$A$6,0)),"")</f>
        <v>95</v>
      </c>
      <c r="AE26" s="16" t="str">
        <f>IFERROR(INDEX(Cost_Components!$O$2:$O$6,MATCH(E26,Cost_Components!$A$2:$A$6,0)),"")</f>
        <v>Both</v>
      </c>
      <c r="AF26" s="11">
        <v>202557012.17468101</v>
      </c>
      <c r="AG26" s="11">
        <v>201479711.500819</v>
      </c>
      <c r="AH26" s="23">
        <f t="shared" si="8"/>
        <v>1</v>
      </c>
      <c r="AI26" s="10">
        <v>322765819.75268102</v>
      </c>
      <c r="AJ26" s="29">
        <f t="shared" si="9"/>
        <v>1.8344766842668902E-2</v>
      </c>
      <c r="AK26" s="29">
        <f t="shared" si="10"/>
        <v>6.7519217817271659E-2</v>
      </c>
      <c r="AL26" s="29">
        <f t="shared" si="11"/>
        <v>4.9174450974602747E-2</v>
      </c>
      <c r="AM26" s="29">
        <f t="shared" si="12"/>
        <v>2.4190571400380362E-2</v>
      </c>
    </row>
    <row r="27" spans="1:39">
      <c r="A27" t="s">
        <v>115</v>
      </c>
      <c r="B27" s="20">
        <v>2050</v>
      </c>
      <c r="C27" t="s">
        <v>204</v>
      </c>
      <c r="E27" s="22" t="s">
        <v>267</v>
      </c>
      <c r="F27" s="22" t="s">
        <v>268</v>
      </c>
      <c r="G27" s="22" t="s">
        <v>213</v>
      </c>
      <c r="H27" s="22" t="s">
        <v>214</v>
      </c>
      <c r="I27" s="22" t="s">
        <v>265</v>
      </c>
      <c r="J27" s="17">
        <f>IFERROR(INDEX(Cost_Components!$K$2:$K$6,MATCH(E27,Cost_Components!$A$2:$A$6,0)),"")</f>
        <v>0.2</v>
      </c>
      <c r="K27" s="31">
        <v>0.41649999999999998</v>
      </c>
      <c r="L27" s="17">
        <f>IFERROR(INDEX(Cost_Components!$S$2:$S$6,MATCH(E27,Cost_Components!$A$2:$A$6,0)),"")</f>
        <v>0.113766857372906</v>
      </c>
      <c r="M27" s="28">
        <f>IFERROR(INDEX(Cost_Components!$L$2:$L$6,MATCH(E27,Cost_Components!$A$2:$A$6,0)),"")</f>
        <v>1</v>
      </c>
      <c r="N27" s="29">
        <f>IFERROR(INDEX(Cost_Components!$P$2:$P$6,MATCH(E27,Cost_Components!$A$2:$A$6,0)),"")</f>
        <v>1.2915840000000001</v>
      </c>
      <c r="O27" s="23">
        <f t="shared" si="0"/>
        <v>40736766.6260764</v>
      </c>
      <c r="P27" s="23">
        <f t="shared" si="1"/>
        <v>40495959.952096604</v>
      </c>
      <c r="Q27" s="23">
        <f t="shared" si="2"/>
        <v>5950454.1924538016</v>
      </c>
      <c r="R27" s="23">
        <f t="shared" si="3"/>
        <v>21914129.168158278</v>
      </c>
      <c r="S27" s="23">
        <f t="shared" si="4"/>
        <v>15963674.975704476</v>
      </c>
      <c r="T27" s="16">
        <f>IFERROR(INDEX(Cost_Components!$R$2:$R$6,MATCH(E27,Cost_Components!$A$2:$A$6,0)),"")</f>
        <v>1</v>
      </c>
      <c r="U27" s="26">
        <f>IFERROR(INDEX(Cost_Components!$Q$2:$Q$6,MATCH(E27,Cost_Components!$A$2:$A$6,0)),"")</f>
        <v>2023</v>
      </c>
      <c r="V27" s="30">
        <f>1/(1+Calculation_Assumptions!$B$5)^(B27-Calculation_Assumptions!$B$2)</f>
        <v>0.47760556926165965</v>
      </c>
      <c r="W27" s="23">
        <f t="shared" si="5"/>
        <v>2841970.0619523274</v>
      </c>
      <c r="X27" s="23">
        <f t="shared" si="6"/>
        <v>10466310.136231774</v>
      </c>
      <c r="Y27" s="23">
        <f t="shared" si="7"/>
        <v>7624340.0742794471</v>
      </c>
      <c r="Z27" s="17">
        <f>IFERROR(INDEX(Cost_Components!$T$2:$T$6,MATCH(E27,Cost_Components!$A$2:$A$6,0)),"")</f>
        <v>0.41649999999999998</v>
      </c>
      <c r="AA27" s="26">
        <f>IFERROR(INDEX(Cost_Components!$U$2:$U$6,MATCH(E27,Cost_Components!$A$2:$A$6,0)),"")</f>
        <v>2025</v>
      </c>
      <c r="AB27" s="26">
        <f>IFERROR(INDEX(Cost_Components!$V$2:$V$6,MATCH(E27,Cost_Components!$A$2:$A$6,0)),"")</f>
        <v>2040</v>
      </c>
      <c r="AC27" s="26">
        <f>IFERROR(INDEX(Cost_Components!$M$2:$M$6,MATCH(E27,Cost_Components!$A$2:$A$6,0)),"")</f>
        <v>30</v>
      </c>
      <c r="AD27" s="26">
        <f>IFERROR(INDEX(Cost_Components!$N$2:$N$6,MATCH(E27,Cost_Components!$A$2:$A$6,0)),"")</f>
        <v>95</v>
      </c>
      <c r="AE27" s="16" t="str">
        <f>IFERROR(INDEX(Cost_Components!$O$2:$O$6,MATCH(E27,Cost_Components!$A$2:$A$6,0)),"")</f>
        <v>Both</v>
      </c>
      <c r="AF27" s="11">
        <v>203683833.130382</v>
      </c>
      <c r="AG27" s="11">
        <v>202479799.760483</v>
      </c>
      <c r="AH27" s="23">
        <f t="shared" si="8"/>
        <v>1</v>
      </c>
      <c r="AI27" s="10">
        <v>323312042.56328499</v>
      </c>
      <c r="AJ27" s="29">
        <f t="shared" si="9"/>
        <v>1.8404678481127288E-2</v>
      </c>
      <c r="AK27" s="29">
        <f t="shared" si="10"/>
        <v>6.7780120389016485E-2</v>
      </c>
      <c r="AL27" s="29">
        <f t="shared" si="11"/>
        <v>4.9375441907889193E-2</v>
      </c>
      <c r="AM27" s="29">
        <f t="shared" si="12"/>
        <v>2.3581986039963424E-2</v>
      </c>
    </row>
    <row r="28" spans="1:39">
      <c r="A28" t="s">
        <v>115</v>
      </c>
      <c r="B28" s="20">
        <v>2025</v>
      </c>
      <c r="C28" t="s">
        <v>204</v>
      </c>
      <c r="E28" s="22" t="s">
        <v>260</v>
      </c>
      <c r="F28" s="22" t="s">
        <v>261</v>
      </c>
      <c r="G28" s="22" t="s">
        <v>213</v>
      </c>
      <c r="H28" s="22" t="s">
        <v>214</v>
      </c>
      <c r="I28" s="22" t="s">
        <v>265</v>
      </c>
      <c r="J28" s="17">
        <f>IFERROR(INDEX(Cost_Components!$K$2:$K$6,MATCH(E28,Cost_Components!$A$2:$A$6,0)),"")</f>
        <v>0.06</v>
      </c>
      <c r="K28" s="31">
        <v>0.113766857372906</v>
      </c>
      <c r="L28" s="17">
        <f>IFERROR(INDEX(Cost_Components!$S$2:$S$6,MATCH(E28,Cost_Components!$A$2:$A$6,0)),"")</f>
        <v>0.113766857372906</v>
      </c>
      <c r="M28" s="28">
        <f>IFERROR(INDEX(Cost_Components!$L$2:$L$6,MATCH(E28,Cost_Components!$A$2:$A$6,0)),"")</f>
        <v>1</v>
      </c>
      <c r="N28" s="29">
        <f>IFERROR(INDEX(Cost_Components!$P$2:$P$6,MATCH(E28,Cost_Components!$A$2:$A$6,0)),"")</f>
        <v>22.229600000000001</v>
      </c>
      <c r="O28" s="23">
        <f t="shared" si="0"/>
        <v>9305591.146855019</v>
      </c>
      <c r="P28" s="23">
        <f t="shared" si="1"/>
        <v>9305591.146855019</v>
      </c>
      <c r="Q28" s="23">
        <f t="shared" si="2"/>
        <v>23533763.0778802</v>
      </c>
      <c r="R28" s="23">
        <f t="shared" si="3"/>
        <v>23533763.0778802</v>
      </c>
      <c r="S28" s="23">
        <f t="shared" si="4"/>
        <v>0</v>
      </c>
      <c r="T28" s="16">
        <f>IFERROR(INDEX(Cost_Components!$R$2:$R$6,MATCH(E28,Cost_Components!$A$2:$A$6,0)),"")</f>
        <v>1</v>
      </c>
      <c r="U28" s="26">
        <f>IFERROR(INDEX(Cost_Components!$Q$2:$Q$6,MATCH(E28,Cost_Components!$A$2:$A$6,0)),"")</f>
        <v>2023</v>
      </c>
      <c r="V28" s="30">
        <f>1/(1+Calculation_Assumptions!$B$5)^(B28-Calculation_Assumptions!$B$2)</f>
        <v>1</v>
      </c>
      <c r="W28" s="23">
        <f t="shared" si="5"/>
        <v>23533763.0778802</v>
      </c>
      <c r="X28" s="23">
        <f t="shared" si="6"/>
        <v>23533763.0778802</v>
      </c>
      <c r="Y28" s="23">
        <f t="shared" si="7"/>
        <v>0</v>
      </c>
      <c r="Z28" s="17">
        <f>IFERROR(INDEX(Cost_Components!$T$2:$T$6,MATCH(E28,Cost_Components!$A$2:$A$6,0)),"")</f>
        <v>0.41649999999999998</v>
      </c>
      <c r="AA28" s="26">
        <f>IFERROR(INDEX(Cost_Components!$U$2:$U$6,MATCH(E28,Cost_Components!$A$2:$A$6,0)),"")</f>
        <v>2025</v>
      </c>
      <c r="AB28" s="26">
        <f>IFERROR(INDEX(Cost_Components!$V$2:$V$6,MATCH(E28,Cost_Components!$A$2:$A$6,0)),"")</f>
        <v>2040</v>
      </c>
      <c r="AC28" s="26">
        <f>IFERROR(INDEX(Cost_Components!$M$2:$M$6,MATCH(E28,Cost_Components!$A$2:$A$6,0)),"")</f>
        <v>30</v>
      </c>
      <c r="AD28" s="26">
        <f>IFERROR(INDEX(Cost_Components!$N$2:$N$6,MATCH(E28,Cost_Components!$A$2:$A$6,0)),"")</f>
        <v>95</v>
      </c>
      <c r="AE28" s="16" t="str">
        <f>IFERROR(INDEX(Cost_Components!$O$2:$O$6,MATCH(E28,Cost_Components!$A$2:$A$6,0)),"")</f>
        <v>Both</v>
      </c>
      <c r="AF28" s="11">
        <v>155093185.78091699</v>
      </c>
      <c r="AG28" s="11">
        <v>155093185.78091699</v>
      </c>
      <c r="AH28" s="23">
        <f t="shared" si="8"/>
        <v>1</v>
      </c>
      <c r="AI28" s="10">
        <v>288391907.64445603</v>
      </c>
      <c r="AJ28" s="29">
        <f t="shared" si="9"/>
        <v>8.1603409991981471E-2</v>
      </c>
      <c r="AK28" s="29">
        <f t="shared" si="10"/>
        <v>8.1603409991981471E-2</v>
      </c>
      <c r="AL28" s="29">
        <f t="shared" si="11"/>
        <v>0</v>
      </c>
      <c r="AM28" s="29">
        <f t="shared" si="12"/>
        <v>0</v>
      </c>
    </row>
    <row r="29" spans="1:39">
      <c r="A29" t="s">
        <v>115</v>
      </c>
      <c r="B29" s="20">
        <v>2026</v>
      </c>
      <c r="C29" t="s">
        <v>204</v>
      </c>
      <c r="E29" s="22" t="s">
        <v>260</v>
      </c>
      <c r="F29" s="22" t="s">
        <v>261</v>
      </c>
      <c r="G29" s="22" t="s">
        <v>213</v>
      </c>
      <c r="H29" s="22" t="s">
        <v>214</v>
      </c>
      <c r="I29" s="22" t="s">
        <v>265</v>
      </c>
      <c r="J29" s="17">
        <f>IFERROR(INDEX(Cost_Components!$K$2:$K$6,MATCH(E29,Cost_Components!$A$2:$A$6,0)),"")</f>
        <v>0.06</v>
      </c>
      <c r="K29" s="31">
        <v>0.11831348589832499</v>
      </c>
      <c r="L29" s="17">
        <f>IFERROR(INDEX(Cost_Components!$S$2:$S$6,MATCH(E29,Cost_Components!$A$2:$A$6,0)),"")</f>
        <v>0.113766857372906</v>
      </c>
      <c r="M29" s="28">
        <f>IFERROR(INDEX(Cost_Components!$L$2:$L$6,MATCH(E29,Cost_Components!$A$2:$A$6,0)),"")</f>
        <v>1</v>
      </c>
      <c r="N29" s="29">
        <f>IFERROR(INDEX(Cost_Components!$P$2:$P$6,MATCH(E29,Cost_Components!$A$2:$A$6,0)),"")</f>
        <v>22.229600000000001</v>
      </c>
      <c r="O29" s="23">
        <f t="shared" si="0"/>
        <v>9450229.7055005413</v>
      </c>
      <c r="P29" s="23">
        <f t="shared" si="1"/>
        <v>9450229.7055005413</v>
      </c>
      <c r="Q29" s="23">
        <f t="shared" si="2"/>
        <v>23899552.796918117</v>
      </c>
      <c r="R29" s="23">
        <f t="shared" si="3"/>
        <v>24854684.994470611</v>
      </c>
      <c r="S29" s="23">
        <f t="shared" si="4"/>
        <v>955132.1975524947</v>
      </c>
      <c r="T29" s="16">
        <f>IFERROR(INDEX(Cost_Components!$R$2:$R$6,MATCH(E29,Cost_Components!$A$2:$A$6,0)),"")</f>
        <v>1</v>
      </c>
      <c r="U29" s="26">
        <f>IFERROR(INDEX(Cost_Components!$Q$2:$Q$6,MATCH(E29,Cost_Components!$A$2:$A$6,0)),"")</f>
        <v>2023</v>
      </c>
      <c r="V29" s="30">
        <f>1/(1+Calculation_Assumptions!$B$5)^(B29-Calculation_Assumptions!$B$2)</f>
        <v>0.970873786407767</v>
      </c>
      <c r="W29" s="23">
        <f t="shared" si="5"/>
        <v>23203449.317396231</v>
      </c>
      <c r="X29" s="23">
        <f t="shared" si="6"/>
        <v>24130762.130553991</v>
      </c>
      <c r="Y29" s="23">
        <f t="shared" si="7"/>
        <v>927312.81315776182</v>
      </c>
      <c r="Z29" s="17">
        <f>IFERROR(INDEX(Cost_Components!$T$2:$T$6,MATCH(E29,Cost_Components!$A$2:$A$6,0)),"")</f>
        <v>0.41649999999999998</v>
      </c>
      <c r="AA29" s="26">
        <f>IFERROR(INDEX(Cost_Components!$U$2:$U$6,MATCH(E29,Cost_Components!$A$2:$A$6,0)),"")</f>
        <v>2025</v>
      </c>
      <c r="AB29" s="26">
        <f>IFERROR(INDEX(Cost_Components!$V$2:$V$6,MATCH(E29,Cost_Components!$A$2:$A$6,0)),"")</f>
        <v>2040</v>
      </c>
      <c r="AC29" s="26">
        <f>IFERROR(INDEX(Cost_Components!$M$2:$M$6,MATCH(E29,Cost_Components!$A$2:$A$6,0)),"")</f>
        <v>30</v>
      </c>
      <c r="AD29" s="26">
        <f>IFERROR(INDEX(Cost_Components!$N$2:$N$6,MATCH(E29,Cost_Components!$A$2:$A$6,0)),"")</f>
        <v>95</v>
      </c>
      <c r="AE29" s="16" t="str">
        <f>IFERROR(INDEX(Cost_Components!$O$2:$O$6,MATCH(E29,Cost_Components!$A$2:$A$6,0)),"")</f>
        <v>Both</v>
      </c>
      <c r="AF29" s="11">
        <v>157503828.42500901</v>
      </c>
      <c r="AG29" s="11">
        <v>157503828.42500901</v>
      </c>
      <c r="AH29" s="23">
        <f t="shared" si="8"/>
        <v>1</v>
      </c>
      <c r="AI29" s="10">
        <v>290472130.233437</v>
      </c>
      <c r="AJ29" s="29">
        <f t="shared" si="9"/>
        <v>8.2278299049589776E-2</v>
      </c>
      <c r="AK29" s="29">
        <f t="shared" si="10"/>
        <v>8.5566505036115598E-2</v>
      </c>
      <c r="AL29" s="29">
        <f t="shared" si="11"/>
        <v>3.2882059865258183E-3</v>
      </c>
      <c r="AM29" s="29">
        <f t="shared" si="12"/>
        <v>3.1924329966270082E-3</v>
      </c>
    </row>
    <row r="30" spans="1:39">
      <c r="A30" t="s">
        <v>115</v>
      </c>
      <c r="B30" s="20">
        <v>2027</v>
      </c>
      <c r="C30" t="s">
        <v>204</v>
      </c>
      <c r="E30" s="22" t="s">
        <v>260</v>
      </c>
      <c r="F30" s="22" t="s">
        <v>261</v>
      </c>
      <c r="G30" s="22" t="s">
        <v>213</v>
      </c>
      <c r="H30" s="22" t="s">
        <v>214</v>
      </c>
      <c r="I30" s="22" t="s">
        <v>265</v>
      </c>
      <c r="J30" s="17">
        <f>IFERROR(INDEX(Cost_Components!$K$2:$K$6,MATCH(E30,Cost_Components!$A$2:$A$6,0)),"")</f>
        <v>0.06</v>
      </c>
      <c r="K30" s="31">
        <v>0.122860114423744</v>
      </c>
      <c r="L30" s="17">
        <f>IFERROR(INDEX(Cost_Components!$S$2:$S$6,MATCH(E30,Cost_Components!$A$2:$A$6,0)),"")</f>
        <v>0.113766857372906</v>
      </c>
      <c r="M30" s="28">
        <f>IFERROR(INDEX(Cost_Components!$L$2:$L$6,MATCH(E30,Cost_Components!$A$2:$A$6,0)),"")</f>
        <v>1</v>
      </c>
      <c r="N30" s="29">
        <f>IFERROR(INDEX(Cost_Components!$P$2:$P$6,MATCH(E30,Cost_Components!$A$2:$A$6,0)),"")</f>
        <v>22.229600000000001</v>
      </c>
      <c r="O30" s="23">
        <f t="shared" si="0"/>
        <v>9596055.9940092601</v>
      </c>
      <c r="P30" s="23">
        <f t="shared" si="1"/>
        <v>9597426.7296490204</v>
      </c>
      <c r="Q30" s="23">
        <f t="shared" si="2"/>
        <v>24271812.854061298</v>
      </c>
      <c r="R30" s="23">
        <f t="shared" si="3"/>
        <v>26208087.91829028</v>
      </c>
      <c r="S30" s="23">
        <f t="shared" si="4"/>
        <v>1936275.0642289817</v>
      </c>
      <c r="T30" s="16">
        <f>IFERROR(INDEX(Cost_Components!$R$2:$R$6,MATCH(E30,Cost_Components!$A$2:$A$6,0)),"")</f>
        <v>1</v>
      </c>
      <c r="U30" s="26">
        <f>IFERROR(INDEX(Cost_Components!$Q$2:$Q$6,MATCH(E30,Cost_Components!$A$2:$A$6,0)),"")</f>
        <v>2023</v>
      </c>
      <c r="V30" s="30">
        <f>1/(1+Calculation_Assumptions!$B$5)^(B30-Calculation_Assumptions!$B$2)</f>
        <v>0.94259590913375435</v>
      </c>
      <c r="W30" s="23">
        <f t="shared" si="5"/>
        <v>22878511.503498252</v>
      </c>
      <c r="X30" s="23">
        <f t="shared" si="6"/>
        <v>24703636.45799819</v>
      </c>
      <c r="Y30" s="23">
        <f t="shared" si="7"/>
        <v>1825124.9544999357</v>
      </c>
      <c r="Z30" s="17">
        <f>IFERROR(INDEX(Cost_Components!$T$2:$T$6,MATCH(E30,Cost_Components!$A$2:$A$6,0)),"")</f>
        <v>0.41649999999999998</v>
      </c>
      <c r="AA30" s="26">
        <f>IFERROR(INDEX(Cost_Components!$U$2:$U$6,MATCH(E30,Cost_Components!$A$2:$A$6,0)),"")</f>
        <v>2025</v>
      </c>
      <c r="AB30" s="26">
        <f>IFERROR(INDEX(Cost_Components!$V$2:$V$6,MATCH(E30,Cost_Components!$A$2:$A$6,0)),"")</f>
        <v>2040</v>
      </c>
      <c r="AC30" s="26">
        <f>IFERROR(INDEX(Cost_Components!$M$2:$M$6,MATCH(E30,Cost_Components!$A$2:$A$6,0)),"")</f>
        <v>30</v>
      </c>
      <c r="AD30" s="26">
        <f>IFERROR(INDEX(Cost_Components!$N$2:$N$6,MATCH(E30,Cost_Components!$A$2:$A$6,0)),"")</f>
        <v>95</v>
      </c>
      <c r="AE30" s="16" t="str">
        <f>IFERROR(INDEX(Cost_Components!$O$2:$O$6,MATCH(E30,Cost_Components!$A$2:$A$6,0)),"")</f>
        <v>Both</v>
      </c>
      <c r="AF30" s="11">
        <v>159934266.56682101</v>
      </c>
      <c r="AG30" s="11">
        <v>159957112.160817</v>
      </c>
      <c r="AH30" s="23">
        <f t="shared" si="8"/>
        <v>1</v>
      </c>
      <c r="AI30" s="10">
        <v>292505080.826208</v>
      </c>
      <c r="AJ30" s="29">
        <f t="shared" si="9"/>
        <v>8.2979115390075589E-2</v>
      </c>
      <c r="AK30" s="29">
        <f t="shared" si="10"/>
        <v>8.9598744214162307E-2</v>
      </c>
      <c r="AL30" s="29">
        <f t="shared" si="11"/>
        <v>6.6196288240867179E-3</v>
      </c>
      <c r="AM30" s="29">
        <f t="shared" si="12"/>
        <v>6.2396350495680262E-3</v>
      </c>
    </row>
    <row r="31" spans="1:39">
      <c r="A31" t="s">
        <v>115</v>
      </c>
      <c r="B31" s="20">
        <v>2028</v>
      </c>
      <c r="C31" t="s">
        <v>204</v>
      </c>
      <c r="E31" s="22" t="s">
        <v>260</v>
      </c>
      <c r="F31" s="22" t="s">
        <v>261</v>
      </c>
      <c r="G31" s="22" t="s">
        <v>213</v>
      </c>
      <c r="H31" s="22" t="s">
        <v>214</v>
      </c>
      <c r="I31" s="22" t="s">
        <v>265</v>
      </c>
      <c r="J31" s="17">
        <f>IFERROR(INDEX(Cost_Components!$K$2:$K$6,MATCH(E31,Cost_Components!$A$2:$A$6,0)),"")</f>
        <v>0.06</v>
      </c>
      <c r="K31" s="31">
        <v>0.12740674294916199</v>
      </c>
      <c r="L31" s="17">
        <f>IFERROR(INDEX(Cost_Components!$S$2:$S$6,MATCH(E31,Cost_Components!$A$2:$A$6,0)),"")</f>
        <v>0.113766857372906</v>
      </c>
      <c r="M31" s="28">
        <f>IFERROR(INDEX(Cost_Components!$L$2:$L$6,MATCH(E31,Cost_Components!$A$2:$A$6,0)),"")</f>
        <v>1</v>
      </c>
      <c r="N31" s="29">
        <f>IFERROR(INDEX(Cost_Components!$P$2:$P$6,MATCH(E31,Cost_Components!$A$2:$A$6,0)),"")</f>
        <v>22.229600000000001</v>
      </c>
      <c r="O31" s="23">
        <f t="shared" si="0"/>
        <v>9732288.08505168</v>
      </c>
      <c r="P31" s="23">
        <f t="shared" si="1"/>
        <v>9732260.1675707996</v>
      </c>
      <c r="Q31" s="23">
        <f t="shared" si="2"/>
        <v>24612805.50385116</v>
      </c>
      <c r="R31" s="23">
        <f t="shared" si="3"/>
        <v>27563795.395318285</v>
      </c>
      <c r="S31" s="23">
        <f t="shared" si="4"/>
        <v>2950989.8914671242</v>
      </c>
      <c r="T31" s="16">
        <f>IFERROR(INDEX(Cost_Components!$R$2:$R$6,MATCH(E31,Cost_Components!$A$2:$A$6,0)),"")</f>
        <v>1</v>
      </c>
      <c r="U31" s="26">
        <f>IFERROR(INDEX(Cost_Components!$Q$2:$Q$6,MATCH(E31,Cost_Components!$A$2:$A$6,0)),"")</f>
        <v>2023</v>
      </c>
      <c r="V31" s="30">
        <f>1/(1+Calculation_Assumptions!$B$5)^(B31-Calculation_Assumptions!$B$2)</f>
        <v>0.91514165935315961</v>
      </c>
      <c r="W31" s="23">
        <f t="shared" si="5"/>
        <v>22524203.670130931</v>
      </c>
      <c r="X31" s="23">
        <f t="shared" si="6"/>
        <v>25224777.456142556</v>
      </c>
      <c r="Y31" s="23">
        <f t="shared" si="7"/>
        <v>2700573.7860116246</v>
      </c>
      <c r="Z31" s="17">
        <f>IFERROR(INDEX(Cost_Components!$T$2:$T$6,MATCH(E31,Cost_Components!$A$2:$A$6,0)),"")</f>
        <v>0.41649999999999998</v>
      </c>
      <c r="AA31" s="26">
        <f>IFERROR(INDEX(Cost_Components!$U$2:$U$6,MATCH(E31,Cost_Components!$A$2:$A$6,0)),"")</f>
        <v>2025</v>
      </c>
      <c r="AB31" s="26">
        <f>IFERROR(INDEX(Cost_Components!$V$2:$V$6,MATCH(E31,Cost_Components!$A$2:$A$6,0)),"")</f>
        <v>2040</v>
      </c>
      <c r="AC31" s="26">
        <f>IFERROR(INDEX(Cost_Components!$M$2:$M$6,MATCH(E31,Cost_Components!$A$2:$A$6,0)),"")</f>
        <v>30</v>
      </c>
      <c r="AD31" s="26">
        <f>IFERROR(INDEX(Cost_Components!$N$2:$N$6,MATCH(E31,Cost_Components!$A$2:$A$6,0)),"")</f>
        <v>95</v>
      </c>
      <c r="AE31" s="16" t="str">
        <f>IFERROR(INDEX(Cost_Components!$O$2:$O$6,MATCH(E31,Cost_Components!$A$2:$A$6,0)),"")</f>
        <v>Both</v>
      </c>
      <c r="AF31" s="11">
        <v>162204801.417528</v>
      </c>
      <c r="AG31" s="11">
        <v>162204336.12617999</v>
      </c>
      <c r="AH31" s="23">
        <f t="shared" si="8"/>
        <v>1</v>
      </c>
      <c r="AI31" s="10">
        <v>294484707.92155403</v>
      </c>
      <c r="AJ31" s="29">
        <f t="shared" si="9"/>
        <v>8.3579231253011671E-2</v>
      </c>
      <c r="AK31" s="29">
        <f t="shared" si="10"/>
        <v>9.3600090781830458E-2</v>
      </c>
      <c r="AL31" s="29">
        <f t="shared" si="11"/>
        <v>1.0020859528818794E-2</v>
      </c>
      <c r="AM31" s="29">
        <f t="shared" si="12"/>
        <v>9.1705060173481526E-3</v>
      </c>
    </row>
    <row r="32" spans="1:39">
      <c r="A32" t="s">
        <v>115</v>
      </c>
      <c r="B32" s="20">
        <v>2029</v>
      </c>
      <c r="C32" t="s">
        <v>204</v>
      </c>
      <c r="E32" s="22" t="s">
        <v>260</v>
      </c>
      <c r="F32" s="22" t="s">
        <v>261</v>
      </c>
      <c r="G32" s="22" t="s">
        <v>213</v>
      </c>
      <c r="H32" s="22" t="s">
        <v>214</v>
      </c>
      <c r="I32" s="22" t="s">
        <v>265</v>
      </c>
      <c r="J32" s="17">
        <f>IFERROR(INDEX(Cost_Components!$K$2:$K$6,MATCH(E32,Cost_Components!$A$2:$A$6,0)),"")</f>
        <v>0.06</v>
      </c>
      <c r="K32" s="31">
        <v>0.131953371474581</v>
      </c>
      <c r="L32" s="17">
        <f>IFERROR(INDEX(Cost_Components!$S$2:$S$6,MATCH(E32,Cost_Components!$A$2:$A$6,0)),"")</f>
        <v>0.113766857372906</v>
      </c>
      <c r="M32" s="28">
        <f>IFERROR(INDEX(Cost_Components!$L$2:$L$6,MATCH(E32,Cost_Components!$A$2:$A$6,0)),"")</f>
        <v>1</v>
      </c>
      <c r="N32" s="29">
        <f>IFERROR(INDEX(Cost_Components!$P$2:$P$6,MATCH(E32,Cost_Components!$A$2:$A$6,0)),"")</f>
        <v>22.229600000000001</v>
      </c>
      <c r="O32" s="23">
        <f t="shared" si="0"/>
        <v>9860260.8196705189</v>
      </c>
      <c r="P32" s="23">
        <f t="shared" si="1"/>
        <v>9861270.4301620796</v>
      </c>
      <c r="Q32" s="23">
        <f t="shared" si="2"/>
        <v>24939071.391372386</v>
      </c>
      <c r="R32" s="23">
        <f t="shared" si="3"/>
        <v>28922813.826687858</v>
      </c>
      <c r="S32" s="23">
        <f t="shared" si="4"/>
        <v>3983742.4353154711</v>
      </c>
      <c r="T32" s="16">
        <f>IFERROR(INDEX(Cost_Components!$R$2:$R$6,MATCH(E32,Cost_Components!$A$2:$A$6,0)),"")</f>
        <v>1</v>
      </c>
      <c r="U32" s="26">
        <f>IFERROR(INDEX(Cost_Components!$Q$2:$Q$6,MATCH(E32,Cost_Components!$A$2:$A$6,0)),"")</f>
        <v>2023</v>
      </c>
      <c r="V32" s="30">
        <f>1/(1+Calculation_Assumptions!$B$5)^(B32-Calculation_Assumptions!$B$2)</f>
        <v>0.888487047915689</v>
      </c>
      <c r="W32" s="23">
        <f t="shared" si="5"/>
        <v>22158041.918279067</v>
      </c>
      <c r="X32" s="23">
        <f t="shared" si="6"/>
        <v>25697545.474288967</v>
      </c>
      <c r="Y32" s="23">
        <f t="shared" si="7"/>
        <v>3539503.5560099008</v>
      </c>
      <c r="Z32" s="17">
        <f>IFERROR(INDEX(Cost_Components!$T$2:$T$6,MATCH(E32,Cost_Components!$A$2:$A$6,0)),"")</f>
        <v>0.41649999999999998</v>
      </c>
      <c r="AA32" s="26">
        <f>IFERROR(INDEX(Cost_Components!$U$2:$U$6,MATCH(E32,Cost_Components!$A$2:$A$6,0)),"")</f>
        <v>2025</v>
      </c>
      <c r="AB32" s="26">
        <f>IFERROR(INDEX(Cost_Components!$V$2:$V$6,MATCH(E32,Cost_Components!$A$2:$A$6,0)),"")</f>
        <v>2040</v>
      </c>
      <c r="AC32" s="26">
        <f>IFERROR(INDEX(Cost_Components!$M$2:$M$6,MATCH(E32,Cost_Components!$A$2:$A$6,0)),"")</f>
        <v>30</v>
      </c>
      <c r="AD32" s="26">
        <f>IFERROR(INDEX(Cost_Components!$N$2:$N$6,MATCH(E32,Cost_Components!$A$2:$A$6,0)),"")</f>
        <v>95</v>
      </c>
      <c r="AE32" s="16" t="str">
        <f>IFERROR(INDEX(Cost_Components!$O$2:$O$6,MATCH(E32,Cost_Components!$A$2:$A$6,0)),"")</f>
        <v>Both</v>
      </c>
      <c r="AF32" s="11">
        <v>164337680.327842</v>
      </c>
      <c r="AG32" s="11">
        <v>164354507.169368</v>
      </c>
      <c r="AH32" s="23">
        <f t="shared" si="8"/>
        <v>1</v>
      </c>
      <c r="AI32" s="10">
        <v>296414030.31142998</v>
      </c>
      <c r="AJ32" s="29">
        <f t="shared" si="9"/>
        <v>8.4135934338769106E-2</v>
      </c>
      <c r="AK32" s="29">
        <f t="shared" si="10"/>
        <v>9.7575724726322338E-2</v>
      </c>
      <c r="AL32" s="29">
        <f t="shared" si="11"/>
        <v>1.343979038755324E-2</v>
      </c>
      <c r="AM32" s="29">
        <f t="shared" si="12"/>
        <v>1.1941079686042832E-2</v>
      </c>
    </row>
    <row r="33" spans="1:39">
      <c r="A33" t="s">
        <v>115</v>
      </c>
      <c r="B33" s="20">
        <v>2030</v>
      </c>
      <c r="C33" t="s">
        <v>204</v>
      </c>
      <c r="E33" s="22" t="s">
        <v>260</v>
      </c>
      <c r="F33" s="22" t="s">
        <v>261</v>
      </c>
      <c r="G33" s="22" t="s">
        <v>213</v>
      </c>
      <c r="H33" s="22" t="s">
        <v>214</v>
      </c>
      <c r="I33" s="22" t="s">
        <v>265</v>
      </c>
      <c r="J33" s="17">
        <f>IFERROR(INDEX(Cost_Components!$K$2:$K$6,MATCH(E33,Cost_Components!$A$2:$A$6,0)),"")</f>
        <v>0.06</v>
      </c>
      <c r="K33" s="31">
        <v>0.13650000000000001</v>
      </c>
      <c r="L33" s="17">
        <f>IFERROR(INDEX(Cost_Components!$S$2:$S$6,MATCH(E33,Cost_Components!$A$2:$A$6,0)),"")</f>
        <v>0.113766857372906</v>
      </c>
      <c r="M33" s="28">
        <f>IFERROR(INDEX(Cost_Components!$L$2:$L$6,MATCH(E33,Cost_Components!$A$2:$A$6,0)),"")</f>
        <v>1</v>
      </c>
      <c r="N33" s="29">
        <f>IFERROR(INDEX(Cost_Components!$P$2:$P$6,MATCH(E33,Cost_Components!$A$2:$A$6,0)),"")</f>
        <v>22.229600000000001</v>
      </c>
      <c r="O33" s="23">
        <f t="shared" si="0"/>
        <v>9986164.3966519199</v>
      </c>
      <c r="P33" s="23">
        <f t="shared" si="1"/>
        <v>9984933.1369707603</v>
      </c>
      <c r="Q33" s="23">
        <f t="shared" si="2"/>
        <v>25251813.354529493</v>
      </c>
      <c r="R33" s="23">
        <f t="shared" si="3"/>
        <v>30301422.069802549</v>
      </c>
      <c r="S33" s="23">
        <f t="shared" si="4"/>
        <v>5049608.7152730562</v>
      </c>
      <c r="T33" s="16">
        <f>IFERROR(INDEX(Cost_Components!$R$2:$R$6,MATCH(E33,Cost_Components!$A$2:$A$6,0)),"")</f>
        <v>1</v>
      </c>
      <c r="U33" s="26">
        <f>IFERROR(INDEX(Cost_Components!$Q$2:$Q$6,MATCH(E33,Cost_Components!$A$2:$A$6,0)),"")</f>
        <v>2023</v>
      </c>
      <c r="V33" s="30">
        <f>1/(1+Calculation_Assumptions!$B$5)^(B33-Calculation_Assumptions!$B$2)</f>
        <v>0.86260878438416411</v>
      </c>
      <c r="W33" s="23">
        <f t="shared" si="5"/>
        <v>21782436.021246485</v>
      </c>
      <c r="X33" s="23">
        <f t="shared" si="6"/>
        <v>26138272.856743857</v>
      </c>
      <c r="Y33" s="23">
        <f t="shared" si="7"/>
        <v>4355836.8354973719</v>
      </c>
      <c r="Z33" s="17">
        <f>IFERROR(INDEX(Cost_Components!$T$2:$T$6,MATCH(E33,Cost_Components!$A$2:$A$6,0)),"")</f>
        <v>0.41649999999999998</v>
      </c>
      <c r="AA33" s="26">
        <f>IFERROR(INDEX(Cost_Components!$U$2:$U$6,MATCH(E33,Cost_Components!$A$2:$A$6,0)),"")</f>
        <v>2025</v>
      </c>
      <c r="AB33" s="26">
        <f>IFERROR(INDEX(Cost_Components!$V$2:$V$6,MATCH(E33,Cost_Components!$A$2:$A$6,0)),"")</f>
        <v>2040</v>
      </c>
      <c r="AC33" s="26">
        <f>IFERROR(INDEX(Cost_Components!$M$2:$M$6,MATCH(E33,Cost_Components!$A$2:$A$6,0)),"")</f>
        <v>30</v>
      </c>
      <c r="AD33" s="26">
        <f>IFERROR(INDEX(Cost_Components!$N$2:$N$6,MATCH(E33,Cost_Components!$A$2:$A$6,0)),"")</f>
        <v>95</v>
      </c>
      <c r="AE33" s="16" t="str">
        <f>IFERROR(INDEX(Cost_Components!$O$2:$O$6,MATCH(E33,Cost_Components!$A$2:$A$6,0)),"")</f>
        <v>Both</v>
      </c>
      <c r="AF33" s="11">
        <v>166436073.27753201</v>
      </c>
      <c r="AG33" s="11">
        <v>166415552.282846</v>
      </c>
      <c r="AH33" s="23">
        <f t="shared" si="8"/>
        <v>1</v>
      </c>
      <c r="AI33" s="10">
        <v>298289404.664994</v>
      </c>
      <c r="AJ33" s="29">
        <f t="shared" si="9"/>
        <v>8.4655415041944126E-2</v>
      </c>
      <c r="AK33" s="29">
        <f t="shared" si="10"/>
        <v>0.10158397045256699</v>
      </c>
      <c r="AL33" s="29">
        <f t="shared" si="11"/>
        <v>1.692855541062286E-2</v>
      </c>
      <c r="AM33" s="29">
        <f t="shared" si="12"/>
        <v>1.4602720604137351E-2</v>
      </c>
    </row>
    <row r="34" spans="1:39">
      <c r="A34" t="s">
        <v>115</v>
      </c>
      <c r="B34" s="20">
        <v>2031</v>
      </c>
      <c r="C34" t="s">
        <v>204</v>
      </c>
      <c r="E34" s="22" t="s">
        <v>260</v>
      </c>
      <c r="F34" s="22" t="s">
        <v>261</v>
      </c>
      <c r="G34" s="22" t="s">
        <v>213</v>
      </c>
      <c r="H34" s="22" t="s">
        <v>214</v>
      </c>
      <c r="I34" s="22" t="s">
        <v>265</v>
      </c>
      <c r="J34" s="17">
        <f>IFERROR(INDEX(Cost_Components!$K$2:$K$6,MATCH(E34,Cost_Components!$A$2:$A$6,0)),"")</f>
        <v>0.06</v>
      </c>
      <c r="K34" s="31">
        <v>0.16450000000000001</v>
      </c>
      <c r="L34" s="17">
        <f>IFERROR(INDEX(Cost_Components!$S$2:$S$6,MATCH(E34,Cost_Components!$A$2:$A$6,0)),"")</f>
        <v>0.113766857372906</v>
      </c>
      <c r="M34" s="28">
        <f>IFERROR(INDEX(Cost_Components!$L$2:$L$6,MATCH(E34,Cost_Components!$A$2:$A$6,0)),"")</f>
        <v>1</v>
      </c>
      <c r="N34" s="29">
        <f>IFERROR(INDEX(Cost_Components!$P$2:$P$6,MATCH(E34,Cost_Components!$A$2:$A$6,0)),"")</f>
        <v>22.229600000000001</v>
      </c>
      <c r="O34" s="23">
        <f t="shared" ref="O34:O65" si="13">AF34*J34</f>
        <v>10109028.944731019</v>
      </c>
      <c r="P34" s="23">
        <f t="shared" ref="P34:P65" si="14">AG34*J34</f>
        <v>10107677.1542331</v>
      </c>
      <c r="Q34" s="23">
        <f t="shared" ref="Q34:Q65" si="15">P34*L34*M34*N34</f>
        <v>25562231.959419027</v>
      </c>
      <c r="R34" s="23">
        <f t="shared" ref="R34:R65" si="16">O34*K34*M34*N34</f>
        <v>36966385.687000901</v>
      </c>
      <c r="S34" s="23">
        <f t="shared" ref="S34:S65" si="17">R34-Q34</f>
        <v>11404153.727581874</v>
      </c>
      <c r="T34" s="16">
        <f>IFERROR(INDEX(Cost_Components!$R$2:$R$6,MATCH(E34,Cost_Components!$A$2:$A$6,0)),"")</f>
        <v>1</v>
      </c>
      <c r="U34" s="26">
        <f>IFERROR(INDEX(Cost_Components!$Q$2:$Q$6,MATCH(E34,Cost_Components!$A$2:$A$6,0)),"")</f>
        <v>2023</v>
      </c>
      <c r="V34" s="30">
        <f>1/(1+Calculation_Assumptions!$B$5)^(B34-Calculation_Assumptions!$B$2)</f>
        <v>0.83748425668365445</v>
      </c>
      <c r="W34" s="23">
        <f t="shared" ref="W34:W65" si="18">Q34*V34</f>
        <v>21407966.831709199</v>
      </c>
      <c r="X34" s="23">
        <f t="shared" ref="X34:X65" si="19">R34*V34</f>
        <v>30958766.039359231</v>
      </c>
      <c r="Y34" s="23">
        <f t="shared" ref="Y34:Y65" si="20">S34*V34</f>
        <v>9550799.2076500319</v>
      </c>
      <c r="Z34" s="17">
        <f>IFERROR(INDEX(Cost_Components!$T$2:$T$6,MATCH(E34,Cost_Components!$A$2:$A$6,0)),"")</f>
        <v>0.41649999999999998</v>
      </c>
      <c r="AA34" s="26">
        <f>IFERROR(INDEX(Cost_Components!$U$2:$U$6,MATCH(E34,Cost_Components!$A$2:$A$6,0)),"")</f>
        <v>2025</v>
      </c>
      <c r="AB34" s="26">
        <f>IFERROR(INDEX(Cost_Components!$V$2:$V$6,MATCH(E34,Cost_Components!$A$2:$A$6,0)),"")</f>
        <v>2040</v>
      </c>
      <c r="AC34" s="26">
        <f>IFERROR(INDEX(Cost_Components!$M$2:$M$6,MATCH(E34,Cost_Components!$A$2:$A$6,0)),"")</f>
        <v>30</v>
      </c>
      <c r="AD34" s="26">
        <f>IFERROR(INDEX(Cost_Components!$N$2:$N$6,MATCH(E34,Cost_Components!$A$2:$A$6,0)),"")</f>
        <v>95</v>
      </c>
      <c r="AE34" s="16" t="str">
        <f>IFERROR(INDEX(Cost_Components!$O$2:$O$6,MATCH(E34,Cost_Components!$A$2:$A$6,0)),"")</f>
        <v>Both</v>
      </c>
      <c r="AF34" s="11">
        <v>168483815.74551699</v>
      </c>
      <c r="AG34" s="11">
        <v>168461285.90388501</v>
      </c>
      <c r="AH34" s="23">
        <f t="shared" ref="AH34:AH65" si="21">IF(H34="shared-count-once",COUNTIFS($A$2:$A$131,A34,$B$2:$B$131,B34,$E$2:$E$131,E34),1)</f>
        <v>1</v>
      </c>
      <c r="AI34" s="10">
        <v>300119636.92551899</v>
      </c>
      <c r="AJ34" s="29">
        <f t="shared" ref="AJ34:AJ65" si="22">IF(AI34=0,"",Q34/AI34)</f>
        <v>8.5173473556356571E-2</v>
      </c>
      <c r="AK34" s="29">
        <f t="shared" ref="AK34:AK65" si="23">IF(AI34=0,"",R34/AI34)</f>
        <v>0.12317216582590658</v>
      </c>
      <c r="AL34" s="29">
        <f t="shared" ref="AL34:AL65" si="24">IF(AI34=0,"",S34/AI34)</f>
        <v>3.7998692269550008E-2</v>
      </c>
      <c r="AM34" s="29">
        <f t="shared" ref="AM34:AM65" si="25">IF(AI34=0,"",Y34/AI34)</f>
        <v>3.1823306550315011E-2</v>
      </c>
    </row>
    <row r="35" spans="1:39">
      <c r="A35" t="s">
        <v>115</v>
      </c>
      <c r="B35" s="20">
        <v>2032</v>
      </c>
      <c r="C35" t="s">
        <v>204</v>
      </c>
      <c r="E35" s="22" t="s">
        <v>260</v>
      </c>
      <c r="F35" s="22" t="s">
        <v>261</v>
      </c>
      <c r="G35" s="22" t="s">
        <v>213</v>
      </c>
      <c r="H35" s="22" t="s">
        <v>214</v>
      </c>
      <c r="I35" s="22" t="s">
        <v>265</v>
      </c>
      <c r="J35" s="17">
        <f>IFERROR(INDEX(Cost_Components!$K$2:$K$6,MATCH(E35,Cost_Components!$A$2:$A$6,0)),"")</f>
        <v>0.06</v>
      </c>
      <c r="K35" s="31">
        <v>0.1925</v>
      </c>
      <c r="L35" s="17">
        <f>IFERROR(INDEX(Cost_Components!$S$2:$S$6,MATCH(E35,Cost_Components!$A$2:$A$6,0)),"")</f>
        <v>0.113766857372906</v>
      </c>
      <c r="M35" s="28">
        <f>IFERROR(INDEX(Cost_Components!$L$2:$L$6,MATCH(E35,Cost_Components!$A$2:$A$6,0)),"")</f>
        <v>1</v>
      </c>
      <c r="N35" s="29">
        <f>IFERROR(INDEX(Cost_Components!$P$2:$P$6,MATCH(E35,Cost_Components!$A$2:$A$6,0)),"")</f>
        <v>22.229600000000001</v>
      </c>
      <c r="O35" s="23">
        <f t="shared" si="13"/>
        <v>10230233.93464986</v>
      </c>
      <c r="P35" s="23">
        <f t="shared" si="14"/>
        <v>10228596.92107584</v>
      </c>
      <c r="Q35" s="23">
        <f t="shared" si="15"/>
        <v>25868037.050079096</v>
      </c>
      <c r="R35" s="23">
        <f t="shared" si="16"/>
        <v>43777196.592685819</v>
      </c>
      <c r="S35" s="23">
        <f t="shared" si="17"/>
        <v>17909159.542606723</v>
      </c>
      <c r="T35" s="16">
        <f>IFERROR(INDEX(Cost_Components!$R$2:$R$6,MATCH(E35,Cost_Components!$A$2:$A$6,0)),"")</f>
        <v>1</v>
      </c>
      <c r="U35" s="26">
        <f>IFERROR(INDEX(Cost_Components!$Q$2:$Q$6,MATCH(E35,Cost_Components!$A$2:$A$6,0)),"")</f>
        <v>2023</v>
      </c>
      <c r="V35" s="30">
        <f>1/(1+Calculation_Assumptions!$B$5)^(B35-Calculation_Assumptions!$B$2)</f>
        <v>0.81309151134335378</v>
      </c>
      <c r="W35" s="23">
        <f t="shared" si="18"/>
        <v>21033081.340534683</v>
      </c>
      <c r="X35" s="23">
        <f t="shared" si="19"/>
        <v>35594866.939922027</v>
      </c>
      <c r="Y35" s="23">
        <f t="shared" si="20"/>
        <v>14561785.599387346</v>
      </c>
      <c r="Z35" s="17">
        <f>IFERROR(INDEX(Cost_Components!$T$2:$T$6,MATCH(E35,Cost_Components!$A$2:$A$6,0)),"")</f>
        <v>0.41649999999999998</v>
      </c>
      <c r="AA35" s="26">
        <f>IFERROR(INDEX(Cost_Components!$U$2:$U$6,MATCH(E35,Cost_Components!$A$2:$A$6,0)),"")</f>
        <v>2025</v>
      </c>
      <c r="AB35" s="26">
        <f>IFERROR(INDEX(Cost_Components!$V$2:$V$6,MATCH(E35,Cost_Components!$A$2:$A$6,0)),"")</f>
        <v>2040</v>
      </c>
      <c r="AC35" s="26">
        <f>IFERROR(INDEX(Cost_Components!$M$2:$M$6,MATCH(E35,Cost_Components!$A$2:$A$6,0)),"")</f>
        <v>30</v>
      </c>
      <c r="AD35" s="26">
        <f>IFERROR(INDEX(Cost_Components!$N$2:$N$6,MATCH(E35,Cost_Components!$A$2:$A$6,0)),"")</f>
        <v>95</v>
      </c>
      <c r="AE35" s="16" t="str">
        <f>IFERROR(INDEX(Cost_Components!$O$2:$O$6,MATCH(E35,Cost_Components!$A$2:$A$6,0)),"")</f>
        <v>Both</v>
      </c>
      <c r="AF35" s="11">
        <v>170503898.910831</v>
      </c>
      <c r="AG35" s="11">
        <v>170476615.351264</v>
      </c>
      <c r="AH35" s="23">
        <f t="shared" si="21"/>
        <v>1</v>
      </c>
      <c r="AI35" s="10">
        <v>301904628.08354098</v>
      </c>
      <c r="AJ35" s="29">
        <f t="shared" si="22"/>
        <v>8.5682810542808477E-2</v>
      </c>
      <c r="AK35" s="29">
        <f t="shared" si="23"/>
        <v>0.14500339683620914</v>
      </c>
      <c r="AL35" s="29">
        <f t="shared" si="24"/>
        <v>5.9320586293400653E-2</v>
      </c>
      <c r="AM35" s="29">
        <f t="shared" si="25"/>
        <v>4.8233065163074969E-2</v>
      </c>
    </row>
    <row r="36" spans="1:39">
      <c r="A36" t="s">
        <v>115</v>
      </c>
      <c r="B36" s="20">
        <v>2033</v>
      </c>
      <c r="C36" t="s">
        <v>204</v>
      </c>
      <c r="E36" s="22" t="s">
        <v>260</v>
      </c>
      <c r="F36" s="22" t="s">
        <v>261</v>
      </c>
      <c r="G36" s="22" t="s">
        <v>213</v>
      </c>
      <c r="H36" s="22" t="s">
        <v>214</v>
      </c>
      <c r="I36" s="22" t="s">
        <v>265</v>
      </c>
      <c r="J36" s="17">
        <f>IFERROR(INDEX(Cost_Components!$K$2:$K$6,MATCH(E36,Cost_Components!$A$2:$A$6,0)),"")</f>
        <v>0.06</v>
      </c>
      <c r="K36" s="31">
        <v>0.2205</v>
      </c>
      <c r="L36" s="17">
        <f>IFERROR(INDEX(Cost_Components!$S$2:$S$6,MATCH(E36,Cost_Components!$A$2:$A$6,0)),"")</f>
        <v>0.113766857372906</v>
      </c>
      <c r="M36" s="28">
        <f>IFERROR(INDEX(Cost_Components!$L$2:$L$6,MATCH(E36,Cost_Components!$A$2:$A$6,0)),"")</f>
        <v>1</v>
      </c>
      <c r="N36" s="29">
        <f>IFERROR(INDEX(Cost_Components!$P$2:$P$6,MATCH(E36,Cost_Components!$A$2:$A$6,0)),"")</f>
        <v>22.229600000000001</v>
      </c>
      <c r="O36" s="23">
        <f t="shared" si="13"/>
        <v>10349920.63404456</v>
      </c>
      <c r="P36" s="23">
        <f t="shared" si="14"/>
        <v>10347690.59047542</v>
      </c>
      <c r="Q36" s="23">
        <f t="shared" si="15"/>
        <v>26169223.955402397</v>
      </c>
      <c r="R36" s="23">
        <f t="shared" si="16"/>
        <v>50731448.357705809</v>
      </c>
      <c r="S36" s="23">
        <f t="shared" si="17"/>
        <v>24562224.402303413</v>
      </c>
      <c r="T36" s="16">
        <f>IFERROR(INDEX(Cost_Components!$R$2:$R$6,MATCH(E36,Cost_Components!$A$2:$A$6,0)),"")</f>
        <v>1</v>
      </c>
      <c r="U36" s="26">
        <f>IFERROR(INDEX(Cost_Components!$Q$2:$Q$6,MATCH(E36,Cost_Components!$A$2:$A$6,0)),"")</f>
        <v>2023</v>
      </c>
      <c r="V36" s="30">
        <f>1/(1+Calculation_Assumptions!$B$5)^(B36-Calculation_Assumptions!$B$2)</f>
        <v>0.78940923431393573</v>
      </c>
      <c r="W36" s="23">
        <f t="shared" si="18"/>
        <v>20658227.045224112</v>
      </c>
      <c r="X36" s="23">
        <f t="shared" si="19"/>
        <v>40047873.803693518</v>
      </c>
      <c r="Y36" s="23">
        <f t="shared" si="20"/>
        <v>19389646.758469403</v>
      </c>
      <c r="Z36" s="17">
        <f>IFERROR(INDEX(Cost_Components!$T$2:$T$6,MATCH(E36,Cost_Components!$A$2:$A$6,0)),"")</f>
        <v>0.41649999999999998</v>
      </c>
      <c r="AA36" s="26">
        <f>IFERROR(INDEX(Cost_Components!$U$2:$U$6,MATCH(E36,Cost_Components!$A$2:$A$6,0)),"")</f>
        <v>2025</v>
      </c>
      <c r="AB36" s="26">
        <f>IFERROR(INDEX(Cost_Components!$V$2:$V$6,MATCH(E36,Cost_Components!$A$2:$A$6,0)),"")</f>
        <v>2040</v>
      </c>
      <c r="AC36" s="26">
        <f>IFERROR(INDEX(Cost_Components!$M$2:$M$6,MATCH(E36,Cost_Components!$A$2:$A$6,0)),"")</f>
        <v>30</v>
      </c>
      <c r="AD36" s="26">
        <f>IFERROR(INDEX(Cost_Components!$N$2:$N$6,MATCH(E36,Cost_Components!$A$2:$A$6,0)),"")</f>
        <v>95</v>
      </c>
      <c r="AE36" s="16" t="str">
        <f>IFERROR(INDEX(Cost_Components!$O$2:$O$6,MATCH(E36,Cost_Components!$A$2:$A$6,0)),"")</f>
        <v>Both</v>
      </c>
      <c r="AF36" s="11">
        <v>172498677.23407599</v>
      </c>
      <c r="AG36" s="11">
        <v>172461509.84125701</v>
      </c>
      <c r="AH36" s="23">
        <f t="shared" si="21"/>
        <v>1</v>
      </c>
      <c r="AI36" s="10">
        <v>303644277.16916001</v>
      </c>
      <c r="AJ36" s="29">
        <f t="shared" si="22"/>
        <v>8.6183820750303619E-2</v>
      </c>
      <c r="AK36" s="29">
        <f t="shared" si="23"/>
        <v>0.16707526593509073</v>
      </c>
      <c r="AL36" s="29">
        <f t="shared" si="24"/>
        <v>8.0891445184787109E-2</v>
      </c>
      <c r="AM36" s="29">
        <f t="shared" si="25"/>
        <v>6.3856453805870489E-2</v>
      </c>
    </row>
    <row r="37" spans="1:39">
      <c r="A37" t="s">
        <v>115</v>
      </c>
      <c r="B37" s="20">
        <v>2034</v>
      </c>
      <c r="C37" t="s">
        <v>204</v>
      </c>
      <c r="E37" s="22" t="s">
        <v>260</v>
      </c>
      <c r="F37" s="22" t="s">
        <v>261</v>
      </c>
      <c r="G37" s="22" t="s">
        <v>213</v>
      </c>
      <c r="H37" s="22" t="s">
        <v>214</v>
      </c>
      <c r="I37" s="22" t="s">
        <v>265</v>
      </c>
      <c r="J37" s="17">
        <f>IFERROR(INDEX(Cost_Components!$K$2:$K$6,MATCH(E37,Cost_Components!$A$2:$A$6,0)),"")</f>
        <v>0.06</v>
      </c>
      <c r="K37" s="31">
        <v>0.2485</v>
      </c>
      <c r="L37" s="17">
        <f>IFERROR(INDEX(Cost_Components!$S$2:$S$6,MATCH(E37,Cost_Components!$A$2:$A$6,0)),"")</f>
        <v>0.113766857372906</v>
      </c>
      <c r="M37" s="28">
        <f>IFERROR(INDEX(Cost_Components!$L$2:$L$6,MATCH(E37,Cost_Components!$A$2:$A$6,0)),"")</f>
        <v>1</v>
      </c>
      <c r="N37" s="29">
        <f>IFERROR(INDEX(Cost_Components!$P$2:$P$6,MATCH(E37,Cost_Components!$A$2:$A$6,0)),"")</f>
        <v>22.229600000000001</v>
      </c>
      <c r="O37" s="23">
        <f t="shared" si="13"/>
        <v>10470857.343289381</v>
      </c>
      <c r="P37" s="23">
        <f t="shared" si="14"/>
        <v>10467701.17669002</v>
      </c>
      <c r="Q37" s="23">
        <f t="shared" si="15"/>
        <v>26472729.735770408</v>
      </c>
      <c r="R37" s="23">
        <f t="shared" si="16"/>
        <v>57841598.143998832</v>
      </c>
      <c r="S37" s="23">
        <f t="shared" si="17"/>
        <v>31368868.408228423</v>
      </c>
      <c r="T37" s="16">
        <f>IFERROR(INDEX(Cost_Components!$R$2:$R$6,MATCH(E37,Cost_Components!$A$2:$A$6,0)),"")</f>
        <v>1</v>
      </c>
      <c r="U37" s="26">
        <f>IFERROR(INDEX(Cost_Components!$Q$2:$Q$6,MATCH(E37,Cost_Components!$A$2:$A$6,0)),"")</f>
        <v>2023</v>
      </c>
      <c r="V37" s="30">
        <f>1/(1+Calculation_Assumptions!$B$5)^(B37-Calculation_Assumptions!$B$2)</f>
        <v>0.76641673234362695</v>
      </c>
      <c r="W37" s="23">
        <f t="shared" si="18"/>
        <v>20289143.020305123</v>
      </c>
      <c r="X37" s="23">
        <f t="shared" si="19"/>
        <v>44330768.64305678</v>
      </c>
      <c r="Y37" s="23">
        <f t="shared" si="20"/>
        <v>24041625.622751657</v>
      </c>
      <c r="Z37" s="17">
        <f>IFERROR(INDEX(Cost_Components!$T$2:$T$6,MATCH(E37,Cost_Components!$A$2:$A$6,0)),"")</f>
        <v>0.41649999999999998</v>
      </c>
      <c r="AA37" s="26">
        <f>IFERROR(INDEX(Cost_Components!$U$2:$U$6,MATCH(E37,Cost_Components!$A$2:$A$6,0)),"")</f>
        <v>2025</v>
      </c>
      <c r="AB37" s="26">
        <f>IFERROR(INDEX(Cost_Components!$V$2:$V$6,MATCH(E37,Cost_Components!$A$2:$A$6,0)),"")</f>
        <v>2040</v>
      </c>
      <c r="AC37" s="26">
        <f>IFERROR(INDEX(Cost_Components!$M$2:$M$6,MATCH(E37,Cost_Components!$A$2:$A$6,0)),"")</f>
        <v>30</v>
      </c>
      <c r="AD37" s="26">
        <f>IFERROR(INDEX(Cost_Components!$N$2:$N$6,MATCH(E37,Cost_Components!$A$2:$A$6,0)),"")</f>
        <v>95</v>
      </c>
      <c r="AE37" s="16" t="str">
        <f>IFERROR(INDEX(Cost_Components!$O$2:$O$6,MATCH(E37,Cost_Components!$A$2:$A$6,0)),"")</f>
        <v>Both</v>
      </c>
      <c r="AF37" s="11">
        <v>174514289.05482301</v>
      </c>
      <c r="AG37" s="11">
        <v>174461686.27816701</v>
      </c>
      <c r="AH37" s="23">
        <f t="shared" si="21"/>
        <v>1</v>
      </c>
      <c r="AI37" s="10">
        <v>305332541.18498403</v>
      </c>
      <c r="AJ37" s="29">
        <f t="shared" si="22"/>
        <v>8.6701304856111133E-2</v>
      </c>
      <c r="AK37" s="29">
        <f t="shared" si="23"/>
        <v>0.18943803997935424</v>
      </c>
      <c r="AL37" s="29">
        <f t="shared" si="24"/>
        <v>0.10273673512324312</v>
      </c>
      <c r="AM37" s="29">
        <f t="shared" si="25"/>
        <v>7.8739152824808714E-2</v>
      </c>
    </row>
    <row r="38" spans="1:39">
      <c r="A38" t="s">
        <v>115</v>
      </c>
      <c r="B38" s="20">
        <v>2035</v>
      </c>
      <c r="C38" t="s">
        <v>204</v>
      </c>
      <c r="E38" s="22" t="s">
        <v>260</v>
      </c>
      <c r="F38" s="22" t="s">
        <v>261</v>
      </c>
      <c r="G38" s="22" t="s">
        <v>213</v>
      </c>
      <c r="H38" s="22" t="s">
        <v>214</v>
      </c>
      <c r="I38" s="22" t="s">
        <v>265</v>
      </c>
      <c r="J38" s="17">
        <f>IFERROR(INDEX(Cost_Components!$K$2:$K$6,MATCH(E38,Cost_Components!$A$2:$A$6,0)),"")</f>
        <v>0.06</v>
      </c>
      <c r="K38" s="31">
        <v>0.27650000000000002</v>
      </c>
      <c r="L38" s="17">
        <f>IFERROR(INDEX(Cost_Components!$S$2:$S$6,MATCH(E38,Cost_Components!$A$2:$A$6,0)),"")</f>
        <v>0.113766857372906</v>
      </c>
      <c r="M38" s="28">
        <f>IFERROR(INDEX(Cost_Components!$L$2:$L$6,MATCH(E38,Cost_Components!$A$2:$A$6,0)),"")</f>
        <v>1</v>
      </c>
      <c r="N38" s="29">
        <f>IFERROR(INDEX(Cost_Components!$P$2:$P$6,MATCH(E38,Cost_Components!$A$2:$A$6,0)),"")</f>
        <v>22.229600000000001</v>
      </c>
      <c r="O38" s="23">
        <f t="shared" si="13"/>
        <v>10595827.782550259</v>
      </c>
      <c r="P38" s="23">
        <f t="shared" si="14"/>
        <v>10592325.978124799</v>
      </c>
      <c r="Q38" s="23">
        <f t="shared" si="15"/>
        <v>26787904.828282956</v>
      </c>
      <c r="R38" s="23">
        <f t="shared" si="16"/>
        <v>65127090.170531765</v>
      </c>
      <c r="S38" s="23">
        <f t="shared" si="17"/>
        <v>38339185.342248812</v>
      </c>
      <c r="T38" s="16">
        <f>IFERROR(INDEX(Cost_Components!$R$2:$R$6,MATCH(E38,Cost_Components!$A$2:$A$6,0)),"")</f>
        <v>1</v>
      </c>
      <c r="U38" s="26">
        <f>IFERROR(INDEX(Cost_Components!$Q$2:$Q$6,MATCH(E38,Cost_Components!$A$2:$A$6,0)),"")</f>
        <v>2023</v>
      </c>
      <c r="V38" s="30">
        <f>1/(1+Calculation_Assumptions!$B$5)^(B38-Calculation_Assumptions!$B$2)</f>
        <v>0.74409391489672516</v>
      </c>
      <c r="W38" s="23">
        <f t="shared" si="18"/>
        <v>19932716.975557949</v>
      </c>
      <c r="X38" s="23">
        <f t="shared" si="19"/>
        <v>48460671.490823008</v>
      </c>
      <c r="Y38" s="23">
        <f t="shared" si="20"/>
        <v>28527954.515265059</v>
      </c>
      <c r="Z38" s="17">
        <f>IFERROR(INDEX(Cost_Components!$T$2:$T$6,MATCH(E38,Cost_Components!$A$2:$A$6,0)),"")</f>
        <v>0.41649999999999998</v>
      </c>
      <c r="AA38" s="26">
        <f>IFERROR(INDEX(Cost_Components!$U$2:$U$6,MATCH(E38,Cost_Components!$A$2:$A$6,0)),"")</f>
        <v>2025</v>
      </c>
      <c r="AB38" s="26">
        <f>IFERROR(INDEX(Cost_Components!$V$2:$V$6,MATCH(E38,Cost_Components!$A$2:$A$6,0)),"")</f>
        <v>2040</v>
      </c>
      <c r="AC38" s="26">
        <f>IFERROR(INDEX(Cost_Components!$M$2:$M$6,MATCH(E38,Cost_Components!$A$2:$A$6,0)),"")</f>
        <v>30</v>
      </c>
      <c r="AD38" s="26">
        <f>IFERROR(INDEX(Cost_Components!$N$2:$N$6,MATCH(E38,Cost_Components!$A$2:$A$6,0)),"")</f>
        <v>95</v>
      </c>
      <c r="AE38" s="16" t="str">
        <f>IFERROR(INDEX(Cost_Components!$O$2:$O$6,MATCH(E38,Cost_Components!$A$2:$A$6,0)),"")</f>
        <v>Both</v>
      </c>
      <c r="AF38" s="11">
        <v>176597129.709171</v>
      </c>
      <c r="AG38" s="11">
        <v>176538766.30208001</v>
      </c>
      <c r="AH38" s="23">
        <f t="shared" si="21"/>
        <v>1</v>
      </c>
      <c r="AI38" s="10">
        <v>306964650.16711998</v>
      </c>
      <c r="AJ38" s="29">
        <f t="shared" si="22"/>
        <v>8.7267067441475374E-2</v>
      </c>
      <c r="AK38" s="29">
        <f t="shared" si="23"/>
        <v>0.21216478879595677</v>
      </c>
      <c r="AL38" s="29">
        <f t="shared" si="24"/>
        <v>0.12489772135448139</v>
      </c>
      <c r="AM38" s="29">
        <f t="shared" si="25"/>
        <v>9.2935634444336362E-2</v>
      </c>
    </row>
    <row r="39" spans="1:39">
      <c r="A39" t="s">
        <v>115</v>
      </c>
      <c r="B39" s="20">
        <v>2036</v>
      </c>
      <c r="C39" t="s">
        <v>204</v>
      </c>
      <c r="E39" s="22" t="s">
        <v>260</v>
      </c>
      <c r="F39" s="22" t="s">
        <v>261</v>
      </c>
      <c r="G39" s="22" t="s">
        <v>213</v>
      </c>
      <c r="H39" s="22" t="s">
        <v>214</v>
      </c>
      <c r="I39" s="22" t="s">
        <v>265</v>
      </c>
      <c r="J39" s="17">
        <f>IFERROR(INDEX(Cost_Components!$K$2:$K$6,MATCH(E39,Cost_Components!$A$2:$A$6,0)),"")</f>
        <v>0.06</v>
      </c>
      <c r="K39" s="31">
        <v>0.30449999999999999</v>
      </c>
      <c r="L39" s="17">
        <f>IFERROR(INDEX(Cost_Components!$S$2:$S$6,MATCH(E39,Cost_Components!$A$2:$A$6,0)),"")</f>
        <v>0.113766857372906</v>
      </c>
      <c r="M39" s="28">
        <f>IFERROR(INDEX(Cost_Components!$L$2:$L$6,MATCH(E39,Cost_Components!$A$2:$A$6,0)),"")</f>
        <v>1</v>
      </c>
      <c r="N39" s="29">
        <f>IFERROR(INDEX(Cost_Components!$P$2:$P$6,MATCH(E39,Cost_Components!$A$2:$A$6,0)),"")</f>
        <v>22.229600000000001</v>
      </c>
      <c r="O39" s="23">
        <f t="shared" si="13"/>
        <v>10722675.37573152</v>
      </c>
      <c r="P39" s="23">
        <f t="shared" si="14"/>
        <v>10717419.574212059</v>
      </c>
      <c r="Q39" s="23">
        <f t="shared" si="15"/>
        <v>27104265.498595938</v>
      </c>
      <c r="R39" s="23">
        <f t="shared" si="16"/>
        <v>72580858.890104041</v>
      </c>
      <c r="S39" s="23">
        <f t="shared" si="17"/>
        <v>45476593.391508102</v>
      </c>
      <c r="T39" s="16">
        <f>IFERROR(INDEX(Cost_Components!$R$2:$R$6,MATCH(E39,Cost_Components!$A$2:$A$6,0)),"")</f>
        <v>1</v>
      </c>
      <c r="U39" s="26">
        <f>IFERROR(INDEX(Cost_Components!$Q$2:$Q$6,MATCH(E39,Cost_Components!$A$2:$A$6,0)),"")</f>
        <v>2023</v>
      </c>
      <c r="V39" s="30">
        <f>1/(1+Calculation_Assumptions!$B$5)^(B39-Calculation_Assumptions!$B$2)</f>
        <v>0.72242127659876232</v>
      </c>
      <c r="W39" s="23">
        <f t="shared" si="18"/>
        <v>19580698.082767468</v>
      </c>
      <c r="X39" s="23">
        <f t="shared" si="19"/>
        <v>52433956.73602359</v>
      </c>
      <c r="Y39" s="23">
        <f t="shared" si="20"/>
        <v>32853258.653256122</v>
      </c>
      <c r="Z39" s="17">
        <f>IFERROR(INDEX(Cost_Components!$T$2:$T$6,MATCH(E39,Cost_Components!$A$2:$A$6,0)),"")</f>
        <v>0.41649999999999998</v>
      </c>
      <c r="AA39" s="26">
        <f>IFERROR(INDEX(Cost_Components!$U$2:$U$6,MATCH(E39,Cost_Components!$A$2:$A$6,0)),"")</f>
        <v>2025</v>
      </c>
      <c r="AB39" s="26">
        <f>IFERROR(INDEX(Cost_Components!$V$2:$V$6,MATCH(E39,Cost_Components!$A$2:$A$6,0)),"")</f>
        <v>2040</v>
      </c>
      <c r="AC39" s="26">
        <f>IFERROR(INDEX(Cost_Components!$M$2:$M$6,MATCH(E39,Cost_Components!$A$2:$A$6,0)),"")</f>
        <v>30</v>
      </c>
      <c r="AD39" s="26">
        <f>IFERROR(INDEX(Cost_Components!$N$2:$N$6,MATCH(E39,Cost_Components!$A$2:$A$6,0)),"")</f>
        <v>95</v>
      </c>
      <c r="AE39" s="16" t="str">
        <f>IFERROR(INDEX(Cost_Components!$O$2:$O$6,MATCH(E39,Cost_Components!$A$2:$A$6,0)),"")</f>
        <v>Both</v>
      </c>
      <c r="AF39" s="11">
        <v>178711256.26219201</v>
      </c>
      <c r="AG39" s="11">
        <v>178623659.57020101</v>
      </c>
      <c r="AH39" s="23">
        <f t="shared" si="21"/>
        <v>1</v>
      </c>
      <c r="AI39" s="10">
        <v>308542769.75662202</v>
      </c>
      <c r="AJ39" s="29">
        <f t="shared" si="22"/>
        <v>8.7846056220911392E-2</v>
      </c>
      <c r="AK39" s="29">
        <f t="shared" si="23"/>
        <v>0.23523759428022148</v>
      </c>
      <c r="AL39" s="29">
        <f t="shared" si="24"/>
        <v>0.14739153805931007</v>
      </c>
      <c r="AM39" s="29">
        <f t="shared" si="25"/>
        <v>0.10647878308466185</v>
      </c>
    </row>
    <row r="40" spans="1:39">
      <c r="A40" t="s">
        <v>115</v>
      </c>
      <c r="B40" s="20">
        <v>2037</v>
      </c>
      <c r="C40" t="s">
        <v>204</v>
      </c>
      <c r="E40" s="22" t="s">
        <v>260</v>
      </c>
      <c r="F40" s="22" t="s">
        <v>261</v>
      </c>
      <c r="G40" s="22" t="s">
        <v>213</v>
      </c>
      <c r="H40" s="22" t="s">
        <v>214</v>
      </c>
      <c r="I40" s="22" t="s">
        <v>265</v>
      </c>
      <c r="J40" s="17">
        <f>IFERROR(INDEX(Cost_Components!$K$2:$K$6,MATCH(E40,Cost_Components!$A$2:$A$6,0)),"")</f>
        <v>0.06</v>
      </c>
      <c r="K40" s="31">
        <v>0.33250000000000002</v>
      </c>
      <c r="L40" s="17">
        <f>IFERROR(INDEX(Cost_Components!$S$2:$S$6,MATCH(E40,Cost_Components!$A$2:$A$6,0)),"")</f>
        <v>0.113766857372906</v>
      </c>
      <c r="M40" s="28">
        <f>IFERROR(INDEX(Cost_Components!$L$2:$L$6,MATCH(E40,Cost_Components!$A$2:$A$6,0)),"")</f>
        <v>1</v>
      </c>
      <c r="N40" s="29">
        <f>IFERROR(INDEX(Cost_Components!$P$2:$P$6,MATCH(E40,Cost_Components!$A$2:$A$6,0)),"")</f>
        <v>22.229600000000001</v>
      </c>
      <c r="O40" s="23">
        <f t="shared" si="13"/>
        <v>10851773.0896926</v>
      </c>
      <c r="P40" s="23">
        <f t="shared" si="14"/>
        <v>10844275.647239519</v>
      </c>
      <c r="Q40" s="23">
        <f t="shared" si="15"/>
        <v>27425083.458519686</v>
      </c>
      <c r="R40" s="23">
        <f t="shared" si="16"/>
        <v>80209166.212314695</v>
      </c>
      <c r="S40" s="23">
        <f t="shared" si="17"/>
        <v>52784082.753795013</v>
      </c>
      <c r="T40" s="16">
        <f>IFERROR(INDEX(Cost_Components!$R$2:$R$6,MATCH(E40,Cost_Components!$A$2:$A$6,0)),"")</f>
        <v>1</v>
      </c>
      <c r="U40" s="26">
        <f>IFERROR(INDEX(Cost_Components!$Q$2:$Q$6,MATCH(E40,Cost_Components!$A$2:$A$6,0)),"")</f>
        <v>2023</v>
      </c>
      <c r="V40" s="30">
        <f>1/(1+Calculation_Assumptions!$B$5)^(B40-Calculation_Assumptions!$B$2)</f>
        <v>0.70137988019297326</v>
      </c>
      <c r="W40" s="23">
        <f t="shared" si="18"/>
        <v>19235401.750418831</v>
      </c>
      <c r="X40" s="23">
        <f t="shared" si="19"/>
        <v>56257095.388371557</v>
      </c>
      <c r="Y40" s="23">
        <f t="shared" si="20"/>
        <v>37021693.63795273</v>
      </c>
      <c r="Z40" s="17">
        <f>IFERROR(INDEX(Cost_Components!$T$2:$T$6,MATCH(E40,Cost_Components!$A$2:$A$6,0)),"")</f>
        <v>0.41649999999999998</v>
      </c>
      <c r="AA40" s="26">
        <f>IFERROR(INDEX(Cost_Components!$U$2:$U$6,MATCH(E40,Cost_Components!$A$2:$A$6,0)),"")</f>
        <v>2025</v>
      </c>
      <c r="AB40" s="26">
        <f>IFERROR(INDEX(Cost_Components!$V$2:$V$6,MATCH(E40,Cost_Components!$A$2:$A$6,0)),"")</f>
        <v>2040</v>
      </c>
      <c r="AC40" s="26">
        <f>IFERROR(INDEX(Cost_Components!$M$2:$M$6,MATCH(E40,Cost_Components!$A$2:$A$6,0)),"")</f>
        <v>30</v>
      </c>
      <c r="AD40" s="26">
        <f>IFERROR(INDEX(Cost_Components!$N$2:$N$6,MATCH(E40,Cost_Components!$A$2:$A$6,0)),"")</f>
        <v>95</v>
      </c>
      <c r="AE40" s="16" t="str">
        <f>IFERROR(INDEX(Cost_Components!$O$2:$O$6,MATCH(E40,Cost_Components!$A$2:$A$6,0)),"")</f>
        <v>Both</v>
      </c>
      <c r="AF40" s="11">
        <v>180862884.82821</v>
      </c>
      <c r="AG40" s="11">
        <v>180737927.45399201</v>
      </c>
      <c r="AH40" s="23">
        <f t="shared" si="21"/>
        <v>1</v>
      </c>
      <c r="AI40" s="10">
        <v>310068287.63643003</v>
      </c>
      <c r="AJ40" s="29">
        <f t="shared" si="22"/>
        <v>8.8448527476234245E-2</v>
      </c>
      <c r="AK40" s="29">
        <f t="shared" si="23"/>
        <v>0.25868226261940014</v>
      </c>
      <c r="AL40" s="29">
        <f t="shared" si="24"/>
        <v>0.17023373514316592</v>
      </c>
      <c r="AM40" s="29">
        <f t="shared" si="25"/>
        <v>0.11939851675951604</v>
      </c>
    </row>
    <row r="41" spans="1:39">
      <c r="A41" t="s">
        <v>115</v>
      </c>
      <c r="B41" s="20">
        <v>2038</v>
      </c>
      <c r="C41" t="s">
        <v>204</v>
      </c>
      <c r="E41" s="22" t="s">
        <v>260</v>
      </c>
      <c r="F41" s="22" t="s">
        <v>261</v>
      </c>
      <c r="G41" s="22" t="s">
        <v>213</v>
      </c>
      <c r="H41" s="22" t="s">
        <v>214</v>
      </c>
      <c r="I41" s="22" t="s">
        <v>265</v>
      </c>
      <c r="J41" s="17">
        <f>IFERROR(INDEX(Cost_Components!$K$2:$K$6,MATCH(E41,Cost_Components!$A$2:$A$6,0)),"")</f>
        <v>0.06</v>
      </c>
      <c r="K41" s="31">
        <v>0.36049999999999999</v>
      </c>
      <c r="L41" s="17">
        <f>IFERROR(INDEX(Cost_Components!$S$2:$S$6,MATCH(E41,Cost_Components!$A$2:$A$6,0)),"")</f>
        <v>0.113766857372906</v>
      </c>
      <c r="M41" s="28">
        <f>IFERROR(INDEX(Cost_Components!$L$2:$L$6,MATCH(E41,Cost_Components!$A$2:$A$6,0)),"")</f>
        <v>1</v>
      </c>
      <c r="N41" s="29">
        <f>IFERROR(INDEX(Cost_Components!$P$2:$P$6,MATCH(E41,Cost_Components!$A$2:$A$6,0)),"")</f>
        <v>22.229600000000001</v>
      </c>
      <c r="O41" s="23">
        <f t="shared" si="13"/>
        <v>10978489.616681159</v>
      </c>
      <c r="P41" s="23">
        <f t="shared" si="14"/>
        <v>10968226.26776322</v>
      </c>
      <c r="Q41" s="23">
        <f t="shared" si="15"/>
        <v>27738553.553081799</v>
      </c>
      <c r="R41" s="23">
        <f t="shared" si="16"/>
        <v>87979099.518262655</v>
      </c>
      <c r="S41" s="23">
        <f t="shared" si="17"/>
        <v>60240545.965180859</v>
      </c>
      <c r="T41" s="16">
        <f>IFERROR(INDEX(Cost_Components!$R$2:$R$6,MATCH(E41,Cost_Components!$A$2:$A$6,0)),"")</f>
        <v>1</v>
      </c>
      <c r="U41" s="26">
        <f>IFERROR(INDEX(Cost_Components!$Q$2:$Q$6,MATCH(E41,Cost_Components!$A$2:$A$6,0)),"")</f>
        <v>2023</v>
      </c>
      <c r="V41" s="30">
        <f>1/(1+Calculation_Assumptions!$B$5)^(B41-Calculation_Assumptions!$B$2)</f>
        <v>0.68095133999317792</v>
      </c>
      <c r="W41" s="23">
        <f t="shared" si="18"/>
        <v>18888605.211443577</v>
      </c>
      <c r="X41" s="23">
        <f t="shared" si="19"/>
        <v>59909485.708354108</v>
      </c>
      <c r="Y41" s="23">
        <f t="shared" si="20"/>
        <v>41020880.496910535</v>
      </c>
      <c r="Z41" s="17">
        <f>IFERROR(INDEX(Cost_Components!$T$2:$T$6,MATCH(E41,Cost_Components!$A$2:$A$6,0)),"")</f>
        <v>0.41649999999999998</v>
      </c>
      <c r="AA41" s="26">
        <f>IFERROR(INDEX(Cost_Components!$U$2:$U$6,MATCH(E41,Cost_Components!$A$2:$A$6,0)),"")</f>
        <v>2025</v>
      </c>
      <c r="AB41" s="26">
        <f>IFERROR(INDEX(Cost_Components!$V$2:$V$6,MATCH(E41,Cost_Components!$A$2:$A$6,0)),"")</f>
        <v>2040</v>
      </c>
      <c r="AC41" s="26">
        <f>IFERROR(INDEX(Cost_Components!$M$2:$M$6,MATCH(E41,Cost_Components!$A$2:$A$6,0)),"")</f>
        <v>30</v>
      </c>
      <c r="AD41" s="26">
        <f>IFERROR(INDEX(Cost_Components!$N$2:$N$6,MATCH(E41,Cost_Components!$A$2:$A$6,0)),"")</f>
        <v>95</v>
      </c>
      <c r="AE41" s="16" t="str">
        <f>IFERROR(INDEX(Cost_Components!$O$2:$O$6,MATCH(E41,Cost_Components!$A$2:$A$6,0)),"")</f>
        <v>Both</v>
      </c>
      <c r="AF41" s="11">
        <v>182974826.944686</v>
      </c>
      <c r="AG41" s="11">
        <v>182803771.12938699</v>
      </c>
      <c r="AH41" s="23">
        <f t="shared" si="21"/>
        <v>1</v>
      </c>
      <c r="AI41" s="10">
        <v>311532999.13163</v>
      </c>
      <c r="AJ41" s="29">
        <f t="shared" si="22"/>
        <v>8.9038893569543198E-2</v>
      </c>
      <c r="AK41" s="29">
        <f t="shared" si="23"/>
        <v>0.28240699946232478</v>
      </c>
      <c r="AL41" s="29">
        <f t="shared" si="24"/>
        <v>0.19336810589278156</v>
      </c>
      <c r="AM41" s="29">
        <f t="shared" si="25"/>
        <v>0.13167427081963234</v>
      </c>
    </row>
    <row r="42" spans="1:39">
      <c r="A42" t="s">
        <v>115</v>
      </c>
      <c r="B42" s="20">
        <v>2039</v>
      </c>
      <c r="C42" t="s">
        <v>204</v>
      </c>
      <c r="E42" s="22" t="s">
        <v>260</v>
      </c>
      <c r="F42" s="22" t="s">
        <v>261</v>
      </c>
      <c r="G42" s="22" t="s">
        <v>213</v>
      </c>
      <c r="H42" s="22" t="s">
        <v>214</v>
      </c>
      <c r="I42" s="22" t="s">
        <v>265</v>
      </c>
      <c r="J42" s="17">
        <f>IFERROR(INDEX(Cost_Components!$K$2:$K$6,MATCH(E42,Cost_Components!$A$2:$A$6,0)),"")</f>
        <v>0.06</v>
      </c>
      <c r="K42" s="31">
        <v>0.38850000000000001</v>
      </c>
      <c r="L42" s="17">
        <f>IFERROR(INDEX(Cost_Components!$S$2:$S$6,MATCH(E42,Cost_Components!$A$2:$A$6,0)),"")</f>
        <v>0.113766857372906</v>
      </c>
      <c r="M42" s="28">
        <f>IFERROR(INDEX(Cost_Components!$L$2:$L$6,MATCH(E42,Cost_Components!$A$2:$A$6,0)),"")</f>
        <v>1</v>
      </c>
      <c r="N42" s="29">
        <f>IFERROR(INDEX(Cost_Components!$P$2:$P$6,MATCH(E42,Cost_Components!$A$2:$A$6,0)),"")</f>
        <v>22.229600000000001</v>
      </c>
      <c r="O42" s="23">
        <f t="shared" si="13"/>
        <v>11103509.529224819</v>
      </c>
      <c r="P42" s="23">
        <f t="shared" si="14"/>
        <v>11089943.127255119</v>
      </c>
      <c r="Q42" s="23">
        <f t="shared" si="15"/>
        <v>28046374.484461755</v>
      </c>
      <c r="R42" s="23">
        <f t="shared" si="16"/>
        <v>95892124.554887578</v>
      </c>
      <c r="S42" s="23">
        <f t="shared" si="17"/>
        <v>67845750.070425823</v>
      </c>
      <c r="T42" s="16">
        <f>IFERROR(INDEX(Cost_Components!$R$2:$R$6,MATCH(E42,Cost_Components!$A$2:$A$6,0)),"")</f>
        <v>1</v>
      </c>
      <c r="U42" s="26">
        <f>IFERROR(INDEX(Cost_Components!$Q$2:$Q$6,MATCH(E42,Cost_Components!$A$2:$A$6,0)),"")</f>
        <v>2023</v>
      </c>
      <c r="V42" s="30">
        <f>1/(1+Calculation_Assumptions!$B$5)^(B42-Calculation_Assumptions!$B$2)</f>
        <v>0.66111780581861923</v>
      </c>
      <c r="W42" s="23">
        <f t="shared" si="18"/>
        <v>18541957.560334664</v>
      </c>
      <c r="X42" s="23">
        <f t="shared" si="19"/>
        <v>63395990.981013015</v>
      </c>
      <c r="Y42" s="23">
        <f t="shared" si="20"/>
        <v>44854033.420678355</v>
      </c>
      <c r="Z42" s="17">
        <f>IFERROR(INDEX(Cost_Components!$T$2:$T$6,MATCH(E42,Cost_Components!$A$2:$A$6,0)),"")</f>
        <v>0.41649999999999998</v>
      </c>
      <c r="AA42" s="26">
        <f>IFERROR(INDEX(Cost_Components!$U$2:$U$6,MATCH(E42,Cost_Components!$A$2:$A$6,0)),"")</f>
        <v>2025</v>
      </c>
      <c r="AB42" s="26">
        <f>IFERROR(INDEX(Cost_Components!$V$2:$V$6,MATCH(E42,Cost_Components!$A$2:$A$6,0)),"")</f>
        <v>2040</v>
      </c>
      <c r="AC42" s="26">
        <f>IFERROR(INDEX(Cost_Components!$M$2:$M$6,MATCH(E42,Cost_Components!$A$2:$A$6,0)),"")</f>
        <v>30</v>
      </c>
      <c r="AD42" s="26">
        <f>IFERROR(INDEX(Cost_Components!$N$2:$N$6,MATCH(E42,Cost_Components!$A$2:$A$6,0)),"")</f>
        <v>95</v>
      </c>
      <c r="AE42" s="16" t="str">
        <f>IFERROR(INDEX(Cost_Components!$O$2:$O$6,MATCH(E42,Cost_Components!$A$2:$A$6,0)),"")</f>
        <v>Both</v>
      </c>
      <c r="AF42" s="11">
        <v>185058492.15374699</v>
      </c>
      <c r="AG42" s="11">
        <v>184832385.454252</v>
      </c>
      <c r="AH42" s="23">
        <f t="shared" si="21"/>
        <v>1</v>
      </c>
      <c r="AI42" s="10">
        <v>312936391.85847902</v>
      </c>
      <c r="AJ42" s="29">
        <f t="shared" si="22"/>
        <v>8.9623243617972442E-2</v>
      </c>
      <c r="AK42" s="29">
        <f t="shared" si="23"/>
        <v>0.30642688753902875</v>
      </c>
      <c r="AL42" s="29">
        <f t="shared" si="24"/>
        <v>0.21680364392105628</v>
      </c>
      <c r="AM42" s="29">
        <f t="shared" si="25"/>
        <v>0.14333274936256996</v>
      </c>
    </row>
    <row r="43" spans="1:39">
      <c r="A43" t="s">
        <v>115</v>
      </c>
      <c r="B43" s="20">
        <v>2040</v>
      </c>
      <c r="C43" t="s">
        <v>204</v>
      </c>
      <c r="E43" s="22" t="s">
        <v>260</v>
      </c>
      <c r="F43" s="22" t="s">
        <v>261</v>
      </c>
      <c r="G43" s="22" t="s">
        <v>213</v>
      </c>
      <c r="H43" s="22" t="s">
        <v>214</v>
      </c>
      <c r="I43" s="22" t="s">
        <v>265</v>
      </c>
      <c r="J43" s="17">
        <f>IFERROR(INDEX(Cost_Components!$K$2:$K$6,MATCH(E43,Cost_Components!$A$2:$A$6,0)),"")</f>
        <v>0.06</v>
      </c>
      <c r="K43" s="31">
        <v>0.41649999999999998</v>
      </c>
      <c r="L43" s="17">
        <f>IFERROR(INDEX(Cost_Components!$S$2:$S$6,MATCH(E43,Cost_Components!$A$2:$A$6,0)),"")</f>
        <v>0.113766857372906</v>
      </c>
      <c r="M43" s="28">
        <f>IFERROR(INDEX(Cost_Components!$L$2:$L$6,MATCH(E43,Cost_Components!$A$2:$A$6,0)),"")</f>
        <v>1</v>
      </c>
      <c r="N43" s="29">
        <f>IFERROR(INDEX(Cost_Components!$P$2:$P$6,MATCH(E43,Cost_Components!$A$2:$A$6,0)),"")</f>
        <v>22.229600000000001</v>
      </c>
      <c r="O43" s="23">
        <f t="shared" si="13"/>
        <v>11229843.59411094</v>
      </c>
      <c r="P43" s="23">
        <f t="shared" si="14"/>
        <v>11212408.266201958</v>
      </c>
      <c r="Q43" s="23">
        <f t="shared" si="15"/>
        <v>28356087.808396973</v>
      </c>
      <c r="R43" s="23">
        <f t="shared" si="16"/>
        <v>103972948.82799362</v>
      </c>
      <c r="S43" s="23">
        <f t="shared" si="17"/>
        <v>75616861.019596636</v>
      </c>
      <c r="T43" s="16">
        <f>IFERROR(INDEX(Cost_Components!$R$2:$R$6,MATCH(E43,Cost_Components!$A$2:$A$6,0)),"")</f>
        <v>1</v>
      </c>
      <c r="U43" s="26">
        <f>IFERROR(INDEX(Cost_Components!$Q$2:$Q$6,MATCH(E43,Cost_Components!$A$2:$A$6,0)),"")</f>
        <v>2023</v>
      </c>
      <c r="V43" s="30">
        <f>1/(1+Calculation_Assumptions!$B$5)^(B43-Calculation_Assumptions!$B$2)</f>
        <v>0.64186194739671765</v>
      </c>
      <c r="W43" s="23">
        <f t="shared" si="18"/>
        <v>18200693.741250005</v>
      </c>
      <c r="X43" s="23">
        <f t="shared" si="19"/>
        <v>66736279.411315255</v>
      </c>
      <c r="Y43" s="23">
        <f t="shared" si="20"/>
        <v>48535585.670065247</v>
      </c>
      <c r="Z43" s="17">
        <f>IFERROR(INDEX(Cost_Components!$T$2:$T$6,MATCH(E43,Cost_Components!$A$2:$A$6,0)),"")</f>
        <v>0.41649999999999998</v>
      </c>
      <c r="AA43" s="26">
        <f>IFERROR(INDEX(Cost_Components!$U$2:$U$6,MATCH(E43,Cost_Components!$A$2:$A$6,0)),"")</f>
        <v>2025</v>
      </c>
      <c r="AB43" s="26">
        <f>IFERROR(INDEX(Cost_Components!$V$2:$V$6,MATCH(E43,Cost_Components!$A$2:$A$6,0)),"")</f>
        <v>2040</v>
      </c>
      <c r="AC43" s="26">
        <f>IFERROR(INDEX(Cost_Components!$M$2:$M$6,MATCH(E43,Cost_Components!$A$2:$A$6,0)),"")</f>
        <v>30</v>
      </c>
      <c r="AD43" s="26">
        <f>IFERROR(INDEX(Cost_Components!$N$2:$N$6,MATCH(E43,Cost_Components!$A$2:$A$6,0)),"")</f>
        <v>95</v>
      </c>
      <c r="AE43" s="16" t="str">
        <f>IFERROR(INDEX(Cost_Components!$O$2:$O$6,MATCH(E43,Cost_Components!$A$2:$A$6,0)),"")</f>
        <v>Both</v>
      </c>
      <c r="AF43" s="11">
        <v>187164059.901849</v>
      </c>
      <c r="AG43" s="11">
        <v>186873471.10336599</v>
      </c>
      <c r="AH43" s="23">
        <f t="shared" si="21"/>
        <v>1</v>
      </c>
      <c r="AI43" s="10">
        <v>314265537.41082901</v>
      </c>
      <c r="AJ43" s="29">
        <f t="shared" si="22"/>
        <v>9.0229708424337959E-2</v>
      </c>
      <c r="AK43" s="29">
        <f t="shared" si="23"/>
        <v>0.33084425891749369</v>
      </c>
      <c r="AL43" s="29">
        <f t="shared" si="24"/>
        <v>0.24061455049315572</v>
      </c>
      <c r="AM43" s="29">
        <f t="shared" si="25"/>
        <v>0.1544413239515228</v>
      </c>
    </row>
    <row r="44" spans="1:39">
      <c r="A44" t="s">
        <v>115</v>
      </c>
      <c r="B44" s="20">
        <v>2041</v>
      </c>
      <c r="C44" t="s">
        <v>204</v>
      </c>
      <c r="E44" s="22" t="s">
        <v>260</v>
      </c>
      <c r="F44" s="22" t="s">
        <v>261</v>
      </c>
      <c r="G44" s="22" t="s">
        <v>213</v>
      </c>
      <c r="H44" s="22" t="s">
        <v>214</v>
      </c>
      <c r="I44" s="22" t="s">
        <v>265</v>
      </c>
      <c r="J44" s="17">
        <f>IFERROR(INDEX(Cost_Components!$K$2:$K$6,MATCH(E44,Cost_Components!$A$2:$A$6,0)),"")</f>
        <v>0.06</v>
      </c>
      <c r="K44" s="31">
        <v>0.41649999999999998</v>
      </c>
      <c r="L44" s="17">
        <f>IFERROR(INDEX(Cost_Components!$S$2:$S$6,MATCH(E44,Cost_Components!$A$2:$A$6,0)),"")</f>
        <v>0.113766857372906</v>
      </c>
      <c r="M44" s="28">
        <f>IFERROR(INDEX(Cost_Components!$L$2:$L$6,MATCH(E44,Cost_Components!$A$2:$A$6,0)),"")</f>
        <v>1</v>
      </c>
      <c r="N44" s="29">
        <f>IFERROR(INDEX(Cost_Components!$P$2:$P$6,MATCH(E44,Cost_Components!$A$2:$A$6,0)),"")</f>
        <v>22.229600000000001</v>
      </c>
      <c r="O44" s="23">
        <f t="shared" si="13"/>
        <v>11361317.776287299</v>
      </c>
      <c r="P44" s="23">
        <f t="shared" si="14"/>
        <v>11336064.013696801</v>
      </c>
      <c r="Q44" s="23">
        <f t="shared" si="15"/>
        <v>28668812.171506919</v>
      </c>
      <c r="R44" s="23">
        <f t="shared" si="16"/>
        <v>105190219.42495844</v>
      </c>
      <c r="S44" s="23">
        <f t="shared" si="17"/>
        <v>76521407.253451526</v>
      </c>
      <c r="T44" s="16">
        <f>IFERROR(INDEX(Cost_Components!$R$2:$R$6,MATCH(E44,Cost_Components!$A$2:$A$6,0)),"")</f>
        <v>1</v>
      </c>
      <c r="U44" s="26">
        <f>IFERROR(INDEX(Cost_Components!$Q$2:$Q$6,MATCH(E44,Cost_Components!$A$2:$A$6,0)),"")</f>
        <v>2023</v>
      </c>
      <c r="V44" s="30">
        <f>1/(1+Calculation_Assumptions!$B$5)^(B44-Calculation_Assumptions!$B$2)</f>
        <v>0.62316693922011435</v>
      </c>
      <c r="W44" s="23">
        <f t="shared" si="18"/>
        <v>17865455.931994326</v>
      </c>
      <c r="X44" s="23">
        <f t="shared" si="19"/>
        <v>65551067.074943565</v>
      </c>
      <c r="Y44" s="23">
        <f t="shared" si="20"/>
        <v>47685611.142949246</v>
      </c>
      <c r="Z44" s="17">
        <f>IFERROR(INDEX(Cost_Components!$T$2:$T$6,MATCH(E44,Cost_Components!$A$2:$A$6,0)),"")</f>
        <v>0.41649999999999998</v>
      </c>
      <c r="AA44" s="26">
        <f>IFERROR(INDEX(Cost_Components!$U$2:$U$6,MATCH(E44,Cost_Components!$A$2:$A$6,0)),"")</f>
        <v>2025</v>
      </c>
      <c r="AB44" s="26">
        <f>IFERROR(INDEX(Cost_Components!$V$2:$V$6,MATCH(E44,Cost_Components!$A$2:$A$6,0)),"")</f>
        <v>2040</v>
      </c>
      <c r="AC44" s="26">
        <f>IFERROR(INDEX(Cost_Components!$M$2:$M$6,MATCH(E44,Cost_Components!$A$2:$A$6,0)),"")</f>
        <v>30</v>
      </c>
      <c r="AD44" s="26">
        <f>IFERROR(INDEX(Cost_Components!$N$2:$N$6,MATCH(E44,Cost_Components!$A$2:$A$6,0)),"")</f>
        <v>95</v>
      </c>
      <c r="AE44" s="16" t="str">
        <f>IFERROR(INDEX(Cost_Components!$O$2:$O$6,MATCH(E44,Cost_Components!$A$2:$A$6,0)),"")</f>
        <v>Both</v>
      </c>
      <c r="AF44" s="11">
        <v>189355296.27145499</v>
      </c>
      <c r="AG44" s="11">
        <v>188934400.22828001</v>
      </c>
      <c r="AH44" s="23">
        <f t="shared" si="21"/>
        <v>1</v>
      </c>
      <c r="AI44" s="10">
        <v>315525215.31254798</v>
      </c>
      <c r="AJ44" s="29">
        <f t="shared" si="22"/>
        <v>9.0860605682840975E-2</v>
      </c>
      <c r="AK44" s="29">
        <f t="shared" si="23"/>
        <v>0.33338134107843259</v>
      </c>
      <c r="AL44" s="29">
        <f t="shared" si="24"/>
        <v>0.24252073539559163</v>
      </c>
      <c r="AM44" s="29">
        <f t="shared" si="25"/>
        <v>0.1511309043738821</v>
      </c>
    </row>
    <row r="45" spans="1:39">
      <c r="A45" t="s">
        <v>115</v>
      </c>
      <c r="B45" s="20">
        <v>2042</v>
      </c>
      <c r="C45" t="s">
        <v>204</v>
      </c>
      <c r="E45" s="22" t="s">
        <v>260</v>
      </c>
      <c r="F45" s="22" t="s">
        <v>261</v>
      </c>
      <c r="G45" s="22" t="s">
        <v>213</v>
      </c>
      <c r="H45" s="22" t="s">
        <v>214</v>
      </c>
      <c r="I45" s="22" t="s">
        <v>265</v>
      </c>
      <c r="J45" s="17">
        <f>IFERROR(INDEX(Cost_Components!$K$2:$K$6,MATCH(E45,Cost_Components!$A$2:$A$6,0)),"")</f>
        <v>0.06</v>
      </c>
      <c r="K45" s="31">
        <v>0.41649999999999998</v>
      </c>
      <c r="L45" s="17">
        <f>IFERROR(INDEX(Cost_Components!$S$2:$S$6,MATCH(E45,Cost_Components!$A$2:$A$6,0)),"")</f>
        <v>0.113766857372906</v>
      </c>
      <c r="M45" s="28">
        <f>IFERROR(INDEX(Cost_Components!$L$2:$L$6,MATCH(E45,Cost_Components!$A$2:$A$6,0)),"")</f>
        <v>1</v>
      </c>
      <c r="N45" s="29">
        <f>IFERROR(INDEX(Cost_Components!$P$2:$P$6,MATCH(E45,Cost_Components!$A$2:$A$6,0)),"")</f>
        <v>22.229600000000001</v>
      </c>
      <c r="O45" s="23">
        <f t="shared" si="13"/>
        <v>11488022.532537838</v>
      </c>
      <c r="P45" s="23">
        <f t="shared" si="14"/>
        <v>11461229.694279119</v>
      </c>
      <c r="Q45" s="23">
        <f t="shared" si="15"/>
        <v>28985355.142911956</v>
      </c>
      <c r="R45" s="23">
        <f t="shared" si="16"/>
        <v>106363331.67959477</v>
      </c>
      <c r="S45" s="23">
        <f t="shared" si="17"/>
        <v>77377976.536682814</v>
      </c>
      <c r="T45" s="16">
        <f>IFERROR(INDEX(Cost_Components!$R$2:$R$6,MATCH(E45,Cost_Components!$A$2:$A$6,0)),"")</f>
        <v>1</v>
      </c>
      <c r="U45" s="26">
        <f>IFERROR(INDEX(Cost_Components!$Q$2:$Q$6,MATCH(E45,Cost_Components!$A$2:$A$6,0)),"")</f>
        <v>2023</v>
      </c>
      <c r="V45" s="30">
        <f>1/(1+Calculation_Assumptions!$B$5)^(B45-Calculation_Assumptions!$B$2)</f>
        <v>0.60501644584477121</v>
      </c>
      <c r="W45" s="23">
        <f t="shared" si="18"/>
        <v>17536616.550113052</v>
      </c>
      <c r="X45" s="23">
        <f t="shared" si="19"/>
        <v>64351564.900996991</v>
      </c>
      <c r="Y45" s="23">
        <f t="shared" si="20"/>
        <v>46814948.350883938</v>
      </c>
      <c r="Z45" s="17">
        <f>IFERROR(INDEX(Cost_Components!$T$2:$T$6,MATCH(E45,Cost_Components!$A$2:$A$6,0)),"")</f>
        <v>0.41649999999999998</v>
      </c>
      <c r="AA45" s="26">
        <f>IFERROR(INDEX(Cost_Components!$U$2:$U$6,MATCH(E45,Cost_Components!$A$2:$A$6,0)),"")</f>
        <v>2025</v>
      </c>
      <c r="AB45" s="26">
        <f>IFERROR(INDEX(Cost_Components!$V$2:$V$6,MATCH(E45,Cost_Components!$A$2:$A$6,0)),"")</f>
        <v>2040</v>
      </c>
      <c r="AC45" s="26">
        <f>IFERROR(INDEX(Cost_Components!$M$2:$M$6,MATCH(E45,Cost_Components!$A$2:$A$6,0)),"")</f>
        <v>30</v>
      </c>
      <c r="AD45" s="26">
        <f>IFERROR(INDEX(Cost_Components!$N$2:$N$6,MATCH(E45,Cost_Components!$A$2:$A$6,0)),"")</f>
        <v>95</v>
      </c>
      <c r="AE45" s="16" t="str">
        <f>IFERROR(INDEX(Cost_Components!$O$2:$O$6,MATCH(E45,Cost_Components!$A$2:$A$6,0)),"")</f>
        <v>Both</v>
      </c>
      <c r="AF45" s="11">
        <v>191467042.20896399</v>
      </c>
      <c r="AG45" s="11">
        <v>191020494.904652</v>
      </c>
      <c r="AH45" s="23">
        <f t="shared" si="21"/>
        <v>1</v>
      </c>
      <c r="AI45" s="10">
        <v>316707694.211882</v>
      </c>
      <c r="AJ45" s="29">
        <f t="shared" si="22"/>
        <v>9.1520842949651668E-2</v>
      </c>
      <c r="AK45" s="29">
        <f t="shared" si="23"/>
        <v>0.33584069355901464</v>
      </c>
      <c r="AL45" s="29">
        <f t="shared" si="24"/>
        <v>0.24431985060936295</v>
      </c>
      <c r="AM45" s="29">
        <f t="shared" si="25"/>
        <v>0.14781752766500225</v>
      </c>
    </row>
    <row r="46" spans="1:39">
      <c r="A46" t="s">
        <v>115</v>
      </c>
      <c r="B46" s="20">
        <v>2043</v>
      </c>
      <c r="C46" t="s">
        <v>204</v>
      </c>
      <c r="E46" s="22" t="s">
        <v>260</v>
      </c>
      <c r="F46" s="22" t="s">
        <v>261</v>
      </c>
      <c r="G46" s="22" t="s">
        <v>213</v>
      </c>
      <c r="H46" s="22" t="s">
        <v>214</v>
      </c>
      <c r="I46" s="22" t="s">
        <v>265</v>
      </c>
      <c r="J46" s="17">
        <f>IFERROR(INDEX(Cost_Components!$K$2:$K$6,MATCH(E46,Cost_Components!$A$2:$A$6,0)),"")</f>
        <v>0.06</v>
      </c>
      <c r="K46" s="31">
        <v>0.41649999999999998</v>
      </c>
      <c r="L46" s="17">
        <f>IFERROR(INDEX(Cost_Components!$S$2:$S$6,MATCH(E46,Cost_Components!$A$2:$A$6,0)),"")</f>
        <v>0.113766857372906</v>
      </c>
      <c r="M46" s="28">
        <f>IFERROR(INDEX(Cost_Components!$L$2:$L$6,MATCH(E46,Cost_Components!$A$2:$A$6,0)),"")</f>
        <v>1</v>
      </c>
      <c r="N46" s="29">
        <f>IFERROR(INDEX(Cost_Components!$P$2:$P$6,MATCH(E46,Cost_Components!$A$2:$A$6,0)),"")</f>
        <v>22.229600000000001</v>
      </c>
      <c r="O46" s="23">
        <f t="shared" si="13"/>
        <v>11608229.042140618</v>
      </c>
      <c r="P46" s="23">
        <f t="shared" si="14"/>
        <v>11576172.396025678</v>
      </c>
      <c r="Q46" s="23">
        <f t="shared" si="15"/>
        <v>29276044.285358235</v>
      </c>
      <c r="R46" s="23">
        <f t="shared" si="16"/>
        <v>107476279.08326793</v>
      </c>
      <c r="S46" s="23">
        <f t="shared" si="17"/>
        <v>78200234.797909692</v>
      </c>
      <c r="T46" s="16">
        <f>IFERROR(INDEX(Cost_Components!$R$2:$R$6,MATCH(E46,Cost_Components!$A$2:$A$6,0)),"")</f>
        <v>1</v>
      </c>
      <c r="U46" s="26">
        <f>IFERROR(INDEX(Cost_Components!$Q$2:$Q$6,MATCH(E46,Cost_Components!$A$2:$A$6,0)),"")</f>
        <v>2023</v>
      </c>
      <c r="V46" s="30">
        <f>1/(1+Calculation_Assumptions!$B$5)^(B46-Calculation_Assumptions!$B$2)</f>
        <v>0.5873946076162827</v>
      </c>
      <c r="W46" s="23">
        <f t="shared" si="18"/>
        <v>17196590.545554917</v>
      </c>
      <c r="X46" s="23">
        <f t="shared" si="19"/>
        <v>63130986.780174255</v>
      </c>
      <c r="Y46" s="23">
        <f t="shared" si="20"/>
        <v>45934396.234619342</v>
      </c>
      <c r="Z46" s="17">
        <f>IFERROR(INDEX(Cost_Components!$T$2:$T$6,MATCH(E46,Cost_Components!$A$2:$A$6,0)),"")</f>
        <v>0.41649999999999998</v>
      </c>
      <c r="AA46" s="26">
        <f>IFERROR(INDEX(Cost_Components!$U$2:$U$6,MATCH(E46,Cost_Components!$A$2:$A$6,0)),"")</f>
        <v>2025</v>
      </c>
      <c r="AB46" s="26">
        <f>IFERROR(INDEX(Cost_Components!$V$2:$V$6,MATCH(E46,Cost_Components!$A$2:$A$6,0)),"")</f>
        <v>2040</v>
      </c>
      <c r="AC46" s="26">
        <f>IFERROR(INDEX(Cost_Components!$M$2:$M$6,MATCH(E46,Cost_Components!$A$2:$A$6,0)),"")</f>
        <v>30</v>
      </c>
      <c r="AD46" s="26">
        <f>IFERROR(INDEX(Cost_Components!$N$2:$N$6,MATCH(E46,Cost_Components!$A$2:$A$6,0)),"")</f>
        <v>95</v>
      </c>
      <c r="AE46" s="16" t="str">
        <f>IFERROR(INDEX(Cost_Components!$O$2:$O$6,MATCH(E46,Cost_Components!$A$2:$A$6,0)),"")</f>
        <v>Both</v>
      </c>
      <c r="AF46" s="11">
        <v>193470484.03567699</v>
      </c>
      <c r="AG46" s="11">
        <v>192936206.60042799</v>
      </c>
      <c r="AH46" s="23">
        <f t="shared" si="21"/>
        <v>1</v>
      </c>
      <c r="AI46" s="10">
        <v>317814114.06715202</v>
      </c>
      <c r="AJ46" s="29">
        <f t="shared" si="22"/>
        <v>9.211687898534425E-2</v>
      </c>
      <c r="AK46" s="29">
        <f t="shared" si="23"/>
        <v>0.33817339861929135</v>
      </c>
      <c r="AL46" s="29">
        <f t="shared" si="24"/>
        <v>0.24605651963394709</v>
      </c>
      <c r="AM46" s="29">
        <f t="shared" si="25"/>
        <v>0.14453227280181052</v>
      </c>
    </row>
    <row r="47" spans="1:39">
      <c r="A47" t="s">
        <v>115</v>
      </c>
      <c r="B47" s="20">
        <v>2044</v>
      </c>
      <c r="C47" t="s">
        <v>204</v>
      </c>
      <c r="E47" s="22" t="s">
        <v>260</v>
      </c>
      <c r="F47" s="22" t="s">
        <v>261</v>
      </c>
      <c r="G47" s="22" t="s">
        <v>213</v>
      </c>
      <c r="H47" s="22" t="s">
        <v>214</v>
      </c>
      <c r="I47" s="22" t="s">
        <v>265</v>
      </c>
      <c r="J47" s="17">
        <f>IFERROR(INDEX(Cost_Components!$K$2:$K$6,MATCH(E47,Cost_Components!$A$2:$A$6,0)),"")</f>
        <v>0.06</v>
      </c>
      <c r="K47" s="31">
        <v>0.41649999999999998</v>
      </c>
      <c r="L47" s="17">
        <f>IFERROR(INDEX(Cost_Components!$S$2:$S$6,MATCH(E47,Cost_Components!$A$2:$A$6,0)),"")</f>
        <v>0.113766857372906</v>
      </c>
      <c r="M47" s="28">
        <f>IFERROR(INDEX(Cost_Components!$L$2:$L$6,MATCH(E47,Cost_Components!$A$2:$A$6,0)),"")</f>
        <v>1</v>
      </c>
      <c r="N47" s="29">
        <f>IFERROR(INDEX(Cost_Components!$P$2:$P$6,MATCH(E47,Cost_Components!$A$2:$A$6,0)),"")</f>
        <v>22.229600000000001</v>
      </c>
      <c r="O47" s="23">
        <f t="shared" si="13"/>
        <v>11722025.63612736</v>
      </c>
      <c r="P47" s="23">
        <f t="shared" si="14"/>
        <v>11684450.391992999</v>
      </c>
      <c r="Q47" s="23">
        <f t="shared" si="15"/>
        <v>29549878.44198823</v>
      </c>
      <c r="R47" s="23">
        <f t="shared" si="16"/>
        <v>108529879.46017684</v>
      </c>
      <c r="S47" s="23">
        <f t="shared" si="17"/>
        <v>78980001.018188611</v>
      </c>
      <c r="T47" s="16">
        <f>IFERROR(INDEX(Cost_Components!$R$2:$R$6,MATCH(E47,Cost_Components!$A$2:$A$6,0)),"")</f>
        <v>1</v>
      </c>
      <c r="U47" s="26">
        <f>IFERROR(INDEX(Cost_Components!$Q$2:$Q$6,MATCH(E47,Cost_Components!$A$2:$A$6,0)),"")</f>
        <v>2023</v>
      </c>
      <c r="V47" s="30">
        <f>1/(1+Calculation_Assumptions!$B$5)^(B47-Calculation_Assumptions!$B$2)</f>
        <v>0.57028602681192497</v>
      </c>
      <c r="W47" s="23">
        <f t="shared" si="18"/>
        <v>16851882.769456822</v>
      </c>
      <c r="X47" s="23">
        <f t="shared" si="19"/>
        <v>61893073.747721396</v>
      </c>
      <c r="Y47" s="23">
        <f t="shared" si="20"/>
        <v>45041190.97826457</v>
      </c>
      <c r="Z47" s="17">
        <f>IFERROR(INDEX(Cost_Components!$T$2:$T$6,MATCH(E47,Cost_Components!$A$2:$A$6,0)),"")</f>
        <v>0.41649999999999998</v>
      </c>
      <c r="AA47" s="26">
        <f>IFERROR(INDEX(Cost_Components!$U$2:$U$6,MATCH(E47,Cost_Components!$A$2:$A$6,0)),"")</f>
        <v>2025</v>
      </c>
      <c r="AB47" s="26">
        <f>IFERROR(INDEX(Cost_Components!$V$2:$V$6,MATCH(E47,Cost_Components!$A$2:$A$6,0)),"")</f>
        <v>2040</v>
      </c>
      <c r="AC47" s="26">
        <f>IFERROR(INDEX(Cost_Components!$M$2:$M$6,MATCH(E47,Cost_Components!$A$2:$A$6,0)),"")</f>
        <v>30</v>
      </c>
      <c r="AD47" s="26">
        <f>IFERROR(INDEX(Cost_Components!$N$2:$N$6,MATCH(E47,Cost_Components!$A$2:$A$6,0)),"")</f>
        <v>95</v>
      </c>
      <c r="AE47" s="16" t="str">
        <f>IFERROR(INDEX(Cost_Components!$O$2:$O$6,MATCH(E47,Cost_Components!$A$2:$A$6,0)),"")</f>
        <v>Both</v>
      </c>
      <c r="AF47" s="11">
        <v>195367093.93545601</v>
      </c>
      <c r="AG47" s="11">
        <v>194740839.86655</v>
      </c>
      <c r="AH47" s="23">
        <f t="shared" si="21"/>
        <v>1</v>
      </c>
      <c r="AI47" s="10">
        <v>318840890.73215598</v>
      </c>
      <c r="AJ47" s="29">
        <f t="shared" si="22"/>
        <v>9.2679073798008438E-2</v>
      </c>
      <c r="AK47" s="29">
        <f t="shared" si="23"/>
        <v>0.34038883535596426</v>
      </c>
      <c r="AL47" s="29">
        <f t="shared" si="24"/>
        <v>0.24770976155795585</v>
      </c>
      <c r="AM47" s="29">
        <f t="shared" si="25"/>
        <v>0.14126541572141593</v>
      </c>
    </row>
    <row r="48" spans="1:39">
      <c r="A48" t="s">
        <v>115</v>
      </c>
      <c r="B48" s="20">
        <v>2045</v>
      </c>
      <c r="C48" t="s">
        <v>204</v>
      </c>
      <c r="E48" s="22" t="s">
        <v>260</v>
      </c>
      <c r="F48" s="22" t="s">
        <v>261</v>
      </c>
      <c r="G48" s="22" t="s">
        <v>213</v>
      </c>
      <c r="H48" s="22" t="s">
        <v>214</v>
      </c>
      <c r="I48" s="22" t="s">
        <v>265</v>
      </c>
      <c r="J48" s="17">
        <f>IFERROR(INDEX(Cost_Components!$K$2:$K$6,MATCH(E48,Cost_Components!$A$2:$A$6,0)),"")</f>
        <v>0.06</v>
      </c>
      <c r="K48" s="31">
        <v>0.41649999999999998</v>
      </c>
      <c r="L48" s="17">
        <f>IFERROR(INDEX(Cost_Components!$S$2:$S$6,MATCH(E48,Cost_Components!$A$2:$A$6,0)),"")</f>
        <v>0.113766857372906</v>
      </c>
      <c r="M48" s="28">
        <f>IFERROR(INDEX(Cost_Components!$L$2:$L$6,MATCH(E48,Cost_Components!$A$2:$A$6,0)),"")</f>
        <v>1</v>
      </c>
      <c r="N48" s="29">
        <f>IFERROR(INDEX(Cost_Components!$P$2:$P$6,MATCH(E48,Cost_Components!$A$2:$A$6,0)),"")</f>
        <v>22.229600000000001</v>
      </c>
      <c r="O48" s="23">
        <f t="shared" si="13"/>
        <v>11828148.60131496</v>
      </c>
      <c r="P48" s="23">
        <f t="shared" si="14"/>
        <v>11784893.943869879</v>
      </c>
      <c r="Q48" s="23">
        <f t="shared" si="15"/>
        <v>29803899.354283541</v>
      </c>
      <c r="R48" s="23">
        <f t="shared" si="16"/>
        <v>109512432.55955496</v>
      </c>
      <c r="S48" s="23">
        <f t="shared" si="17"/>
        <v>79708533.205271423</v>
      </c>
      <c r="T48" s="16">
        <f>IFERROR(INDEX(Cost_Components!$R$2:$R$6,MATCH(E48,Cost_Components!$A$2:$A$6,0)),"")</f>
        <v>1</v>
      </c>
      <c r="U48" s="26">
        <f>IFERROR(INDEX(Cost_Components!$Q$2:$Q$6,MATCH(E48,Cost_Components!$A$2:$A$6,0)),"")</f>
        <v>2023</v>
      </c>
      <c r="V48" s="30">
        <f>1/(1+Calculation_Assumptions!$B$5)^(B48-Calculation_Assumptions!$B$2)</f>
        <v>0.55367575418633497</v>
      </c>
      <c r="W48" s="23">
        <f t="shared" si="18"/>
        <v>16501696.452676561</v>
      </c>
      <c r="X48" s="23">
        <f t="shared" si="19"/>
        <v>60634378.690191738</v>
      </c>
      <c r="Y48" s="23">
        <f t="shared" si="20"/>
        <v>44132682.237515181</v>
      </c>
      <c r="Z48" s="17">
        <f>IFERROR(INDEX(Cost_Components!$T$2:$T$6,MATCH(E48,Cost_Components!$A$2:$A$6,0)),"")</f>
        <v>0.41649999999999998</v>
      </c>
      <c r="AA48" s="26">
        <f>IFERROR(INDEX(Cost_Components!$U$2:$U$6,MATCH(E48,Cost_Components!$A$2:$A$6,0)),"")</f>
        <v>2025</v>
      </c>
      <c r="AB48" s="26">
        <f>IFERROR(INDEX(Cost_Components!$V$2:$V$6,MATCH(E48,Cost_Components!$A$2:$A$6,0)),"")</f>
        <v>2040</v>
      </c>
      <c r="AC48" s="26">
        <f>IFERROR(INDEX(Cost_Components!$M$2:$M$6,MATCH(E48,Cost_Components!$A$2:$A$6,0)),"")</f>
        <v>30</v>
      </c>
      <c r="AD48" s="26">
        <f>IFERROR(INDEX(Cost_Components!$N$2:$N$6,MATCH(E48,Cost_Components!$A$2:$A$6,0)),"")</f>
        <v>95</v>
      </c>
      <c r="AE48" s="16" t="str">
        <f>IFERROR(INDEX(Cost_Components!$O$2:$O$6,MATCH(E48,Cost_Components!$A$2:$A$6,0)),"")</f>
        <v>Both</v>
      </c>
      <c r="AF48" s="11">
        <v>197135810.021916</v>
      </c>
      <c r="AG48" s="11">
        <v>196414899.06449801</v>
      </c>
      <c r="AH48" s="23">
        <f t="shared" si="21"/>
        <v>1</v>
      </c>
      <c r="AI48" s="10">
        <v>319784682.33108002</v>
      </c>
      <c r="AJ48" s="29">
        <f t="shared" si="22"/>
        <v>9.3199896683690803E-2</v>
      </c>
      <c r="AK48" s="29">
        <f t="shared" si="23"/>
        <v>0.34245677985968809</v>
      </c>
      <c r="AL48" s="29">
        <f t="shared" si="24"/>
        <v>0.24925688317599731</v>
      </c>
      <c r="AM48" s="29">
        <f t="shared" si="25"/>
        <v>0.1380074927786055</v>
      </c>
    </row>
    <row r="49" spans="1:39">
      <c r="A49" t="s">
        <v>115</v>
      </c>
      <c r="B49" s="20">
        <v>2046</v>
      </c>
      <c r="C49" t="s">
        <v>204</v>
      </c>
      <c r="E49" s="22" t="s">
        <v>260</v>
      </c>
      <c r="F49" s="22" t="s">
        <v>261</v>
      </c>
      <c r="G49" s="22" t="s">
        <v>213</v>
      </c>
      <c r="H49" s="22" t="s">
        <v>214</v>
      </c>
      <c r="I49" s="22" t="s">
        <v>265</v>
      </c>
      <c r="J49" s="17">
        <f>IFERROR(INDEX(Cost_Components!$K$2:$K$6,MATCH(E49,Cost_Components!$A$2:$A$6,0)),"")</f>
        <v>0.06</v>
      </c>
      <c r="K49" s="31">
        <v>0.41649999999999998</v>
      </c>
      <c r="L49" s="17">
        <f>IFERROR(INDEX(Cost_Components!$S$2:$S$6,MATCH(E49,Cost_Components!$A$2:$A$6,0)),"")</f>
        <v>0.113766857372906</v>
      </c>
      <c r="M49" s="28">
        <f>IFERROR(INDEX(Cost_Components!$L$2:$L$6,MATCH(E49,Cost_Components!$A$2:$A$6,0)),"")</f>
        <v>1</v>
      </c>
      <c r="N49" s="29">
        <f>IFERROR(INDEX(Cost_Components!$P$2:$P$6,MATCH(E49,Cost_Components!$A$2:$A$6,0)),"")</f>
        <v>22.229600000000001</v>
      </c>
      <c r="O49" s="23">
        <f t="shared" si="13"/>
        <v>11926470.24037854</v>
      </c>
      <c r="P49" s="23">
        <f t="shared" si="14"/>
        <v>11878984.148744401</v>
      </c>
      <c r="Q49" s="23">
        <f t="shared" si="15"/>
        <v>30041852.704535186</v>
      </c>
      <c r="R49" s="23">
        <f t="shared" si="16"/>
        <v>110422756.07932359</v>
      </c>
      <c r="S49" s="23">
        <f t="shared" si="17"/>
        <v>80380903.374788404</v>
      </c>
      <c r="T49" s="16">
        <f>IFERROR(INDEX(Cost_Components!$R$2:$R$6,MATCH(E49,Cost_Components!$A$2:$A$6,0)),"")</f>
        <v>1</v>
      </c>
      <c r="U49" s="26">
        <f>IFERROR(INDEX(Cost_Components!$Q$2:$Q$6,MATCH(E49,Cost_Components!$A$2:$A$6,0)),"")</f>
        <v>2023</v>
      </c>
      <c r="V49" s="30">
        <f>1/(1+Calculation_Assumptions!$B$5)^(B49-Calculation_Assumptions!$B$2)</f>
        <v>0.5375492759090631</v>
      </c>
      <c r="W49" s="23">
        <f t="shared" si="18"/>
        <v>16148976.168289619</v>
      </c>
      <c r="X49" s="23">
        <f t="shared" si="19"/>
        <v>59357672.57432349</v>
      </c>
      <c r="Y49" s="23">
        <f t="shared" si="20"/>
        <v>43208696.406033874</v>
      </c>
      <c r="Z49" s="17">
        <f>IFERROR(INDEX(Cost_Components!$T$2:$T$6,MATCH(E49,Cost_Components!$A$2:$A$6,0)),"")</f>
        <v>0.41649999999999998</v>
      </c>
      <c r="AA49" s="26">
        <f>IFERROR(INDEX(Cost_Components!$U$2:$U$6,MATCH(E49,Cost_Components!$A$2:$A$6,0)),"")</f>
        <v>2025</v>
      </c>
      <c r="AB49" s="26">
        <f>IFERROR(INDEX(Cost_Components!$V$2:$V$6,MATCH(E49,Cost_Components!$A$2:$A$6,0)),"")</f>
        <v>2040</v>
      </c>
      <c r="AC49" s="26">
        <f>IFERROR(INDEX(Cost_Components!$M$2:$M$6,MATCH(E49,Cost_Components!$A$2:$A$6,0)),"")</f>
        <v>30</v>
      </c>
      <c r="AD49" s="26">
        <f>IFERROR(INDEX(Cost_Components!$N$2:$N$6,MATCH(E49,Cost_Components!$A$2:$A$6,0)),"")</f>
        <v>95</v>
      </c>
      <c r="AE49" s="16" t="str">
        <f>IFERROR(INDEX(Cost_Components!$O$2:$O$6,MATCH(E49,Cost_Components!$A$2:$A$6,0)),"")</f>
        <v>Both</v>
      </c>
      <c r="AF49" s="11">
        <v>198774504.006309</v>
      </c>
      <c r="AG49" s="11">
        <v>197983069.14574</v>
      </c>
      <c r="AH49" s="23">
        <f t="shared" si="21"/>
        <v>1</v>
      </c>
      <c r="AI49" s="10">
        <v>320645615.981408</v>
      </c>
      <c r="AJ49" s="29">
        <f t="shared" si="22"/>
        <v>9.3691761892908912E-2</v>
      </c>
      <c r="AK49" s="29">
        <f t="shared" si="23"/>
        <v>0.34437631633088112</v>
      </c>
      <c r="AL49" s="29">
        <f t="shared" si="24"/>
        <v>0.25068455443797222</v>
      </c>
      <c r="AM49" s="29">
        <f t="shared" si="25"/>
        <v>0.13475530071971806</v>
      </c>
    </row>
    <row r="50" spans="1:39">
      <c r="A50" t="s">
        <v>115</v>
      </c>
      <c r="B50" s="20">
        <v>2047</v>
      </c>
      <c r="C50" t="s">
        <v>204</v>
      </c>
      <c r="E50" s="22" t="s">
        <v>260</v>
      </c>
      <c r="F50" s="22" t="s">
        <v>261</v>
      </c>
      <c r="G50" s="22" t="s">
        <v>213</v>
      </c>
      <c r="H50" s="22" t="s">
        <v>214</v>
      </c>
      <c r="I50" s="22" t="s">
        <v>265</v>
      </c>
      <c r="J50" s="17">
        <f>IFERROR(INDEX(Cost_Components!$K$2:$K$6,MATCH(E50,Cost_Components!$A$2:$A$6,0)),"")</f>
        <v>0.06</v>
      </c>
      <c r="K50" s="31">
        <v>0.41649999999999998</v>
      </c>
      <c r="L50" s="17">
        <f>IFERROR(INDEX(Cost_Components!$S$2:$S$6,MATCH(E50,Cost_Components!$A$2:$A$6,0)),"")</f>
        <v>0.113766857372906</v>
      </c>
      <c r="M50" s="28">
        <f>IFERROR(INDEX(Cost_Components!$L$2:$L$6,MATCH(E50,Cost_Components!$A$2:$A$6,0)),"")</f>
        <v>1</v>
      </c>
      <c r="N50" s="29">
        <f>IFERROR(INDEX(Cost_Components!$P$2:$P$6,MATCH(E50,Cost_Components!$A$2:$A$6,0)),"")</f>
        <v>22.229600000000001</v>
      </c>
      <c r="O50" s="23">
        <f t="shared" si="13"/>
        <v>12007101.763891799</v>
      </c>
      <c r="P50" s="23">
        <f t="shared" si="14"/>
        <v>11953900.59203274</v>
      </c>
      <c r="Q50" s="23">
        <f t="shared" si="15"/>
        <v>30231315.770251442</v>
      </c>
      <c r="R50" s="23">
        <f t="shared" si="16"/>
        <v>111169293.39285871</v>
      </c>
      <c r="S50" s="23">
        <f t="shared" si="17"/>
        <v>80937977.622607276</v>
      </c>
      <c r="T50" s="16">
        <f>IFERROR(INDEX(Cost_Components!$R$2:$R$6,MATCH(E50,Cost_Components!$A$2:$A$6,0)),"")</f>
        <v>1</v>
      </c>
      <c r="U50" s="26">
        <f>IFERROR(INDEX(Cost_Components!$Q$2:$Q$6,MATCH(E50,Cost_Components!$A$2:$A$6,0)),"")</f>
        <v>2023</v>
      </c>
      <c r="V50" s="30">
        <f>1/(1+Calculation_Assumptions!$B$5)^(B50-Calculation_Assumptions!$B$2)</f>
        <v>0.52189250088258554</v>
      </c>
      <c r="W50" s="23">
        <f t="shared" si="18"/>
        <v>15777496.992307672</v>
      </c>
      <c r="X50" s="23">
        <f t="shared" si="19"/>
        <v>58018420.550148927</v>
      </c>
      <c r="Y50" s="23">
        <f t="shared" si="20"/>
        <v>42240923.557841256</v>
      </c>
      <c r="Z50" s="17">
        <f>IFERROR(INDEX(Cost_Components!$T$2:$T$6,MATCH(E50,Cost_Components!$A$2:$A$6,0)),"")</f>
        <v>0.41649999999999998</v>
      </c>
      <c r="AA50" s="26">
        <f>IFERROR(INDEX(Cost_Components!$U$2:$U$6,MATCH(E50,Cost_Components!$A$2:$A$6,0)),"")</f>
        <v>2025</v>
      </c>
      <c r="AB50" s="26">
        <f>IFERROR(INDEX(Cost_Components!$V$2:$V$6,MATCH(E50,Cost_Components!$A$2:$A$6,0)),"")</f>
        <v>2040</v>
      </c>
      <c r="AC50" s="26">
        <f>IFERROR(INDEX(Cost_Components!$M$2:$M$6,MATCH(E50,Cost_Components!$A$2:$A$6,0)),"")</f>
        <v>30</v>
      </c>
      <c r="AD50" s="26">
        <f>IFERROR(INDEX(Cost_Components!$N$2:$N$6,MATCH(E50,Cost_Components!$A$2:$A$6,0)),"")</f>
        <v>95</v>
      </c>
      <c r="AE50" s="16" t="str">
        <f>IFERROR(INDEX(Cost_Components!$O$2:$O$6,MATCH(E50,Cost_Components!$A$2:$A$6,0)),"")</f>
        <v>Both</v>
      </c>
      <c r="AF50" s="11">
        <v>200118362.73153001</v>
      </c>
      <c r="AG50" s="11">
        <v>199231676.53387901</v>
      </c>
      <c r="AH50" s="23">
        <f t="shared" si="21"/>
        <v>1</v>
      </c>
      <c r="AI50" s="10">
        <v>321429520.52287501</v>
      </c>
      <c r="AJ50" s="29">
        <f t="shared" si="22"/>
        <v>9.4052704683358371E-2</v>
      </c>
      <c r="AK50" s="29">
        <f t="shared" si="23"/>
        <v>0.34585900265793162</v>
      </c>
      <c r="AL50" s="29">
        <f t="shared" si="24"/>
        <v>0.25180629797457327</v>
      </c>
      <c r="AM50" s="29">
        <f t="shared" si="25"/>
        <v>0.13141581858793558</v>
      </c>
    </row>
    <row r="51" spans="1:39">
      <c r="A51" t="s">
        <v>115</v>
      </c>
      <c r="B51" s="20">
        <v>2048</v>
      </c>
      <c r="C51" t="s">
        <v>204</v>
      </c>
      <c r="E51" s="22" t="s">
        <v>260</v>
      </c>
      <c r="F51" s="22" t="s">
        <v>261</v>
      </c>
      <c r="G51" s="22" t="s">
        <v>213</v>
      </c>
      <c r="H51" s="22" t="s">
        <v>214</v>
      </c>
      <c r="I51" s="22" t="s">
        <v>265</v>
      </c>
      <c r="J51" s="17">
        <f>IFERROR(INDEX(Cost_Components!$K$2:$K$6,MATCH(E51,Cost_Components!$A$2:$A$6,0)),"")</f>
        <v>0.06</v>
      </c>
      <c r="K51" s="31">
        <v>0.41649999999999998</v>
      </c>
      <c r="L51" s="17">
        <f>IFERROR(INDEX(Cost_Components!$S$2:$S$6,MATCH(E51,Cost_Components!$A$2:$A$6,0)),"")</f>
        <v>0.113766857372906</v>
      </c>
      <c r="M51" s="28">
        <f>IFERROR(INDEX(Cost_Components!$L$2:$L$6,MATCH(E51,Cost_Components!$A$2:$A$6,0)),"")</f>
        <v>1</v>
      </c>
      <c r="N51" s="29">
        <f>IFERROR(INDEX(Cost_Components!$P$2:$P$6,MATCH(E51,Cost_Components!$A$2:$A$6,0)),"")</f>
        <v>22.229600000000001</v>
      </c>
      <c r="O51" s="23">
        <f t="shared" si="13"/>
        <v>12081992.979784021</v>
      </c>
      <c r="P51" s="23">
        <f t="shared" si="14"/>
        <v>12023045.187733078</v>
      </c>
      <c r="Q51" s="23">
        <f t="shared" si="15"/>
        <v>30406181.881135494</v>
      </c>
      <c r="R51" s="23">
        <f t="shared" si="16"/>
        <v>111862683.33122897</v>
      </c>
      <c r="S51" s="23">
        <f t="shared" si="17"/>
        <v>81456501.450093478</v>
      </c>
      <c r="T51" s="16">
        <f>IFERROR(INDEX(Cost_Components!$R$2:$R$6,MATCH(E51,Cost_Components!$A$2:$A$6,0)),"")</f>
        <v>1</v>
      </c>
      <c r="U51" s="26">
        <f>IFERROR(INDEX(Cost_Components!$Q$2:$Q$6,MATCH(E51,Cost_Components!$A$2:$A$6,0)),"")</f>
        <v>2023</v>
      </c>
      <c r="V51" s="30">
        <f>1/(1+Calculation_Assumptions!$B$5)^(B51-Calculation_Assumptions!$B$2)</f>
        <v>0.50669174842969467</v>
      </c>
      <c r="W51" s="23">
        <f t="shared" si="18"/>
        <v>15406561.460423846</v>
      </c>
      <c r="X51" s="23">
        <f t="shared" si="19"/>
        <v>56679898.601137668</v>
      </c>
      <c r="Y51" s="23">
        <f t="shared" si="20"/>
        <v>41273337.140713826</v>
      </c>
      <c r="Z51" s="17">
        <f>IFERROR(INDEX(Cost_Components!$T$2:$T$6,MATCH(E51,Cost_Components!$A$2:$A$6,0)),"")</f>
        <v>0.41649999999999998</v>
      </c>
      <c r="AA51" s="26">
        <f>IFERROR(INDEX(Cost_Components!$U$2:$U$6,MATCH(E51,Cost_Components!$A$2:$A$6,0)),"")</f>
        <v>2025</v>
      </c>
      <c r="AB51" s="26">
        <f>IFERROR(INDEX(Cost_Components!$V$2:$V$6,MATCH(E51,Cost_Components!$A$2:$A$6,0)),"")</f>
        <v>2040</v>
      </c>
      <c r="AC51" s="26">
        <f>IFERROR(INDEX(Cost_Components!$M$2:$M$6,MATCH(E51,Cost_Components!$A$2:$A$6,0)),"")</f>
        <v>30</v>
      </c>
      <c r="AD51" s="26">
        <f>IFERROR(INDEX(Cost_Components!$N$2:$N$6,MATCH(E51,Cost_Components!$A$2:$A$6,0)),"")</f>
        <v>95</v>
      </c>
      <c r="AE51" s="16" t="str">
        <f>IFERROR(INDEX(Cost_Components!$O$2:$O$6,MATCH(E51,Cost_Components!$A$2:$A$6,0)),"")</f>
        <v>Both</v>
      </c>
      <c r="AF51" s="11">
        <v>201366549.66306701</v>
      </c>
      <c r="AG51" s="11">
        <v>200384086.46221799</v>
      </c>
      <c r="AH51" s="23">
        <f t="shared" si="21"/>
        <v>1</v>
      </c>
      <c r="AI51" s="10">
        <v>322136832.26016098</v>
      </c>
      <c r="AJ51" s="29">
        <f t="shared" si="22"/>
        <v>9.4389026140851692E-2</v>
      </c>
      <c r="AK51" s="29">
        <f t="shared" si="23"/>
        <v>0.34725207467393088</v>
      </c>
      <c r="AL51" s="29">
        <f t="shared" si="24"/>
        <v>0.25286304853307917</v>
      </c>
      <c r="AM51" s="29">
        <f t="shared" si="25"/>
        <v>0.12812362017448864</v>
      </c>
    </row>
    <row r="52" spans="1:39">
      <c r="A52" t="s">
        <v>115</v>
      </c>
      <c r="B52" s="20">
        <v>2049</v>
      </c>
      <c r="C52" t="s">
        <v>204</v>
      </c>
      <c r="E52" s="22" t="s">
        <v>260</v>
      </c>
      <c r="F52" s="22" t="s">
        <v>261</v>
      </c>
      <c r="G52" s="22" t="s">
        <v>213</v>
      </c>
      <c r="H52" s="22" t="s">
        <v>214</v>
      </c>
      <c r="I52" s="22" t="s">
        <v>265</v>
      </c>
      <c r="J52" s="17">
        <f>IFERROR(INDEX(Cost_Components!$K$2:$K$6,MATCH(E52,Cost_Components!$A$2:$A$6,0)),"")</f>
        <v>0.06</v>
      </c>
      <c r="K52" s="31">
        <v>0.41649999999999998</v>
      </c>
      <c r="L52" s="17">
        <f>IFERROR(INDEX(Cost_Components!$S$2:$S$6,MATCH(E52,Cost_Components!$A$2:$A$6,0)),"")</f>
        <v>0.113766857372906</v>
      </c>
      <c r="M52" s="28">
        <f>IFERROR(INDEX(Cost_Components!$L$2:$L$6,MATCH(E52,Cost_Components!$A$2:$A$6,0)),"")</f>
        <v>1</v>
      </c>
      <c r="N52" s="29">
        <f>IFERROR(INDEX(Cost_Components!$P$2:$P$6,MATCH(E52,Cost_Components!$A$2:$A$6,0)),"")</f>
        <v>22.229600000000001</v>
      </c>
      <c r="O52" s="23">
        <f t="shared" si="13"/>
        <v>12153420.730480861</v>
      </c>
      <c r="P52" s="23">
        <f t="shared" si="14"/>
        <v>12088782.69004914</v>
      </c>
      <c r="Q52" s="23">
        <f t="shared" si="15"/>
        <v>30572431.48101832</v>
      </c>
      <c r="R52" s="23">
        <f t="shared" si="16"/>
        <v>112524006.33237883</v>
      </c>
      <c r="S52" s="23">
        <f t="shared" si="17"/>
        <v>81951574.851360515</v>
      </c>
      <c r="T52" s="16">
        <f>IFERROR(INDEX(Cost_Components!$R$2:$R$6,MATCH(E52,Cost_Components!$A$2:$A$6,0)),"")</f>
        <v>1</v>
      </c>
      <c r="U52" s="26">
        <f>IFERROR(INDEX(Cost_Components!$Q$2:$Q$6,MATCH(E52,Cost_Components!$A$2:$A$6,0)),"")</f>
        <v>2023</v>
      </c>
      <c r="V52" s="30">
        <f>1/(1+Calculation_Assumptions!$B$5)^(B52-Calculation_Assumptions!$B$2)</f>
        <v>0.49193373633950943</v>
      </c>
      <c r="W52" s="23">
        <f t="shared" si="18"/>
        <v>15039610.447440984</v>
      </c>
      <c r="X52" s="23">
        <f t="shared" si="19"/>
        <v>55354354.862977736</v>
      </c>
      <c r="Y52" s="23">
        <f t="shared" si="20"/>
        <v>40314744.415536754</v>
      </c>
      <c r="Z52" s="17">
        <f>IFERROR(INDEX(Cost_Components!$T$2:$T$6,MATCH(E52,Cost_Components!$A$2:$A$6,0)),"")</f>
        <v>0.41649999999999998</v>
      </c>
      <c r="AA52" s="26">
        <f>IFERROR(INDEX(Cost_Components!$U$2:$U$6,MATCH(E52,Cost_Components!$A$2:$A$6,0)),"")</f>
        <v>2025</v>
      </c>
      <c r="AB52" s="26">
        <f>IFERROR(INDEX(Cost_Components!$V$2:$V$6,MATCH(E52,Cost_Components!$A$2:$A$6,0)),"")</f>
        <v>2040</v>
      </c>
      <c r="AC52" s="26">
        <f>IFERROR(INDEX(Cost_Components!$M$2:$M$6,MATCH(E52,Cost_Components!$A$2:$A$6,0)),"")</f>
        <v>30</v>
      </c>
      <c r="AD52" s="26">
        <f>IFERROR(INDEX(Cost_Components!$N$2:$N$6,MATCH(E52,Cost_Components!$A$2:$A$6,0)),"")</f>
        <v>95</v>
      </c>
      <c r="AE52" s="16" t="str">
        <f>IFERROR(INDEX(Cost_Components!$O$2:$O$6,MATCH(E52,Cost_Components!$A$2:$A$6,0)),"")</f>
        <v>Both</v>
      </c>
      <c r="AF52" s="11">
        <v>202557012.17468101</v>
      </c>
      <c r="AG52" s="11">
        <v>201479711.500819</v>
      </c>
      <c r="AH52" s="23">
        <f t="shared" si="21"/>
        <v>1</v>
      </c>
      <c r="AI52" s="10">
        <v>322765819.75268102</v>
      </c>
      <c r="AJ52" s="29">
        <f t="shared" si="22"/>
        <v>9.4720164311216146E-2</v>
      </c>
      <c r="AK52" s="29">
        <f t="shared" si="23"/>
        <v>0.34862429491016195</v>
      </c>
      <c r="AL52" s="29">
        <f t="shared" si="24"/>
        <v>0.25390413059894579</v>
      </c>
      <c r="AM52" s="29">
        <f t="shared" si="25"/>
        <v>0.12490400763757416</v>
      </c>
    </row>
    <row r="53" spans="1:39">
      <c r="A53" t="s">
        <v>115</v>
      </c>
      <c r="B53" s="20">
        <v>2050</v>
      </c>
      <c r="C53" t="s">
        <v>204</v>
      </c>
      <c r="E53" s="22" t="s">
        <v>260</v>
      </c>
      <c r="F53" s="22" t="s">
        <v>261</v>
      </c>
      <c r="G53" s="22" t="s">
        <v>213</v>
      </c>
      <c r="H53" s="22" t="s">
        <v>214</v>
      </c>
      <c r="I53" s="22" t="s">
        <v>265</v>
      </c>
      <c r="J53" s="17">
        <f>IFERROR(INDEX(Cost_Components!$K$2:$K$6,MATCH(E53,Cost_Components!$A$2:$A$6,0)),"")</f>
        <v>0.06</v>
      </c>
      <c r="K53" s="31">
        <v>0.41649999999999998</v>
      </c>
      <c r="L53" s="17">
        <f>IFERROR(INDEX(Cost_Components!$S$2:$S$6,MATCH(E53,Cost_Components!$A$2:$A$6,0)),"")</f>
        <v>0.113766857372906</v>
      </c>
      <c r="M53" s="28">
        <f>IFERROR(INDEX(Cost_Components!$L$2:$L$6,MATCH(E53,Cost_Components!$A$2:$A$6,0)),"")</f>
        <v>1</v>
      </c>
      <c r="N53" s="29">
        <f>IFERROR(INDEX(Cost_Components!$P$2:$P$6,MATCH(E53,Cost_Components!$A$2:$A$6,0)),"")</f>
        <v>22.229600000000001</v>
      </c>
      <c r="O53" s="23">
        <f t="shared" si="13"/>
        <v>12221029.98782292</v>
      </c>
      <c r="P53" s="23">
        <f t="shared" si="14"/>
        <v>12148787.985628979</v>
      </c>
      <c r="Q53" s="23">
        <f t="shared" si="15"/>
        <v>30724184.377455354</v>
      </c>
      <c r="R53" s="23">
        <f t="shared" si="16"/>
        <v>113149975.32250893</v>
      </c>
      <c r="S53" s="23">
        <f t="shared" si="17"/>
        <v>82425790.945053577</v>
      </c>
      <c r="T53" s="16">
        <f>IFERROR(INDEX(Cost_Components!$R$2:$R$6,MATCH(E53,Cost_Components!$A$2:$A$6,0)),"")</f>
        <v>1</v>
      </c>
      <c r="U53" s="26">
        <f>IFERROR(INDEX(Cost_Components!$Q$2:$Q$6,MATCH(E53,Cost_Components!$A$2:$A$6,0)),"")</f>
        <v>2023</v>
      </c>
      <c r="V53" s="30">
        <f>1/(1+Calculation_Assumptions!$B$5)^(B53-Calculation_Assumptions!$B$2)</f>
        <v>0.47760556926165965</v>
      </c>
      <c r="W53" s="23">
        <f t="shared" si="18"/>
        <v>14674041.569694754</v>
      </c>
      <c r="X53" s="23">
        <f t="shared" si="19"/>
        <v>54041058.37584962</v>
      </c>
      <c r="Y53" s="23">
        <f t="shared" si="20"/>
        <v>39367016.806154862</v>
      </c>
      <c r="Z53" s="17">
        <f>IFERROR(INDEX(Cost_Components!$T$2:$T$6,MATCH(E53,Cost_Components!$A$2:$A$6,0)),"")</f>
        <v>0.41649999999999998</v>
      </c>
      <c r="AA53" s="26">
        <f>IFERROR(INDEX(Cost_Components!$U$2:$U$6,MATCH(E53,Cost_Components!$A$2:$A$6,0)),"")</f>
        <v>2025</v>
      </c>
      <c r="AB53" s="26">
        <f>IFERROR(INDEX(Cost_Components!$V$2:$V$6,MATCH(E53,Cost_Components!$A$2:$A$6,0)),"")</f>
        <v>2040</v>
      </c>
      <c r="AC53" s="26">
        <f>IFERROR(INDEX(Cost_Components!$M$2:$M$6,MATCH(E53,Cost_Components!$A$2:$A$6,0)),"")</f>
        <v>30</v>
      </c>
      <c r="AD53" s="26">
        <f>IFERROR(INDEX(Cost_Components!$N$2:$N$6,MATCH(E53,Cost_Components!$A$2:$A$6,0)),"")</f>
        <v>95</v>
      </c>
      <c r="AE53" s="16" t="str">
        <f>IFERROR(INDEX(Cost_Components!$O$2:$O$6,MATCH(E53,Cost_Components!$A$2:$A$6,0)),"")</f>
        <v>Both</v>
      </c>
      <c r="AF53" s="11">
        <v>203683833.130382</v>
      </c>
      <c r="AG53" s="11">
        <v>202479799.760483</v>
      </c>
      <c r="AH53" s="23">
        <f t="shared" si="21"/>
        <v>1</v>
      </c>
      <c r="AI53" s="10">
        <v>323312042.56328499</v>
      </c>
      <c r="AJ53" s="29">
        <f t="shared" si="22"/>
        <v>9.5029508130497223E-2</v>
      </c>
      <c r="AK53" s="29">
        <f t="shared" si="23"/>
        <v>0.34997142211416699</v>
      </c>
      <c r="AL53" s="29">
        <f t="shared" si="24"/>
        <v>0.25494191398366978</v>
      </c>
      <c r="AM53" s="29">
        <f t="shared" si="25"/>
        <v>0.12176167795682766</v>
      </c>
    </row>
    <row r="54" spans="1:39">
      <c r="A54" t="s">
        <v>115</v>
      </c>
      <c r="B54" s="20">
        <v>2025</v>
      </c>
      <c r="C54" t="s">
        <v>229</v>
      </c>
      <c r="D54" t="s">
        <v>233</v>
      </c>
      <c r="E54" s="22" t="s">
        <v>279</v>
      </c>
      <c r="F54" s="22" t="s">
        <v>280</v>
      </c>
      <c r="G54" s="22" t="s">
        <v>230</v>
      </c>
      <c r="H54" s="22" t="s">
        <v>237</v>
      </c>
      <c r="I54" s="22" t="s">
        <v>265</v>
      </c>
      <c r="J54" s="17">
        <f>IFERROR(INDEX(Cost_Components!$K$2:$K$6,MATCH(E54,Cost_Components!$A$2:$A$6,0)),"")</f>
        <v>0.2</v>
      </c>
      <c r="K54" s="31">
        <v>0.147914612579645</v>
      </c>
      <c r="L54" s="17">
        <f>IFERROR(INDEX(Cost_Components!$S$2:$S$6,MATCH(E54,Cost_Components!$A$2:$A$6,0)),"")</f>
        <v>0.147914612579645</v>
      </c>
      <c r="M54" s="28">
        <f>IFERROR(INDEX(Cost_Components!$L$2:$L$6,MATCH(E54,Cost_Components!$A$2:$A$6,0)),"")</f>
        <v>1</v>
      </c>
      <c r="N54" s="29">
        <f>IFERROR(INDEX(Cost_Components!$P$2:$P$6,MATCH(E54,Cost_Components!$A$2:$A$6,0)),"")</f>
        <v>0.70495847821973801</v>
      </c>
      <c r="O54" s="23">
        <f t="shared" si="13"/>
        <v>31018637.156183399</v>
      </c>
      <c r="P54" s="23">
        <f t="shared" si="14"/>
        <v>31018637.156183399</v>
      </c>
      <c r="Q54" s="23">
        <f t="shared" si="15"/>
        <v>3234426.8303996553</v>
      </c>
      <c r="R54" s="23">
        <f t="shared" si="16"/>
        <v>3234426.8303996553</v>
      </c>
      <c r="S54" s="23">
        <f t="shared" si="17"/>
        <v>0</v>
      </c>
      <c r="T54" s="16">
        <f>IFERROR(INDEX(Cost_Components!$R$2:$R$6,MATCH(E54,Cost_Components!$A$2:$A$6,0)),"")</f>
        <v>1</v>
      </c>
      <c r="U54" s="26">
        <f>IFERROR(INDEX(Cost_Components!$Q$2:$Q$6,MATCH(E54,Cost_Components!$A$2:$A$6,0)),"")</f>
        <v>2023</v>
      </c>
      <c r="V54" s="30">
        <f>1/(1+Calculation_Assumptions!$B$5)^(B54-Calculation_Assumptions!$B$2)</f>
        <v>1</v>
      </c>
      <c r="W54" s="23">
        <f t="shared" si="18"/>
        <v>3234426.8303996553</v>
      </c>
      <c r="X54" s="23">
        <f t="shared" si="19"/>
        <v>3234426.8303996553</v>
      </c>
      <c r="Y54" s="23">
        <f t="shared" si="20"/>
        <v>0</v>
      </c>
      <c r="Z54" s="17">
        <f>IFERROR(INDEX(Cost_Components!$T$2:$T$6,MATCH(E54,Cost_Components!$A$2:$A$6,0)),"")</f>
        <v>0.41649999999999998</v>
      </c>
      <c r="AA54" s="26">
        <f>IFERROR(INDEX(Cost_Components!$U$2:$U$6,MATCH(E54,Cost_Components!$A$2:$A$6,0)),"")</f>
        <v>2025</v>
      </c>
      <c r="AB54" s="26">
        <f>IFERROR(INDEX(Cost_Components!$V$2:$V$6,MATCH(E54,Cost_Components!$A$2:$A$6,0)),"")</f>
        <v>2040</v>
      </c>
      <c r="AC54" s="26">
        <f>IFERROR(INDEX(Cost_Components!$M$2:$M$6,MATCH(E54,Cost_Components!$A$2:$A$6,0)),"")</f>
        <v>30</v>
      </c>
      <c r="AD54" s="26">
        <f>IFERROR(INDEX(Cost_Components!$N$2:$N$6,MATCH(E54,Cost_Components!$A$2:$A$6,0)),"")</f>
        <v>95</v>
      </c>
      <c r="AE54" s="16" t="str">
        <f>IFERROR(INDEX(Cost_Components!$O$2:$O$6,MATCH(E54,Cost_Components!$A$2:$A$6,0)),"")</f>
        <v>Both</v>
      </c>
      <c r="AF54" s="11">
        <v>155093185.78091699</v>
      </c>
      <c r="AG54" s="11">
        <v>155093185.78091699</v>
      </c>
      <c r="AH54" s="23">
        <f t="shared" si="21"/>
        <v>1</v>
      </c>
      <c r="AI54" s="10">
        <v>288391907.64445603</v>
      </c>
      <c r="AJ54" s="29">
        <f t="shared" si="22"/>
        <v>1.1215386925444588E-2</v>
      </c>
      <c r="AK54" s="29">
        <f t="shared" si="23"/>
        <v>1.1215386925444588E-2</v>
      </c>
      <c r="AL54" s="29">
        <f t="shared" si="24"/>
        <v>0</v>
      </c>
      <c r="AM54" s="29">
        <f t="shared" si="25"/>
        <v>0</v>
      </c>
    </row>
    <row r="55" spans="1:39">
      <c r="A55" t="s">
        <v>115</v>
      </c>
      <c r="B55" s="20">
        <v>2026</v>
      </c>
      <c r="C55" t="s">
        <v>229</v>
      </c>
      <c r="D55" t="s">
        <v>233</v>
      </c>
      <c r="E55" s="22" t="s">
        <v>279</v>
      </c>
      <c r="F55" s="22" t="s">
        <v>280</v>
      </c>
      <c r="G55" s="22" t="s">
        <v>230</v>
      </c>
      <c r="H55" s="22" t="s">
        <v>237</v>
      </c>
      <c r="I55" s="22" t="s">
        <v>265</v>
      </c>
      <c r="J55" s="17">
        <f>IFERROR(INDEX(Cost_Components!$K$2:$K$6,MATCH(E55,Cost_Components!$A$2:$A$6,0)),"")</f>
        <v>0.2</v>
      </c>
      <c r="K55" s="31">
        <v>0.14853345980212701</v>
      </c>
      <c r="L55" s="17">
        <f>IFERROR(INDEX(Cost_Components!$S$2:$S$6,MATCH(E55,Cost_Components!$A$2:$A$6,0)),"")</f>
        <v>0.147914612579645</v>
      </c>
      <c r="M55" s="28">
        <f>IFERROR(INDEX(Cost_Components!$L$2:$L$6,MATCH(E55,Cost_Components!$A$2:$A$6,0)),"")</f>
        <v>1</v>
      </c>
      <c r="N55" s="29">
        <f>IFERROR(INDEX(Cost_Components!$P$2:$P$6,MATCH(E55,Cost_Components!$A$2:$A$6,0)),"")</f>
        <v>0.70495847821973801</v>
      </c>
      <c r="O55" s="23">
        <f t="shared" si="13"/>
        <v>31500765.685001805</v>
      </c>
      <c r="P55" s="23">
        <f t="shared" si="14"/>
        <v>31500765.685001805</v>
      </c>
      <c r="Q55" s="23">
        <f t="shared" si="15"/>
        <v>3284700.1367818643</v>
      </c>
      <c r="R55" s="23">
        <f t="shared" si="16"/>
        <v>3298442.711101485</v>
      </c>
      <c r="S55" s="23">
        <f t="shared" si="17"/>
        <v>13742.574319620617</v>
      </c>
      <c r="T55" s="16">
        <f>IFERROR(INDEX(Cost_Components!$R$2:$R$6,MATCH(E55,Cost_Components!$A$2:$A$6,0)),"")</f>
        <v>1</v>
      </c>
      <c r="U55" s="26">
        <f>IFERROR(INDEX(Cost_Components!$Q$2:$Q$6,MATCH(E55,Cost_Components!$A$2:$A$6,0)),"")</f>
        <v>2023</v>
      </c>
      <c r="V55" s="30">
        <f>1/(1+Calculation_Assumptions!$B$5)^(B55-Calculation_Assumptions!$B$2)</f>
        <v>0.970873786407767</v>
      </c>
      <c r="W55" s="23">
        <f t="shared" si="18"/>
        <v>3189029.2590115187</v>
      </c>
      <c r="X55" s="23">
        <f t="shared" si="19"/>
        <v>3202371.564176199</v>
      </c>
      <c r="Y55" s="23">
        <f t="shared" si="20"/>
        <v>13342.305164680211</v>
      </c>
      <c r="Z55" s="17">
        <f>IFERROR(INDEX(Cost_Components!$T$2:$T$6,MATCH(E55,Cost_Components!$A$2:$A$6,0)),"")</f>
        <v>0.41649999999999998</v>
      </c>
      <c r="AA55" s="26">
        <f>IFERROR(INDEX(Cost_Components!$U$2:$U$6,MATCH(E55,Cost_Components!$A$2:$A$6,0)),"")</f>
        <v>2025</v>
      </c>
      <c r="AB55" s="26">
        <f>IFERROR(INDEX(Cost_Components!$V$2:$V$6,MATCH(E55,Cost_Components!$A$2:$A$6,0)),"")</f>
        <v>2040</v>
      </c>
      <c r="AC55" s="26">
        <f>IFERROR(INDEX(Cost_Components!$M$2:$M$6,MATCH(E55,Cost_Components!$A$2:$A$6,0)),"")</f>
        <v>30</v>
      </c>
      <c r="AD55" s="26">
        <f>IFERROR(INDEX(Cost_Components!$N$2:$N$6,MATCH(E55,Cost_Components!$A$2:$A$6,0)),"")</f>
        <v>95</v>
      </c>
      <c r="AE55" s="16" t="str">
        <f>IFERROR(INDEX(Cost_Components!$O$2:$O$6,MATCH(E55,Cost_Components!$A$2:$A$6,0)),"")</f>
        <v>Both</v>
      </c>
      <c r="AF55" s="11">
        <v>157503828.42500901</v>
      </c>
      <c r="AG55" s="11">
        <v>157503828.42500901</v>
      </c>
      <c r="AH55" s="23">
        <f t="shared" si="21"/>
        <v>1</v>
      </c>
      <c r="AI55" s="10">
        <v>290472130.233437</v>
      </c>
      <c r="AJ55" s="29">
        <f t="shared" si="22"/>
        <v>1.1308142141354923E-2</v>
      </c>
      <c r="AK55" s="29">
        <f t="shared" si="23"/>
        <v>1.1355453304420985E-2</v>
      </c>
      <c r="AL55" s="29">
        <f t="shared" si="24"/>
        <v>4.7311163066062275E-5</v>
      </c>
      <c r="AM55" s="29">
        <f t="shared" si="25"/>
        <v>4.593316802530318E-5</v>
      </c>
    </row>
    <row r="56" spans="1:39">
      <c r="A56" t="s">
        <v>115</v>
      </c>
      <c r="B56" s="20">
        <v>2027</v>
      </c>
      <c r="C56" t="s">
        <v>229</v>
      </c>
      <c r="D56" t="s">
        <v>233</v>
      </c>
      <c r="E56" s="22" t="s">
        <v>279</v>
      </c>
      <c r="F56" s="22" t="s">
        <v>280</v>
      </c>
      <c r="G56" s="22" t="s">
        <v>230</v>
      </c>
      <c r="H56" s="22" t="s">
        <v>237</v>
      </c>
      <c r="I56" s="22" t="s">
        <v>265</v>
      </c>
      <c r="J56" s="17">
        <f>IFERROR(INDEX(Cost_Components!$K$2:$K$6,MATCH(E56,Cost_Components!$A$2:$A$6,0)),"")</f>
        <v>0.2</v>
      </c>
      <c r="K56" s="31">
        <v>0.14915230702460899</v>
      </c>
      <c r="L56" s="17">
        <f>IFERROR(INDEX(Cost_Components!$S$2:$S$6,MATCH(E56,Cost_Components!$A$2:$A$6,0)),"")</f>
        <v>0.147914612579645</v>
      </c>
      <c r="M56" s="28">
        <f>IFERROR(INDEX(Cost_Components!$L$2:$L$6,MATCH(E56,Cost_Components!$A$2:$A$6,0)),"")</f>
        <v>1</v>
      </c>
      <c r="N56" s="29">
        <f>IFERROR(INDEX(Cost_Components!$P$2:$P$6,MATCH(E56,Cost_Components!$A$2:$A$6,0)),"")</f>
        <v>0.70495847821973801</v>
      </c>
      <c r="O56" s="23">
        <f t="shared" si="13"/>
        <v>31986853.313364204</v>
      </c>
      <c r="P56" s="23">
        <f t="shared" si="14"/>
        <v>31991422.432163402</v>
      </c>
      <c r="Q56" s="23">
        <f t="shared" si="15"/>
        <v>3335862.7117056218</v>
      </c>
      <c r="R56" s="23">
        <f t="shared" si="16"/>
        <v>3363295.5443331213</v>
      </c>
      <c r="S56" s="23">
        <f t="shared" si="17"/>
        <v>27432.832627499476</v>
      </c>
      <c r="T56" s="16">
        <f>IFERROR(INDEX(Cost_Components!$R$2:$R$6,MATCH(E56,Cost_Components!$A$2:$A$6,0)),"")</f>
        <v>1</v>
      </c>
      <c r="U56" s="26">
        <f>IFERROR(INDEX(Cost_Components!$Q$2:$Q$6,MATCH(E56,Cost_Components!$A$2:$A$6,0)),"")</f>
        <v>2023</v>
      </c>
      <c r="V56" s="30">
        <f>1/(1+Calculation_Assumptions!$B$5)^(B56-Calculation_Assumptions!$B$2)</f>
        <v>0.94259590913375435</v>
      </c>
      <c r="W56" s="23">
        <f t="shared" si="18"/>
        <v>3144370.5454855515</v>
      </c>
      <c r="X56" s="23">
        <f t="shared" si="19"/>
        <v>3170228.6212961837</v>
      </c>
      <c r="Y56" s="23">
        <f t="shared" si="20"/>
        <v>25858.075810631988</v>
      </c>
      <c r="Z56" s="17">
        <f>IFERROR(INDEX(Cost_Components!$T$2:$T$6,MATCH(E56,Cost_Components!$A$2:$A$6,0)),"")</f>
        <v>0.41649999999999998</v>
      </c>
      <c r="AA56" s="26">
        <f>IFERROR(INDEX(Cost_Components!$U$2:$U$6,MATCH(E56,Cost_Components!$A$2:$A$6,0)),"")</f>
        <v>2025</v>
      </c>
      <c r="AB56" s="26">
        <f>IFERROR(INDEX(Cost_Components!$V$2:$V$6,MATCH(E56,Cost_Components!$A$2:$A$6,0)),"")</f>
        <v>2040</v>
      </c>
      <c r="AC56" s="26">
        <f>IFERROR(INDEX(Cost_Components!$M$2:$M$6,MATCH(E56,Cost_Components!$A$2:$A$6,0)),"")</f>
        <v>30</v>
      </c>
      <c r="AD56" s="26">
        <f>IFERROR(INDEX(Cost_Components!$N$2:$N$6,MATCH(E56,Cost_Components!$A$2:$A$6,0)),"")</f>
        <v>95</v>
      </c>
      <c r="AE56" s="16" t="str">
        <f>IFERROR(INDEX(Cost_Components!$O$2:$O$6,MATCH(E56,Cost_Components!$A$2:$A$6,0)),"")</f>
        <v>Both</v>
      </c>
      <c r="AF56" s="11">
        <v>159934266.56682101</v>
      </c>
      <c r="AG56" s="11">
        <v>159957112.160817</v>
      </c>
      <c r="AH56" s="23">
        <f t="shared" si="21"/>
        <v>1</v>
      </c>
      <c r="AI56" s="10">
        <v>292505080.826208</v>
      </c>
      <c r="AJ56" s="29">
        <f t="shared" si="22"/>
        <v>1.1404460744008839E-2</v>
      </c>
      <c r="AK56" s="29">
        <f t="shared" si="23"/>
        <v>1.1498246576890829E-2</v>
      </c>
      <c r="AL56" s="29">
        <f t="shared" si="24"/>
        <v>9.3785832881989164E-5</v>
      </c>
      <c r="AM56" s="29">
        <f t="shared" si="25"/>
        <v>8.8402142409264934E-5</v>
      </c>
    </row>
    <row r="57" spans="1:39">
      <c r="A57" t="s">
        <v>115</v>
      </c>
      <c r="B57" s="20">
        <v>2028</v>
      </c>
      <c r="C57" t="s">
        <v>229</v>
      </c>
      <c r="D57" t="s">
        <v>233</v>
      </c>
      <c r="E57" s="22" t="s">
        <v>279</v>
      </c>
      <c r="F57" s="22" t="s">
        <v>280</v>
      </c>
      <c r="G57" s="22" t="s">
        <v>230</v>
      </c>
      <c r="H57" s="22" t="s">
        <v>237</v>
      </c>
      <c r="I57" s="22" t="s">
        <v>265</v>
      </c>
      <c r="J57" s="17">
        <f>IFERROR(INDEX(Cost_Components!$K$2:$K$6,MATCH(E57,Cost_Components!$A$2:$A$6,0)),"")</f>
        <v>0.2</v>
      </c>
      <c r="K57" s="31">
        <v>0.149771154247091</v>
      </c>
      <c r="L57" s="17">
        <f>IFERROR(INDEX(Cost_Components!$S$2:$S$6,MATCH(E57,Cost_Components!$A$2:$A$6,0)),"")</f>
        <v>0.147914612579645</v>
      </c>
      <c r="M57" s="28">
        <f>IFERROR(INDEX(Cost_Components!$L$2:$L$6,MATCH(E57,Cost_Components!$A$2:$A$6,0)),"")</f>
        <v>1</v>
      </c>
      <c r="N57" s="29">
        <f>IFERROR(INDEX(Cost_Components!$P$2:$P$6,MATCH(E57,Cost_Components!$A$2:$A$6,0)),"")</f>
        <v>0.70495847821973801</v>
      </c>
      <c r="O57" s="23">
        <f t="shared" si="13"/>
        <v>32440960.283505604</v>
      </c>
      <c r="P57" s="23">
        <f t="shared" si="14"/>
        <v>32440867.225235999</v>
      </c>
      <c r="Q57" s="23">
        <f t="shared" si="15"/>
        <v>3382727.9653329123</v>
      </c>
      <c r="R57" s="23">
        <f t="shared" si="16"/>
        <v>3425195.904207035</v>
      </c>
      <c r="S57" s="23">
        <f t="shared" si="17"/>
        <v>42467.938874122687</v>
      </c>
      <c r="T57" s="16">
        <f>IFERROR(INDEX(Cost_Components!$R$2:$R$6,MATCH(E57,Cost_Components!$A$2:$A$6,0)),"")</f>
        <v>1</v>
      </c>
      <c r="U57" s="26">
        <f>IFERROR(INDEX(Cost_Components!$Q$2:$Q$6,MATCH(E57,Cost_Components!$A$2:$A$6,0)),"")</f>
        <v>2023</v>
      </c>
      <c r="V57" s="30">
        <f>1/(1+Calculation_Assumptions!$B$5)^(B57-Calculation_Assumptions!$B$2)</f>
        <v>0.91514165935315961</v>
      </c>
      <c r="W57" s="23">
        <f t="shared" si="18"/>
        <v>3095675.2833350985</v>
      </c>
      <c r="X57" s="23">
        <f t="shared" si="19"/>
        <v>3134539.4633856718</v>
      </c>
      <c r="Y57" s="23">
        <f t="shared" si="20"/>
        <v>38864.180050573188</v>
      </c>
      <c r="Z57" s="17">
        <f>IFERROR(INDEX(Cost_Components!$T$2:$T$6,MATCH(E57,Cost_Components!$A$2:$A$6,0)),"")</f>
        <v>0.41649999999999998</v>
      </c>
      <c r="AA57" s="26">
        <f>IFERROR(INDEX(Cost_Components!$U$2:$U$6,MATCH(E57,Cost_Components!$A$2:$A$6,0)),"")</f>
        <v>2025</v>
      </c>
      <c r="AB57" s="26">
        <f>IFERROR(INDEX(Cost_Components!$V$2:$V$6,MATCH(E57,Cost_Components!$A$2:$A$6,0)),"")</f>
        <v>2040</v>
      </c>
      <c r="AC57" s="26">
        <f>IFERROR(INDEX(Cost_Components!$M$2:$M$6,MATCH(E57,Cost_Components!$A$2:$A$6,0)),"")</f>
        <v>30</v>
      </c>
      <c r="AD57" s="26">
        <f>IFERROR(INDEX(Cost_Components!$N$2:$N$6,MATCH(E57,Cost_Components!$A$2:$A$6,0)),"")</f>
        <v>95</v>
      </c>
      <c r="AE57" s="16" t="str">
        <f>IFERROR(INDEX(Cost_Components!$O$2:$O$6,MATCH(E57,Cost_Components!$A$2:$A$6,0)),"")</f>
        <v>Both</v>
      </c>
      <c r="AF57" s="11">
        <v>162204801.417528</v>
      </c>
      <c r="AG57" s="11">
        <v>162204336.12617999</v>
      </c>
      <c r="AH57" s="23">
        <f t="shared" si="21"/>
        <v>1</v>
      </c>
      <c r="AI57" s="10">
        <v>294484707.92155403</v>
      </c>
      <c r="AJ57" s="29">
        <f t="shared" si="22"/>
        <v>1.1486939302240496E-2</v>
      </c>
      <c r="AK57" s="29">
        <f t="shared" si="23"/>
        <v>1.1631150318064909E-2</v>
      </c>
      <c r="AL57" s="29">
        <f t="shared" si="24"/>
        <v>1.4421101582441238E-4</v>
      </c>
      <c r="AM57" s="29">
        <f t="shared" si="25"/>
        <v>1.3197350831855751E-4</v>
      </c>
    </row>
    <row r="58" spans="1:39">
      <c r="A58" t="s">
        <v>115</v>
      </c>
      <c r="B58" s="20">
        <v>2029</v>
      </c>
      <c r="C58" t="s">
        <v>229</v>
      </c>
      <c r="D58" t="s">
        <v>233</v>
      </c>
      <c r="E58" s="22" t="s">
        <v>279</v>
      </c>
      <c r="F58" s="22" t="s">
        <v>280</v>
      </c>
      <c r="G58" s="22" t="s">
        <v>230</v>
      </c>
      <c r="H58" s="22" t="s">
        <v>237</v>
      </c>
      <c r="I58" s="22" t="s">
        <v>265</v>
      </c>
      <c r="J58" s="17">
        <f>IFERROR(INDEX(Cost_Components!$K$2:$K$6,MATCH(E58,Cost_Components!$A$2:$A$6,0)),"")</f>
        <v>0.2</v>
      </c>
      <c r="K58" s="31">
        <v>0.15039000146957299</v>
      </c>
      <c r="L58" s="17">
        <f>IFERROR(INDEX(Cost_Components!$S$2:$S$6,MATCH(E58,Cost_Components!$A$2:$A$6,0)),"")</f>
        <v>0.147914612579645</v>
      </c>
      <c r="M58" s="28">
        <f>IFERROR(INDEX(Cost_Components!$L$2:$L$6,MATCH(E58,Cost_Components!$A$2:$A$6,0)),"")</f>
        <v>1</v>
      </c>
      <c r="N58" s="29">
        <f>IFERROR(INDEX(Cost_Components!$P$2:$P$6,MATCH(E58,Cost_Components!$A$2:$A$6,0)),"")</f>
        <v>0.70495847821973801</v>
      </c>
      <c r="O58" s="23">
        <f t="shared" si="13"/>
        <v>32867536.065568402</v>
      </c>
      <c r="P58" s="23">
        <f t="shared" si="14"/>
        <v>32870901.433873601</v>
      </c>
      <c r="Q58" s="23">
        <f t="shared" si="15"/>
        <v>3427569.2062747264</v>
      </c>
      <c r="R58" s="23">
        <f t="shared" si="16"/>
        <v>3484573.6619936591</v>
      </c>
      <c r="S58" s="23">
        <f t="shared" si="17"/>
        <v>57004.455718932673</v>
      </c>
      <c r="T58" s="16">
        <f>IFERROR(INDEX(Cost_Components!$R$2:$R$6,MATCH(E58,Cost_Components!$A$2:$A$6,0)),"")</f>
        <v>1</v>
      </c>
      <c r="U58" s="26">
        <f>IFERROR(INDEX(Cost_Components!$Q$2:$Q$6,MATCH(E58,Cost_Components!$A$2:$A$6,0)),"")</f>
        <v>2023</v>
      </c>
      <c r="V58" s="30">
        <f>1/(1+Calculation_Assumptions!$B$5)^(B58-Calculation_Assumptions!$B$2)</f>
        <v>0.888487047915689</v>
      </c>
      <c r="W58" s="23">
        <f t="shared" si="18"/>
        <v>3045350.8456097529</v>
      </c>
      <c r="X58" s="23">
        <f t="shared" si="19"/>
        <v>3095998.566189508</v>
      </c>
      <c r="Y58" s="23">
        <f t="shared" si="20"/>
        <v>50647.720579755107</v>
      </c>
      <c r="Z58" s="17">
        <f>IFERROR(INDEX(Cost_Components!$T$2:$T$6,MATCH(E58,Cost_Components!$A$2:$A$6,0)),"")</f>
        <v>0.41649999999999998</v>
      </c>
      <c r="AA58" s="26">
        <f>IFERROR(INDEX(Cost_Components!$U$2:$U$6,MATCH(E58,Cost_Components!$A$2:$A$6,0)),"")</f>
        <v>2025</v>
      </c>
      <c r="AB58" s="26">
        <f>IFERROR(INDEX(Cost_Components!$V$2:$V$6,MATCH(E58,Cost_Components!$A$2:$A$6,0)),"")</f>
        <v>2040</v>
      </c>
      <c r="AC58" s="26">
        <f>IFERROR(INDEX(Cost_Components!$M$2:$M$6,MATCH(E58,Cost_Components!$A$2:$A$6,0)),"")</f>
        <v>30</v>
      </c>
      <c r="AD58" s="26">
        <f>IFERROR(INDEX(Cost_Components!$N$2:$N$6,MATCH(E58,Cost_Components!$A$2:$A$6,0)),"")</f>
        <v>95</v>
      </c>
      <c r="AE58" s="16" t="str">
        <f>IFERROR(INDEX(Cost_Components!$O$2:$O$6,MATCH(E58,Cost_Components!$A$2:$A$6,0)),"")</f>
        <v>Both</v>
      </c>
      <c r="AF58" s="11">
        <v>164337680.327842</v>
      </c>
      <c r="AG58" s="11">
        <v>164354507.169368</v>
      </c>
      <c r="AH58" s="23">
        <f t="shared" si="21"/>
        <v>1</v>
      </c>
      <c r="AI58" s="10">
        <v>296414030.31142998</v>
      </c>
      <c r="AJ58" s="29">
        <f t="shared" si="22"/>
        <v>1.1563451307191906E-2</v>
      </c>
      <c r="AK58" s="29">
        <f t="shared" si="23"/>
        <v>1.1755764928983158E-2</v>
      </c>
      <c r="AL58" s="29">
        <f t="shared" si="24"/>
        <v>1.9231362179125073E-4</v>
      </c>
      <c r="AM58" s="29">
        <f t="shared" si="25"/>
        <v>1.7086816209928269E-4</v>
      </c>
    </row>
    <row r="59" spans="1:39">
      <c r="A59" t="s">
        <v>115</v>
      </c>
      <c r="B59" s="20">
        <v>2030</v>
      </c>
      <c r="C59" t="s">
        <v>229</v>
      </c>
      <c r="D59" t="s">
        <v>233</v>
      </c>
      <c r="E59" s="22" t="s">
        <v>279</v>
      </c>
      <c r="F59" s="22" t="s">
        <v>280</v>
      </c>
      <c r="G59" s="22" t="s">
        <v>230</v>
      </c>
      <c r="H59" s="22" t="s">
        <v>237</v>
      </c>
      <c r="I59" s="22" t="s">
        <v>265</v>
      </c>
      <c r="J59" s="17">
        <f>IFERROR(INDEX(Cost_Components!$K$2:$K$6,MATCH(E59,Cost_Components!$A$2:$A$6,0)),"")</f>
        <v>0.2</v>
      </c>
      <c r="K59" s="31">
        <v>0.151008848692055</v>
      </c>
      <c r="L59" s="17">
        <f>IFERROR(INDEX(Cost_Components!$S$2:$S$6,MATCH(E59,Cost_Components!$A$2:$A$6,0)),"")</f>
        <v>0.147914612579645</v>
      </c>
      <c r="M59" s="28">
        <f>IFERROR(INDEX(Cost_Components!$L$2:$L$6,MATCH(E59,Cost_Components!$A$2:$A$6,0)),"")</f>
        <v>1</v>
      </c>
      <c r="N59" s="29">
        <f>IFERROR(INDEX(Cost_Components!$P$2:$P$6,MATCH(E59,Cost_Components!$A$2:$A$6,0)),"")</f>
        <v>0.70495847821973801</v>
      </c>
      <c r="O59" s="23">
        <f t="shared" si="13"/>
        <v>33287214.655506402</v>
      </c>
      <c r="P59" s="23">
        <f t="shared" si="14"/>
        <v>33283110.456569202</v>
      </c>
      <c r="Q59" s="23">
        <f t="shared" si="15"/>
        <v>3470551.7498347908</v>
      </c>
      <c r="R59" s="23">
        <f t="shared" si="16"/>
        <v>3543589.3766753403</v>
      </c>
      <c r="S59" s="23">
        <f t="shared" si="17"/>
        <v>73037.626840549521</v>
      </c>
      <c r="T59" s="16">
        <f>IFERROR(INDEX(Cost_Components!$R$2:$R$6,MATCH(E59,Cost_Components!$A$2:$A$6,0)),"")</f>
        <v>1</v>
      </c>
      <c r="U59" s="26">
        <f>IFERROR(INDEX(Cost_Components!$Q$2:$Q$6,MATCH(E59,Cost_Components!$A$2:$A$6,0)),"")</f>
        <v>2023</v>
      </c>
      <c r="V59" s="30">
        <f>1/(1+Calculation_Assumptions!$B$5)^(B59-Calculation_Assumptions!$B$2)</f>
        <v>0.86260878438416411</v>
      </c>
      <c r="W59" s="23">
        <f t="shared" si="18"/>
        <v>2993728.4260673225</v>
      </c>
      <c r="X59" s="23">
        <f t="shared" si="19"/>
        <v>3056731.3245705534</v>
      </c>
      <c r="Y59" s="23">
        <f t="shared" si="20"/>
        <v>63002.898503230615</v>
      </c>
      <c r="Z59" s="17">
        <f>IFERROR(INDEX(Cost_Components!$T$2:$T$6,MATCH(E59,Cost_Components!$A$2:$A$6,0)),"")</f>
        <v>0.41649999999999998</v>
      </c>
      <c r="AA59" s="26">
        <f>IFERROR(INDEX(Cost_Components!$U$2:$U$6,MATCH(E59,Cost_Components!$A$2:$A$6,0)),"")</f>
        <v>2025</v>
      </c>
      <c r="AB59" s="26">
        <f>IFERROR(INDEX(Cost_Components!$V$2:$V$6,MATCH(E59,Cost_Components!$A$2:$A$6,0)),"")</f>
        <v>2040</v>
      </c>
      <c r="AC59" s="26">
        <f>IFERROR(INDEX(Cost_Components!$M$2:$M$6,MATCH(E59,Cost_Components!$A$2:$A$6,0)),"")</f>
        <v>30</v>
      </c>
      <c r="AD59" s="26">
        <f>IFERROR(INDEX(Cost_Components!$N$2:$N$6,MATCH(E59,Cost_Components!$A$2:$A$6,0)),"")</f>
        <v>95</v>
      </c>
      <c r="AE59" s="16" t="str">
        <f>IFERROR(INDEX(Cost_Components!$O$2:$O$6,MATCH(E59,Cost_Components!$A$2:$A$6,0)),"")</f>
        <v>Both</v>
      </c>
      <c r="AF59" s="11">
        <v>166436073.27753201</v>
      </c>
      <c r="AG59" s="11">
        <v>166415552.282846</v>
      </c>
      <c r="AH59" s="23">
        <f t="shared" si="21"/>
        <v>1</v>
      </c>
      <c r="AI59" s="10">
        <v>298289404.664994</v>
      </c>
      <c r="AJ59" s="29">
        <f t="shared" si="22"/>
        <v>1.1634847552605949E-2</v>
      </c>
      <c r="AK59" s="29">
        <f t="shared" si="23"/>
        <v>1.1879702467659259E-2</v>
      </c>
      <c r="AL59" s="29">
        <f t="shared" si="24"/>
        <v>2.4485491505331E-4</v>
      </c>
      <c r="AM59" s="29">
        <f t="shared" si="25"/>
        <v>2.112140006246235E-4</v>
      </c>
    </row>
    <row r="60" spans="1:39">
      <c r="A60" t="s">
        <v>115</v>
      </c>
      <c r="B60" s="20">
        <v>2031</v>
      </c>
      <c r="C60" t="s">
        <v>229</v>
      </c>
      <c r="D60" t="s">
        <v>233</v>
      </c>
      <c r="E60" s="22" t="s">
        <v>279</v>
      </c>
      <c r="F60" s="22" t="s">
        <v>280</v>
      </c>
      <c r="G60" s="22" t="s">
        <v>230</v>
      </c>
      <c r="H60" s="22" t="s">
        <v>237</v>
      </c>
      <c r="I60" s="22" t="s">
        <v>265</v>
      </c>
      <c r="J60" s="17">
        <f>IFERROR(INDEX(Cost_Components!$K$2:$K$6,MATCH(E60,Cost_Components!$A$2:$A$6,0)),"")</f>
        <v>0.2</v>
      </c>
      <c r="K60" s="31">
        <v>0.177557963822849</v>
      </c>
      <c r="L60" s="17">
        <f>IFERROR(INDEX(Cost_Components!$S$2:$S$6,MATCH(E60,Cost_Components!$A$2:$A$6,0)),"")</f>
        <v>0.147914612579645</v>
      </c>
      <c r="M60" s="28">
        <f>IFERROR(INDEX(Cost_Components!$L$2:$L$6,MATCH(E60,Cost_Components!$A$2:$A$6,0)),"")</f>
        <v>1</v>
      </c>
      <c r="N60" s="29">
        <f>IFERROR(INDEX(Cost_Components!$P$2:$P$6,MATCH(E60,Cost_Components!$A$2:$A$6,0)),"")</f>
        <v>0.70495847821973801</v>
      </c>
      <c r="O60" s="23">
        <f t="shared" si="13"/>
        <v>33696763.149103396</v>
      </c>
      <c r="P60" s="23">
        <f t="shared" si="14"/>
        <v>33692257.180777006</v>
      </c>
      <c r="Q60" s="23">
        <f t="shared" si="15"/>
        <v>3513214.9763229359</v>
      </c>
      <c r="R60" s="23">
        <f t="shared" si="16"/>
        <v>4217857.2696306314</v>
      </c>
      <c r="S60" s="23">
        <f t="shared" si="17"/>
        <v>704642.29330769554</v>
      </c>
      <c r="T60" s="16">
        <f>IFERROR(INDEX(Cost_Components!$R$2:$R$6,MATCH(E60,Cost_Components!$A$2:$A$6,0)),"")</f>
        <v>1</v>
      </c>
      <c r="U60" s="26">
        <f>IFERROR(INDEX(Cost_Components!$Q$2:$Q$6,MATCH(E60,Cost_Components!$A$2:$A$6,0)),"")</f>
        <v>2023</v>
      </c>
      <c r="V60" s="30">
        <f>1/(1+Calculation_Assumptions!$B$5)^(B60-Calculation_Assumptions!$B$2)</f>
        <v>0.83748425668365445</v>
      </c>
      <c r="W60" s="23">
        <f t="shared" si="18"/>
        <v>2942262.2330156965</v>
      </c>
      <c r="X60" s="23">
        <f t="shared" si="19"/>
        <v>3532389.0602543578</v>
      </c>
      <c r="Y60" s="23">
        <f t="shared" si="20"/>
        <v>590126.827238661</v>
      </c>
      <c r="Z60" s="17">
        <f>IFERROR(INDEX(Cost_Components!$T$2:$T$6,MATCH(E60,Cost_Components!$A$2:$A$6,0)),"")</f>
        <v>0.41649999999999998</v>
      </c>
      <c r="AA60" s="26">
        <f>IFERROR(INDEX(Cost_Components!$U$2:$U$6,MATCH(E60,Cost_Components!$A$2:$A$6,0)),"")</f>
        <v>2025</v>
      </c>
      <c r="AB60" s="26">
        <f>IFERROR(INDEX(Cost_Components!$V$2:$V$6,MATCH(E60,Cost_Components!$A$2:$A$6,0)),"")</f>
        <v>2040</v>
      </c>
      <c r="AC60" s="26">
        <f>IFERROR(INDEX(Cost_Components!$M$2:$M$6,MATCH(E60,Cost_Components!$A$2:$A$6,0)),"")</f>
        <v>30</v>
      </c>
      <c r="AD60" s="26">
        <f>IFERROR(INDEX(Cost_Components!$N$2:$N$6,MATCH(E60,Cost_Components!$A$2:$A$6,0)),"")</f>
        <v>95</v>
      </c>
      <c r="AE60" s="16" t="str">
        <f>IFERROR(INDEX(Cost_Components!$O$2:$O$6,MATCH(E60,Cost_Components!$A$2:$A$6,0)),"")</f>
        <v>Both</v>
      </c>
      <c r="AF60" s="11">
        <v>168483815.74551699</v>
      </c>
      <c r="AG60" s="11">
        <v>168461285.90388501</v>
      </c>
      <c r="AH60" s="23">
        <f t="shared" si="21"/>
        <v>1</v>
      </c>
      <c r="AI60" s="10">
        <v>300119636.92551899</v>
      </c>
      <c r="AJ60" s="29">
        <f t="shared" si="22"/>
        <v>1.1706048335633613E-2</v>
      </c>
      <c r="AK60" s="29">
        <f t="shared" si="23"/>
        <v>1.405391967296489E-2</v>
      </c>
      <c r="AL60" s="29">
        <f t="shared" si="24"/>
        <v>2.3478713373312767E-3</v>
      </c>
      <c r="AM60" s="29">
        <f t="shared" si="25"/>
        <v>1.966305281733742E-3</v>
      </c>
    </row>
    <row r="61" spans="1:39">
      <c r="A61" t="s">
        <v>115</v>
      </c>
      <c r="B61" s="20">
        <v>2032</v>
      </c>
      <c r="C61" t="s">
        <v>229</v>
      </c>
      <c r="D61" t="s">
        <v>233</v>
      </c>
      <c r="E61" s="22" t="s">
        <v>279</v>
      </c>
      <c r="F61" s="22" t="s">
        <v>280</v>
      </c>
      <c r="G61" s="22" t="s">
        <v>230</v>
      </c>
      <c r="H61" s="22" t="s">
        <v>237</v>
      </c>
      <c r="I61" s="22" t="s">
        <v>265</v>
      </c>
      <c r="J61" s="17">
        <f>IFERROR(INDEX(Cost_Components!$K$2:$K$6,MATCH(E61,Cost_Components!$A$2:$A$6,0)),"")</f>
        <v>0.2</v>
      </c>
      <c r="K61" s="31">
        <v>0.20410707895364399</v>
      </c>
      <c r="L61" s="17">
        <f>IFERROR(INDEX(Cost_Components!$S$2:$S$6,MATCH(E61,Cost_Components!$A$2:$A$6,0)),"")</f>
        <v>0.147914612579645</v>
      </c>
      <c r="M61" s="28">
        <f>IFERROR(INDEX(Cost_Components!$L$2:$L$6,MATCH(E61,Cost_Components!$A$2:$A$6,0)),"")</f>
        <v>1</v>
      </c>
      <c r="N61" s="29">
        <f>IFERROR(INDEX(Cost_Components!$P$2:$P$6,MATCH(E61,Cost_Components!$A$2:$A$6,0)),"")</f>
        <v>0.70495847821973801</v>
      </c>
      <c r="O61" s="23">
        <f t="shared" si="13"/>
        <v>34100779.782166205</v>
      </c>
      <c r="P61" s="23">
        <f t="shared" si="14"/>
        <v>34095323.070252798</v>
      </c>
      <c r="Q61" s="23">
        <f t="shared" si="15"/>
        <v>3555244.1319165602</v>
      </c>
      <c r="R61" s="23">
        <f t="shared" si="16"/>
        <v>4906659.4383894028</v>
      </c>
      <c r="S61" s="23">
        <f t="shared" si="17"/>
        <v>1351415.3064728426</v>
      </c>
      <c r="T61" s="16">
        <f>IFERROR(INDEX(Cost_Components!$R$2:$R$6,MATCH(E61,Cost_Components!$A$2:$A$6,0)),"")</f>
        <v>1</v>
      </c>
      <c r="U61" s="26">
        <f>IFERROR(INDEX(Cost_Components!$Q$2:$Q$6,MATCH(E61,Cost_Components!$A$2:$A$6,0)),"")</f>
        <v>2023</v>
      </c>
      <c r="V61" s="30">
        <f>1/(1+Calculation_Assumptions!$B$5)^(B61-Calculation_Assumptions!$B$2)</f>
        <v>0.81309151134335378</v>
      </c>
      <c r="W61" s="23">
        <f t="shared" si="18"/>
        <v>2890738.8244146258</v>
      </c>
      <c r="X61" s="23">
        <f t="shared" si="19"/>
        <v>3989563.1384071708</v>
      </c>
      <c r="Y61" s="23">
        <f t="shared" si="20"/>
        <v>1098824.3139925452</v>
      </c>
      <c r="Z61" s="17">
        <f>IFERROR(INDEX(Cost_Components!$T$2:$T$6,MATCH(E61,Cost_Components!$A$2:$A$6,0)),"")</f>
        <v>0.41649999999999998</v>
      </c>
      <c r="AA61" s="26">
        <f>IFERROR(INDEX(Cost_Components!$U$2:$U$6,MATCH(E61,Cost_Components!$A$2:$A$6,0)),"")</f>
        <v>2025</v>
      </c>
      <c r="AB61" s="26">
        <f>IFERROR(INDEX(Cost_Components!$V$2:$V$6,MATCH(E61,Cost_Components!$A$2:$A$6,0)),"")</f>
        <v>2040</v>
      </c>
      <c r="AC61" s="26">
        <f>IFERROR(INDEX(Cost_Components!$M$2:$M$6,MATCH(E61,Cost_Components!$A$2:$A$6,0)),"")</f>
        <v>30</v>
      </c>
      <c r="AD61" s="26">
        <f>IFERROR(INDEX(Cost_Components!$N$2:$N$6,MATCH(E61,Cost_Components!$A$2:$A$6,0)),"")</f>
        <v>95</v>
      </c>
      <c r="AE61" s="16" t="str">
        <f>IFERROR(INDEX(Cost_Components!$O$2:$O$6,MATCH(E61,Cost_Components!$A$2:$A$6,0)),"")</f>
        <v>Both</v>
      </c>
      <c r="AF61" s="11">
        <v>170503898.910831</v>
      </c>
      <c r="AG61" s="11">
        <v>170476615.351264</v>
      </c>
      <c r="AH61" s="23">
        <f t="shared" si="21"/>
        <v>1</v>
      </c>
      <c r="AI61" s="10">
        <v>301904628.08354098</v>
      </c>
      <c r="AJ61" s="29">
        <f t="shared" si="22"/>
        <v>1.1776050451710126E-2</v>
      </c>
      <c r="AK61" s="29">
        <f t="shared" si="23"/>
        <v>1.6252349192314025E-2</v>
      </c>
      <c r="AL61" s="29">
        <f t="shared" si="24"/>
        <v>4.4762987406038977E-3</v>
      </c>
      <c r="AM61" s="29">
        <f t="shared" si="25"/>
        <v>3.6396405082219745E-3</v>
      </c>
    </row>
    <row r="62" spans="1:39">
      <c r="A62" t="s">
        <v>115</v>
      </c>
      <c r="B62" s="20">
        <v>2033</v>
      </c>
      <c r="C62" t="s">
        <v>229</v>
      </c>
      <c r="D62" t="s">
        <v>233</v>
      </c>
      <c r="E62" s="22" t="s">
        <v>279</v>
      </c>
      <c r="F62" s="22" t="s">
        <v>280</v>
      </c>
      <c r="G62" s="22" t="s">
        <v>230</v>
      </c>
      <c r="H62" s="22" t="s">
        <v>237</v>
      </c>
      <c r="I62" s="22" t="s">
        <v>265</v>
      </c>
      <c r="J62" s="17">
        <f>IFERROR(INDEX(Cost_Components!$K$2:$K$6,MATCH(E62,Cost_Components!$A$2:$A$6,0)),"")</f>
        <v>0.2</v>
      </c>
      <c r="K62" s="31">
        <v>0.23065619408443799</v>
      </c>
      <c r="L62" s="17">
        <f>IFERROR(INDEX(Cost_Components!$S$2:$S$6,MATCH(E62,Cost_Components!$A$2:$A$6,0)),"")</f>
        <v>0.147914612579645</v>
      </c>
      <c r="M62" s="28">
        <f>IFERROR(INDEX(Cost_Components!$L$2:$L$6,MATCH(E62,Cost_Components!$A$2:$A$6,0)),"")</f>
        <v>1</v>
      </c>
      <c r="N62" s="29">
        <f>IFERROR(INDEX(Cost_Components!$P$2:$P$6,MATCH(E62,Cost_Components!$A$2:$A$6,0)),"")</f>
        <v>0.70495847821973801</v>
      </c>
      <c r="O62" s="23">
        <f t="shared" si="13"/>
        <v>34499735.4468152</v>
      </c>
      <c r="P62" s="23">
        <f t="shared" si="14"/>
        <v>34492301.9682514</v>
      </c>
      <c r="Q62" s="23">
        <f t="shared" si="15"/>
        <v>3596638.5746293087</v>
      </c>
      <c r="R62" s="23">
        <f t="shared" si="16"/>
        <v>5609761.848141429</v>
      </c>
      <c r="S62" s="23">
        <f t="shared" si="17"/>
        <v>2013123.2735121204</v>
      </c>
      <c r="T62" s="16">
        <f>IFERROR(INDEX(Cost_Components!$R$2:$R$6,MATCH(E62,Cost_Components!$A$2:$A$6,0)),"")</f>
        <v>1</v>
      </c>
      <c r="U62" s="26">
        <f>IFERROR(INDEX(Cost_Components!$Q$2:$Q$6,MATCH(E62,Cost_Components!$A$2:$A$6,0)),"")</f>
        <v>2023</v>
      </c>
      <c r="V62" s="30">
        <f>1/(1+Calculation_Assumptions!$B$5)^(B62-Calculation_Assumptions!$B$2)</f>
        <v>0.78940923431393573</v>
      </c>
      <c r="W62" s="23">
        <f t="shared" si="18"/>
        <v>2839219.7033020877</v>
      </c>
      <c r="X62" s="23">
        <f t="shared" si="19"/>
        <v>4428397.8052248545</v>
      </c>
      <c r="Y62" s="23">
        <f t="shared" si="20"/>
        <v>1589178.1019227668</v>
      </c>
      <c r="Z62" s="17">
        <f>IFERROR(INDEX(Cost_Components!$T$2:$T$6,MATCH(E62,Cost_Components!$A$2:$A$6,0)),"")</f>
        <v>0.41649999999999998</v>
      </c>
      <c r="AA62" s="26">
        <f>IFERROR(INDEX(Cost_Components!$U$2:$U$6,MATCH(E62,Cost_Components!$A$2:$A$6,0)),"")</f>
        <v>2025</v>
      </c>
      <c r="AB62" s="26">
        <f>IFERROR(INDEX(Cost_Components!$V$2:$V$6,MATCH(E62,Cost_Components!$A$2:$A$6,0)),"")</f>
        <v>2040</v>
      </c>
      <c r="AC62" s="26">
        <f>IFERROR(INDEX(Cost_Components!$M$2:$M$6,MATCH(E62,Cost_Components!$A$2:$A$6,0)),"")</f>
        <v>30</v>
      </c>
      <c r="AD62" s="26">
        <f>IFERROR(INDEX(Cost_Components!$N$2:$N$6,MATCH(E62,Cost_Components!$A$2:$A$6,0)),"")</f>
        <v>95</v>
      </c>
      <c r="AE62" s="16" t="str">
        <f>IFERROR(INDEX(Cost_Components!$O$2:$O$6,MATCH(E62,Cost_Components!$A$2:$A$6,0)),"")</f>
        <v>Both</v>
      </c>
      <c r="AF62" s="11">
        <v>172498677.23407599</v>
      </c>
      <c r="AG62" s="11">
        <v>172461509.84125701</v>
      </c>
      <c r="AH62" s="23">
        <f t="shared" si="21"/>
        <v>1</v>
      </c>
      <c r="AI62" s="10">
        <v>303644277.16916001</v>
      </c>
      <c r="AJ62" s="29">
        <f t="shared" si="22"/>
        <v>1.1844908154240047E-2</v>
      </c>
      <c r="AK62" s="29">
        <f t="shared" si="23"/>
        <v>1.847478207210286E-2</v>
      </c>
      <c r="AL62" s="29">
        <f t="shared" si="24"/>
        <v>6.6298739178628115E-3</v>
      </c>
      <c r="AM62" s="29">
        <f t="shared" si="25"/>
        <v>5.2336836930980159E-3</v>
      </c>
    </row>
    <row r="63" spans="1:39">
      <c r="A63" t="s">
        <v>115</v>
      </c>
      <c r="B63" s="20">
        <v>2034</v>
      </c>
      <c r="C63" t="s">
        <v>229</v>
      </c>
      <c r="D63" t="s">
        <v>233</v>
      </c>
      <c r="E63" s="22" t="s">
        <v>279</v>
      </c>
      <c r="F63" s="22" t="s">
        <v>280</v>
      </c>
      <c r="G63" s="22" t="s">
        <v>230</v>
      </c>
      <c r="H63" s="22" t="s">
        <v>237</v>
      </c>
      <c r="I63" s="22" t="s">
        <v>265</v>
      </c>
      <c r="J63" s="17">
        <f>IFERROR(INDEX(Cost_Components!$K$2:$K$6,MATCH(E63,Cost_Components!$A$2:$A$6,0)),"")</f>
        <v>0.2</v>
      </c>
      <c r="K63" s="31">
        <v>0.25720530921523299</v>
      </c>
      <c r="L63" s="17">
        <f>IFERROR(INDEX(Cost_Components!$S$2:$S$6,MATCH(E63,Cost_Components!$A$2:$A$6,0)),"")</f>
        <v>0.147914612579645</v>
      </c>
      <c r="M63" s="28">
        <f>IFERROR(INDEX(Cost_Components!$L$2:$L$6,MATCH(E63,Cost_Components!$A$2:$A$6,0)),"")</f>
        <v>1</v>
      </c>
      <c r="N63" s="29">
        <f>IFERROR(INDEX(Cost_Components!$P$2:$P$6,MATCH(E63,Cost_Components!$A$2:$A$6,0)),"")</f>
        <v>0.70495847821973801</v>
      </c>
      <c r="O63" s="23">
        <f t="shared" si="13"/>
        <v>34902857.810964607</v>
      </c>
      <c r="P63" s="23">
        <f t="shared" si="14"/>
        <v>34892337.255633406</v>
      </c>
      <c r="Q63" s="23">
        <f t="shared" si="15"/>
        <v>3638351.718250032</v>
      </c>
      <c r="R63" s="23">
        <f t="shared" si="16"/>
        <v>6328553.4873742359</v>
      </c>
      <c r="S63" s="23">
        <f t="shared" si="17"/>
        <v>2690201.7691242038</v>
      </c>
      <c r="T63" s="16">
        <f>IFERROR(INDEX(Cost_Components!$R$2:$R$6,MATCH(E63,Cost_Components!$A$2:$A$6,0)),"")</f>
        <v>1</v>
      </c>
      <c r="U63" s="26">
        <f>IFERROR(INDEX(Cost_Components!$Q$2:$Q$6,MATCH(E63,Cost_Components!$A$2:$A$6,0)),"")</f>
        <v>2023</v>
      </c>
      <c r="V63" s="30">
        <f>1/(1+Calculation_Assumptions!$B$5)^(B63-Calculation_Assumptions!$B$2)</f>
        <v>0.76641673234362695</v>
      </c>
      <c r="W63" s="23">
        <f t="shared" si="18"/>
        <v>2788493.6350180102</v>
      </c>
      <c r="X63" s="23">
        <f t="shared" si="19"/>
        <v>4850309.2842552271</v>
      </c>
      <c r="Y63" s="23">
        <f t="shared" si="20"/>
        <v>2061815.6492372167</v>
      </c>
      <c r="Z63" s="17">
        <f>IFERROR(INDEX(Cost_Components!$T$2:$T$6,MATCH(E63,Cost_Components!$A$2:$A$6,0)),"")</f>
        <v>0.41649999999999998</v>
      </c>
      <c r="AA63" s="26">
        <f>IFERROR(INDEX(Cost_Components!$U$2:$U$6,MATCH(E63,Cost_Components!$A$2:$A$6,0)),"")</f>
        <v>2025</v>
      </c>
      <c r="AB63" s="26">
        <f>IFERROR(INDEX(Cost_Components!$V$2:$V$6,MATCH(E63,Cost_Components!$A$2:$A$6,0)),"")</f>
        <v>2040</v>
      </c>
      <c r="AC63" s="26">
        <f>IFERROR(INDEX(Cost_Components!$M$2:$M$6,MATCH(E63,Cost_Components!$A$2:$A$6,0)),"")</f>
        <v>30</v>
      </c>
      <c r="AD63" s="26">
        <f>IFERROR(INDEX(Cost_Components!$N$2:$N$6,MATCH(E63,Cost_Components!$A$2:$A$6,0)),"")</f>
        <v>95</v>
      </c>
      <c r="AE63" s="16" t="str">
        <f>IFERROR(INDEX(Cost_Components!$O$2:$O$6,MATCH(E63,Cost_Components!$A$2:$A$6,0)),"")</f>
        <v>Both</v>
      </c>
      <c r="AF63" s="11">
        <v>174514289.05482301</v>
      </c>
      <c r="AG63" s="11">
        <v>174461686.27816701</v>
      </c>
      <c r="AH63" s="23">
        <f t="shared" si="21"/>
        <v>1</v>
      </c>
      <c r="AI63" s="10">
        <v>305332541.18498403</v>
      </c>
      <c r="AJ63" s="29">
        <f t="shared" si="22"/>
        <v>1.1916029991856508E-2</v>
      </c>
      <c r="AK63" s="29">
        <f t="shared" si="23"/>
        <v>2.0726757334194906E-2</v>
      </c>
      <c r="AL63" s="29">
        <f t="shared" si="24"/>
        <v>8.810727342338398E-3</v>
      </c>
      <c r="AM63" s="29">
        <f t="shared" si="25"/>
        <v>6.7526888592856441E-3</v>
      </c>
    </row>
    <row r="64" spans="1:39">
      <c r="A64" t="s">
        <v>115</v>
      </c>
      <c r="B64" s="20">
        <v>2035</v>
      </c>
      <c r="C64" t="s">
        <v>229</v>
      </c>
      <c r="D64" t="s">
        <v>233</v>
      </c>
      <c r="E64" s="22" t="s">
        <v>279</v>
      </c>
      <c r="F64" s="22" t="s">
        <v>280</v>
      </c>
      <c r="G64" s="22" t="s">
        <v>230</v>
      </c>
      <c r="H64" s="22" t="s">
        <v>237</v>
      </c>
      <c r="I64" s="22" t="s">
        <v>265</v>
      </c>
      <c r="J64" s="17">
        <f>IFERROR(INDEX(Cost_Components!$K$2:$K$6,MATCH(E64,Cost_Components!$A$2:$A$6,0)),"")</f>
        <v>0.2</v>
      </c>
      <c r="K64" s="31">
        <v>0.28375442434602699</v>
      </c>
      <c r="L64" s="17">
        <f>IFERROR(INDEX(Cost_Components!$S$2:$S$6,MATCH(E64,Cost_Components!$A$2:$A$6,0)),"")</f>
        <v>0.147914612579645</v>
      </c>
      <c r="M64" s="28">
        <f>IFERROR(INDEX(Cost_Components!$L$2:$L$6,MATCH(E64,Cost_Components!$A$2:$A$6,0)),"")</f>
        <v>1</v>
      </c>
      <c r="N64" s="29">
        <f>IFERROR(INDEX(Cost_Components!$P$2:$P$6,MATCH(E64,Cost_Components!$A$2:$A$6,0)),"")</f>
        <v>0.70495847821973801</v>
      </c>
      <c r="O64" s="23">
        <f t="shared" si="13"/>
        <v>35319425.941834204</v>
      </c>
      <c r="P64" s="23">
        <f t="shared" si="14"/>
        <v>35307753.260416001</v>
      </c>
      <c r="Q64" s="23">
        <f t="shared" si="15"/>
        <v>3681668.6655704728</v>
      </c>
      <c r="R64" s="23">
        <f t="shared" si="16"/>
        <v>7065124.4472490447</v>
      </c>
      <c r="S64" s="23">
        <f t="shared" si="17"/>
        <v>3383455.7816785718</v>
      </c>
      <c r="T64" s="16">
        <f>IFERROR(INDEX(Cost_Components!$R$2:$R$6,MATCH(E64,Cost_Components!$A$2:$A$6,0)),"")</f>
        <v>1</v>
      </c>
      <c r="U64" s="26">
        <f>IFERROR(INDEX(Cost_Components!$Q$2:$Q$6,MATCH(E64,Cost_Components!$A$2:$A$6,0)),"")</f>
        <v>2023</v>
      </c>
      <c r="V64" s="30">
        <f>1/(1+Calculation_Assumptions!$B$5)^(B64-Calculation_Assumptions!$B$2)</f>
        <v>0.74409391489672516</v>
      </c>
      <c r="W64" s="23">
        <f t="shared" si="18"/>
        <v>2739507.2507169349</v>
      </c>
      <c r="X64" s="23">
        <f t="shared" si="19"/>
        <v>5257116.1091861026</v>
      </c>
      <c r="Y64" s="23">
        <f t="shared" si="20"/>
        <v>2517608.8584691677</v>
      </c>
      <c r="Z64" s="17">
        <f>IFERROR(INDEX(Cost_Components!$T$2:$T$6,MATCH(E64,Cost_Components!$A$2:$A$6,0)),"")</f>
        <v>0.41649999999999998</v>
      </c>
      <c r="AA64" s="26">
        <f>IFERROR(INDEX(Cost_Components!$U$2:$U$6,MATCH(E64,Cost_Components!$A$2:$A$6,0)),"")</f>
        <v>2025</v>
      </c>
      <c r="AB64" s="26">
        <f>IFERROR(INDEX(Cost_Components!$V$2:$V$6,MATCH(E64,Cost_Components!$A$2:$A$6,0)),"")</f>
        <v>2040</v>
      </c>
      <c r="AC64" s="26">
        <f>IFERROR(INDEX(Cost_Components!$M$2:$M$6,MATCH(E64,Cost_Components!$A$2:$A$6,0)),"")</f>
        <v>30</v>
      </c>
      <c r="AD64" s="26">
        <f>IFERROR(INDEX(Cost_Components!$N$2:$N$6,MATCH(E64,Cost_Components!$A$2:$A$6,0)),"")</f>
        <v>95</v>
      </c>
      <c r="AE64" s="16" t="str">
        <f>IFERROR(INDEX(Cost_Components!$O$2:$O$6,MATCH(E64,Cost_Components!$A$2:$A$6,0)),"")</f>
        <v>Both</v>
      </c>
      <c r="AF64" s="11">
        <v>176597129.709171</v>
      </c>
      <c r="AG64" s="11">
        <v>176538766.30208001</v>
      </c>
      <c r="AH64" s="23">
        <f t="shared" si="21"/>
        <v>1</v>
      </c>
      <c r="AI64" s="10">
        <v>306964650.16711998</v>
      </c>
      <c r="AJ64" s="29">
        <f t="shared" si="22"/>
        <v>1.1993787113812849E-2</v>
      </c>
      <c r="AK64" s="29">
        <f t="shared" si="23"/>
        <v>2.30160848925197E-2</v>
      </c>
      <c r="AL64" s="29">
        <f t="shared" si="24"/>
        <v>1.1022297778706849E-2</v>
      </c>
      <c r="AM64" s="29">
        <f t="shared" si="25"/>
        <v>8.2016247053154565E-3</v>
      </c>
    </row>
    <row r="65" spans="1:39">
      <c r="A65" t="s">
        <v>115</v>
      </c>
      <c r="B65" s="20">
        <v>2036</v>
      </c>
      <c r="C65" t="s">
        <v>229</v>
      </c>
      <c r="D65" t="s">
        <v>233</v>
      </c>
      <c r="E65" s="22" t="s">
        <v>279</v>
      </c>
      <c r="F65" s="22" t="s">
        <v>280</v>
      </c>
      <c r="G65" s="22" t="s">
        <v>230</v>
      </c>
      <c r="H65" s="22" t="s">
        <v>237</v>
      </c>
      <c r="I65" s="22" t="s">
        <v>265</v>
      </c>
      <c r="J65" s="17">
        <f>IFERROR(INDEX(Cost_Components!$K$2:$K$6,MATCH(E65,Cost_Components!$A$2:$A$6,0)),"")</f>
        <v>0.2</v>
      </c>
      <c r="K65" s="31">
        <v>0.31030353947682199</v>
      </c>
      <c r="L65" s="17">
        <f>IFERROR(INDEX(Cost_Components!$S$2:$S$6,MATCH(E65,Cost_Components!$A$2:$A$6,0)),"")</f>
        <v>0.147914612579645</v>
      </c>
      <c r="M65" s="28">
        <f>IFERROR(INDEX(Cost_Components!$L$2:$L$6,MATCH(E65,Cost_Components!$A$2:$A$6,0)),"")</f>
        <v>1</v>
      </c>
      <c r="N65" s="29">
        <f>IFERROR(INDEX(Cost_Components!$P$2:$P$6,MATCH(E65,Cost_Components!$A$2:$A$6,0)),"")</f>
        <v>0.70495847821973801</v>
      </c>
      <c r="O65" s="23">
        <f t="shared" si="13"/>
        <v>35742251.252438404</v>
      </c>
      <c r="P65" s="23">
        <f t="shared" si="14"/>
        <v>35724731.9140402</v>
      </c>
      <c r="Q65" s="23">
        <f t="shared" si="15"/>
        <v>3725148.5560052199</v>
      </c>
      <c r="R65" s="23">
        <f t="shared" si="16"/>
        <v>7818657.1702463226</v>
      </c>
      <c r="S65" s="23">
        <f t="shared" si="17"/>
        <v>4093508.6142411027</v>
      </c>
      <c r="T65" s="16">
        <f>IFERROR(INDEX(Cost_Components!$R$2:$R$6,MATCH(E65,Cost_Components!$A$2:$A$6,0)),"")</f>
        <v>1</v>
      </c>
      <c r="U65" s="26">
        <f>IFERROR(INDEX(Cost_Components!$Q$2:$Q$6,MATCH(E65,Cost_Components!$A$2:$A$6,0)),"")</f>
        <v>2023</v>
      </c>
      <c r="V65" s="30">
        <f>1/(1+Calculation_Assumptions!$B$5)^(B65-Calculation_Assumptions!$B$2)</f>
        <v>0.72242127659876232</v>
      </c>
      <c r="W65" s="23">
        <f t="shared" si="18"/>
        <v>2691126.5753493272</v>
      </c>
      <c r="X65" s="23">
        <f t="shared" si="19"/>
        <v>5648364.2942174152</v>
      </c>
      <c r="Y65" s="23">
        <f t="shared" si="20"/>
        <v>2957237.718868088</v>
      </c>
      <c r="Z65" s="17">
        <f>IFERROR(INDEX(Cost_Components!$T$2:$T$6,MATCH(E65,Cost_Components!$A$2:$A$6,0)),"")</f>
        <v>0.41649999999999998</v>
      </c>
      <c r="AA65" s="26">
        <f>IFERROR(INDEX(Cost_Components!$U$2:$U$6,MATCH(E65,Cost_Components!$A$2:$A$6,0)),"")</f>
        <v>2025</v>
      </c>
      <c r="AB65" s="26">
        <f>IFERROR(INDEX(Cost_Components!$V$2:$V$6,MATCH(E65,Cost_Components!$A$2:$A$6,0)),"")</f>
        <v>2040</v>
      </c>
      <c r="AC65" s="26">
        <f>IFERROR(INDEX(Cost_Components!$M$2:$M$6,MATCH(E65,Cost_Components!$A$2:$A$6,0)),"")</f>
        <v>30</v>
      </c>
      <c r="AD65" s="26">
        <f>IFERROR(INDEX(Cost_Components!$N$2:$N$6,MATCH(E65,Cost_Components!$A$2:$A$6,0)),"")</f>
        <v>95</v>
      </c>
      <c r="AE65" s="16" t="str">
        <f>IFERROR(INDEX(Cost_Components!$O$2:$O$6,MATCH(E65,Cost_Components!$A$2:$A$6,0)),"")</f>
        <v>Both</v>
      </c>
      <c r="AF65" s="11">
        <v>178711256.26219201</v>
      </c>
      <c r="AG65" s="11">
        <v>178623659.57020101</v>
      </c>
      <c r="AH65" s="23">
        <f t="shared" si="21"/>
        <v>1</v>
      </c>
      <c r="AI65" s="10">
        <v>308542769.75662202</v>
      </c>
      <c r="AJ65" s="29">
        <f t="shared" si="22"/>
        <v>1.2073362013777249E-2</v>
      </c>
      <c r="AK65" s="29">
        <f t="shared" si="23"/>
        <v>2.5340594357189654E-2</v>
      </c>
      <c r="AL65" s="29">
        <f t="shared" si="24"/>
        <v>1.3267232343412406E-2</v>
      </c>
      <c r="AM65" s="29">
        <f t="shared" si="25"/>
        <v>9.5845309264603797E-3</v>
      </c>
    </row>
    <row r="66" spans="1:39">
      <c r="A66" t="s">
        <v>115</v>
      </c>
      <c r="B66" s="20">
        <v>2037</v>
      </c>
      <c r="C66" t="s">
        <v>229</v>
      </c>
      <c r="D66" t="s">
        <v>233</v>
      </c>
      <c r="E66" s="22" t="s">
        <v>279</v>
      </c>
      <c r="F66" s="22" t="s">
        <v>280</v>
      </c>
      <c r="G66" s="22" t="s">
        <v>230</v>
      </c>
      <c r="H66" s="22" t="s">
        <v>237</v>
      </c>
      <c r="I66" s="22" t="s">
        <v>265</v>
      </c>
      <c r="J66" s="17">
        <f>IFERROR(INDEX(Cost_Components!$K$2:$K$6,MATCH(E66,Cost_Components!$A$2:$A$6,0)),"")</f>
        <v>0.2</v>
      </c>
      <c r="K66" s="31">
        <v>0.33685265460761599</v>
      </c>
      <c r="L66" s="17">
        <f>IFERROR(INDEX(Cost_Components!$S$2:$S$6,MATCH(E66,Cost_Components!$A$2:$A$6,0)),"")</f>
        <v>0.147914612579645</v>
      </c>
      <c r="M66" s="28">
        <f>IFERROR(INDEX(Cost_Components!$L$2:$L$6,MATCH(E66,Cost_Components!$A$2:$A$6,0)),"")</f>
        <v>1</v>
      </c>
      <c r="N66" s="29">
        <f>IFERROR(INDEX(Cost_Components!$P$2:$P$6,MATCH(E66,Cost_Components!$A$2:$A$6,0)),"")</f>
        <v>0.70495847821973801</v>
      </c>
      <c r="O66" s="23">
        <f t="shared" ref="O66:O97" si="26">AF66*J66</f>
        <v>36172576.965641998</v>
      </c>
      <c r="P66" s="23">
        <f t="shared" ref="P66:P97" si="27">AG66*J66</f>
        <v>36147585.490798406</v>
      </c>
      <c r="Q66" s="23">
        <f t="shared" ref="Q66:Q97" si="28">P66*L66*M66*N66</f>
        <v>3769241.0461784885</v>
      </c>
      <c r="R66" s="23">
        <f t="shared" ref="R66:R97" si="29">O66*K66*M66*N66</f>
        <v>8589798.2095121238</v>
      </c>
      <c r="S66" s="23">
        <f t="shared" ref="S66:S97" si="30">R66-Q66</f>
        <v>4820557.1633336358</v>
      </c>
      <c r="T66" s="16">
        <f>IFERROR(INDEX(Cost_Components!$R$2:$R$6,MATCH(E66,Cost_Components!$A$2:$A$6,0)),"")</f>
        <v>1</v>
      </c>
      <c r="U66" s="26">
        <f>IFERROR(INDEX(Cost_Components!$Q$2:$Q$6,MATCH(E66,Cost_Components!$A$2:$A$6,0)),"")</f>
        <v>2023</v>
      </c>
      <c r="V66" s="30">
        <f>1/(1+Calculation_Assumptions!$B$5)^(B66-Calculation_Assumptions!$B$2)</f>
        <v>0.70137988019297326</v>
      </c>
      <c r="W66" s="23">
        <f t="shared" ref="W66:W97" si="31">Q66*V66</f>
        <v>2643669.8333871053</v>
      </c>
      <c r="X66" s="23">
        <f t="shared" ref="X66:X97" si="32">R66*V66</f>
        <v>6024711.6390694296</v>
      </c>
      <c r="Y66" s="23">
        <f t="shared" ref="Y66:Y97" si="33">S66*V66</f>
        <v>3381041.8056823243</v>
      </c>
      <c r="Z66" s="17">
        <f>IFERROR(INDEX(Cost_Components!$T$2:$T$6,MATCH(E66,Cost_Components!$A$2:$A$6,0)),"")</f>
        <v>0.41649999999999998</v>
      </c>
      <c r="AA66" s="26">
        <f>IFERROR(INDEX(Cost_Components!$U$2:$U$6,MATCH(E66,Cost_Components!$A$2:$A$6,0)),"")</f>
        <v>2025</v>
      </c>
      <c r="AB66" s="26">
        <f>IFERROR(INDEX(Cost_Components!$V$2:$V$6,MATCH(E66,Cost_Components!$A$2:$A$6,0)),"")</f>
        <v>2040</v>
      </c>
      <c r="AC66" s="26">
        <f>IFERROR(INDEX(Cost_Components!$M$2:$M$6,MATCH(E66,Cost_Components!$A$2:$A$6,0)),"")</f>
        <v>30</v>
      </c>
      <c r="AD66" s="26">
        <f>IFERROR(INDEX(Cost_Components!$N$2:$N$6,MATCH(E66,Cost_Components!$A$2:$A$6,0)),"")</f>
        <v>95</v>
      </c>
      <c r="AE66" s="16" t="str">
        <f>IFERROR(INDEX(Cost_Components!$O$2:$O$6,MATCH(E66,Cost_Components!$A$2:$A$6,0)),"")</f>
        <v>Both</v>
      </c>
      <c r="AF66" s="11">
        <v>180862884.82821</v>
      </c>
      <c r="AG66" s="11">
        <v>180737927.45399201</v>
      </c>
      <c r="AH66" s="23">
        <f t="shared" ref="AH66:AH97" si="34">IF(H66="shared-count-once",COUNTIFS($A$2:$A$131,A66,$B$2:$B$131,B66,$E$2:$E$131,E66),1)</f>
        <v>1</v>
      </c>
      <c r="AI66" s="10">
        <v>310068287.63643003</v>
      </c>
      <c r="AJ66" s="29">
        <f t="shared" ref="AJ66:AJ97" si="35">IF(AI66=0,"",Q66/AI66)</f>
        <v>1.2156164291777252E-2</v>
      </c>
      <c r="AK66" s="29">
        <f t="shared" ref="AK66:AK97" si="36">IF(AI66=0,"",R66/AI66)</f>
        <v>2.7702924007449854E-2</v>
      </c>
      <c r="AL66" s="29">
        <f t="shared" ref="AL66:AL97" si="37">IF(AI66=0,"",S66/AI66)</f>
        <v>1.5546759715672603E-2</v>
      </c>
      <c r="AM66" s="29">
        <f t="shared" ref="AM66:AM97" si="38">IF(AI66=0,"",Y66/AI66)</f>
        <v>1.0904184466767393E-2</v>
      </c>
    </row>
    <row r="67" spans="1:39">
      <c r="A67" t="s">
        <v>115</v>
      </c>
      <c r="B67" s="20">
        <v>2038</v>
      </c>
      <c r="C67" t="s">
        <v>229</v>
      </c>
      <c r="D67" t="s">
        <v>233</v>
      </c>
      <c r="E67" s="22" t="s">
        <v>279</v>
      </c>
      <c r="F67" s="22" t="s">
        <v>280</v>
      </c>
      <c r="G67" s="22" t="s">
        <v>230</v>
      </c>
      <c r="H67" s="22" t="s">
        <v>237</v>
      </c>
      <c r="I67" s="22" t="s">
        <v>265</v>
      </c>
      <c r="J67" s="17">
        <f>IFERROR(INDEX(Cost_Components!$K$2:$K$6,MATCH(E67,Cost_Components!$A$2:$A$6,0)),"")</f>
        <v>0.2</v>
      </c>
      <c r="K67" s="31">
        <v>0.36340176973841098</v>
      </c>
      <c r="L67" s="17">
        <f>IFERROR(INDEX(Cost_Components!$S$2:$S$6,MATCH(E67,Cost_Components!$A$2:$A$6,0)),"")</f>
        <v>0.147914612579645</v>
      </c>
      <c r="M67" s="28">
        <f>IFERROR(INDEX(Cost_Components!$L$2:$L$6,MATCH(E67,Cost_Components!$A$2:$A$6,0)),"")</f>
        <v>1</v>
      </c>
      <c r="N67" s="29">
        <f>IFERROR(INDEX(Cost_Components!$P$2:$P$6,MATCH(E67,Cost_Components!$A$2:$A$6,0)),"")</f>
        <v>0.70495847821973801</v>
      </c>
      <c r="O67" s="23">
        <f t="shared" si="26"/>
        <v>36594965.388937198</v>
      </c>
      <c r="P67" s="23">
        <f t="shared" si="27"/>
        <v>36560754.225877397</v>
      </c>
      <c r="Q67" s="23">
        <f t="shared" si="28"/>
        <v>3812323.6624614988</v>
      </c>
      <c r="R67" s="23">
        <f t="shared" si="29"/>
        <v>9375013.821359409</v>
      </c>
      <c r="S67" s="23">
        <f t="shared" si="30"/>
        <v>5562690.1588979103</v>
      </c>
      <c r="T67" s="16">
        <f>IFERROR(INDEX(Cost_Components!$R$2:$R$6,MATCH(E67,Cost_Components!$A$2:$A$6,0)),"")</f>
        <v>1</v>
      </c>
      <c r="U67" s="26">
        <f>IFERROR(INDEX(Cost_Components!$Q$2:$Q$6,MATCH(E67,Cost_Components!$A$2:$A$6,0)),"")</f>
        <v>2023</v>
      </c>
      <c r="V67" s="30">
        <f>1/(1+Calculation_Assumptions!$B$5)^(B67-Calculation_Assumptions!$B$2)</f>
        <v>0.68095133999317792</v>
      </c>
      <c r="W67" s="23">
        <f t="shared" si="31"/>
        <v>2596006.9064408573</v>
      </c>
      <c r="X67" s="23">
        <f t="shared" si="32"/>
        <v>6383928.2241092529</v>
      </c>
      <c r="Y67" s="23">
        <f t="shared" si="33"/>
        <v>3787921.3176683956</v>
      </c>
      <c r="Z67" s="17">
        <f>IFERROR(INDEX(Cost_Components!$T$2:$T$6,MATCH(E67,Cost_Components!$A$2:$A$6,0)),"")</f>
        <v>0.41649999999999998</v>
      </c>
      <c r="AA67" s="26">
        <f>IFERROR(INDEX(Cost_Components!$U$2:$U$6,MATCH(E67,Cost_Components!$A$2:$A$6,0)),"")</f>
        <v>2025</v>
      </c>
      <c r="AB67" s="26">
        <f>IFERROR(INDEX(Cost_Components!$V$2:$V$6,MATCH(E67,Cost_Components!$A$2:$A$6,0)),"")</f>
        <v>2040</v>
      </c>
      <c r="AC67" s="26">
        <f>IFERROR(INDEX(Cost_Components!$M$2:$M$6,MATCH(E67,Cost_Components!$A$2:$A$6,0)),"")</f>
        <v>30</v>
      </c>
      <c r="AD67" s="26">
        <f>IFERROR(INDEX(Cost_Components!$N$2:$N$6,MATCH(E67,Cost_Components!$A$2:$A$6,0)),"")</f>
        <v>95</v>
      </c>
      <c r="AE67" s="16" t="str">
        <f>IFERROR(INDEX(Cost_Components!$O$2:$O$6,MATCH(E67,Cost_Components!$A$2:$A$6,0)),"")</f>
        <v>Both</v>
      </c>
      <c r="AF67" s="11">
        <v>182974826.944686</v>
      </c>
      <c r="AG67" s="11">
        <v>182803771.12938699</v>
      </c>
      <c r="AH67" s="23">
        <f t="shared" si="34"/>
        <v>1</v>
      </c>
      <c r="AI67" s="10">
        <v>311532999.13163</v>
      </c>
      <c r="AJ67" s="29">
        <f t="shared" si="35"/>
        <v>1.2237302863863557E-2</v>
      </c>
      <c r="AK67" s="29">
        <f t="shared" si="36"/>
        <v>3.009316460051234E-2</v>
      </c>
      <c r="AL67" s="29">
        <f t="shared" si="37"/>
        <v>1.7855861736648781E-2</v>
      </c>
      <c r="AM67" s="29">
        <f t="shared" si="38"/>
        <v>1.2158972976303899E-2</v>
      </c>
    </row>
    <row r="68" spans="1:39">
      <c r="A68" t="s">
        <v>115</v>
      </c>
      <c r="B68" s="20">
        <v>2039</v>
      </c>
      <c r="C68" t="s">
        <v>229</v>
      </c>
      <c r="D68" t="s">
        <v>233</v>
      </c>
      <c r="E68" s="22" t="s">
        <v>279</v>
      </c>
      <c r="F68" s="22" t="s">
        <v>280</v>
      </c>
      <c r="G68" s="22" t="s">
        <v>230</v>
      </c>
      <c r="H68" s="22" t="s">
        <v>237</v>
      </c>
      <c r="I68" s="22" t="s">
        <v>265</v>
      </c>
      <c r="J68" s="17">
        <f>IFERROR(INDEX(Cost_Components!$K$2:$K$6,MATCH(E68,Cost_Components!$A$2:$A$6,0)),"")</f>
        <v>0.2</v>
      </c>
      <c r="K68" s="31">
        <v>0.38995088486920498</v>
      </c>
      <c r="L68" s="17">
        <f>IFERROR(INDEX(Cost_Components!$S$2:$S$6,MATCH(E68,Cost_Components!$A$2:$A$6,0)),"")</f>
        <v>0.147914612579645</v>
      </c>
      <c r="M68" s="28">
        <f>IFERROR(INDEX(Cost_Components!$L$2:$L$6,MATCH(E68,Cost_Components!$A$2:$A$6,0)),"")</f>
        <v>1</v>
      </c>
      <c r="N68" s="29">
        <f>IFERROR(INDEX(Cost_Components!$P$2:$P$6,MATCH(E68,Cost_Components!$A$2:$A$6,0)),"")</f>
        <v>0.70495847821973801</v>
      </c>
      <c r="O68" s="23">
        <f t="shared" si="26"/>
        <v>37011698.430749401</v>
      </c>
      <c r="P68" s="23">
        <f t="shared" si="27"/>
        <v>36966477.090850405</v>
      </c>
      <c r="Q68" s="23">
        <f t="shared" si="28"/>
        <v>3854629.8706152546</v>
      </c>
      <c r="R68" s="23">
        <f t="shared" si="29"/>
        <v>10174485.637028009</v>
      </c>
      <c r="S68" s="23">
        <f t="shared" si="30"/>
        <v>6319855.7664127536</v>
      </c>
      <c r="T68" s="16">
        <f>IFERROR(INDEX(Cost_Components!$R$2:$R$6,MATCH(E68,Cost_Components!$A$2:$A$6,0)),"")</f>
        <v>1</v>
      </c>
      <c r="U68" s="26">
        <f>IFERROR(INDEX(Cost_Components!$Q$2:$Q$6,MATCH(E68,Cost_Components!$A$2:$A$6,0)),"")</f>
        <v>2023</v>
      </c>
      <c r="V68" s="30">
        <f>1/(1+Calculation_Assumptions!$B$5)^(B68-Calculation_Assumptions!$B$2)</f>
        <v>0.66111780581861923</v>
      </c>
      <c r="W68" s="23">
        <f t="shared" si="31"/>
        <v>2548364.4423040655</v>
      </c>
      <c r="X68" s="23">
        <f t="shared" si="32"/>
        <v>6726533.6196850138</v>
      </c>
      <c r="Y68" s="23">
        <f t="shared" si="33"/>
        <v>4178169.1773809479</v>
      </c>
      <c r="Z68" s="17">
        <f>IFERROR(INDEX(Cost_Components!$T$2:$T$6,MATCH(E68,Cost_Components!$A$2:$A$6,0)),"")</f>
        <v>0.41649999999999998</v>
      </c>
      <c r="AA68" s="26">
        <f>IFERROR(INDEX(Cost_Components!$U$2:$U$6,MATCH(E68,Cost_Components!$A$2:$A$6,0)),"")</f>
        <v>2025</v>
      </c>
      <c r="AB68" s="26">
        <f>IFERROR(INDEX(Cost_Components!$V$2:$V$6,MATCH(E68,Cost_Components!$A$2:$A$6,0)),"")</f>
        <v>2040</v>
      </c>
      <c r="AC68" s="26">
        <f>IFERROR(INDEX(Cost_Components!$M$2:$M$6,MATCH(E68,Cost_Components!$A$2:$A$6,0)),"")</f>
        <v>30</v>
      </c>
      <c r="AD68" s="26">
        <f>IFERROR(INDEX(Cost_Components!$N$2:$N$6,MATCH(E68,Cost_Components!$A$2:$A$6,0)),"")</f>
        <v>95</v>
      </c>
      <c r="AE68" s="16" t="str">
        <f>IFERROR(INDEX(Cost_Components!$O$2:$O$6,MATCH(E68,Cost_Components!$A$2:$A$6,0)),"")</f>
        <v>Both</v>
      </c>
      <c r="AF68" s="11">
        <v>185058492.15374699</v>
      </c>
      <c r="AG68" s="11">
        <v>184832385.454252</v>
      </c>
      <c r="AH68" s="23">
        <f t="shared" si="34"/>
        <v>1</v>
      </c>
      <c r="AI68" s="10">
        <v>312936391.85847902</v>
      </c>
      <c r="AJ68" s="29">
        <f t="shared" si="35"/>
        <v>1.231761460443519E-2</v>
      </c>
      <c r="AK68" s="29">
        <f t="shared" si="36"/>
        <v>3.2512951199454208E-2</v>
      </c>
      <c r="AL68" s="29">
        <f t="shared" si="37"/>
        <v>2.0195336595019021E-2</v>
      </c>
      <c r="AM68" s="29">
        <f t="shared" si="38"/>
        <v>1.3351496617467439E-2</v>
      </c>
    </row>
    <row r="69" spans="1:39">
      <c r="A69" t="s">
        <v>115</v>
      </c>
      <c r="B69" s="20">
        <v>2040</v>
      </c>
      <c r="C69" t="s">
        <v>229</v>
      </c>
      <c r="D69" t="s">
        <v>233</v>
      </c>
      <c r="E69" s="22" t="s">
        <v>279</v>
      </c>
      <c r="F69" s="22" t="s">
        <v>280</v>
      </c>
      <c r="G69" s="22" t="s">
        <v>230</v>
      </c>
      <c r="H69" s="22" t="s">
        <v>237</v>
      </c>
      <c r="I69" s="22" t="s">
        <v>265</v>
      </c>
      <c r="J69" s="17">
        <f>IFERROR(INDEX(Cost_Components!$K$2:$K$6,MATCH(E69,Cost_Components!$A$2:$A$6,0)),"")</f>
        <v>0.2</v>
      </c>
      <c r="K69" s="31">
        <v>0.41649999999999998</v>
      </c>
      <c r="L69" s="17">
        <f>IFERROR(INDEX(Cost_Components!$S$2:$S$6,MATCH(E69,Cost_Components!$A$2:$A$6,0)),"")</f>
        <v>0.147914612579645</v>
      </c>
      <c r="M69" s="28">
        <f>IFERROR(INDEX(Cost_Components!$L$2:$L$6,MATCH(E69,Cost_Components!$A$2:$A$6,0)),"")</f>
        <v>1</v>
      </c>
      <c r="N69" s="29">
        <f>IFERROR(INDEX(Cost_Components!$P$2:$P$6,MATCH(E69,Cost_Components!$A$2:$A$6,0)),"")</f>
        <v>0.70495847821973801</v>
      </c>
      <c r="O69" s="23">
        <f t="shared" si="26"/>
        <v>37432811.980369799</v>
      </c>
      <c r="P69" s="23">
        <f t="shared" si="27"/>
        <v>37374694.220673196</v>
      </c>
      <c r="Q69" s="23">
        <f t="shared" si="28"/>
        <v>3897196.164894382</v>
      </c>
      <c r="R69" s="23">
        <f t="shared" si="29"/>
        <v>10990842.807458084</v>
      </c>
      <c r="S69" s="23">
        <f t="shared" si="30"/>
        <v>7093646.6425637025</v>
      </c>
      <c r="T69" s="16">
        <f>IFERROR(INDEX(Cost_Components!$R$2:$R$6,MATCH(E69,Cost_Components!$A$2:$A$6,0)),"")</f>
        <v>1</v>
      </c>
      <c r="U69" s="26">
        <f>IFERROR(INDEX(Cost_Components!$Q$2:$Q$6,MATCH(E69,Cost_Components!$A$2:$A$6,0)),"")</f>
        <v>2023</v>
      </c>
      <c r="V69" s="30">
        <f>1/(1+Calculation_Assumptions!$B$5)^(B69-Calculation_Assumptions!$B$2)</f>
        <v>0.64186194739671765</v>
      </c>
      <c r="W69" s="23">
        <f t="shared" si="31"/>
        <v>2501461.9197861277</v>
      </c>
      <c r="X69" s="23">
        <f t="shared" si="32"/>
        <v>7054603.7679262534</v>
      </c>
      <c r="Y69" s="23">
        <f t="shared" si="33"/>
        <v>4553141.8481401261</v>
      </c>
      <c r="Z69" s="17">
        <f>IFERROR(INDEX(Cost_Components!$T$2:$T$6,MATCH(E69,Cost_Components!$A$2:$A$6,0)),"")</f>
        <v>0.41649999999999998</v>
      </c>
      <c r="AA69" s="26">
        <f>IFERROR(INDEX(Cost_Components!$U$2:$U$6,MATCH(E69,Cost_Components!$A$2:$A$6,0)),"")</f>
        <v>2025</v>
      </c>
      <c r="AB69" s="26">
        <f>IFERROR(INDEX(Cost_Components!$V$2:$V$6,MATCH(E69,Cost_Components!$A$2:$A$6,0)),"")</f>
        <v>2040</v>
      </c>
      <c r="AC69" s="26">
        <f>IFERROR(INDEX(Cost_Components!$M$2:$M$6,MATCH(E69,Cost_Components!$A$2:$A$6,0)),"")</f>
        <v>30</v>
      </c>
      <c r="AD69" s="26">
        <f>IFERROR(INDEX(Cost_Components!$N$2:$N$6,MATCH(E69,Cost_Components!$A$2:$A$6,0)),"")</f>
        <v>95</v>
      </c>
      <c r="AE69" s="16" t="str">
        <f>IFERROR(INDEX(Cost_Components!$O$2:$O$6,MATCH(E69,Cost_Components!$A$2:$A$6,0)),"")</f>
        <v>Both</v>
      </c>
      <c r="AF69" s="11">
        <v>187164059.901849</v>
      </c>
      <c r="AG69" s="11">
        <v>186873471.10336599</v>
      </c>
      <c r="AH69" s="23">
        <f t="shared" si="34"/>
        <v>1</v>
      </c>
      <c r="AI69" s="10">
        <v>314265537.41082901</v>
      </c>
      <c r="AJ69" s="29">
        <f t="shared" si="35"/>
        <v>1.240096574700046E-2</v>
      </c>
      <c r="AK69" s="29">
        <f t="shared" si="36"/>
        <v>3.4973108722036281E-2</v>
      </c>
      <c r="AL69" s="29">
        <f t="shared" si="37"/>
        <v>2.2572142975035826E-2</v>
      </c>
      <c r="AM69" s="29">
        <f t="shared" si="38"/>
        <v>1.4488199646873635E-2</v>
      </c>
    </row>
    <row r="70" spans="1:39">
      <c r="A70" t="s">
        <v>115</v>
      </c>
      <c r="B70" s="20">
        <v>2041</v>
      </c>
      <c r="C70" t="s">
        <v>229</v>
      </c>
      <c r="D70" t="s">
        <v>233</v>
      </c>
      <c r="E70" s="22" t="s">
        <v>279</v>
      </c>
      <c r="F70" s="22" t="s">
        <v>280</v>
      </c>
      <c r="G70" s="22" t="s">
        <v>230</v>
      </c>
      <c r="H70" s="22" t="s">
        <v>237</v>
      </c>
      <c r="I70" s="22" t="s">
        <v>265</v>
      </c>
      <c r="J70" s="17">
        <f>IFERROR(INDEX(Cost_Components!$K$2:$K$6,MATCH(E70,Cost_Components!$A$2:$A$6,0)),"")</f>
        <v>0.2</v>
      </c>
      <c r="K70" s="31">
        <v>0.41649999999999998</v>
      </c>
      <c r="L70" s="17">
        <f>IFERROR(INDEX(Cost_Components!$S$2:$S$6,MATCH(E70,Cost_Components!$A$2:$A$6,0)),"")</f>
        <v>0.147914612579645</v>
      </c>
      <c r="M70" s="28">
        <f>IFERROR(INDEX(Cost_Components!$L$2:$L$6,MATCH(E70,Cost_Components!$A$2:$A$6,0)),"")</f>
        <v>1</v>
      </c>
      <c r="N70" s="29">
        <f>IFERROR(INDEX(Cost_Components!$P$2:$P$6,MATCH(E70,Cost_Components!$A$2:$A$6,0)),"")</f>
        <v>0.70495847821973801</v>
      </c>
      <c r="O70" s="23">
        <f t="shared" si="26"/>
        <v>37871059.254290998</v>
      </c>
      <c r="P70" s="23">
        <f t="shared" si="27"/>
        <v>37786880.045656003</v>
      </c>
      <c r="Q70" s="23">
        <f t="shared" si="28"/>
        <v>3940176.289544025</v>
      </c>
      <c r="R70" s="23">
        <f t="shared" si="29"/>
        <v>11119518.871147631</v>
      </c>
      <c r="S70" s="23">
        <f t="shared" si="30"/>
        <v>7179342.5816036053</v>
      </c>
      <c r="T70" s="16">
        <f>IFERROR(INDEX(Cost_Components!$R$2:$R$6,MATCH(E70,Cost_Components!$A$2:$A$6,0)),"")</f>
        <v>1</v>
      </c>
      <c r="U70" s="26">
        <f>IFERROR(INDEX(Cost_Components!$Q$2:$Q$6,MATCH(E70,Cost_Components!$A$2:$A$6,0)),"")</f>
        <v>2023</v>
      </c>
      <c r="V70" s="30">
        <f>1/(1+Calculation_Assumptions!$B$5)^(B70-Calculation_Assumptions!$B$2)</f>
        <v>0.62316693922011435</v>
      </c>
      <c r="W70" s="23">
        <f t="shared" si="31"/>
        <v>2455387.5983428173</v>
      </c>
      <c r="X70" s="23">
        <f t="shared" si="32"/>
        <v>6929316.5405333703</v>
      </c>
      <c r="Y70" s="23">
        <f t="shared" si="33"/>
        <v>4473928.9421905531</v>
      </c>
      <c r="Z70" s="17">
        <f>IFERROR(INDEX(Cost_Components!$T$2:$T$6,MATCH(E70,Cost_Components!$A$2:$A$6,0)),"")</f>
        <v>0.41649999999999998</v>
      </c>
      <c r="AA70" s="26">
        <f>IFERROR(INDEX(Cost_Components!$U$2:$U$6,MATCH(E70,Cost_Components!$A$2:$A$6,0)),"")</f>
        <v>2025</v>
      </c>
      <c r="AB70" s="26">
        <f>IFERROR(INDEX(Cost_Components!$V$2:$V$6,MATCH(E70,Cost_Components!$A$2:$A$6,0)),"")</f>
        <v>2040</v>
      </c>
      <c r="AC70" s="26">
        <f>IFERROR(INDEX(Cost_Components!$M$2:$M$6,MATCH(E70,Cost_Components!$A$2:$A$6,0)),"")</f>
        <v>30</v>
      </c>
      <c r="AD70" s="26">
        <f>IFERROR(INDEX(Cost_Components!$N$2:$N$6,MATCH(E70,Cost_Components!$A$2:$A$6,0)),"")</f>
        <v>95</v>
      </c>
      <c r="AE70" s="16" t="str">
        <f>IFERROR(INDEX(Cost_Components!$O$2:$O$6,MATCH(E70,Cost_Components!$A$2:$A$6,0)),"")</f>
        <v>Both</v>
      </c>
      <c r="AF70" s="11">
        <v>189355296.27145499</v>
      </c>
      <c r="AG70" s="11">
        <v>188934400.22828001</v>
      </c>
      <c r="AH70" s="23">
        <f t="shared" si="34"/>
        <v>1</v>
      </c>
      <c r="AI70" s="10">
        <v>315525215.31254798</v>
      </c>
      <c r="AJ70" s="29">
        <f t="shared" si="35"/>
        <v>1.2487674830174912E-2</v>
      </c>
      <c r="AK70" s="29">
        <f t="shared" si="36"/>
        <v>3.5241300319320067E-2</v>
      </c>
      <c r="AL70" s="29">
        <f t="shared" si="37"/>
        <v>2.2753625489145154E-2</v>
      </c>
      <c r="AM70" s="29">
        <f t="shared" si="38"/>
        <v>1.4179307152231365E-2</v>
      </c>
    </row>
    <row r="71" spans="1:39">
      <c r="A71" t="s">
        <v>115</v>
      </c>
      <c r="B71" s="20">
        <v>2042</v>
      </c>
      <c r="C71" t="s">
        <v>229</v>
      </c>
      <c r="D71" t="s">
        <v>233</v>
      </c>
      <c r="E71" s="22" t="s">
        <v>279</v>
      </c>
      <c r="F71" s="22" t="s">
        <v>280</v>
      </c>
      <c r="G71" s="22" t="s">
        <v>230</v>
      </c>
      <c r="H71" s="22" t="s">
        <v>237</v>
      </c>
      <c r="I71" s="22" t="s">
        <v>265</v>
      </c>
      <c r="J71" s="17">
        <f>IFERROR(INDEX(Cost_Components!$K$2:$K$6,MATCH(E71,Cost_Components!$A$2:$A$6,0)),"")</f>
        <v>0.2</v>
      </c>
      <c r="K71" s="31">
        <v>0.41649999999999998</v>
      </c>
      <c r="L71" s="17">
        <f>IFERROR(INDEX(Cost_Components!$S$2:$S$6,MATCH(E71,Cost_Components!$A$2:$A$6,0)),"")</f>
        <v>0.147914612579645</v>
      </c>
      <c r="M71" s="28">
        <f>IFERROR(INDEX(Cost_Components!$L$2:$L$6,MATCH(E71,Cost_Components!$A$2:$A$6,0)),"")</f>
        <v>1</v>
      </c>
      <c r="N71" s="29">
        <f>IFERROR(INDEX(Cost_Components!$P$2:$P$6,MATCH(E71,Cost_Components!$A$2:$A$6,0)),"")</f>
        <v>0.70495847821973801</v>
      </c>
      <c r="O71" s="23">
        <f t="shared" si="26"/>
        <v>38293408.441792801</v>
      </c>
      <c r="P71" s="23">
        <f t="shared" si="27"/>
        <v>38204098.980930403</v>
      </c>
      <c r="Q71" s="23">
        <f t="shared" si="28"/>
        <v>3983681.2350259153</v>
      </c>
      <c r="R71" s="23">
        <f t="shared" si="29"/>
        <v>11243527.014915304</v>
      </c>
      <c r="S71" s="23">
        <f t="shared" si="30"/>
        <v>7259845.7798893889</v>
      </c>
      <c r="T71" s="16">
        <f>IFERROR(INDEX(Cost_Components!$R$2:$R$6,MATCH(E71,Cost_Components!$A$2:$A$6,0)),"")</f>
        <v>1</v>
      </c>
      <c r="U71" s="26">
        <f>IFERROR(INDEX(Cost_Components!$Q$2:$Q$6,MATCH(E71,Cost_Components!$A$2:$A$6,0)),"")</f>
        <v>2023</v>
      </c>
      <c r="V71" s="30">
        <f>1/(1+Calculation_Assumptions!$B$5)^(B71-Calculation_Assumptions!$B$2)</f>
        <v>0.60501644584477121</v>
      </c>
      <c r="W71" s="23">
        <f t="shared" si="31"/>
        <v>2410192.6621938879</v>
      </c>
      <c r="X71" s="23">
        <f t="shared" si="32"/>
        <v>6802518.7533237273</v>
      </c>
      <c r="Y71" s="23">
        <f t="shared" si="33"/>
        <v>4392326.0911298394</v>
      </c>
      <c r="Z71" s="17">
        <f>IFERROR(INDEX(Cost_Components!$T$2:$T$6,MATCH(E71,Cost_Components!$A$2:$A$6,0)),"")</f>
        <v>0.41649999999999998</v>
      </c>
      <c r="AA71" s="26">
        <f>IFERROR(INDEX(Cost_Components!$U$2:$U$6,MATCH(E71,Cost_Components!$A$2:$A$6,0)),"")</f>
        <v>2025</v>
      </c>
      <c r="AB71" s="26">
        <f>IFERROR(INDEX(Cost_Components!$V$2:$V$6,MATCH(E71,Cost_Components!$A$2:$A$6,0)),"")</f>
        <v>2040</v>
      </c>
      <c r="AC71" s="26">
        <f>IFERROR(INDEX(Cost_Components!$M$2:$M$6,MATCH(E71,Cost_Components!$A$2:$A$6,0)),"")</f>
        <v>30</v>
      </c>
      <c r="AD71" s="26">
        <f>IFERROR(INDEX(Cost_Components!$N$2:$N$6,MATCH(E71,Cost_Components!$A$2:$A$6,0)),"")</f>
        <v>95</v>
      </c>
      <c r="AE71" s="16" t="str">
        <f>IFERROR(INDEX(Cost_Components!$O$2:$O$6,MATCH(E71,Cost_Components!$A$2:$A$6,0)),"")</f>
        <v>Both</v>
      </c>
      <c r="AF71" s="11">
        <v>191467042.20896399</v>
      </c>
      <c r="AG71" s="11">
        <v>191020494.904652</v>
      </c>
      <c r="AH71" s="23">
        <f t="shared" si="34"/>
        <v>1</v>
      </c>
      <c r="AI71" s="10">
        <v>316707694.211882</v>
      </c>
      <c r="AJ71" s="29">
        <f t="shared" si="35"/>
        <v>1.2578416337308102E-2</v>
      </c>
      <c r="AK71" s="29">
        <f t="shared" si="36"/>
        <v>3.5501275214972275E-2</v>
      </c>
      <c r="AL71" s="29">
        <f t="shared" si="37"/>
        <v>2.2922858877664171E-2</v>
      </c>
      <c r="AM71" s="29">
        <f t="shared" si="38"/>
        <v>1.3868706606765639E-2</v>
      </c>
    </row>
    <row r="72" spans="1:39">
      <c r="A72" t="s">
        <v>115</v>
      </c>
      <c r="B72" s="20">
        <v>2043</v>
      </c>
      <c r="C72" t="s">
        <v>229</v>
      </c>
      <c r="D72" t="s">
        <v>233</v>
      </c>
      <c r="E72" s="22" t="s">
        <v>279</v>
      </c>
      <c r="F72" s="22" t="s">
        <v>280</v>
      </c>
      <c r="G72" s="22" t="s">
        <v>230</v>
      </c>
      <c r="H72" s="22" t="s">
        <v>237</v>
      </c>
      <c r="I72" s="22" t="s">
        <v>265</v>
      </c>
      <c r="J72" s="17">
        <f>IFERROR(INDEX(Cost_Components!$K$2:$K$6,MATCH(E72,Cost_Components!$A$2:$A$6,0)),"")</f>
        <v>0.2</v>
      </c>
      <c r="K72" s="31">
        <v>0.41649999999999998</v>
      </c>
      <c r="L72" s="17">
        <f>IFERROR(INDEX(Cost_Components!$S$2:$S$6,MATCH(E72,Cost_Components!$A$2:$A$6,0)),"")</f>
        <v>0.147914612579645</v>
      </c>
      <c r="M72" s="28">
        <f>IFERROR(INDEX(Cost_Components!$L$2:$L$6,MATCH(E72,Cost_Components!$A$2:$A$6,0)),"")</f>
        <v>1</v>
      </c>
      <c r="N72" s="29">
        <f>IFERROR(INDEX(Cost_Components!$P$2:$P$6,MATCH(E72,Cost_Components!$A$2:$A$6,0)),"")</f>
        <v>0.70495847821973801</v>
      </c>
      <c r="O72" s="23">
        <f t="shared" si="26"/>
        <v>38694096.807135396</v>
      </c>
      <c r="P72" s="23">
        <f t="shared" si="27"/>
        <v>38587241.3200856</v>
      </c>
      <c r="Q72" s="23">
        <f t="shared" si="28"/>
        <v>4023632.8891036194</v>
      </c>
      <c r="R72" s="23">
        <f t="shared" si="29"/>
        <v>11361175.211918704</v>
      </c>
      <c r="S72" s="23">
        <f t="shared" si="30"/>
        <v>7337542.3228150848</v>
      </c>
      <c r="T72" s="16">
        <f>IFERROR(INDEX(Cost_Components!$R$2:$R$6,MATCH(E72,Cost_Components!$A$2:$A$6,0)),"")</f>
        <v>1</v>
      </c>
      <c r="U72" s="26">
        <f>IFERROR(INDEX(Cost_Components!$Q$2:$Q$6,MATCH(E72,Cost_Components!$A$2:$A$6,0)),"")</f>
        <v>2023</v>
      </c>
      <c r="V72" s="30">
        <f>1/(1+Calculation_Assumptions!$B$5)^(B72-Calculation_Assumptions!$B$2)</f>
        <v>0.5873946076162827</v>
      </c>
      <c r="W72" s="23">
        <f t="shared" si="31"/>
        <v>2363460.2620869903</v>
      </c>
      <c r="X72" s="23">
        <f t="shared" si="32"/>
        <v>6673493.0556648243</v>
      </c>
      <c r="Y72" s="23">
        <f t="shared" si="33"/>
        <v>4310032.793577834</v>
      </c>
      <c r="Z72" s="17">
        <f>IFERROR(INDEX(Cost_Components!$T$2:$T$6,MATCH(E72,Cost_Components!$A$2:$A$6,0)),"")</f>
        <v>0.41649999999999998</v>
      </c>
      <c r="AA72" s="26">
        <f>IFERROR(INDEX(Cost_Components!$U$2:$U$6,MATCH(E72,Cost_Components!$A$2:$A$6,0)),"")</f>
        <v>2025</v>
      </c>
      <c r="AB72" s="26">
        <f>IFERROR(INDEX(Cost_Components!$V$2:$V$6,MATCH(E72,Cost_Components!$A$2:$A$6,0)),"")</f>
        <v>2040</v>
      </c>
      <c r="AC72" s="26">
        <f>IFERROR(INDEX(Cost_Components!$M$2:$M$6,MATCH(E72,Cost_Components!$A$2:$A$6,0)),"")</f>
        <v>30</v>
      </c>
      <c r="AD72" s="26">
        <f>IFERROR(INDEX(Cost_Components!$N$2:$N$6,MATCH(E72,Cost_Components!$A$2:$A$6,0)),"")</f>
        <v>95</v>
      </c>
      <c r="AE72" s="16" t="str">
        <f>IFERROR(INDEX(Cost_Components!$O$2:$O$6,MATCH(E72,Cost_Components!$A$2:$A$6,0)),"")</f>
        <v>Both</v>
      </c>
      <c r="AF72" s="11">
        <v>193470484.03567699</v>
      </c>
      <c r="AG72" s="11">
        <v>192936206.60042799</v>
      </c>
      <c r="AH72" s="23">
        <f t="shared" si="34"/>
        <v>1</v>
      </c>
      <c r="AI72" s="10">
        <v>317814114.06715202</v>
      </c>
      <c r="AJ72" s="29">
        <f t="shared" si="35"/>
        <v>1.2660334173369822E-2</v>
      </c>
      <c r="AK72" s="29">
        <f t="shared" si="36"/>
        <v>3.5747862379447888E-2</v>
      </c>
      <c r="AL72" s="29">
        <f t="shared" si="37"/>
        <v>2.3087528206078067E-2</v>
      </c>
      <c r="AM72" s="29">
        <f t="shared" si="38"/>
        <v>1.3561489571439085E-2</v>
      </c>
    </row>
    <row r="73" spans="1:39">
      <c r="A73" t="s">
        <v>115</v>
      </c>
      <c r="B73" s="20">
        <v>2044</v>
      </c>
      <c r="C73" t="s">
        <v>229</v>
      </c>
      <c r="D73" t="s">
        <v>233</v>
      </c>
      <c r="E73" s="22" t="s">
        <v>279</v>
      </c>
      <c r="F73" s="22" t="s">
        <v>280</v>
      </c>
      <c r="G73" s="22" t="s">
        <v>230</v>
      </c>
      <c r="H73" s="22" t="s">
        <v>237</v>
      </c>
      <c r="I73" s="22" t="s">
        <v>265</v>
      </c>
      <c r="J73" s="17">
        <f>IFERROR(INDEX(Cost_Components!$K$2:$K$6,MATCH(E73,Cost_Components!$A$2:$A$6,0)),"")</f>
        <v>0.2</v>
      </c>
      <c r="K73" s="31">
        <v>0.41649999999999998</v>
      </c>
      <c r="L73" s="17">
        <f>IFERROR(INDEX(Cost_Components!$S$2:$S$6,MATCH(E73,Cost_Components!$A$2:$A$6,0)),"")</f>
        <v>0.147914612579645</v>
      </c>
      <c r="M73" s="28">
        <f>IFERROR(INDEX(Cost_Components!$L$2:$L$6,MATCH(E73,Cost_Components!$A$2:$A$6,0)),"")</f>
        <v>1</v>
      </c>
      <c r="N73" s="29">
        <f>IFERROR(INDEX(Cost_Components!$P$2:$P$6,MATCH(E73,Cost_Components!$A$2:$A$6,0)),"")</f>
        <v>0.70495847821973801</v>
      </c>
      <c r="O73" s="23">
        <f t="shared" si="26"/>
        <v>39073418.787091203</v>
      </c>
      <c r="P73" s="23">
        <f t="shared" si="27"/>
        <v>38948167.973310001</v>
      </c>
      <c r="Q73" s="23">
        <f t="shared" si="28"/>
        <v>4061268.0322956741</v>
      </c>
      <c r="R73" s="23">
        <f t="shared" si="29"/>
        <v>11472549.913271474</v>
      </c>
      <c r="S73" s="23">
        <f t="shared" si="30"/>
        <v>7411281.8809757996</v>
      </c>
      <c r="T73" s="16">
        <f>IFERROR(INDEX(Cost_Components!$R$2:$R$6,MATCH(E73,Cost_Components!$A$2:$A$6,0)),"")</f>
        <v>1</v>
      </c>
      <c r="U73" s="26">
        <f>IFERROR(INDEX(Cost_Components!$Q$2:$Q$6,MATCH(E73,Cost_Components!$A$2:$A$6,0)),"")</f>
        <v>2023</v>
      </c>
      <c r="V73" s="30">
        <f>1/(1+Calculation_Assumptions!$B$5)^(B73-Calculation_Assumptions!$B$2)</f>
        <v>0.57028602681192497</v>
      </c>
      <c r="W73" s="23">
        <f t="shared" si="31"/>
        <v>2316084.4099561847</v>
      </c>
      <c r="X73" s="23">
        <f t="shared" si="32"/>
        <v>6542634.9074410833</v>
      </c>
      <c r="Y73" s="23">
        <f t="shared" si="33"/>
        <v>4226550.4974848982</v>
      </c>
      <c r="Z73" s="17">
        <f>IFERROR(INDEX(Cost_Components!$T$2:$T$6,MATCH(E73,Cost_Components!$A$2:$A$6,0)),"")</f>
        <v>0.41649999999999998</v>
      </c>
      <c r="AA73" s="26">
        <f>IFERROR(INDEX(Cost_Components!$U$2:$U$6,MATCH(E73,Cost_Components!$A$2:$A$6,0)),"")</f>
        <v>2025</v>
      </c>
      <c r="AB73" s="26">
        <f>IFERROR(INDEX(Cost_Components!$V$2:$V$6,MATCH(E73,Cost_Components!$A$2:$A$6,0)),"")</f>
        <v>2040</v>
      </c>
      <c r="AC73" s="26">
        <f>IFERROR(INDEX(Cost_Components!$M$2:$M$6,MATCH(E73,Cost_Components!$A$2:$A$6,0)),"")</f>
        <v>30</v>
      </c>
      <c r="AD73" s="26">
        <f>IFERROR(INDEX(Cost_Components!$N$2:$N$6,MATCH(E73,Cost_Components!$A$2:$A$6,0)),"")</f>
        <v>95</v>
      </c>
      <c r="AE73" s="16" t="str">
        <f>IFERROR(INDEX(Cost_Components!$O$2:$O$6,MATCH(E73,Cost_Components!$A$2:$A$6,0)),"")</f>
        <v>Both</v>
      </c>
      <c r="AF73" s="11">
        <v>195367093.93545601</v>
      </c>
      <c r="AG73" s="11">
        <v>194740839.86655</v>
      </c>
      <c r="AH73" s="23">
        <f t="shared" si="34"/>
        <v>1</v>
      </c>
      <c r="AI73" s="10">
        <v>318840890.73215598</v>
      </c>
      <c r="AJ73" s="29">
        <f t="shared" si="35"/>
        <v>1.2737600948767153E-2</v>
      </c>
      <c r="AK73" s="29">
        <f t="shared" si="36"/>
        <v>3.5982053264645569E-2</v>
      </c>
      <c r="AL73" s="29">
        <f t="shared" si="37"/>
        <v>2.3244452315878416E-2</v>
      </c>
      <c r="AM73" s="29">
        <f t="shared" si="38"/>
        <v>1.3255986356641547E-2</v>
      </c>
    </row>
    <row r="74" spans="1:39">
      <c r="A74" t="s">
        <v>115</v>
      </c>
      <c r="B74" s="20">
        <v>2045</v>
      </c>
      <c r="C74" t="s">
        <v>229</v>
      </c>
      <c r="D74" t="s">
        <v>233</v>
      </c>
      <c r="E74" s="22" t="s">
        <v>279</v>
      </c>
      <c r="F74" s="22" t="s">
        <v>280</v>
      </c>
      <c r="G74" s="22" t="s">
        <v>230</v>
      </c>
      <c r="H74" s="22" t="s">
        <v>237</v>
      </c>
      <c r="I74" s="22" t="s">
        <v>265</v>
      </c>
      <c r="J74" s="17">
        <f>IFERROR(INDEX(Cost_Components!$K$2:$K$6,MATCH(E74,Cost_Components!$A$2:$A$6,0)),"")</f>
        <v>0.2</v>
      </c>
      <c r="K74" s="31">
        <v>0.41649999999999998</v>
      </c>
      <c r="L74" s="17">
        <f>IFERROR(INDEX(Cost_Components!$S$2:$S$6,MATCH(E74,Cost_Components!$A$2:$A$6,0)),"")</f>
        <v>0.147914612579645</v>
      </c>
      <c r="M74" s="28">
        <f>IFERROR(INDEX(Cost_Components!$L$2:$L$6,MATCH(E74,Cost_Components!$A$2:$A$6,0)),"")</f>
        <v>1</v>
      </c>
      <c r="N74" s="29">
        <f>IFERROR(INDEX(Cost_Components!$P$2:$P$6,MATCH(E74,Cost_Components!$A$2:$A$6,0)),"")</f>
        <v>0.70495847821973801</v>
      </c>
      <c r="O74" s="23">
        <f t="shared" si="26"/>
        <v>39427162.004383199</v>
      </c>
      <c r="P74" s="23">
        <f t="shared" si="27"/>
        <v>39282979.812899604</v>
      </c>
      <c r="Q74" s="23">
        <f t="shared" si="28"/>
        <v>4096180.0882848329</v>
      </c>
      <c r="R74" s="23">
        <f t="shared" si="29"/>
        <v>11576414.300950916</v>
      </c>
      <c r="S74" s="23">
        <f t="shared" si="30"/>
        <v>7480234.2126660831</v>
      </c>
      <c r="T74" s="16">
        <f>IFERROR(INDEX(Cost_Components!$R$2:$R$6,MATCH(E74,Cost_Components!$A$2:$A$6,0)),"")</f>
        <v>1</v>
      </c>
      <c r="U74" s="26">
        <f>IFERROR(INDEX(Cost_Components!$Q$2:$Q$6,MATCH(E74,Cost_Components!$A$2:$A$6,0)),"")</f>
        <v>2023</v>
      </c>
      <c r="V74" s="30">
        <f>1/(1+Calculation_Assumptions!$B$5)^(B74-Calculation_Assumptions!$B$2)</f>
        <v>0.55367575418633497</v>
      </c>
      <c r="W74" s="23">
        <f t="shared" si="31"/>
        <v>2267955.5996641531</v>
      </c>
      <c r="X74" s="23">
        <f t="shared" si="32"/>
        <v>6409579.9188524727</v>
      </c>
      <c r="Y74" s="23">
        <f t="shared" si="33"/>
        <v>4141624.3191883191</v>
      </c>
      <c r="Z74" s="17">
        <f>IFERROR(INDEX(Cost_Components!$T$2:$T$6,MATCH(E74,Cost_Components!$A$2:$A$6,0)),"")</f>
        <v>0.41649999999999998</v>
      </c>
      <c r="AA74" s="26">
        <f>IFERROR(INDEX(Cost_Components!$U$2:$U$6,MATCH(E74,Cost_Components!$A$2:$A$6,0)),"")</f>
        <v>2025</v>
      </c>
      <c r="AB74" s="26">
        <f>IFERROR(INDEX(Cost_Components!$V$2:$V$6,MATCH(E74,Cost_Components!$A$2:$A$6,0)),"")</f>
        <v>2040</v>
      </c>
      <c r="AC74" s="26">
        <f>IFERROR(INDEX(Cost_Components!$M$2:$M$6,MATCH(E74,Cost_Components!$A$2:$A$6,0)),"")</f>
        <v>30</v>
      </c>
      <c r="AD74" s="26">
        <f>IFERROR(INDEX(Cost_Components!$N$2:$N$6,MATCH(E74,Cost_Components!$A$2:$A$6,0)),"")</f>
        <v>95</v>
      </c>
      <c r="AE74" s="16" t="str">
        <f>IFERROR(INDEX(Cost_Components!$O$2:$O$6,MATCH(E74,Cost_Components!$A$2:$A$6,0)),"")</f>
        <v>Both</v>
      </c>
      <c r="AF74" s="11">
        <v>197135810.021916</v>
      </c>
      <c r="AG74" s="11">
        <v>196414899.06449801</v>
      </c>
      <c r="AH74" s="23">
        <f t="shared" si="34"/>
        <v>1</v>
      </c>
      <c r="AI74" s="10">
        <v>319784682.33108002</v>
      </c>
      <c r="AJ74" s="29">
        <f t="shared" si="35"/>
        <v>1.2809181660689953E-2</v>
      </c>
      <c r="AK74" s="29">
        <f t="shared" si="36"/>
        <v>3.6200652941111182E-2</v>
      </c>
      <c r="AL74" s="29">
        <f t="shared" si="37"/>
        <v>2.3391471280421225E-2</v>
      </c>
      <c r="AM74" s="29">
        <f t="shared" si="38"/>
        <v>1.2951290502715216E-2</v>
      </c>
    </row>
    <row r="75" spans="1:39">
      <c r="A75" t="s">
        <v>115</v>
      </c>
      <c r="B75" s="20">
        <v>2046</v>
      </c>
      <c r="C75" t="s">
        <v>229</v>
      </c>
      <c r="D75" t="s">
        <v>233</v>
      </c>
      <c r="E75" s="22" t="s">
        <v>279</v>
      </c>
      <c r="F75" s="22" t="s">
        <v>280</v>
      </c>
      <c r="G75" s="22" t="s">
        <v>230</v>
      </c>
      <c r="H75" s="22" t="s">
        <v>237</v>
      </c>
      <c r="I75" s="22" t="s">
        <v>265</v>
      </c>
      <c r="J75" s="17">
        <f>IFERROR(INDEX(Cost_Components!$K$2:$K$6,MATCH(E75,Cost_Components!$A$2:$A$6,0)),"")</f>
        <v>0.2</v>
      </c>
      <c r="K75" s="31">
        <v>0.41649999999999998</v>
      </c>
      <c r="L75" s="17">
        <f>IFERROR(INDEX(Cost_Components!$S$2:$S$6,MATCH(E75,Cost_Components!$A$2:$A$6,0)),"")</f>
        <v>0.147914612579645</v>
      </c>
      <c r="M75" s="28">
        <f>IFERROR(INDEX(Cost_Components!$L$2:$L$6,MATCH(E75,Cost_Components!$A$2:$A$6,0)),"")</f>
        <v>1</v>
      </c>
      <c r="N75" s="29">
        <f>IFERROR(INDEX(Cost_Components!$P$2:$P$6,MATCH(E75,Cost_Components!$A$2:$A$6,0)),"")</f>
        <v>0.70495847821973801</v>
      </c>
      <c r="O75" s="23">
        <f t="shared" si="26"/>
        <v>39754900.801261805</v>
      </c>
      <c r="P75" s="23">
        <f t="shared" si="27"/>
        <v>39596613.829148002</v>
      </c>
      <c r="Q75" s="23">
        <f t="shared" si="28"/>
        <v>4128883.8551193341</v>
      </c>
      <c r="R75" s="23">
        <f t="shared" si="29"/>
        <v>11672643.395369129</v>
      </c>
      <c r="S75" s="23">
        <f t="shared" si="30"/>
        <v>7543759.5402497947</v>
      </c>
      <c r="T75" s="16">
        <f>IFERROR(INDEX(Cost_Components!$R$2:$R$6,MATCH(E75,Cost_Components!$A$2:$A$6,0)),"")</f>
        <v>1</v>
      </c>
      <c r="U75" s="26">
        <f>IFERROR(INDEX(Cost_Components!$Q$2:$Q$6,MATCH(E75,Cost_Components!$A$2:$A$6,0)),"")</f>
        <v>2023</v>
      </c>
      <c r="V75" s="30">
        <f>1/(1+Calculation_Assumptions!$B$5)^(B75-Calculation_Assumptions!$B$2)</f>
        <v>0.5375492759090631</v>
      </c>
      <c r="W75" s="23">
        <f t="shared" si="31"/>
        <v>2219478.5266320189</v>
      </c>
      <c r="X75" s="23">
        <f t="shared" si="32"/>
        <v>6274621.0051253829</v>
      </c>
      <c r="Y75" s="23">
        <f t="shared" si="33"/>
        <v>4055142.4784933641</v>
      </c>
      <c r="Z75" s="17">
        <f>IFERROR(INDEX(Cost_Components!$T$2:$T$6,MATCH(E75,Cost_Components!$A$2:$A$6,0)),"")</f>
        <v>0.41649999999999998</v>
      </c>
      <c r="AA75" s="26">
        <f>IFERROR(INDEX(Cost_Components!$U$2:$U$6,MATCH(E75,Cost_Components!$A$2:$A$6,0)),"")</f>
        <v>2025</v>
      </c>
      <c r="AB75" s="26">
        <f>IFERROR(INDEX(Cost_Components!$V$2:$V$6,MATCH(E75,Cost_Components!$A$2:$A$6,0)),"")</f>
        <v>2040</v>
      </c>
      <c r="AC75" s="26">
        <f>IFERROR(INDEX(Cost_Components!$M$2:$M$6,MATCH(E75,Cost_Components!$A$2:$A$6,0)),"")</f>
        <v>30</v>
      </c>
      <c r="AD75" s="26">
        <f>IFERROR(INDEX(Cost_Components!$N$2:$N$6,MATCH(E75,Cost_Components!$A$2:$A$6,0)),"")</f>
        <v>95</v>
      </c>
      <c r="AE75" s="16" t="str">
        <f>IFERROR(INDEX(Cost_Components!$O$2:$O$6,MATCH(E75,Cost_Components!$A$2:$A$6,0)),"")</f>
        <v>Both</v>
      </c>
      <c r="AF75" s="11">
        <v>198774504.006309</v>
      </c>
      <c r="AG75" s="11">
        <v>197983069.14574</v>
      </c>
      <c r="AH75" s="23">
        <f t="shared" si="34"/>
        <v>1</v>
      </c>
      <c r="AI75" s="10">
        <v>320645615.981408</v>
      </c>
      <c r="AJ75" s="29">
        <f t="shared" si="35"/>
        <v>1.2876782495472319E-2</v>
      </c>
      <c r="AK75" s="29">
        <f t="shared" si="36"/>
        <v>3.6403564600883065E-2</v>
      </c>
      <c r="AL75" s="29">
        <f t="shared" si="37"/>
        <v>2.3526782105410742E-2</v>
      </c>
      <c r="AM75" s="29">
        <f t="shared" si="38"/>
        <v>1.2646804685233848E-2</v>
      </c>
    </row>
    <row r="76" spans="1:39">
      <c r="A76" t="s">
        <v>115</v>
      </c>
      <c r="B76" s="20">
        <v>2047</v>
      </c>
      <c r="C76" t="s">
        <v>229</v>
      </c>
      <c r="D76" t="s">
        <v>233</v>
      </c>
      <c r="E76" s="22" t="s">
        <v>279</v>
      </c>
      <c r="F76" s="22" t="s">
        <v>280</v>
      </c>
      <c r="G76" s="22" t="s">
        <v>230</v>
      </c>
      <c r="H76" s="22" t="s">
        <v>237</v>
      </c>
      <c r="I76" s="22" t="s">
        <v>265</v>
      </c>
      <c r="J76" s="17">
        <f>IFERROR(INDEX(Cost_Components!$K$2:$K$6,MATCH(E76,Cost_Components!$A$2:$A$6,0)),"")</f>
        <v>0.2</v>
      </c>
      <c r="K76" s="31">
        <v>0.41649999999999998</v>
      </c>
      <c r="L76" s="17">
        <f>IFERROR(INDEX(Cost_Components!$S$2:$S$6,MATCH(E76,Cost_Components!$A$2:$A$6,0)),"")</f>
        <v>0.147914612579645</v>
      </c>
      <c r="M76" s="28">
        <f>IFERROR(INDEX(Cost_Components!$L$2:$L$6,MATCH(E76,Cost_Components!$A$2:$A$6,0)),"")</f>
        <v>1</v>
      </c>
      <c r="N76" s="29">
        <f>IFERROR(INDEX(Cost_Components!$P$2:$P$6,MATCH(E76,Cost_Components!$A$2:$A$6,0)),"")</f>
        <v>0.70495847821973801</v>
      </c>
      <c r="O76" s="23">
        <f t="shared" si="26"/>
        <v>40023672.546306007</v>
      </c>
      <c r="P76" s="23">
        <f t="shared" si="27"/>
        <v>39846335.306775801</v>
      </c>
      <c r="Q76" s="23">
        <f t="shared" si="28"/>
        <v>4154923.2276197919</v>
      </c>
      <c r="R76" s="23">
        <f t="shared" si="29"/>
        <v>11751558.866705244</v>
      </c>
      <c r="S76" s="23">
        <f t="shared" si="30"/>
        <v>7596635.639085453</v>
      </c>
      <c r="T76" s="16">
        <f>IFERROR(INDEX(Cost_Components!$R$2:$R$6,MATCH(E76,Cost_Components!$A$2:$A$6,0)),"")</f>
        <v>1</v>
      </c>
      <c r="U76" s="26">
        <f>IFERROR(INDEX(Cost_Components!$Q$2:$Q$6,MATCH(E76,Cost_Components!$A$2:$A$6,0)),"")</f>
        <v>2023</v>
      </c>
      <c r="V76" s="30">
        <f>1/(1+Calculation_Assumptions!$B$5)^(B76-Calculation_Assumptions!$B$2)</f>
        <v>0.52189250088258554</v>
      </c>
      <c r="W76" s="23">
        <f t="shared" si="31"/>
        <v>2168423.2742376374</v>
      </c>
      <c r="X76" s="23">
        <f t="shared" si="32"/>
        <v>6133050.4462137232</v>
      </c>
      <c r="Y76" s="23">
        <f t="shared" si="33"/>
        <v>3964627.1719760858</v>
      </c>
      <c r="Z76" s="17">
        <f>IFERROR(INDEX(Cost_Components!$T$2:$T$6,MATCH(E76,Cost_Components!$A$2:$A$6,0)),"")</f>
        <v>0.41649999999999998</v>
      </c>
      <c r="AA76" s="26">
        <f>IFERROR(INDEX(Cost_Components!$U$2:$U$6,MATCH(E76,Cost_Components!$A$2:$A$6,0)),"")</f>
        <v>2025</v>
      </c>
      <c r="AB76" s="26">
        <f>IFERROR(INDEX(Cost_Components!$V$2:$V$6,MATCH(E76,Cost_Components!$A$2:$A$6,0)),"")</f>
        <v>2040</v>
      </c>
      <c r="AC76" s="26">
        <f>IFERROR(INDEX(Cost_Components!$M$2:$M$6,MATCH(E76,Cost_Components!$A$2:$A$6,0)),"")</f>
        <v>30</v>
      </c>
      <c r="AD76" s="26">
        <f>IFERROR(INDEX(Cost_Components!$N$2:$N$6,MATCH(E76,Cost_Components!$A$2:$A$6,0)),"")</f>
        <v>95</v>
      </c>
      <c r="AE76" s="16" t="str">
        <f>IFERROR(INDEX(Cost_Components!$O$2:$O$6,MATCH(E76,Cost_Components!$A$2:$A$6,0)),"")</f>
        <v>Both</v>
      </c>
      <c r="AF76" s="11">
        <v>200118362.73153001</v>
      </c>
      <c r="AG76" s="11">
        <v>199231676.53387901</v>
      </c>
      <c r="AH76" s="23">
        <f t="shared" si="34"/>
        <v>1</v>
      </c>
      <c r="AI76" s="10">
        <v>321429520.52287501</v>
      </c>
      <c r="AJ76" s="29">
        <f t="shared" si="35"/>
        <v>1.2926389651021804E-2</v>
      </c>
      <c r="AK76" s="29">
        <f t="shared" si="36"/>
        <v>3.6560297410109618E-2</v>
      </c>
      <c r="AL76" s="29">
        <f t="shared" si="37"/>
        <v>2.363390775908782E-2</v>
      </c>
      <c r="AM76" s="29">
        <f t="shared" si="38"/>
        <v>1.2334359226018686E-2</v>
      </c>
    </row>
    <row r="77" spans="1:39">
      <c r="A77" t="s">
        <v>115</v>
      </c>
      <c r="B77" s="20">
        <v>2048</v>
      </c>
      <c r="C77" t="s">
        <v>229</v>
      </c>
      <c r="D77" t="s">
        <v>233</v>
      </c>
      <c r="E77" s="22" t="s">
        <v>279</v>
      </c>
      <c r="F77" s="22" t="s">
        <v>280</v>
      </c>
      <c r="G77" s="22" t="s">
        <v>230</v>
      </c>
      <c r="H77" s="22" t="s">
        <v>237</v>
      </c>
      <c r="I77" s="22" t="s">
        <v>265</v>
      </c>
      <c r="J77" s="17">
        <f>IFERROR(INDEX(Cost_Components!$K$2:$K$6,MATCH(E77,Cost_Components!$A$2:$A$6,0)),"")</f>
        <v>0.2</v>
      </c>
      <c r="K77" s="31">
        <v>0.41649999999999998</v>
      </c>
      <c r="L77" s="17">
        <f>IFERROR(INDEX(Cost_Components!$S$2:$S$6,MATCH(E77,Cost_Components!$A$2:$A$6,0)),"")</f>
        <v>0.147914612579645</v>
      </c>
      <c r="M77" s="28">
        <f>IFERROR(INDEX(Cost_Components!$L$2:$L$6,MATCH(E77,Cost_Components!$A$2:$A$6,0)),"")</f>
        <v>1</v>
      </c>
      <c r="N77" s="29">
        <f>IFERROR(INDEX(Cost_Components!$P$2:$P$6,MATCH(E77,Cost_Components!$A$2:$A$6,0)),"")</f>
        <v>0.70495847821973801</v>
      </c>
      <c r="O77" s="23">
        <f t="shared" si="26"/>
        <v>40273309.932613403</v>
      </c>
      <c r="P77" s="23">
        <f t="shared" si="27"/>
        <v>40076817.292443804</v>
      </c>
      <c r="Q77" s="23">
        <f t="shared" si="28"/>
        <v>4178956.4278733945</v>
      </c>
      <c r="R77" s="23">
        <f t="shared" si="29"/>
        <v>11824856.199355755</v>
      </c>
      <c r="S77" s="23">
        <f t="shared" si="30"/>
        <v>7645899.7714823605</v>
      </c>
      <c r="T77" s="16">
        <f>IFERROR(INDEX(Cost_Components!$R$2:$R$6,MATCH(E77,Cost_Components!$A$2:$A$6,0)),"")</f>
        <v>1</v>
      </c>
      <c r="U77" s="26">
        <f>IFERROR(INDEX(Cost_Components!$Q$2:$Q$6,MATCH(E77,Cost_Components!$A$2:$A$6,0)),"")</f>
        <v>2023</v>
      </c>
      <c r="V77" s="30">
        <f>1/(1+Calculation_Assumptions!$B$5)^(B77-Calculation_Assumptions!$B$2)</f>
        <v>0.50669174842969467</v>
      </c>
      <c r="W77" s="23">
        <f t="shared" si="31"/>
        <v>2117442.7390506812</v>
      </c>
      <c r="X77" s="23">
        <f t="shared" si="32"/>
        <v>5991557.0625812812</v>
      </c>
      <c r="Y77" s="23">
        <f t="shared" si="33"/>
        <v>3874114.3235305999</v>
      </c>
      <c r="Z77" s="17">
        <f>IFERROR(INDEX(Cost_Components!$T$2:$T$6,MATCH(E77,Cost_Components!$A$2:$A$6,0)),"")</f>
        <v>0.41649999999999998</v>
      </c>
      <c r="AA77" s="26">
        <f>IFERROR(INDEX(Cost_Components!$U$2:$U$6,MATCH(E77,Cost_Components!$A$2:$A$6,0)),"")</f>
        <v>2025</v>
      </c>
      <c r="AB77" s="26">
        <f>IFERROR(INDEX(Cost_Components!$V$2:$V$6,MATCH(E77,Cost_Components!$A$2:$A$6,0)),"")</f>
        <v>2040</v>
      </c>
      <c r="AC77" s="26">
        <f>IFERROR(INDEX(Cost_Components!$M$2:$M$6,MATCH(E77,Cost_Components!$A$2:$A$6,0)),"")</f>
        <v>30</v>
      </c>
      <c r="AD77" s="26">
        <f>IFERROR(INDEX(Cost_Components!$N$2:$N$6,MATCH(E77,Cost_Components!$A$2:$A$6,0)),"")</f>
        <v>95</v>
      </c>
      <c r="AE77" s="16" t="str">
        <f>IFERROR(INDEX(Cost_Components!$O$2:$O$6,MATCH(E77,Cost_Components!$A$2:$A$6,0)),"")</f>
        <v>Both</v>
      </c>
      <c r="AF77" s="11">
        <v>201366549.66306701</v>
      </c>
      <c r="AG77" s="11">
        <v>200384086.462219</v>
      </c>
      <c r="AH77" s="23">
        <f t="shared" si="34"/>
        <v>1</v>
      </c>
      <c r="AI77" s="10">
        <v>322136832.26016098</v>
      </c>
      <c r="AJ77" s="29">
        <f t="shared" si="35"/>
        <v>1.2972612906612389E-2</v>
      </c>
      <c r="AK77" s="29">
        <f t="shared" si="36"/>
        <v>3.6707557209123734E-2</v>
      </c>
      <c r="AL77" s="29">
        <f t="shared" si="37"/>
        <v>2.3734944302511343E-2</v>
      </c>
      <c r="AM77" s="29">
        <f t="shared" si="38"/>
        <v>1.2026300427520892E-2</v>
      </c>
    </row>
    <row r="78" spans="1:39">
      <c r="A78" t="s">
        <v>115</v>
      </c>
      <c r="B78" s="20">
        <v>2049</v>
      </c>
      <c r="C78" t="s">
        <v>229</v>
      </c>
      <c r="D78" t="s">
        <v>233</v>
      </c>
      <c r="E78" s="22" t="s">
        <v>279</v>
      </c>
      <c r="F78" s="22" t="s">
        <v>280</v>
      </c>
      <c r="G78" s="22" t="s">
        <v>230</v>
      </c>
      <c r="H78" s="22" t="s">
        <v>237</v>
      </c>
      <c r="I78" s="22" t="s">
        <v>265</v>
      </c>
      <c r="J78" s="17">
        <f>IFERROR(INDEX(Cost_Components!$K$2:$K$6,MATCH(E78,Cost_Components!$A$2:$A$6,0)),"")</f>
        <v>0.2</v>
      </c>
      <c r="K78" s="31">
        <v>0.41649999999999998</v>
      </c>
      <c r="L78" s="17">
        <f>IFERROR(INDEX(Cost_Components!$S$2:$S$6,MATCH(E78,Cost_Components!$A$2:$A$6,0)),"")</f>
        <v>0.147914612579645</v>
      </c>
      <c r="M78" s="28">
        <f>IFERROR(INDEX(Cost_Components!$L$2:$L$6,MATCH(E78,Cost_Components!$A$2:$A$6,0)),"")</f>
        <v>1</v>
      </c>
      <c r="N78" s="29">
        <f>IFERROR(INDEX(Cost_Components!$P$2:$P$6,MATCH(E78,Cost_Components!$A$2:$A$6,0)),"")</f>
        <v>0.70495847821973801</v>
      </c>
      <c r="O78" s="23">
        <f t="shared" si="26"/>
        <v>40511402.434936203</v>
      </c>
      <c r="P78" s="23">
        <f t="shared" si="27"/>
        <v>40295942.300163805</v>
      </c>
      <c r="Q78" s="23">
        <f t="shared" si="28"/>
        <v>4201805.3944676537</v>
      </c>
      <c r="R78" s="23">
        <f t="shared" si="29"/>
        <v>11894763.778514825</v>
      </c>
      <c r="S78" s="23">
        <f t="shared" si="30"/>
        <v>7692958.3840471711</v>
      </c>
      <c r="T78" s="16">
        <f>IFERROR(INDEX(Cost_Components!$R$2:$R$6,MATCH(E78,Cost_Components!$A$2:$A$6,0)),"")</f>
        <v>1</v>
      </c>
      <c r="U78" s="26">
        <f>IFERROR(INDEX(Cost_Components!$Q$2:$Q$6,MATCH(E78,Cost_Components!$A$2:$A$6,0)),"")</f>
        <v>2023</v>
      </c>
      <c r="V78" s="30">
        <f>1/(1+Calculation_Assumptions!$B$5)^(B78-Calculation_Assumptions!$B$2)</f>
        <v>0.49193373633950943</v>
      </c>
      <c r="W78" s="23">
        <f t="shared" si="31"/>
        <v>2067009.8270719792</v>
      </c>
      <c r="X78" s="23">
        <f t="shared" si="32"/>
        <v>5851435.5884406585</v>
      </c>
      <c r="Y78" s="23">
        <f t="shared" si="33"/>
        <v>3784425.7613686798</v>
      </c>
      <c r="Z78" s="17">
        <f>IFERROR(INDEX(Cost_Components!$T$2:$T$6,MATCH(E78,Cost_Components!$A$2:$A$6,0)),"")</f>
        <v>0.41649999999999998</v>
      </c>
      <c r="AA78" s="26">
        <f>IFERROR(INDEX(Cost_Components!$U$2:$U$6,MATCH(E78,Cost_Components!$A$2:$A$6,0)),"")</f>
        <v>2025</v>
      </c>
      <c r="AB78" s="26">
        <f>IFERROR(INDEX(Cost_Components!$V$2:$V$6,MATCH(E78,Cost_Components!$A$2:$A$6,0)),"")</f>
        <v>2040</v>
      </c>
      <c r="AC78" s="26">
        <f>IFERROR(INDEX(Cost_Components!$M$2:$M$6,MATCH(E78,Cost_Components!$A$2:$A$6,0)),"")</f>
        <v>30</v>
      </c>
      <c r="AD78" s="26">
        <f>IFERROR(INDEX(Cost_Components!$N$2:$N$6,MATCH(E78,Cost_Components!$A$2:$A$6,0)),"")</f>
        <v>95</v>
      </c>
      <c r="AE78" s="16" t="str">
        <f>IFERROR(INDEX(Cost_Components!$O$2:$O$6,MATCH(E78,Cost_Components!$A$2:$A$6,0)),"")</f>
        <v>Both</v>
      </c>
      <c r="AF78" s="11">
        <v>202557012.17468101</v>
      </c>
      <c r="AG78" s="11">
        <v>201479711.500819</v>
      </c>
      <c r="AH78" s="23">
        <f t="shared" si="34"/>
        <v>1</v>
      </c>
      <c r="AI78" s="10">
        <v>322765819.75268102</v>
      </c>
      <c r="AJ78" s="29">
        <f t="shared" si="35"/>
        <v>1.3018123783017926E-2</v>
      </c>
      <c r="AK78" s="29">
        <f t="shared" si="36"/>
        <v>3.6852612794096892E-2</v>
      </c>
      <c r="AL78" s="29">
        <f t="shared" si="37"/>
        <v>2.3834489011078968E-2</v>
      </c>
      <c r="AM78" s="29">
        <f t="shared" si="38"/>
        <v>1.1724989232963057E-2</v>
      </c>
    </row>
    <row r="79" spans="1:39">
      <c r="A79" t="s">
        <v>115</v>
      </c>
      <c r="B79" s="20">
        <v>2050</v>
      </c>
      <c r="C79" t="s">
        <v>229</v>
      </c>
      <c r="D79" t="s">
        <v>233</v>
      </c>
      <c r="E79" s="22" t="s">
        <v>279</v>
      </c>
      <c r="F79" s="22" t="s">
        <v>280</v>
      </c>
      <c r="G79" s="22" t="s">
        <v>230</v>
      </c>
      <c r="H79" s="22" t="s">
        <v>237</v>
      </c>
      <c r="I79" s="22" t="s">
        <v>265</v>
      </c>
      <c r="J79" s="17">
        <f>IFERROR(INDEX(Cost_Components!$K$2:$K$6,MATCH(E79,Cost_Components!$A$2:$A$6,0)),"")</f>
        <v>0.2</v>
      </c>
      <c r="K79" s="31">
        <v>0.41649999999999998</v>
      </c>
      <c r="L79" s="17">
        <f>IFERROR(INDEX(Cost_Components!$S$2:$S$6,MATCH(E79,Cost_Components!$A$2:$A$6,0)),"")</f>
        <v>0.147914612579645</v>
      </c>
      <c r="M79" s="28">
        <f>IFERROR(INDEX(Cost_Components!$L$2:$L$6,MATCH(E79,Cost_Components!$A$2:$A$6,0)),"")</f>
        <v>1</v>
      </c>
      <c r="N79" s="29">
        <f>IFERROR(INDEX(Cost_Components!$P$2:$P$6,MATCH(E79,Cost_Components!$A$2:$A$6,0)),"")</f>
        <v>0.70495847821973801</v>
      </c>
      <c r="O79" s="23">
        <f t="shared" si="26"/>
        <v>40736766.6260764</v>
      </c>
      <c r="P79" s="23">
        <f t="shared" si="27"/>
        <v>40495959.952096604</v>
      </c>
      <c r="Q79" s="23">
        <f t="shared" si="28"/>
        <v>4222661.9671374178</v>
      </c>
      <c r="R79" s="23">
        <f t="shared" si="29"/>
        <v>11960934.131961709</v>
      </c>
      <c r="S79" s="23">
        <f t="shared" si="30"/>
        <v>7738272.1648242911</v>
      </c>
      <c r="T79" s="16">
        <f>IFERROR(INDEX(Cost_Components!$R$2:$R$6,MATCH(E79,Cost_Components!$A$2:$A$6,0)),"")</f>
        <v>1</v>
      </c>
      <c r="U79" s="26">
        <f>IFERROR(INDEX(Cost_Components!$Q$2:$Q$6,MATCH(E79,Cost_Components!$A$2:$A$6,0)),"")</f>
        <v>2023</v>
      </c>
      <c r="V79" s="30">
        <f>1/(1+Calculation_Assumptions!$B$5)^(B79-Calculation_Assumptions!$B$2)</f>
        <v>0.47760556926165965</v>
      </c>
      <c r="W79" s="23">
        <f t="shared" si="31"/>
        <v>2016766.8726142258</v>
      </c>
      <c r="X79" s="23">
        <f t="shared" si="32"/>
        <v>5712608.7549967868</v>
      </c>
      <c r="Y79" s="23">
        <f t="shared" si="33"/>
        <v>3695841.882382561</v>
      </c>
      <c r="Z79" s="17">
        <f>IFERROR(INDEX(Cost_Components!$T$2:$T$6,MATCH(E79,Cost_Components!$A$2:$A$6,0)),"")</f>
        <v>0.41649999999999998</v>
      </c>
      <c r="AA79" s="26">
        <f>IFERROR(INDEX(Cost_Components!$U$2:$U$6,MATCH(E79,Cost_Components!$A$2:$A$6,0)),"")</f>
        <v>2025</v>
      </c>
      <c r="AB79" s="26">
        <f>IFERROR(INDEX(Cost_Components!$V$2:$V$6,MATCH(E79,Cost_Components!$A$2:$A$6,0)),"")</f>
        <v>2040</v>
      </c>
      <c r="AC79" s="26">
        <f>IFERROR(INDEX(Cost_Components!$M$2:$M$6,MATCH(E79,Cost_Components!$A$2:$A$6,0)),"")</f>
        <v>30</v>
      </c>
      <c r="AD79" s="26">
        <f>IFERROR(INDEX(Cost_Components!$N$2:$N$6,MATCH(E79,Cost_Components!$A$2:$A$6,0)),"")</f>
        <v>95</v>
      </c>
      <c r="AE79" s="16" t="str">
        <f>IFERROR(INDEX(Cost_Components!$O$2:$O$6,MATCH(E79,Cost_Components!$A$2:$A$6,0)),"")</f>
        <v>Both</v>
      </c>
      <c r="AF79" s="11">
        <v>203683833.130382</v>
      </c>
      <c r="AG79" s="11">
        <v>202479799.760483</v>
      </c>
      <c r="AH79" s="23">
        <f t="shared" si="34"/>
        <v>1</v>
      </c>
      <c r="AI79" s="10">
        <v>323312042.56328499</v>
      </c>
      <c r="AJ79" s="29">
        <f t="shared" si="35"/>
        <v>1.3060639293418448E-2</v>
      </c>
      <c r="AK79" s="29">
        <f t="shared" si="36"/>
        <v>3.6995015827845264E-2</v>
      </c>
      <c r="AL79" s="29">
        <f t="shared" si="37"/>
        <v>2.3934376534426812E-2</v>
      </c>
      <c r="AM79" s="29">
        <f t="shared" si="38"/>
        <v>1.1431191529647826E-2</v>
      </c>
    </row>
    <row r="80" spans="1:39">
      <c r="A80" t="s">
        <v>115</v>
      </c>
      <c r="B80" s="20">
        <v>2025</v>
      </c>
      <c r="C80" t="s">
        <v>229</v>
      </c>
      <c r="D80" t="s">
        <v>233</v>
      </c>
      <c r="E80" s="22" t="s">
        <v>276</v>
      </c>
      <c r="F80" s="22" t="s">
        <v>277</v>
      </c>
      <c r="G80" s="22" t="s">
        <v>230</v>
      </c>
      <c r="H80" s="22" t="s">
        <v>237</v>
      </c>
      <c r="I80" s="22" t="s">
        <v>274</v>
      </c>
      <c r="J80" s="17">
        <f>IFERROR(INDEX(Cost_Components!$K$2:$K$6,MATCH(E80,Cost_Components!$A$2:$A$6,0)),"")</f>
        <v>0.6</v>
      </c>
      <c r="K80" s="31">
        <v>0.147914612579645</v>
      </c>
      <c r="L80" s="17">
        <f>IFERROR(INDEX(Cost_Components!$S$2:$S$6,MATCH(E80,Cost_Components!$A$2:$A$6,0)),"")</f>
        <v>0.147914612579645</v>
      </c>
      <c r="M80" s="28">
        <f>IFERROR(INDEX(Cost_Components!$L$2:$L$6,MATCH(E80,Cost_Components!$A$2:$A$6,0)),"")</f>
        <v>1</v>
      </c>
      <c r="N80" s="29">
        <f>IFERROR(INDEX(Cost_Components!$P$2:$P$6,MATCH(E80,Cost_Components!$A$2:$A$6,0)),"")</f>
        <v>752.57623226071905</v>
      </c>
      <c r="O80" s="23">
        <f t="shared" si="26"/>
        <v>8785419.2865855005</v>
      </c>
      <c r="P80" s="23">
        <f t="shared" si="27"/>
        <v>8785419.2865855005</v>
      </c>
      <c r="Q80" s="23">
        <f t="shared" si="28"/>
        <v>977966710.52365959</v>
      </c>
      <c r="R80" s="23">
        <f t="shared" si="29"/>
        <v>977966710.52365959</v>
      </c>
      <c r="S80" s="23">
        <f t="shared" si="30"/>
        <v>0</v>
      </c>
      <c r="T80" s="16">
        <f>IFERROR(INDEX(Cost_Components!$R$2:$R$6,MATCH(E80,Cost_Components!$A$2:$A$6,0)),"")</f>
        <v>1</v>
      </c>
      <c r="U80" s="26">
        <f>IFERROR(INDEX(Cost_Components!$Q$2:$Q$6,MATCH(E80,Cost_Components!$A$2:$A$6,0)),"")</f>
        <v>2023</v>
      </c>
      <c r="V80" s="30">
        <f>1/(1+Calculation_Assumptions!$B$5)^(B80-Calculation_Assumptions!$B$2)</f>
        <v>1</v>
      </c>
      <c r="W80" s="23">
        <f t="shared" si="31"/>
        <v>977966710.52365959</v>
      </c>
      <c r="X80" s="23">
        <f t="shared" si="32"/>
        <v>977966710.52365959</v>
      </c>
      <c r="Y80" s="23">
        <f t="shared" si="33"/>
        <v>0</v>
      </c>
      <c r="Z80" s="17">
        <f>IFERROR(INDEX(Cost_Components!$T$2:$T$6,MATCH(E80,Cost_Components!$A$2:$A$6,0)),"")</f>
        <v>0.41649999999999998</v>
      </c>
      <c r="AA80" s="26">
        <f>IFERROR(INDEX(Cost_Components!$U$2:$U$6,MATCH(E80,Cost_Components!$A$2:$A$6,0)),"")</f>
        <v>2025</v>
      </c>
      <c r="AB80" s="26">
        <f>IFERROR(INDEX(Cost_Components!$V$2:$V$6,MATCH(E80,Cost_Components!$A$2:$A$6,0)),"")</f>
        <v>2040</v>
      </c>
      <c r="AC80" s="26">
        <f>IFERROR(INDEX(Cost_Components!$M$2:$M$6,MATCH(E80,Cost_Components!$A$2:$A$6,0)),"")</f>
        <v>30</v>
      </c>
      <c r="AD80" s="26">
        <f>IFERROR(INDEX(Cost_Components!$N$2:$N$6,MATCH(E80,Cost_Components!$A$2:$A$6,0)),"")</f>
        <v>95</v>
      </c>
      <c r="AE80" s="16" t="str">
        <f>IFERROR(INDEX(Cost_Components!$O$2:$O$6,MATCH(E80,Cost_Components!$A$2:$A$6,0)),"")</f>
        <v>Both</v>
      </c>
      <c r="AF80" s="11">
        <v>14642365.477642501</v>
      </c>
      <c r="AG80" s="11">
        <v>14642365.477642501</v>
      </c>
      <c r="AH80" s="23">
        <f t="shared" si="34"/>
        <v>1</v>
      </c>
      <c r="AI80" s="10">
        <v>288391907.64445603</v>
      </c>
      <c r="AJ80" s="29">
        <f t="shared" si="35"/>
        <v>3.3911031641336686</v>
      </c>
      <c r="AK80" s="29">
        <f t="shared" si="36"/>
        <v>3.3911031641336686</v>
      </c>
      <c r="AL80" s="29">
        <f t="shared" si="37"/>
        <v>0</v>
      </c>
      <c r="AM80" s="29">
        <f t="shared" si="38"/>
        <v>0</v>
      </c>
    </row>
    <row r="81" spans="1:39">
      <c r="A81" t="s">
        <v>115</v>
      </c>
      <c r="B81" s="20">
        <v>2026</v>
      </c>
      <c r="C81" t="s">
        <v>229</v>
      </c>
      <c r="D81" t="s">
        <v>233</v>
      </c>
      <c r="E81" s="22" t="s">
        <v>276</v>
      </c>
      <c r="F81" s="22" t="s">
        <v>277</v>
      </c>
      <c r="G81" s="22" t="s">
        <v>230</v>
      </c>
      <c r="H81" s="22" t="s">
        <v>237</v>
      </c>
      <c r="I81" s="22" t="s">
        <v>274</v>
      </c>
      <c r="J81" s="17">
        <f>IFERROR(INDEX(Cost_Components!$K$2:$K$6,MATCH(E81,Cost_Components!$A$2:$A$6,0)),"")</f>
        <v>0.6</v>
      </c>
      <c r="K81" s="31">
        <v>0.14853345980212701</v>
      </c>
      <c r="L81" s="17">
        <f>IFERROR(INDEX(Cost_Components!$S$2:$S$6,MATCH(E81,Cost_Components!$A$2:$A$6,0)),"")</f>
        <v>0.147914612579645</v>
      </c>
      <c r="M81" s="28">
        <f>IFERROR(INDEX(Cost_Components!$L$2:$L$6,MATCH(E81,Cost_Components!$A$2:$A$6,0)),"")</f>
        <v>1</v>
      </c>
      <c r="N81" s="29">
        <f>IFERROR(INDEX(Cost_Components!$P$2:$P$6,MATCH(E81,Cost_Components!$A$2:$A$6,0)),"")</f>
        <v>752.57623226071905</v>
      </c>
      <c r="O81" s="23">
        <f t="shared" si="26"/>
        <v>9067230.8730589207</v>
      </c>
      <c r="P81" s="23">
        <f t="shared" si="27"/>
        <v>9067215.6447548401</v>
      </c>
      <c r="Q81" s="23">
        <f t="shared" si="28"/>
        <v>1009335441.8780311</v>
      </c>
      <c r="R81" s="23">
        <f t="shared" si="29"/>
        <v>1013560015.8619365</v>
      </c>
      <c r="S81" s="23">
        <f t="shared" si="30"/>
        <v>4224573.9839053154</v>
      </c>
      <c r="T81" s="16">
        <f>IFERROR(INDEX(Cost_Components!$R$2:$R$6,MATCH(E81,Cost_Components!$A$2:$A$6,0)),"")</f>
        <v>1</v>
      </c>
      <c r="U81" s="26">
        <f>IFERROR(INDEX(Cost_Components!$Q$2:$Q$6,MATCH(E81,Cost_Components!$A$2:$A$6,0)),"")</f>
        <v>2023</v>
      </c>
      <c r="V81" s="30">
        <f>1/(1+Calculation_Assumptions!$B$5)^(B81-Calculation_Assumptions!$B$2)</f>
        <v>0.970873786407767</v>
      </c>
      <c r="W81" s="23">
        <f t="shared" si="31"/>
        <v>979937322.21168077</v>
      </c>
      <c r="X81" s="23">
        <f t="shared" si="32"/>
        <v>984038850.35139465</v>
      </c>
      <c r="Y81" s="23">
        <f t="shared" si="33"/>
        <v>4101528.1397138983</v>
      </c>
      <c r="Z81" s="17">
        <f>IFERROR(INDEX(Cost_Components!$T$2:$T$6,MATCH(E81,Cost_Components!$A$2:$A$6,0)),"")</f>
        <v>0.41649999999999998</v>
      </c>
      <c r="AA81" s="26">
        <f>IFERROR(INDEX(Cost_Components!$U$2:$U$6,MATCH(E81,Cost_Components!$A$2:$A$6,0)),"")</f>
        <v>2025</v>
      </c>
      <c r="AB81" s="26">
        <f>IFERROR(INDEX(Cost_Components!$V$2:$V$6,MATCH(E81,Cost_Components!$A$2:$A$6,0)),"")</f>
        <v>2040</v>
      </c>
      <c r="AC81" s="26">
        <f>IFERROR(INDEX(Cost_Components!$M$2:$M$6,MATCH(E81,Cost_Components!$A$2:$A$6,0)),"")</f>
        <v>30</v>
      </c>
      <c r="AD81" s="26">
        <f>IFERROR(INDEX(Cost_Components!$N$2:$N$6,MATCH(E81,Cost_Components!$A$2:$A$6,0)),"")</f>
        <v>95</v>
      </c>
      <c r="AE81" s="16" t="str">
        <f>IFERROR(INDEX(Cost_Components!$O$2:$O$6,MATCH(E81,Cost_Components!$A$2:$A$6,0)),"")</f>
        <v>Both</v>
      </c>
      <c r="AF81" s="11">
        <v>15112051.455098201</v>
      </c>
      <c r="AG81" s="11">
        <v>15112026.0745914</v>
      </c>
      <c r="AH81" s="23">
        <f t="shared" si="34"/>
        <v>1</v>
      </c>
      <c r="AI81" s="10">
        <v>290472130.233437</v>
      </c>
      <c r="AJ81" s="29">
        <f t="shared" si="35"/>
        <v>3.4748099277782067</v>
      </c>
      <c r="AK81" s="29">
        <f t="shared" si="36"/>
        <v>3.4893537464244577</v>
      </c>
      <c r="AL81" s="29">
        <f t="shared" si="37"/>
        <v>1.454381864625102E-2</v>
      </c>
      <c r="AM81" s="29">
        <f t="shared" si="38"/>
        <v>1.4120212277913611E-2</v>
      </c>
    </row>
    <row r="82" spans="1:39">
      <c r="A82" t="s">
        <v>115</v>
      </c>
      <c r="B82" s="20">
        <v>2027</v>
      </c>
      <c r="C82" t="s">
        <v>229</v>
      </c>
      <c r="D82" t="s">
        <v>233</v>
      </c>
      <c r="E82" s="22" t="s">
        <v>276</v>
      </c>
      <c r="F82" s="22" t="s">
        <v>277</v>
      </c>
      <c r="G82" s="22" t="s">
        <v>230</v>
      </c>
      <c r="H82" s="22" t="s">
        <v>237</v>
      </c>
      <c r="I82" s="22" t="s">
        <v>274</v>
      </c>
      <c r="J82" s="17">
        <f>IFERROR(INDEX(Cost_Components!$K$2:$K$6,MATCH(E82,Cost_Components!$A$2:$A$6,0)),"")</f>
        <v>0.6</v>
      </c>
      <c r="K82" s="31">
        <v>0.14915230702460899</v>
      </c>
      <c r="L82" s="17">
        <f>IFERROR(INDEX(Cost_Components!$S$2:$S$6,MATCH(E82,Cost_Components!$A$2:$A$6,0)),"")</f>
        <v>0.147914612579645</v>
      </c>
      <c r="M82" s="28">
        <f>IFERROR(INDEX(Cost_Components!$L$2:$L$6,MATCH(E82,Cost_Components!$A$2:$A$6,0)),"")</f>
        <v>1</v>
      </c>
      <c r="N82" s="29">
        <f>IFERROR(INDEX(Cost_Components!$P$2:$P$6,MATCH(E82,Cost_Components!$A$2:$A$6,0)),"")</f>
        <v>752.57623226071905</v>
      </c>
      <c r="O82" s="23">
        <f t="shared" si="26"/>
        <v>9352906.8115373999</v>
      </c>
      <c r="P82" s="23">
        <f t="shared" si="27"/>
        <v>9352861.3491609599</v>
      </c>
      <c r="Q82" s="23">
        <f t="shared" si="28"/>
        <v>1041132670.9914795</v>
      </c>
      <c r="R82" s="23">
        <f t="shared" si="29"/>
        <v>1049849584.9012823</v>
      </c>
      <c r="S82" s="23">
        <f t="shared" si="30"/>
        <v>8716913.9098027945</v>
      </c>
      <c r="T82" s="16">
        <f>IFERROR(INDEX(Cost_Components!$R$2:$R$6,MATCH(E82,Cost_Components!$A$2:$A$6,0)),"")</f>
        <v>1</v>
      </c>
      <c r="U82" s="26">
        <f>IFERROR(INDEX(Cost_Components!$Q$2:$Q$6,MATCH(E82,Cost_Components!$A$2:$A$6,0)),"")</f>
        <v>2023</v>
      </c>
      <c r="V82" s="30">
        <f>1/(1+Calculation_Assumptions!$B$5)^(B82-Calculation_Assumptions!$B$2)</f>
        <v>0.94259590913375435</v>
      </c>
      <c r="W82" s="23">
        <f t="shared" si="31"/>
        <v>981367396.54206765</v>
      </c>
      <c r="X82" s="23">
        <f t="shared" si="32"/>
        <v>989583923.9337188</v>
      </c>
      <c r="Y82" s="23">
        <f t="shared" si="33"/>
        <v>8216527.3916512346</v>
      </c>
      <c r="Z82" s="17">
        <f>IFERROR(INDEX(Cost_Components!$T$2:$T$6,MATCH(E82,Cost_Components!$A$2:$A$6,0)),"")</f>
        <v>0.41649999999999998</v>
      </c>
      <c r="AA82" s="26">
        <f>IFERROR(INDEX(Cost_Components!$U$2:$U$6,MATCH(E82,Cost_Components!$A$2:$A$6,0)),"")</f>
        <v>2025</v>
      </c>
      <c r="AB82" s="26">
        <f>IFERROR(INDEX(Cost_Components!$V$2:$V$6,MATCH(E82,Cost_Components!$A$2:$A$6,0)),"")</f>
        <v>2040</v>
      </c>
      <c r="AC82" s="26">
        <f>IFERROR(INDEX(Cost_Components!$M$2:$M$6,MATCH(E82,Cost_Components!$A$2:$A$6,0)),"")</f>
        <v>30</v>
      </c>
      <c r="AD82" s="26">
        <f>IFERROR(INDEX(Cost_Components!$N$2:$N$6,MATCH(E82,Cost_Components!$A$2:$A$6,0)),"")</f>
        <v>95</v>
      </c>
      <c r="AE82" s="16" t="str">
        <f>IFERROR(INDEX(Cost_Components!$O$2:$O$6,MATCH(E82,Cost_Components!$A$2:$A$6,0)),"")</f>
        <v>Both</v>
      </c>
      <c r="AF82" s="11">
        <v>15588178.019229</v>
      </c>
      <c r="AG82" s="11">
        <v>15588102.248601601</v>
      </c>
      <c r="AH82" s="23">
        <f t="shared" si="34"/>
        <v>1</v>
      </c>
      <c r="AI82" s="10">
        <v>292505080.826208</v>
      </c>
      <c r="AJ82" s="29">
        <f t="shared" si="35"/>
        <v>3.559366107592739</v>
      </c>
      <c r="AK82" s="29">
        <f t="shared" si="36"/>
        <v>3.5891670050170883</v>
      </c>
      <c r="AL82" s="29">
        <f t="shared" si="37"/>
        <v>2.9800897424349194E-2</v>
      </c>
      <c r="AM82" s="29">
        <f t="shared" si="38"/>
        <v>2.8090204000706189E-2</v>
      </c>
    </row>
    <row r="83" spans="1:39">
      <c r="A83" t="s">
        <v>115</v>
      </c>
      <c r="B83" s="20">
        <v>2028</v>
      </c>
      <c r="C83" t="s">
        <v>229</v>
      </c>
      <c r="D83" t="s">
        <v>233</v>
      </c>
      <c r="E83" s="22" t="s">
        <v>276</v>
      </c>
      <c r="F83" s="22" t="s">
        <v>277</v>
      </c>
      <c r="G83" s="22" t="s">
        <v>230</v>
      </c>
      <c r="H83" s="22" t="s">
        <v>237</v>
      </c>
      <c r="I83" s="22" t="s">
        <v>274</v>
      </c>
      <c r="J83" s="17">
        <f>IFERROR(INDEX(Cost_Components!$K$2:$K$6,MATCH(E83,Cost_Components!$A$2:$A$6,0)),"")</f>
        <v>0.6</v>
      </c>
      <c r="K83" s="31">
        <v>0.149771154247091</v>
      </c>
      <c r="L83" s="17">
        <f>IFERROR(INDEX(Cost_Components!$S$2:$S$6,MATCH(E83,Cost_Components!$A$2:$A$6,0)),"")</f>
        <v>0.147914612579645</v>
      </c>
      <c r="M83" s="28">
        <f>IFERROR(INDEX(Cost_Components!$L$2:$L$6,MATCH(E83,Cost_Components!$A$2:$A$6,0)),"")</f>
        <v>1</v>
      </c>
      <c r="N83" s="29">
        <f>IFERROR(INDEX(Cost_Components!$P$2:$P$6,MATCH(E83,Cost_Components!$A$2:$A$6,0)),"")</f>
        <v>752.57623226071905</v>
      </c>
      <c r="O83" s="23">
        <f t="shared" si="26"/>
        <v>9621286.6759988386</v>
      </c>
      <c r="P83" s="23">
        <f t="shared" si="27"/>
        <v>9621194.5654606801</v>
      </c>
      <c r="Q83" s="23">
        <f t="shared" si="28"/>
        <v>1071002725.4884303</v>
      </c>
      <c r="R83" s="23">
        <f t="shared" si="29"/>
        <v>1084455736.14957</v>
      </c>
      <c r="S83" s="23">
        <f t="shared" si="30"/>
        <v>13453010.661139727</v>
      </c>
      <c r="T83" s="16">
        <f>IFERROR(INDEX(Cost_Components!$R$2:$R$6,MATCH(E83,Cost_Components!$A$2:$A$6,0)),"")</f>
        <v>1</v>
      </c>
      <c r="U83" s="26">
        <f>IFERROR(INDEX(Cost_Components!$Q$2:$Q$6,MATCH(E83,Cost_Components!$A$2:$A$6,0)),"")</f>
        <v>2023</v>
      </c>
      <c r="V83" s="30">
        <f>1/(1+Calculation_Assumptions!$B$5)^(B83-Calculation_Assumptions!$B$2)</f>
        <v>0.91514165935315961</v>
      </c>
      <c r="W83" s="23">
        <f t="shared" si="31"/>
        <v>980119211.37523854</v>
      </c>
      <c r="X83" s="23">
        <f t="shared" si="32"/>
        <v>992430621.87496972</v>
      </c>
      <c r="Y83" s="23">
        <f t="shared" si="33"/>
        <v>12311410.499731157</v>
      </c>
      <c r="Z83" s="17">
        <f>IFERROR(INDEX(Cost_Components!$T$2:$T$6,MATCH(E83,Cost_Components!$A$2:$A$6,0)),"")</f>
        <v>0.41649999999999998</v>
      </c>
      <c r="AA83" s="26">
        <f>IFERROR(INDEX(Cost_Components!$U$2:$U$6,MATCH(E83,Cost_Components!$A$2:$A$6,0)),"")</f>
        <v>2025</v>
      </c>
      <c r="AB83" s="26">
        <f>IFERROR(INDEX(Cost_Components!$V$2:$V$6,MATCH(E83,Cost_Components!$A$2:$A$6,0)),"")</f>
        <v>2040</v>
      </c>
      <c r="AC83" s="26">
        <f>IFERROR(INDEX(Cost_Components!$M$2:$M$6,MATCH(E83,Cost_Components!$A$2:$A$6,0)),"")</f>
        <v>30</v>
      </c>
      <c r="AD83" s="26">
        <f>IFERROR(INDEX(Cost_Components!$N$2:$N$6,MATCH(E83,Cost_Components!$A$2:$A$6,0)),"")</f>
        <v>95</v>
      </c>
      <c r="AE83" s="16" t="str">
        <f>IFERROR(INDEX(Cost_Components!$O$2:$O$6,MATCH(E83,Cost_Components!$A$2:$A$6,0)),"")</f>
        <v>Both</v>
      </c>
      <c r="AF83" s="11">
        <v>16035477.7933314</v>
      </c>
      <c r="AG83" s="11">
        <v>16035324.275767799</v>
      </c>
      <c r="AH83" s="23">
        <f t="shared" si="34"/>
        <v>1</v>
      </c>
      <c r="AI83" s="10">
        <v>294484707.92155403</v>
      </c>
      <c r="AJ83" s="29">
        <f t="shared" si="35"/>
        <v>3.6368704271521226</v>
      </c>
      <c r="AK83" s="29">
        <f t="shared" si="36"/>
        <v>3.682553650420624</v>
      </c>
      <c r="AL83" s="29">
        <f t="shared" si="37"/>
        <v>4.5683223268501237E-2</v>
      </c>
      <c r="AM83" s="29">
        <f t="shared" si="38"/>
        <v>4.1806620746537092E-2</v>
      </c>
    </row>
    <row r="84" spans="1:39">
      <c r="A84" t="s">
        <v>115</v>
      </c>
      <c r="B84" s="20">
        <v>2029</v>
      </c>
      <c r="C84" t="s">
        <v>229</v>
      </c>
      <c r="D84" t="s">
        <v>233</v>
      </c>
      <c r="E84" s="22" t="s">
        <v>276</v>
      </c>
      <c r="F84" s="22" t="s">
        <v>277</v>
      </c>
      <c r="G84" s="22" t="s">
        <v>230</v>
      </c>
      <c r="H84" s="22" t="s">
        <v>237</v>
      </c>
      <c r="I84" s="22" t="s">
        <v>274</v>
      </c>
      <c r="J84" s="17">
        <f>IFERROR(INDEX(Cost_Components!$K$2:$K$6,MATCH(E84,Cost_Components!$A$2:$A$6,0)),"")</f>
        <v>0.6</v>
      </c>
      <c r="K84" s="31">
        <v>0.15039000146957299</v>
      </c>
      <c r="L84" s="17">
        <f>IFERROR(INDEX(Cost_Components!$S$2:$S$6,MATCH(E84,Cost_Components!$A$2:$A$6,0)),"")</f>
        <v>0.147914612579645</v>
      </c>
      <c r="M84" s="28">
        <f>IFERROR(INDEX(Cost_Components!$L$2:$L$6,MATCH(E84,Cost_Components!$A$2:$A$6,0)),"")</f>
        <v>1</v>
      </c>
      <c r="N84" s="29">
        <f>IFERROR(INDEX(Cost_Components!$P$2:$P$6,MATCH(E84,Cost_Components!$A$2:$A$6,0)),"")</f>
        <v>752.57623226071905</v>
      </c>
      <c r="O84" s="23">
        <f t="shared" si="26"/>
        <v>9889469.3291688599</v>
      </c>
      <c r="P84" s="23">
        <f t="shared" si="27"/>
        <v>9889311.7215369605</v>
      </c>
      <c r="Q84" s="23">
        <f t="shared" si="28"/>
        <v>1100848728.8047712</v>
      </c>
      <c r="R84" s="23">
        <f t="shared" si="29"/>
        <v>1119289551.9890435</v>
      </c>
      <c r="S84" s="23">
        <f t="shared" si="30"/>
        <v>18440823.184272289</v>
      </c>
      <c r="T84" s="16">
        <f>IFERROR(INDEX(Cost_Components!$R$2:$R$6,MATCH(E84,Cost_Components!$A$2:$A$6,0)),"")</f>
        <v>1</v>
      </c>
      <c r="U84" s="26">
        <f>IFERROR(INDEX(Cost_Components!$Q$2:$Q$6,MATCH(E84,Cost_Components!$A$2:$A$6,0)),"")</f>
        <v>2023</v>
      </c>
      <c r="V84" s="30">
        <f>1/(1+Calculation_Assumptions!$B$5)^(B84-Calculation_Assumptions!$B$2)</f>
        <v>0.888487047915689</v>
      </c>
      <c r="W84" s="23">
        <f t="shared" si="31"/>
        <v>978089837.25749004</v>
      </c>
      <c r="X84" s="23">
        <f t="shared" si="32"/>
        <v>994474269.80961931</v>
      </c>
      <c r="Y84" s="23">
        <f t="shared" si="33"/>
        <v>16384432.552129282</v>
      </c>
      <c r="Z84" s="17">
        <f>IFERROR(INDEX(Cost_Components!$T$2:$T$6,MATCH(E84,Cost_Components!$A$2:$A$6,0)),"")</f>
        <v>0.41649999999999998</v>
      </c>
      <c r="AA84" s="26">
        <f>IFERROR(INDEX(Cost_Components!$U$2:$U$6,MATCH(E84,Cost_Components!$A$2:$A$6,0)),"")</f>
        <v>2025</v>
      </c>
      <c r="AB84" s="26">
        <f>IFERROR(INDEX(Cost_Components!$V$2:$V$6,MATCH(E84,Cost_Components!$A$2:$A$6,0)),"")</f>
        <v>2040</v>
      </c>
      <c r="AC84" s="26">
        <f>IFERROR(INDEX(Cost_Components!$M$2:$M$6,MATCH(E84,Cost_Components!$A$2:$A$6,0)),"")</f>
        <v>30</v>
      </c>
      <c r="AD84" s="26">
        <f>IFERROR(INDEX(Cost_Components!$N$2:$N$6,MATCH(E84,Cost_Components!$A$2:$A$6,0)),"")</f>
        <v>95</v>
      </c>
      <c r="AE84" s="16" t="str">
        <f>IFERROR(INDEX(Cost_Components!$O$2:$O$6,MATCH(E84,Cost_Components!$A$2:$A$6,0)),"")</f>
        <v>Both</v>
      </c>
      <c r="AF84" s="11">
        <v>16482448.8819481</v>
      </c>
      <c r="AG84" s="11">
        <v>16482186.2025616</v>
      </c>
      <c r="AH84" s="23">
        <f t="shared" si="34"/>
        <v>1</v>
      </c>
      <c r="AI84" s="10">
        <v>296414030.31142998</v>
      </c>
      <c r="AJ84" s="29">
        <f t="shared" si="35"/>
        <v>3.7138887374803242</v>
      </c>
      <c r="AK84" s="29">
        <f t="shared" si="36"/>
        <v>3.7761017952255909</v>
      </c>
      <c r="AL84" s="29">
        <f t="shared" si="37"/>
        <v>6.2213057745266913E-2</v>
      </c>
      <c r="AM84" s="29">
        <f t="shared" si="38"/>
        <v>5.5275496017900487E-2</v>
      </c>
    </row>
    <row r="85" spans="1:39">
      <c r="A85" t="s">
        <v>115</v>
      </c>
      <c r="B85" s="20">
        <v>2030</v>
      </c>
      <c r="C85" t="s">
        <v>229</v>
      </c>
      <c r="D85" t="s">
        <v>233</v>
      </c>
      <c r="E85" s="22" t="s">
        <v>276</v>
      </c>
      <c r="F85" s="22" t="s">
        <v>277</v>
      </c>
      <c r="G85" s="22" t="s">
        <v>230</v>
      </c>
      <c r="H85" s="22" t="s">
        <v>237</v>
      </c>
      <c r="I85" s="22" t="s">
        <v>274</v>
      </c>
      <c r="J85" s="17">
        <f>IFERROR(INDEX(Cost_Components!$K$2:$K$6,MATCH(E85,Cost_Components!$A$2:$A$6,0)),"")</f>
        <v>0.6</v>
      </c>
      <c r="K85" s="31">
        <v>0.151008848692055</v>
      </c>
      <c r="L85" s="17">
        <f>IFERROR(INDEX(Cost_Components!$S$2:$S$6,MATCH(E85,Cost_Components!$A$2:$A$6,0)),"")</f>
        <v>0.147914612579645</v>
      </c>
      <c r="M85" s="28">
        <f>IFERROR(INDEX(Cost_Components!$L$2:$L$6,MATCH(E85,Cost_Components!$A$2:$A$6,0)),"")</f>
        <v>1</v>
      </c>
      <c r="N85" s="29">
        <f>IFERROR(INDEX(Cost_Components!$P$2:$P$6,MATCH(E85,Cost_Components!$A$2:$A$6,0)),"")</f>
        <v>752.57623226071905</v>
      </c>
      <c r="O85" s="23">
        <f t="shared" si="26"/>
        <v>10156884.264638579</v>
      </c>
      <c r="P85" s="23">
        <f t="shared" si="27"/>
        <v>10156639.473753</v>
      </c>
      <c r="Q85" s="23">
        <f t="shared" si="28"/>
        <v>1130606858.0343683</v>
      </c>
      <c r="R85" s="23">
        <f t="shared" si="29"/>
        <v>1154285921.2949326</v>
      </c>
      <c r="S85" s="23">
        <f t="shared" si="30"/>
        <v>23679063.260564327</v>
      </c>
      <c r="T85" s="16">
        <f>IFERROR(INDEX(Cost_Components!$R$2:$R$6,MATCH(E85,Cost_Components!$A$2:$A$6,0)),"")</f>
        <v>1</v>
      </c>
      <c r="U85" s="26">
        <f>IFERROR(INDEX(Cost_Components!$Q$2:$Q$6,MATCH(E85,Cost_Components!$A$2:$A$6,0)),"")</f>
        <v>2023</v>
      </c>
      <c r="V85" s="30">
        <f>1/(1+Calculation_Assumptions!$B$5)^(B85-Calculation_Assumptions!$B$2)</f>
        <v>0.86260878438416411</v>
      </c>
      <c r="W85" s="23">
        <f t="shared" si="31"/>
        <v>975271407.42542565</v>
      </c>
      <c r="X85" s="23">
        <f t="shared" si="32"/>
        <v>995697175.39997673</v>
      </c>
      <c r="Y85" s="23">
        <f t="shared" si="33"/>
        <v>20425767.974551115</v>
      </c>
      <c r="Z85" s="17">
        <f>IFERROR(INDEX(Cost_Components!$T$2:$T$6,MATCH(E85,Cost_Components!$A$2:$A$6,0)),"")</f>
        <v>0.41649999999999998</v>
      </c>
      <c r="AA85" s="26">
        <f>IFERROR(INDEX(Cost_Components!$U$2:$U$6,MATCH(E85,Cost_Components!$A$2:$A$6,0)),"")</f>
        <v>2025</v>
      </c>
      <c r="AB85" s="26">
        <f>IFERROR(INDEX(Cost_Components!$V$2:$V$6,MATCH(E85,Cost_Components!$A$2:$A$6,0)),"")</f>
        <v>2040</v>
      </c>
      <c r="AC85" s="26">
        <f>IFERROR(INDEX(Cost_Components!$M$2:$M$6,MATCH(E85,Cost_Components!$A$2:$A$6,0)),"")</f>
        <v>30</v>
      </c>
      <c r="AD85" s="26">
        <f>IFERROR(INDEX(Cost_Components!$N$2:$N$6,MATCH(E85,Cost_Components!$A$2:$A$6,0)),"")</f>
        <v>95</v>
      </c>
      <c r="AE85" s="16" t="str">
        <f>IFERROR(INDEX(Cost_Components!$O$2:$O$6,MATCH(E85,Cost_Components!$A$2:$A$6,0)),"")</f>
        <v>Both</v>
      </c>
      <c r="AF85" s="11">
        <v>16928140.441064298</v>
      </c>
      <c r="AG85" s="11">
        <v>16927732.456255</v>
      </c>
      <c r="AH85" s="23">
        <f t="shared" si="34"/>
        <v>1</v>
      </c>
      <c r="AI85" s="10">
        <v>298289404.664994</v>
      </c>
      <c r="AJ85" s="29">
        <f t="shared" si="35"/>
        <v>3.7903017685262475</v>
      </c>
      <c r="AK85" s="29">
        <f t="shared" si="36"/>
        <v>3.8696846191747913</v>
      </c>
      <c r="AL85" s="29">
        <f t="shared" si="37"/>
        <v>7.9382850648544015E-2</v>
      </c>
      <c r="AM85" s="29">
        <f t="shared" si="38"/>
        <v>6.8476344298890199E-2</v>
      </c>
    </row>
    <row r="86" spans="1:39">
      <c r="A86" t="s">
        <v>115</v>
      </c>
      <c r="B86" s="20">
        <v>2031</v>
      </c>
      <c r="C86" t="s">
        <v>229</v>
      </c>
      <c r="D86" t="s">
        <v>233</v>
      </c>
      <c r="E86" s="22" t="s">
        <v>276</v>
      </c>
      <c r="F86" s="22" t="s">
        <v>277</v>
      </c>
      <c r="G86" s="22" t="s">
        <v>230</v>
      </c>
      <c r="H86" s="22" t="s">
        <v>237</v>
      </c>
      <c r="I86" s="22" t="s">
        <v>274</v>
      </c>
      <c r="J86" s="17">
        <f>IFERROR(INDEX(Cost_Components!$K$2:$K$6,MATCH(E86,Cost_Components!$A$2:$A$6,0)),"")</f>
        <v>0.6</v>
      </c>
      <c r="K86" s="31">
        <v>0.177557963822849</v>
      </c>
      <c r="L86" s="17">
        <f>IFERROR(INDEX(Cost_Components!$S$2:$S$6,MATCH(E86,Cost_Components!$A$2:$A$6,0)),"")</f>
        <v>0.147914612579645</v>
      </c>
      <c r="M86" s="28">
        <f>IFERROR(INDEX(Cost_Components!$L$2:$L$6,MATCH(E86,Cost_Components!$A$2:$A$6,0)),"")</f>
        <v>1</v>
      </c>
      <c r="N86" s="29">
        <f>IFERROR(INDEX(Cost_Components!$P$2:$P$6,MATCH(E86,Cost_Components!$A$2:$A$6,0)),"")</f>
        <v>752.57623226071905</v>
      </c>
      <c r="O86" s="23">
        <f t="shared" si="26"/>
        <v>10425703.71885456</v>
      </c>
      <c r="P86" s="23">
        <f t="shared" si="27"/>
        <v>10424657.84663556</v>
      </c>
      <c r="Q86" s="23">
        <f t="shared" si="28"/>
        <v>1160441865.0997775</v>
      </c>
      <c r="R86" s="23">
        <f t="shared" si="29"/>
        <v>1393144078.238759</v>
      </c>
      <c r="S86" s="23">
        <f t="shared" si="30"/>
        <v>232702213.13898158</v>
      </c>
      <c r="T86" s="16">
        <f>IFERROR(INDEX(Cost_Components!$R$2:$R$6,MATCH(E86,Cost_Components!$A$2:$A$6,0)),"")</f>
        <v>1</v>
      </c>
      <c r="U86" s="26">
        <f>IFERROR(INDEX(Cost_Components!$Q$2:$Q$6,MATCH(E86,Cost_Components!$A$2:$A$6,0)),"")</f>
        <v>2023</v>
      </c>
      <c r="V86" s="30">
        <f>1/(1+Calculation_Assumptions!$B$5)^(B86-Calculation_Assumptions!$B$2)</f>
        <v>0.83748425668365445</v>
      </c>
      <c r="W86" s="23">
        <f t="shared" si="31"/>
        <v>971851792.81768072</v>
      </c>
      <c r="X86" s="23">
        <f t="shared" si="32"/>
        <v>1166736232.8170221</v>
      </c>
      <c r="Y86" s="23">
        <f t="shared" si="33"/>
        <v>194884439.99934131</v>
      </c>
      <c r="Z86" s="17">
        <f>IFERROR(INDEX(Cost_Components!$T$2:$T$6,MATCH(E86,Cost_Components!$A$2:$A$6,0)),"")</f>
        <v>0.41649999999999998</v>
      </c>
      <c r="AA86" s="26">
        <f>IFERROR(INDEX(Cost_Components!$U$2:$U$6,MATCH(E86,Cost_Components!$A$2:$A$6,0)),"")</f>
        <v>2025</v>
      </c>
      <c r="AB86" s="26">
        <f>IFERROR(INDEX(Cost_Components!$V$2:$V$6,MATCH(E86,Cost_Components!$A$2:$A$6,0)),"")</f>
        <v>2040</v>
      </c>
      <c r="AC86" s="26">
        <f>IFERROR(INDEX(Cost_Components!$M$2:$M$6,MATCH(E86,Cost_Components!$A$2:$A$6,0)),"")</f>
        <v>30</v>
      </c>
      <c r="AD86" s="26">
        <f>IFERROR(INDEX(Cost_Components!$N$2:$N$6,MATCH(E86,Cost_Components!$A$2:$A$6,0)),"")</f>
        <v>95</v>
      </c>
      <c r="AE86" s="16" t="str">
        <f>IFERROR(INDEX(Cost_Components!$O$2:$O$6,MATCH(E86,Cost_Components!$A$2:$A$6,0)),"")</f>
        <v>Both</v>
      </c>
      <c r="AF86" s="11">
        <v>17376172.864757601</v>
      </c>
      <c r="AG86" s="11">
        <v>17374429.7443926</v>
      </c>
      <c r="AH86" s="23">
        <f t="shared" si="34"/>
        <v>1</v>
      </c>
      <c r="AI86" s="10">
        <v>300119636.92551899</v>
      </c>
      <c r="AJ86" s="29">
        <f t="shared" si="35"/>
        <v>3.8665975908393011</v>
      </c>
      <c r="AK86" s="29">
        <f t="shared" si="36"/>
        <v>4.6419624270853594</v>
      </c>
      <c r="AL86" s="29">
        <f t="shared" si="37"/>
        <v>0.77536483624605856</v>
      </c>
      <c r="AM86" s="29">
        <f t="shared" si="38"/>
        <v>0.64935584354217379</v>
      </c>
    </row>
    <row r="87" spans="1:39">
      <c r="A87" t="s">
        <v>115</v>
      </c>
      <c r="B87" s="20">
        <v>2032</v>
      </c>
      <c r="C87" t="s">
        <v>229</v>
      </c>
      <c r="D87" t="s">
        <v>233</v>
      </c>
      <c r="E87" s="22" t="s">
        <v>276</v>
      </c>
      <c r="F87" s="22" t="s">
        <v>277</v>
      </c>
      <c r="G87" s="22" t="s">
        <v>230</v>
      </c>
      <c r="H87" s="22" t="s">
        <v>237</v>
      </c>
      <c r="I87" s="22" t="s">
        <v>274</v>
      </c>
      <c r="J87" s="17">
        <f>IFERROR(INDEX(Cost_Components!$K$2:$K$6,MATCH(E87,Cost_Components!$A$2:$A$6,0)),"")</f>
        <v>0.6</v>
      </c>
      <c r="K87" s="31">
        <v>0.20410707895364399</v>
      </c>
      <c r="L87" s="17">
        <f>IFERROR(INDEX(Cost_Components!$S$2:$S$6,MATCH(E87,Cost_Components!$A$2:$A$6,0)),"")</f>
        <v>0.147914612579645</v>
      </c>
      <c r="M87" s="28">
        <f>IFERROR(INDEX(Cost_Components!$L$2:$L$6,MATCH(E87,Cost_Components!$A$2:$A$6,0)),"")</f>
        <v>1</v>
      </c>
      <c r="N87" s="29">
        <f>IFERROR(INDEX(Cost_Components!$P$2:$P$6,MATCH(E87,Cost_Components!$A$2:$A$6,0)),"")</f>
        <v>752.57623226071905</v>
      </c>
      <c r="O87" s="23">
        <f t="shared" si="26"/>
        <v>10696128.528119041</v>
      </c>
      <c r="P87" s="23">
        <f t="shared" si="27"/>
        <v>10693575.804397801</v>
      </c>
      <c r="Q87" s="23">
        <f t="shared" si="28"/>
        <v>1190377011.2748773</v>
      </c>
      <c r="R87" s="23">
        <f t="shared" si="29"/>
        <v>1642990978.2483823</v>
      </c>
      <c r="S87" s="23">
        <f t="shared" si="30"/>
        <v>452613966.97350502</v>
      </c>
      <c r="T87" s="16">
        <f>IFERROR(INDEX(Cost_Components!$R$2:$R$6,MATCH(E87,Cost_Components!$A$2:$A$6,0)),"")</f>
        <v>1</v>
      </c>
      <c r="U87" s="26">
        <f>IFERROR(INDEX(Cost_Components!$Q$2:$Q$6,MATCH(E87,Cost_Components!$A$2:$A$6,0)),"")</f>
        <v>2023</v>
      </c>
      <c r="V87" s="30">
        <f>1/(1+Calculation_Assumptions!$B$5)^(B87-Calculation_Assumptions!$B$2)</f>
        <v>0.81309151134335378</v>
      </c>
      <c r="W87" s="23">
        <f t="shared" si="31"/>
        <v>967885443.16587448</v>
      </c>
      <c r="X87" s="23">
        <f t="shared" si="32"/>
        <v>1335902017.6274724</v>
      </c>
      <c r="Y87" s="23">
        <f t="shared" si="33"/>
        <v>368016574.46159804</v>
      </c>
      <c r="Z87" s="17">
        <f>IFERROR(INDEX(Cost_Components!$T$2:$T$6,MATCH(E87,Cost_Components!$A$2:$A$6,0)),"")</f>
        <v>0.41649999999999998</v>
      </c>
      <c r="AA87" s="26">
        <f>IFERROR(INDEX(Cost_Components!$U$2:$U$6,MATCH(E87,Cost_Components!$A$2:$A$6,0)),"")</f>
        <v>2025</v>
      </c>
      <c r="AB87" s="26">
        <f>IFERROR(INDEX(Cost_Components!$V$2:$V$6,MATCH(E87,Cost_Components!$A$2:$A$6,0)),"")</f>
        <v>2040</v>
      </c>
      <c r="AC87" s="26">
        <f>IFERROR(INDEX(Cost_Components!$M$2:$M$6,MATCH(E87,Cost_Components!$A$2:$A$6,0)),"")</f>
        <v>30</v>
      </c>
      <c r="AD87" s="26">
        <f>IFERROR(INDEX(Cost_Components!$N$2:$N$6,MATCH(E87,Cost_Components!$A$2:$A$6,0)),"")</f>
        <v>95</v>
      </c>
      <c r="AE87" s="16" t="str">
        <f>IFERROR(INDEX(Cost_Components!$O$2:$O$6,MATCH(E87,Cost_Components!$A$2:$A$6,0)),"")</f>
        <v>Both</v>
      </c>
      <c r="AF87" s="11">
        <v>17826880.8801984</v>
      </c>
      <c r="AG87" s="11">
        <v>17822626.340663001</v>
      </c>
      <c r="AH87" s="23">
        <f t="shared" si="34"/>
        <v>1</v>
      </c>
      <c r="AI87" s="10">
        <v>301904628.08354098</v>
      </c>
      <c r="AJ87" s="29">
        <f t="shared" si="35"/>
        <v>3.9428909017767171</v>
      </c>
      <c r="AK87" s="29">
        <f t="shared" si="36"/>
        <v>5.4420860941348179</v>
      </c>
      <c r="AL87" s="29">
        <f t="shared" si="37"/>
        <v>1.4991951923581006</v>
      </c>
      <c r="AM87" s="29">
        <f t="shared" si="38"/>
        <v>1.2189828847531381</v>
      </c>
    </row>
    <row r="88" spans="1:39">
      <c r="A88" t="s">
        <v>115</v>
      </c>
      <c r="B88" s="20">
        <v>2033</v>
      </c>
      <c r="C88" t="s">
        <v>229</v>
      </c>
      <c r="D88" t="s">
        <v>233</v>
      </c>
      <c r="E88" s="22" t="s">
        <v>276</v>
      </c>
      <c r="F88" s="22" t="s">
        <v>277</v>
      </c>
      <c r="G88" s="22" t="s">
        <v>230</v>
      </c>
      <c r="H88" s="22" t="s">
        <v>237</v>
      </c>
      <c r="I88" s="22" t="s">
        <v>274</v>
      </c>
      <c r="J88" s="17">
        <f>IFERROR(INDEX(Cost_Components!$K$2:$K$6,MATCH(E88,Cost_Components!$A$2:$A$6,0)),"")</f>
        <v>0.6</v>
      </c>
      <c r="K88" s="31">
        <v>0.23065619408443799</v>
      </c>
      <c r="L88" s="17">
        <f>IFERROR(INDEX(Cost_Components!$S$2:$S$6,MATCH(E88,Cost_Components!$A$2:$A$6,0)),"")</f>
        <v>0.147914612579645</v>
      </c>
      <c r="M88" s="28">
        <f>IFERROR(INDEX(Cost_Components!$L$2:$L$6,MATCH(E88,Cost_Components!$A$2:$A$6,0)),"")</f>
        <v>1</v>
      </c>
      <c r="N88" s="29">
        <f>IFERROR(INDEX(Cost_Components!$P$2:$P$6,MATCH(E88,Cost_Components!$A$2:$A$6,0)),"")</f>
        <v>752.57623226071905</v>
      </c>
      <c r="O88" s="23">
        <f t="shared" si="26"/>
        <v>10954647.241448639</v>
      </c>
      <c r="P88" s="23">
        <f t="shared" si="27"/>
        <v>10949881.21719894</v>
      </c>
      <c r="Q88" s="23">
        <f t="shared" si="28"/>
        <v>1218908166.5071917</v>
      </c>
      <c r="R88" s="23">
        <f t="shared" si="29"/>
        <v>1901577443.7049358</v>
      </c>
      <c r="S88" s="23">
        <f t="shared" si="30"/>
        <v>682669277.19774413</v>
      </c>
      <c r="T88" s="16">
        <f>IFERROR(INDEX(Cost_Components!$R$2:$R$6,MATCH(E88,Cost_Components!$A$2:$A$6,0)),"")</f>
        <v>1</v>
      </c>
      <c r="U88" s="26">
        <f>IFERROR(INDEX(Cost_Components!$Q$2:$Q$6,MATCH(E88,Cost_Components!$A$2:$A$6,0)),"")</f>
        <v>2023</v>
      </c>
      <c r="V88" s="30">
        <f>1/(1+Calculation_Assumptions!$B$5)^(B88-Calculation_Assumptions!$B$2)</f>
        <v>0.78940923431393573</v>
      </c>
      <c r="W88" s="23">
        <f t="shared" si="31"/>
        <v>962217362.42144549</v>
      </c>
      <c r="X88" s="23">
        <f t="shared" si="32"/>
        <v>1501122793.8237646</v>
      </c>
      <c r="Y88" s="23">
        <f t="shared" si="33"/>
        <v>538905431.40231919</v>
      </c>
      <c r="Z88" s="17">
        <f>IFERROR(INDEX(Cost_Components!$T$2:$T$6,MATCH(E88,Cost_Components!$A$2:$A$6,0)),"")</f>
        <v>0.41649999999999998</v>
      </c>
      <c r="AA88" s="26">
        <f>IFERROR(INDEX(Cost_Components!$U$2:$U$6,MATCH(E88,Cost_Components!$A$2:$A$6,0)),"")</f>
        <v>2025</v>
      </c>
      <c r="AB88" s="26">
        <f>IFERROR(INDEX(Cost_Components!$V$2:$V$6,MATCH(E88,Cost_Components!$A$2:$A$6,0)),"")</f>
        <v>2040</v>
      </c>
      <c r="AC88" s="26">
        <f>IFERROR(INDEX(Cost_Components!$M$2:$M$6,MATCH(E88,Cost_Components!$A$2:$A$6,0)),"")</f>
        <v>30</v>
      </c>
      <c r="AD88" s="26">
        <f>IFERROR(INDEX(Cost_Components!$N$2:$N$6,MATCH(E88,Cost_Components!$A$2:$A$6,0)),"")</f>
        <v>95</v>
      </c>
      <c r="AE88" s="16" t="str">
        <f>IFERROR(INDEX(Cost_Components!$O$2:$O$6,MATCH(E88,Cost_Components!$A$2:$A$6,0)),"")</f>
        <v>Both</v>
      </c>
      <c r="AF88" s="11">
        <v>18257745.4024144</v>
      </c>
      <c r="AG88" s="11">
        <v>18249802.028664902</v>
      </c>
      <c r="AH88" s="23">
        <f t="shared" si="34"/>
        <v>1</v>
      </c>
      <c r="AI88" s="10">
        <v>303644277.16916001</v>
      </c>
      <c r="AJ88" s="29">
        <f t="shared" si="35"/>
        <v>4.0142635911696729</v>
      </c>
      <c r="AK88" s="29">
        <f t="shared" si="36"/>
        <v>6.2625169867620079</v>
      </c>
      <c r="AL88" s="29">
        <f t="shared" si="37"/>
        <v>2.2482533955923349</v>
      </c>
      <c r="AM88" s="29">
        <f t="shared" si="38"/>
        <v>1.7747919915582515</v>
      </c>
    </row>
    <row r="89" spans="1:39">
      <c r="A89" t="s">
        <v>115</v>
      </c>
      <c r="B89" s="20">
        <v>2034</v>
      </c>
      <c r="C89" t="s">
        <v>229</v>
      </c>
      <c r="D89" t="s">
        <v>233</v>
      </c>
      <c r="E89" s="22" t="s">
        <v>276</v>
      </c>
      <c r="F89" s="22" t="s">
        <v>277</v>
      </c>
      <c r="G89" s="22" t="s">
        <v>230</v>
      </c>
      <c r="H89" s="22" t="s">
        <v>237</v>
      </c>
      <c r="I89" s="22" t="s">
        <v>274</v>
      </c>
      <c r="J89" s="17">
        <f>IFERROR(INDEX(Cost_Components!$K$2:$K$6,MATCH(E89,Cost_Components!$A$2:$A$6,0)),"")</f>
        <v>0.6</v>
      </c>
      <c r="K89" s="31">
        <v>0.25720530921523299</v>
      </c>
      <c r="L89" s="17">
        <f>IFERROR(INDEX(Cost_Components!$S$2:$S$6,MATCH(E89,Cost_Components!$A$2:$A$6,0)),"")</f>
        <v>0.147914612579645</v>
      </c>
      <c r="M89" s="28">
        <f>IFERROR(INDEX(Cost_Components!$L$2:$L$6,MATCH(E89,Cost_Components!$A$2:$A$6,0)),"")</f>
        <v>1</v>
      </c>
      <c r="N89" s="29">
        <f>IFERROR(INDEX(Cost_Components!$P$2:$P$6,MATCH(E89,Cost_Components!$A$2:$A$6,0)),"")</f>
        <v>752.57623226071905</v>
      </c>
      <c r="O89" s="23">
        <f t="shared" si="26"/>
        <v>11213557.101456061</v>
      </c>
      <c r="P89" s="23">
        <f t="shared" si="27"/>
        <v>11205862.54997058</v>
      </c>
      <c r="Q89" s="23">
        <f t="shared" si="28"/>
        <v>1247403246.115787</v>
      </c>
      <c r="R89" s="23">
        <f t="shared" si="29"/>
        <v>2170570150.3674755</v>
      </c>
      <c r="S89" s="23">
        <f t="shared" si="30"/>
        <v>923166904.25168848</v>
      </c>
      <c r="T89" s="16">
        <f>IFERROR(INDEX(Cost_Components!$R$2:$R$6,MATCH(E89,Cost_Components!$A$2:$A$6,0)),"")</f>
        <v>1</v>
      </c>
      <c r="U89" s="26">
        <f>IFERROR(INDEX(Cost_Components!$Q$2:$Q$6,MATCH(E89,Cost_Components!$A$2:$A$6,0)),"")</f>
        <v>2023</v>
      </c>
      <c r="V89" s="30">
        <f>1/(1+Calculation_Assumptions!$B$5)^(B89-Calculation_Assumptions!$B$2)</f>
        <v>0.76641673234362695</v>
      </c>
      <c r="W89" s="23">
        <f t="shared" si="31"/>
        <v>956030719.80289459</v>
      </c>
      <c r="X89" s="23">
        <f t="shared" si="32"/>
        <v>1663561281.9672556</v>
      </c>
      <c r="Y89" s="23">
        <f t="shared" si="33"/>
        <v>707530562.164361</v>
      </c>
      <c r="Z89" s="17">
        <f>IFERROR(INDEX(Cost_Components!$T$2:$T$6,MATCH(E89,Cost_Components!$A$2:$A$6,0)),"")</f>
        <v>0.41649999999999998</v>
      </c>
      <c r="AA89" s="26">
        <f>IFERROR(INDEX(Cost_Components!$U$2:$U$6,MATCH(E89,Cost_Components!$A$2:$A$6,0)),"")</f>
        <v>2025</v>
      </c>
      <c r="AB89" s="26">
        <f>IFERROR(INDEX(Cost_Components!$V$2:$V$6,MATCH(E89,Cost_Components!$A$2:$A$6,0)),"")</f>
        <v>2040</v>
      </c>
      <c r="AC89" s="26">
        <f>IFERROR(INDEX(Cost_Components!$M$2:$M$6,MATCH(E89,Cost_Components!$A$2:$A$6,0)),"")</f>
        <v>30</v>
      </c>
      <c r="AD89" s="26">
        <f>IFERROR(INDEX(Cost_Components!$N$2:$N$6,MATCH(E89,Cost_Components!$A$2:$A$6,0)),"")</f>
        <v>95</v>
      </c>
      <c r="AE89" s="16" t="str">
        <f>IFERROR(INDEX(Cost_Components!$O$2:$O$6,MATCH(E89,Cost_Components!$A$2:$A$6,0)),"")</f>
        <v>Both</v>
      </c>
      <c r="AF89" s="11">
        <v>18689261.835760102</v>
      </c>
      <c r="AG89" s="11">
        <v>18676437.5832843</v>
      </c>
      <c r="AH89" s="23">
        <f t="shared" si="34"/>
        <v>1</v>
      </c>
      <c r="AI89" s="10">
        <v>305332541.18498403</v>
      </c>
      <c r="AJ89" s="29">
        <f t="shared" si="35"/>
        <v>4.0853924094518792</v>
      </c>
      <c r="AK89" s="29">
        <f t="shared" si="36"/>
        <v>7.1088726473227357</v>
      </c>
      <c r="AL89" s="29">
        <f t="shared" si="37"/>
        <v>3.0234802378708561</v>
      </c>
      <c r="AM89" s="29">
        <f t="shared" si="38"/>
        <v>2.3172458442145136</v>
      </c>
    </row>
    <row r="90" spans="1:39">
      <c r="A90" t="s">
        <v>115</v>
      </c>
      <c r="B90" s="20">
        <v>2035</v>
      </c>
      <c r="C90" t="s">
        <v>229</v>
      </c>
      <c r="D90" t="s">
        <v>233</v>
      </c>
      <c r="E90" s="22" t="s">
        <v>276</v>
      </c>
      <c r="F90" s="22" t="s">
        <v>277</v>
      </c>
      <c r="G90" s="22" t="s">
        <v>230</v>
      </c>
      <c r="H90" s="22" t="s">
        <v>237</v>
      </c>
      <c r="I90" s="22" t="s">
        <v>274</v>
      </c>
      <c r="J90" s="17">
        <f>IFERROR(INDEX(Cost_Components!$K$2:$K$6,MATCH(E90,Cost_Components!$A$2:$A$6,0)),"")</f>
        <v>0.6</v>
      </c>
      <c r="K90" s="31">
        <v>0.28375442434602699</v>
      </c>
      <c r="L90" s="17">
        <f>IFERROR(INDEX(Cost_Components!$S$2:$S$6,MATCH(E90,Cost_Components!$A$2:$A$6,0)),"")</f>
        <v>0.147914612579645</v>
      </c>
      <c r="M90" s="28">
        <f>IFERROR(INDEX(Cost_Components!$L$2:$L$6,MATCH(E90,Cost_Components!$A$2:$A$6,0)),"")</f>
        <v>1</v>
      </c>
      <c r="N90" s="29">
        <f>IFERROR(INDEX(Cost_Components!$P$2:$P$6,MATCH(E90,Cost_Components!$A$2:$A$6,0)),"")</f>
        <v>752.57623226071905</v>
      </c>
      <c r="O90" s="23">
        <f t="shared" si="26"/>
        <v>11472499.629311521</v>
      </c>
      <c r="P90" s="23">
        <f t="shared" si="27"/>
        <v>11461149.940677479</v>
      </c>
      <c r="Q90" s="23">
        <f t="shared" si="28"/>
        <v>1275821078.1604118</v>
      </c>
      <c r="R90" s="23">
        <f t="shared" si="29"/>
        <v>2449915991.821589</v>
      </c>
      <c r="S90" s="23">
        <f t="shared" si="30"/>
        <v>1174094913.6611772</v>
      </c>
      <c r="T90" s="16">
        <f>IFERROR(INDEX(Cost_Components!$R$2:$R$6,MATCH(E90,Cost_Components!$A$2:$A$6,0)),"")</f>
        <v>1</v>
      </c>
      <c r="U90" s="26">
        <f>IFERROR(INDEX(Cost_Components!$Q$2:$Q$6,MATCH(E90,Cost_Components!$A$2:$A$6,0)),"")</f>
        <v>2023</v>
      </c>
      <c r="V90" s="30">
        <f>1/(1+Calculation_Assumptions!$B$5)^(B90-Calculation_Assumptions!$B$2)</f>
        <v>0.74409391489672516</v>
      </c>
      <c r="W90" s="23">
        <f t="shared" si="31"/>
        <v>949330700.75614166</v>
      </c>
      <c r="X90" s="23">
        <f t="shared" si="32"/>
        <v>1822967581.5226195</v>
      </c>
      <c r="Y90" s="23">
        <f t="shared" si="33"/>
        <v>873636880.76647782</v>
      </c>
      <c r="Z90" s="17">
        <f>IFERROR(INDEX(Cost_Components!$T$2:$T$6,MATCH(E90,Cost_Components!$A$2:$A$6,0)),"")</f>
        <v>0.41649999999999998</v>
      </c>
      <c r="AA90" s="26">
        <f>IFERROR(INDEX(Cost_Components!$U$2:$U$6,MATCH(E90,Cost_Components!$A$2:$A$6,0)),"")</f>
        <v>2025</v>
      </c>
      <c r="AB90" s="26">
        <f>IFERROR(INDEX(Cost_Components!$V$2:$V$6,MATCH(E90,Cost_Components!$A$2:$A$6,0)),"")</f>
        <v>2040</v>
      </c>
      <c r="AC90" s="26">
        <f>IFERROR(INDEX(Cost_Components!$M$2:$M$6,MATCH(E90,Cost_Components!$A$2:$A$6,0)),"")</f>
        <v>30</v>
      </c>
      <c r="AD90" s="26">
        <f>IFERROR(INDEX(Cost_Components!$N$2:$N$6,MATCH(E90,Cost_Components!$A$2:$A$6,0)),"")</f>
        <v>95</v>
      </c>
      <c r="AE90" s="16" t="str">
        <f>IFERROR(INDEX(Cost_Components!$O$2:$O$6,MATCH(E90,Cost_Components!$A$2:$A$6,0)),"")</f>
        <v>Both</v>
      </c>
      <c r="AF90" s="11">
        <v>19120832.715519201</v>
      </c>
      <c r="AG90" s="11">
        <v>19101916.567795798</v>
      </c>
      <c r="AH90" s="23">
        <f t="shared" si="34"/>
        <v>1</v>
      </c>
      <c r="AI90" s="10">
        <v>306964650.16711998</v>
      </c>
      <c r="AJ90" s="29">
        <f t="shared" si="35"/>
        <v>4.1562475596646706</v>
      </c>
      <c r="AK90" s="29">
        <f t="shared" si="36"/>
        <v>7.9811013759655633</v>
      </c>
      <c r="AL90" s="29">
        <f t="shared" si="37"/>
        <v>3.8248538163008923</v>
      </c>
      <c r="AM90" s="29">
        <f t="shared" si="38"/>
        <v>2.8460504500790105</v>
      </c>
    </row>
    <row r="91" spans="1:39">
      <c r="A91" t="s">
        <v>115</v>
      </c>
      <c r="B91" s="20">
        <v>2036</v>
      </c>
      <c r="C91" t="s">
        <v>229</v>
      </c>
      <c r="D91" t="s">
        <v>233</v>
      </c>
      <c r="E91" s="22" t="s">
        <v>276</v>
      </c>
      <c r="F91" s="22" t="s">
        <v>277</v>
      </c>
      <c r="G91" s="22" t="s">
        <v>230</v>
      </c>
      <c r="H91" s="22" t="s">
        <v>237</v>
      </c>
      <c r="I91" s="22" t="s">
        <v>274</v>
      </c>
      <c r="J91" s="17">
        <f>IFERROR(INDEX(Cost_Components!$K$2:$K$6,MATCH(E91,Cost_Components!$A$2:$A$6,0)),"")</f>
        <v>0.6</v>
      </c>
      <c r="K91" s="31">
        <v>0.31030353947682199</v>
      </c>
      <c r="L91" s="17">
        <f>IFERROR(INDEX(Cost_Components!$S$2:$S$6,MATCH(E91,Cost_Components!$A$2:$A$6,0)),"")</f>
        <v>0.147914612579645</v>
      </c>
      <c r="M91" s="28">
        <f>IFERROR(INDEX(Cost_Components!$L$2:$L$6,MATCH(E91,Cost_Components!$A$2:$A$6,0)),"")</f>
        <v>1</v>
      </c>
      <c r="N91" s="29">
        <f>IFERROR(INDEX(Cost_Components!$P$2:$P$6,MATCH(E91,Cost_Components!$A$2:$A$6,0)),"")</f>
        <v>752.57623226071905</v>
      </c>
      <c r="O91" s="23">
        <f t="shared" si="26"/>
        <v>11731840.00031868</v>
      </c>
      <c r="P91" s="23">
        <f t="shared" si="27"/>
        <v>11716083.445650959</v>
      </c>
      <c r="Q91" s="23">
        <f t="shared" si="28"/>
        <v>1304199516.6991239</v>
      </c>
      <c r="R91" s="23">
        <f t="shared" si="29"/>
        <v>2739702204.5191312</v>
      </c>
      <c r="S91" s="23">
        <f t="shared" si="30"/>
        <v>1435502687.8200073</v>
      </c>
      <c r="T91" s="16">
        <f>IFERROR(INDEX(Cost_Components!$R$2:$R$6,MATCH(E91,Cost_Components!$A$2:$A$6,0)),"")</f>
        <v>1</v>
      </c>
      <c r="U91" s="26">
        <f>IFERROR(INDEX(Cost_Components!$Q$2:$Q$6,MATCH(E91,Cost_Components!$A$2:$A$6,0)),"")</f>
        <v>2023</v>
      </c>
      <c r="V91" s="30">
        <f>1/(1+Calculation_Assumptions!$B$5)^(B91-Calculation_Assumptions!$B$2)</f>
        <v>0.72242127659876232</v>
      </c>
      <c r="W91" s="23">
        <f t="shared" si="31"/>
        <v>942181479.79326987</v>
      </c>
      <c r="X91" s="23">
        <f t="shared" si="32"/>
        <v>1979219164.0891542</v>
      </c>
      <c r="Y91" s="23">
        <f t="shared" si="33"/>
        <v>1037037684.2958843</v>
      </c>
      <c r="Z91" s="17">
        <f>IFERROR(INDEX(Cost_Components!$T$2:$T$6,MATCH(E91,Cost_Components!$A$2:$A$6,0)),"")</f>
        <v>0.41649999999999998</v>
      </c>
      <c r="AA91" s="26">
        <f>IFERROR(INDEX(Cost_Components!$U$2:$U$6,MATCH(E91,Cost_Components!$A$2:$A$6,0)),"")</f>
        <v>2025</v>
      </c>
      <c r="AB91" s="26">
        <f>IFERROR(INDEX(Cost_Components!$V$2:$V$6,MATCH(E91,Cost_Components!$A$2:$A$6,0)),"")</f>
        <v>2040</v>
      </c>
      <c r="AC91" s="26">
        <f>IFERROR(INDEX(Cost_Components!$M$2:$M$6,MATCH(E91,Cost_Components!$A$2:$A$6,0)),"")</f>
        <v>30</v>
      </c>
      <c r="AD91" s="26">
        <f>IFERROR(INDEX(Cost_Components!$N$2:$N$6,MATCH(E91,Cost_Components!$A$2:$A$6,0)),"")</f>
        <v>95</v>
      </c>
      <c r="AE91" s="16" t="str">
        <f>IFERROR(INDEX(Cost_Components!$O$2:$O$6,MATCH(E91,Cost_Components!$A$2:$A$6,0)),"")</f>
        <v>Both</v>
      </c>
      <c r="AF91" s="11">
        <v>19553066.667197801</v>
      </c>
      <c r="AG91" s="11">
        <v>19526805.742751598</v>
      </c>
      <c r="AH91" s="23">
        <f t="shared" si="34"/>
        <v>1</v>
      </c>
      <c r="AI91" s="10">
        <v>308542769.75662202</v>
      </c>
      <c r="AJ91" s="29">
        <f t="shared" si="35"/>
        <v>4.2269650905379317</v>
      </c>
      <c r="AK91" s="29">
        <f t="shared" si="36"/>
        <v>8.8794892412491251</v>
      </c>
      <c r="AL91" s="29">
        <f t="shared" si="37"/>
        <v>4.6525241507111943</v>
      </c>
      <c r="AM91" s="29">
        <f t="shared" si="38"/>
        <v>3.3610824363633531</v>
      </c>
    </row>
    <row r="92" spans="1:39">
      <c r="A92" t="s">
        <v>115</v>
      </c>
      <c r="B92" s="20">
        <v>2037</v>
      </c>
      <c r="C92" t="s">
        <v>229</v>
      </c>
      <c r="D92" t="s">
        <v>233</v>
      </c>
      <c r="E92" s="22" t="s">
        <v>276</v>
      </c>
      <c r="F92" s="22" t="s">
        <v>277</v>
      </c>
      <c r="G92" s="22" t="s">
        <v>230</v>
      </c>
      <c r="H92" s="22" t="s">
        <v>237</v>
      </c>
      <c r="I92" s="22" t="s">
        <v>274</v>
      </c>
      <c r="J92" s="17">
        <f>IFERROR(INDEX(Cost_Components!$K$2:$K$6,MATCH(E92,Cost_Components!$A$2:$A$6,0)),"")</f>
        <v>0.6</v>
      </c>
      <c r="K92" s="31">
        <v>0.33685265460761599</v>
      </c>
      <c r="L92" s="17">
        <f>IFERROR(INDEX(Cost_Components!$S$2:$S$6,MATCH(E92,Cost_Components!$A$2:$A$6,0)),"")</f>
        <v>0.147914612579645</v>
      </c>
      <c r="M92" s="28">
        <f>IFERROR(INDEX(Cost_Components!$L$2:$L$6,MATCH(E92,Cost_Components!$A$2:$A$6,0)),"")</f>
        <v>1</v>
      </c>
      <c r="N92" s="29">
        <f>IFERROR(INDEX(Cost_Components!$P$2:$P$6,MATCH(E92,Cost_Components!$A$2:$A$6,0)),"")</f>
        <v>752.57623226071905</v>
      </c>
      <c r="O92" s="23">
        <f t="shared" si="26"/>
        <v>11991825.777058439</v>
      </c>
      <c r="P92" s="23">
        <f t="shared" si="27"/>
        <v>11970895.634702459</v>
      </c>
      <c r="Q92" s="23">
        <f t="shared" si="28"/>
        <v>1332564450.7107003</v>
      </c>
      <c r="R92" s="23">
        <f t="shared" si="29"/>
        <v>3040015394.3786016</v>
      </c>
      <c r="S92" s="23">
        <f t="shared" si="30"/>
        <v>1707450943.6679013</v>
      </c>
      <c r="T92" s="16">
        <f>IFERROR(INDEX(Cost_Components!$R$2:$R$6,MATCH(E92,Cost_Components!$A$2:$A$6,0)),"")</f>
        <v>1</v>
      </c>
      <c r="U92" s="26">
        <f>IFERROR(INDEX(Cost_Components!$Q$2:$Q$6,MATCH(E92,Cost_Components!$A$2:$A$6,0)),"")</f>
        <v>2023</v>
      </c>
      <c r="V92" s="30">
        <f>1/(1+Calculation_Assumptions!$B$5)^(B92-Calculation_Assumptions!$B$2)</f>
        <v>0.70137988019297326</v>
      </c>
      <c r="W92" s="23">
        <f t="shared" si="31"/>
        <v>934633894.78888619</v>
      </c>
      <c r="X92" s="23">
        <f t="shared" si="32"/>
        <v>2132205633.0940578</v>
      </c>
      <c r="Y92" s="23">
        <f t="shared" si="33"/>
        <v>1197571738.3051717</v>
      </c>
      <c r="Z92" s="17">
        <f>IFERROR(INDEX(Cost_Components!$T$2:$T$6,MATCH(E92,Cost_Components!$A$2:$A$6,0)),"")</f>
        <v>0.41649999999999998</v>
      </c>
      <c r="AA92" s="26">
        <f>IFERROR(INDEX(Cost_Components!$U$2:$U$6,MATCH(E92,Cost_Components!$A$2:$A$6,0)),"")</f>
        <v>2025</v>
      </c>
      <c r="AB92" s="26">
        <f>IFERROR(INDEX(Cost_Components!$V$2:$V$6,MATCH(E92,Cost_Components!$A$2:$A$6,0)),"")</f>
        <v>2040</v>
      </c>
      <c r="AC92" s="26">
        <f>IFERROR(INDEX(Cost_Components!$M$2:$M$6,MATCH(E92,Cost_Components!$A$2:$A$6,0)),"")</f>
        <v>30</v>
      </c>
      <c r="AD92" s="26">
        <f>IFERROR(INDEX(Cost_Components!$N$2:$N$6,MATCH(E92,Cost_Components!$A$2:$A$6,0)),"")</f>
        <v>95</v>
      </c>
      <c r="AE92" s="16" t="str">
        <f>IFERROR(INDEX(Cost_Components!$O$2:$O$6,MATCH(E92,Cost_Components!$A$2:$A$6,0)),"")</f>
        <v>Both</v>
      </c>
      <c r="AF92" s="11">
        <v>19986376.2950974</v>
      </c>
      <c r="AG92" s="11">
        <v>19951492.724504098</v>
      </c>
      <c r="AH92" s="23">
        <f t="shared" si="34"/>
        <v>1</v>
      </c>
      <c r="AI92" s="10">
        <v>310068287.63643003</v>
      </c>
      <c r="AJ92" s="29">
        <f t="shared" si="35"/>
        <v>4.2976483047282672</v>
      </c>
      <c r="AK92" s="29">
        <f t="shared" si="36"/>
        <v>9.8043415453797262</v>
      </c>
      <c r="AL92" s="29">
        <f t="shared" si="37"/>
        <v>5.5066932406514582</v>
      </c>
      <c r="AM92" s="29">
        <f t="shared" si="38"/>
        <v>3.8622838453875752</v>
      </c>
    </row>
    <row r="93" spans="1:39">
      <c r="A93" t="s">
        <v>115</v>
      </c>
      <c r="B93" s="20">
        <v>2038</v>
      </c>
      <c r="C93" t="s">
        <v>229</v>
      </c>
      <c r="D93" t="s">
        <v>233</v>
      </c>
      <c r="E93" s="22" t="s">
        <v>276</v>
      </c>
      <c r="F93" s="22" t="s">
        <v>277</v>
      </c>
      <c r="G93" s="22" t="s">
        <v>230</v>
      </c>
      <c r="H93" s="22" t="s">
        <v>237</v>
      </c>
      <c r="I93" s="22" t="s">
        <v>274</v>
      </c>
      <c r="J93" s="17">
        <f>IFERROR(INDEX(Cost_Components!$K$2:$K$6,MATCH(E93,Cost_Components!$A$2:$A$6,0)),"")</f>
        <v>0.6</v>
      </c>
      <c r="K93" s="31">
        <v>0.36340176973841098</v>
      </c>
      <c r="L93" s="17">
        <f>IFERROR(INDEX(Cost_Components!$S$2:$S$6,MATCH(E93,Cost_Components!$A$2:$A$6,0)),"")</f>
        <v>0.147914612579645</v>
      </c>
      <c r="M93" s="28">
        <f>IFERROR(INDEX(Cost_Components!$L$2:$L$6,MATCH(E93,Cost_Components!$A$2:$A$6,0)),"")</f>
        <v>1</v>
      </c>
      <c r="N93" s="29">
        <f>IFERROR(INDEX(Cost_Components!$P$2:$P$6,MATCH(E93,Cost_Components!$A$2:$A$6,0)),"")</f>
        <v>752.57623226071905</v>
      </c>
      <c r="O93" s="23">
        <f t="shared" si="26"/>
        <v>12251905.794072539</v>
      </c>
      <c r="P93" s="23">
        <f t="shared" si="27"/>
        <v>12225018.405390238</v>
      </c>
      <c r="Q93" s="23">
        <f t="shared" si="28"/>
        <v>1360852640.7232313</v>
      </c>
      <c r="R93" s="23">
        <f t="shared" si="29"/>
        <v>3350743510.5884624</v>
      </c>
      <c r="S93" s="23">
        <f t="shared" si="30"/>
        <v>1989890869.865231</v>
      </c>
      <c r="T93" s="16">
        <f>IFERROR(INDEX(Cost_Components!$R$2:$R$6,MATCH(E93,Cost_Components!$A$2:$A$6,0)),"")</f>
        <v>1</v>
      </c>
      <c r="U93" s="26">
        <f>IFERROR(INDEX(Cost_Components!$Q$2:$Q$6,MATCH(E93,Cost_Components!$A$2:$A$6,0)),"")</f>
        <v>2023</v>
      </c>
      <c r="V93" s="30">
        <f>1/(1+Calculation_Assumptions!$B$5)^(B93-Calculation_Assumptions!$B$2)</f>
        <v>0.68095133999317792</v>
      </c>
      <c r="W93" s="23">
        <f t="shared" si="31"/>
        <v>926674429.23373914</v>
      </c>
      <c r="X93" s="23">
        <f t="shared" si="32"/>
        <v>2281693283.5086584</v>
      </c>
      <c r="Y93" s="23">
        <f t="shared" si="33"/>
        <v>1355018854.2749195</v>
      </c>
      <c r="Z93" s="17">
        <f>IFERROR(INDEX(Cost_Components!$T$2:$T$6,MATCH(E93,Cost_Components!$A$2:$A$6,0)),"")</f>
        <v>0.41649999999999998</v>
      </c>
      <c r="AA93" s="26">
        <f>IFERROR(INDEX(Cost_Components!$U$2:$U$6,MATCH(E93,Cost_Components!$A$2:$A$6,0)),"")</f>
        <v>2025</v>
      </c>
      <c r="AB93" s="26">
        <f>IFERROR(INDEX(Cost_Components!$V$2:$V$6,MATCH(E93,Cost_Components!$A$2:$A$6,0)),"")</f>
        <v>2040</v>
      </c>
      <c r="AC93" s="26">
        <f>IFERROR(INDEX(Cost_Components!$M$2:$M$6,MATCH(E93,Cost_Components!$A$2:$A$6,0)),"")</f>
        <v>30</v>
      </c>
      <c r="AD93" s="26">
        <f>IFERROR(INDEX(Cost_Components!$N$2:$N$6,MATCH(E93,Cost_Components!$A$2:$A$6,0)),"")</f>
        <v>95</v>
      </c>
      <c r="AE93" s="16" t="str">
        <f>IFERROR(INDEX(Cost_Components!$O$2:$O$6,MATCH(E93,Cost_Components!$A$2:$A$6,0)),"")</f>
        <v>Both</v>
      </c>
      <c r="AF93" s="11">
        <v>20419842.990120899</v>
      </c>
      <c r="AG93" s="11">
        <v>20375030.675650399</v>
      </c>
      <c r="AH93" s="23">
        <f t="shared" si="34"/>
        <v>1</v>
      </c>
      <c r="AI93" s="10">
        <v>311532999.13163</v>
      </c>
      <c r="AJ93" s="29">
        <f t="shared" si="35"/>
        <v>4.3682455615183136</v>
      </c>
      <c r="AK93" s="29">
        <f t="shared" si="36"/>
        <v>10.755661582973092</v>
      </c>
      <c r="AL93" s="29">
        <f t="shared" si="37"/>
        <v>6.3874160214547784</v>
      </c>
      <c r="AM93" s="29">
        <f t="shared" si="38"/>
        <v>4.3495194989035246</v>
      </c>
    </row>
    <row r="94" spans="1:39">
      <c r="A94" t="s">
        <v>115</v>
      </c>
      <c r="B94" s="20">
        <v>2039</v>
      </c>
      <c r="C94" t="s">
        <v>229</v>
      </c>
      <c r="D94" t="s">
        <v>233</v>
      </c>
      <c r="E94" s="22" t="s">
        <v>276</v>
      </c>
      <c r="F94" s="22" t="s">
        <v>277</v>
      </c>
      <c r="G94" s="22" t="s">
        <v>230</v>
      </c>
      <c r="H94" s="22" t="s">
        <v>237</v>
      </c>
      <c r="I94" s="22" t="s">
        <v>274</v>
      </c>
      <c r="J94" s="17">
        <f>IFERROR(INDEX(Cost_Components!$K$2:$K$6,MATCH(E94,Cost_Components!$A$2:$A$6,0)),"")</f>
        <v>0.6</v>
      </c>
      <c r="K94" s="31">
        <v>0.38995088486920498</v>
      </c>
      <c r="L94" s="17">
        <f>IFERROR(INDEX(Cost_Components!$S$2:$S$6,MATCH(E94,Cost_Components!$A$2:$A$6,0)),"")</f>
        <v>0.147914612579645</v>
      </c>
      <c r="M94" s="28">
        <f>IFERROR(INDEX(Cost_Components!$L$2:$L$6,MATCH(E94,Cost_Components!$A$2:$A$6,0)),"")</f>
        <v>1</v>
      </c>
      <c r="N94" s="29">
        <f>IFERROR(INDEX(Cost_Components!$P$2:$P$6,MATCH(E94,Cost_Components!$A$2:$A$6,0)),"")</f>
        <v>752.57623226071905</v>
      </c>
      <c r="O94" s="23">
        <f t="shared" si="26"/>
        <v>12510786.138176041</v>
      </c>
      <c r="P94" s="23">
        <f t="shared" si="27"/>
        <v>12477139.32013284</v>
      </c>
      <c r="Q94" s="23">
        <f t="shared" si="28"/>
        <v>1388917990.0938096</v>
      </c>
      <c r="R94" s="23">
        <f t="shared" si="29"/>
        <v>3671512480.1626401</v>
      </c>
      <c r="S94" s="23">
        <f t="shared" si="30"/>
        <v>2282594490.0688305</v>
      </c>
      <c r="T94" s="16">
        <f>IFERROR(INDEX(Cost_Components!$R$2:$R$6,MATCH(E94,Cost_Components!$A$2:$A$6,0)),"")</f>
        <v>1</v>
      </c>
      <c r="U94" s="26">
        <f>IFERROR(INDEX(Cost_Components!$Q$2:$Q$6,MATCH(E94,Cost_Components!$A$2:$A$6,0)),"")</f>
        <v>2023</v>
      </c>
      <c r="V94" s="30">
        <f>1/(1+Calculation_Assumptions!$B$5)^(B94-Calculation_Assumptions!$B$2)</f>
        <v>0.66111780581861923</v>
      </c>
      <c r="W94" s="23">
        <f t="shared" si="31"/>
        <v>918238414.07282615</v>
      </c>
      <c r="X94" s="23">
        <f t="shared" si="32"/>
        <v>2427302274.9208012</v>
      </c>
      <c r="Y94" s="23">
        <f t="shared" si="33"/>
        <v>1509063860.8479753</v>
      </c>
      <c r="Z94" s="17">
        <f>IFERROR(INDEX(Cost_Components!$T$2:$T$6,MATCH(E94,Cost_Components!$A$2:$A$6,0)),"")</f>
        <v>0.41649999999999998</v>
      </c>
      <c r="AA94" s="26">
        <f>IFERROR(INDEX(Cost_Components!$U$2:$U$6,MATCH(E94,Cost_Components!$A$2:$A$6,0)),"")</f>
        <v>2025</v>
      </c>
      <c r="AB94" s="26">
        <f>IFERROR(INDEX(Cost_Components!$V$2:$V$6,MATCH(E94,Cost_Components!$A$2:$A$6,0)),"")</f>
        <v>2040</v>
      </c>
      <c r="AC94" s="26">
        <f>IFERROR(INDEX(Cost_Components!$M$2:$M$6,MATCH(E94,Cost_Components!$A$2:$A$6,0)),"")</f>
        <v>30</v>
      </c>
      <c r="AD94" s="26">
        <f>IFERROR(INDEX(Cost_Components!$N$2:$N$6,MATCH(E94,Cost_Components!$A$2:$A$6,0)),"")</f>
        <v>95</v>
      </c>
      <c r="AE94" s="16" t="str">
        <f>IFERROR(INDEX(Cost_Components!$O$2:$O$6,MATCH(E94,Cost_Components!$A$2:$A$6,0)),"")</f>
        <v>Both</v>
      </c>
      <c r="AF94" s="11">
        <v>20851310.230293401</v>
      </c>
      <c r="AG94" s="11">
        <v>20795232.200221401</v>
      </c>
      <c r="AH94" s="23">
        <f t="shared" si="34"/>
        <v>1</v>
      </c>
      <c r="AI94" s="10">
        <v>312936391.85847902</v>
      </c>
      <c r="AJ94" s="29">
        <f t="shared" si="35"/>
        <v>4.4383396314032018</v>
      </c>
      <c r="AK94" s="29">
        <f t="shared" si="36"/>
        <v>11.732456101887404</v>
      </c>
      <c r="AL94" s="29">
        <f t="shared" si="37"/>
        <v>7.2941164704842034</v>
      </c>
      <c r="AM94" s="29">
        <f t="shared" si="38"/>
        <v>4.8222702763519676</v>
      </c>
    </row>
    <row r="95" spans="1:39">
      <c r="A95" t="s">
        <v>115</v>
      </c>
      <c r="B95" s="20">
        <v>2040</v>
      </c>
      <c r="C95" t="s">
        <v>229</v>
      </c>
      <c r="D95" t="s">
        <v>233</v>
      </c>
      <c r="E95" s="22" t="s">
        <v>276</v>
      </c>
      <c r="F95" s="22" t="s">
        <v>277</v>
      </c>
      <c r="G95" s="22" t="s">
        <v>230</v>
      </c>
      <c r="H95" s="22" t="s">
        <v>237</v>
      </c>
      <c r="I95" s="22" t="s">
        <v>274</v>
      </c>
      <c r="J95" s="17">
        <f>IFERROR(INDEX(Cost_Components!$K$2:$K$6,MATCH(E95,Cost_Components!$A$2:$A$6,0)),"")</f>
        <v>0.6</v>
      </c>
      <c r="K95" s="31">
        <v>0.41649999999999998</v>
      </c>
      <c r="L95" s="17">
        <f>IFERROR(INDEX(Cost_Components!$S$2:$S$6,MATCH(E95,Cost_Components!$A$2:$A$6,0)),"")</f>
        <v>0.147914612579645</v>
      </c>
      <c r="M95" s="28">
        <f>IFERROR(INDEX(Cost_Components!$L$2:$L$6,MATCH(E95,Cost_Components!$A$2:$A$6,0)),"")</f>
        <v>1</v>
      </c>
      <c r="N95" s="29">
        <f>IFERROR(INDEX(Cost_Components!$P$2:$P$6,MATCH(E95,Cost_Components!$A$2:$A$6,0)),"")</f>
        <v>752.57623226071905</v>
      </c>
      <c r="O95" s="23">
        <f t="shared" si="26"/>
        <v>12767775.8988903</v>
      </c>
      <c r="P95" s="23">
        <f t="shared" si="27"/>
        <v>12726559.90581606</v>
      </c>
      <c r="Q95" s="23">
        <f t="shared" si="28"/>
        <v>1416682746.8755322</v>
      </c>
      <c r="R95" s="23">
        <f t="shared" si="29"/>
        <v>4002033829.3599758</v>
      </c>
      <c r="S95" s="23">
        <f t="shared" si="30"/>
        <v>2585351082.4844437</v>
      </c>
      <c r="T95" s="16">
        <f>IFERROR(INDEX(Cost_Components!$R$2:$R$6,MATCH(E95,Cost_Components!$A$2:$A$6,0)),"")</f>
        <v>1</v>
      </c>
      <c r="U95" s="26">
        <f>IFERROR(INDEX(Cost_Components!$Q$2:$Q$6,MATCH(E95,Cost_Components!$A$2:$A$6,0)),"")</f>
        <v>2023</v>
      </c>
      <c r="V95" s="30">
        <f>1/(1+Calculation_Assumptions!$B$5)^(B95-Calculation_Assumptions!$B$2)</f>
        <v>0.64186194739671765</v>
      </c>
      <c r="W95" s="23">
        <f t="shared" si="31"/>
        <v>909314746.75286031</v>
      </c>
      <c r="X95" s="23">
        <f t="shared" si="32"/>
        <v>2568753227.2605371</v>
      </c>
      <c r="Y95" s="23">
        <f t="shared" si="33"/>
        <v>1659438480.5076771</v>
      </c>
      <c r="Z95" s="17">
        <f>IFERROR(INDEX(Cost_Components!$T$2:$T$6,MATCH(E95,Cost_Components!$A$2:$A$6,0)),"")</f>
        <v>0.41649999999999998</v>
      </c>
      <c r="AA95" s="26">
        <f>IFERROR(INDEX(Cost_Components!$U$2:$U$6,MATCH(E95,Cost_Components!$A$2:$A$6,0)),"")</f>
        <v>2025</v>
      </c>
      <c r="AB95" s="26">
        <f>IFERROR(INDEX(Cost_Components!$V$2:$V$6,MATCH(E95,Cost_Components!$A$2:$A$6,0)),"")</f>
        <v>2040</v>
      </c>
      <c r="AC95" s="26">
        <f>IFERROR(INDEX(Cost_Components!$M$2:$M$6,MATCH(E95,Cost_Components!$A$2:$A$6,0)),"")</f>
        <v>30</v>
      </c>
      <c r="AD95" s="26">
        <f>IFERROR(INDEX(Cost_Components!$N$2:$N$6,MATCH(E95,Cost_Components!$A$2:$A$6,0)),"")</f>
        <v>95</v>
      </c>
      <c r="AE95" s="16" t="str">
        <f>IFERROR(INDEX(Cost_Components!$O$2:$O$6,MATCH(E95,Cost_Components!$A$2:$A$6,0)),"")</f>
        <v>Both</v>
      </c>
      <c r="AF95" s="11">
        <v>21279626.498150501</v>
      </c>
      <c r="AG95" s="11">
        <v>21210933.176360101</v>
      </c>
      <c r="AH95" s="23">
        <f t="shared" si="34"/>
        <v>1</v>
      </c>
      <c r="AI95" s="10">
        <v>314265537.41082901</v>
      </c>
      <c r="AJ95" s="29">
        <f t="shared" si="35"/>
        <v>4.5079163262612196</v>
      </c>
      <c r="AK95" s="29">
        <f t="shared" si="36"/>
        <v>12.734561550502589</v>
      </c>
      <c r="AL95" s="29">
        <f t="shared" si="37"/>
        <v>8.2266452242413681</v>
      </c>
      <c r="AM95" s="29">
        <f t="shared" si="38"/>
        <v>5.2803705241734722</v>
      </c>
    </row>
    <row r="96" spans="1:39">
      <c r="A96" t="s">
        <v>115</v>
      </c>
      <c r="B96" s="20">
        <v>2041</v>
      </c>
      <c r="C96" t="s">
        <v>229</v>
      </c>
      <c r="D96" t="s">
        <v>233</v>
      </c>
      <c r="E96" s="22" t="s">
        <v>276</v>
      </c>
      <c r="F96" s="22" t="s">
        <v>277</v>
      </c>
      <c r="G96" s="22" t="s">
        <v>230</v>
      </c>
      <c r="H96" s="22" t="s">
        <v>237</v>
      </c>
      <c r="I96" s="22" t="s">
        <v>274</v>
      </c>
      <c r="J96" s="17">
        <f>IFERROR(INDEX(Cost_Components!$K$2:$K$6,MATCH(E96,Cost_Components!$A$2:$A$6,0)),"")</f>
        <v>0.6</v>
      </c>
      <c r="K96" s="31">
        <v>0.41649999999999998</v>
      </c>
      <c r="L96" s="17">
        <f>IFERROR(INDEX(Cost_Components!$S$2:$S$6,MATCH(E96,Cost_Components!$A$2:$A$6,0)),"")</f>
        <v>0.147914612579645</v>
      </c>
      <c r="M96" s="28">
        <f>IFERROR(INDEX(Cost_Components!$L$2:$L$6,MATCH(E96,Cost_Components!$A$2:$A$6,0)),"")</f>
        <v>1</v>
      </c>
      <c r="N96" s="29">
        <f>IFERROR(INDEX(Cost_Components!$P$2:$P$6,MATCH(E96,Cost_Components!$A$2:$A$6,0)),"")</f>
        <v>752.57623226071905</v>
      </c>
      <c r="O96" s="23">
        <f t="shared" si="26"/>
        <v>13024300.597426021</v>
      </c>
      <c r="P96" s="23">
        <f t="shared" si="27"/>
        <v>12975640.39303158</v>
      </c>
      <c r="Q96" s="23">
        <f t="shared" si="28"/>
        <v>1444409644.9087012</v>
      </c>
      <c r="R96" s="23">
        <f t="shared" si="29"/>
        <v>4082440983.2555537</v>
      </c>
      <c r="S96" s="23">
        <f t="shared" si="30"/>
        <v>2638031338.3468523</v>
      </c>
      <c r="T96" s="16">
        <f>IFERROR(INDEX(Cost_Components!$R$2:$R$6,MATCH(E96,Cost_Components!$A$2:$A$6,0)),"")</f>
        <v>1</v>
      </c>
      <c r="U96" s="26">
        <f>IFERROR(INDEX(Cost_Components!$Q$2:$Q$6,MATCH(E96,Cost_Components!$A$2:$A$6,0)),"")</f>
        <v>2023</v>
      </c>
      <c r="V96" s="30">
        <f>1/(1+Calculation_Assumptions!$B$5)^(B96-Calculation_Assumptions!$B$2)</f>
        <v>0.62316693922011435</v>
      </c>
      <c r="W96" s="23">
        <f t="shared" si="31"/>
        <v>900108337.39776754</v>
      </c>
      <c r="X96" s="23">
        <f t="shared" si="32"/>
        <v>2544042252.0821176</v>
      </c>
      <c r="Y96" s="23">
        <f t="shared" si="33"/>
        <v>1643933914.6843498</v>
      </c>
      <c r="Z96" s="17">
        <f>IFERROR(INDEX(Cost_Components!$T$2:$T$6,MATCH(E96,Cost_Components!$A$2:$A$6,0)),"")</f>
        <v>0.41649999999999998</v>
      </c>
      <c r="AA96" s="26">
        <f>IFERROR(INDEX(Cost_Components!$U$2:$U$6,MATCH(E96,Cost_Components!$A$2:$A$6,0)),"")</f>
        <v>2025</v>
      </c>
      <c r="AB96" s="26">
        <f>IFERROR(INDEX(Cost_Components!$V$2:$V$6,MATCH(E96,Cost_Components!$A$2:$A$6,0)),"")</f>
        <v>2040</v>
      </c>
      <c r="AC96" s="26">
        <f>IFERROR(INDEX(Cost_Components!$M$2:$M$6,MATCH(E96,Cost_Components!$A$2:$A$6,0)),"")</f>
        <v>30</v>
      </c>
      <c r="AD96" s="26">
        <f>IFERROR(INDEX(Cost_Components!$N$2:$N$6,MATCH(E96,Cost_Components!$A$2:$A$6,0)),"")</f>
        <v>95</v>
      </c>
      <c r="AE96" s="16" t="str">
        <f>IFERROR(INDEX(Cost_Components!$O$2:$O$6,MATCH(E96,Cost_Components!$A$2:$A$6,0)),"")</f>
        <v>Both</v>
      </c>
      <c r="AF96" s="11">
        <v>21707167.662376702</v>
      </c>
      <c r="AG96" s="11">
        <v>21626067.3217193</v>
      </c>
      <c r="AH96" s="23">
        <f t="shared" si="34"/>
        <v>1</v>
      </c>
      <c r="AI96" s="10">
        <v>315525215.31254798</v>
      </c>
      <c r="AJ96" s="29">
        <f t="shared" si="35"/>
        <v>4.5777946573237287</v>
      </c>
      <c r="AK96" s="29">
        <f t="shared" si="36"/>
        <v>12.938556999990109</v>
      </c>
      <c r="AL96" s="29">
        <f t="shared" si="37"/>
        <v>8.3607623426663782</v>
      </c>
      <c r="AM96" s="29">
        <f t="shared" si="38"/>
        <v>5.2101506786262002</v>
      </c>
    </row>
    <row r="97" spans="1:39">
      <c r="A97" t="s">
        <v>115</v>
      </c>
      <c r="B97" s="20">
        <v>2042</v>
      </c>
      <c r="C97" t="s">
        <v>229</v>
      </c>
      <c r="D97" t="s">
        <v>233</v>
      </c>
      <c r="E97" s="22" t="s">
        <v>276</v>
      </c>
      <c r="F97" s="22" t="s">
        <v>277</v>
      </c>
      <c r="G97" s="22" t="s">
        <v>230</v>
      </c>
      <c r="H97" s="22" t="s">
        <v>237</v>
      </c>
      <c r="I97" s="22" t="s">
        <v>274</v>
      </c>
      <c r="J97" s="17">
        <f>IFERROR(INDEX(Cost_Components!$K$2:$K$6,MATCH(E97,Cost_Components!$A$2:$A$6,0)),"")</f>
        <v>0.6</v>
      </c>
      <c r="K97" s="31">
        <v>0.41649999999999998</v>
      </c>
      <c r="L97" s="17">
        <f>IFERROR(INDEX(Cost_Components!$S$2:$S$6,MATCH(E97,Cost_Components!$A$2:$A$6,0)),"")</f>
        <v>0.147914612579645</v>
      </c>
      <c r="M97" s="28">
        <f>IFERROR(INDEX(Cost_Components!$L$2:$L$6,MATCH(E97,Cost_Components!$A$2:$A$6,0)),"")</f>
        <v>1</v>
      </c>
      <c r="N97" s="29">
        <f>IFERROR(INDEX(Cost_Components!$P$2:$P$6,MATCH(E97,Cost_Components!$A$2:$A$6,0)),"")</f>
        <v>752.57623226071905</v>
      </c>
      <c r="O97" s="23">
        <f t="shared" si="26"/>
        <v>13278880.00250184</v>
      </c>
      <c r="P97" s="23">
        <f t="shared" si="27"/>
        <v>13222868.329408199</v>
      </c>
      <c r="Q97" s="23">
        <f t="shared" si="28"/>
        <v>1471930322.4996922</v>
      </c>
      <c r="R97" s="23">
        <f t="shared" si="29"/>
        <v>4162238388.8052802</v>
      </c>
      <c r="S97" s="23">
        <f t="shared" si="30"/>
        <v>2690308066.3055878</v>
      </c>
      <c r="T97" s="16">
        <f>IFERROR(INDEX(Cost_Components!$R$2:$R$6,MATCH(E97,Cost_Components!$A$2:$A$6,0)),"")</f>
        <v>1</v>
      </c>
      <c r="U97" s="26">
        <f>IFERROR(INDEX(Cost_Components!$Q$2:$Q$6,MATCH(E97,Cost_Components!$A$2:$A$6,0)),"")</f>
        <v>2023</v>
      </c>
      <c r="V97" s="30">
        <f>1/(1+Calculation_Assumptions!$B$5)^(B97-Calculation_Assumptions!$B$2)</f>
        <v>0.60501644584477121</v>
      </c>
      <c r="W97" s="23">
        <f t="shared" si="31"/>
        <v>890542052.24991167</v>
      </c>
      <c r="X97" s="23">
        <f t="shared" si="32"/>
        <v>2518222676.7536378</v>
      </c>
      <c r="Y97" s="23">
        <f t="shared" si="33"/>
        <v>1627680624.5037258</v>
      </c>
      <c r="Z97" s="17">
        <f>IFERROR(INDEX(Cost_Components!$T$2:$T$6,MATCH(E97,Cost_Components!$A$2:$A$6,0)),"")</f>
        <v>0.41649999999999998</v>
      </c>
      <c r="AA97" s="26">
        <f>IFERROR(INDEX(Cost_Components!$U$2:$U$6,MATCH(E97,Cost_Components!$A$2:$A$6,0)),"")</f>
        <v>2025</v>
      </c>
      <c r="AB97" s="26">
        <f>IFERROR(INDEX(Cost_Components!$V$2:$V$6,MATCH(E97,Cost_Components!$A$2:$A$6,0)),"")</f>
        <v>2040</v>
      </c>
      <c r="AC97" s="26">
        <f>IFERROR(INDEX(Cost_Components!$M$2:$M$6,MATCH(E97,Cost_Components!$A$2:$A$6,0)),"")</f>
        <v>30</v>
      </c>
      <c r="AD97" s="26">
        <f>IFERROR(INDEX(Cost_Components!$N$2:$N$6,MATCH(E97,Cost_Components!$A$2:$A$6,0)),"")</f>
        <v>95</v>
      </c>
      <c r="AE97" s="16" t="str">
        <f>IFERROR(INDEX(Cost_Components!$O$2:$O$6,MATCH(E97,Cost_Components!$A$2:$A$6,0)),"")</f>
        <v>Both</v>
      </c>
      <c r="AF97" s="11">
        <v>22131466.6708364</v>
      </c>
      <c r="AG97" s="11">
        <v>22038113.882346999</v>
      </c>
      <c r="AH97" s="23">
        <f t="shared" si="34"/>
        <v>1</v>
      </c>
      <c r="AI97" s="10">
        <v>316707694.211882</v>
      </c>
      <c r="AJ97" s="29">
        <f t="shared" si="35"/>
        <v>4.6475988724004589</v>
      </c>
      <c r="AK97" s="29">
        <f t="shared" si="36"/>
        <v>13.142207988229938</v>
      </c>
      <c r="AL97" s="29">
        <f t="shared" si="37"/>
        <v>8.4946091158294781</v>
      </c>
      <c r="AM97" s="29">
        <f t="shared" si="38"/>
        <v>5.1393782160997459</v>
      </c>
    </row>
    <row r="98" spans="1:39">
      <c r="A98" t="s">
        <v>115</v>
      </c>
      <c r="B98" s="20">
        <v>2043</v>
      </c>
      <c r="C98" t="s">
        <v>229</v>
      </c>
      <c r="D98" t="s">
        <v>233</v>
      </c>
      <c r="E98" s="22" t="s">
        <v>276</v>
      </c>
      <c r="F98" s="22" t="s">
        <v>277</v>
      </c>
      <c r="G98" s="22" t="s">
        <v>230</v>
      </c>
      <c r="H98" s="22" t="s">
        <v>237</v>
      </c>
      <c r="I98" s="22" t="s">
        <v>274</v>
      </c>
      <c r="J98" s="17">
        <f>IFERROR(INDEX(Cost_Components!$K$2:$K$6,MATCH(E98,Cost_Components!$A$2:$A$6,0)),"")</f>
        <v>0.6</v>
      </c>
      <c r="K98" s="31">
        <v>0.41649999999999998</v>
      </c>
      <c r="L98" s="17">
        <f>IFERROR(INDEX(Cost_Components!$S$2:$S$6,MATCH(E98,Cost_Components!$A$2:$A$6,0)),"")</f>
        <v>0.147914612579645</v>
      </c>
      <c r="M98" s="28">
        <f>IFERROR(INDEX(Cost_Components!$L$2:$L$6,MATCH(E98,Cost_Components!$A$2:$A$6,0)),"")</f>
        <v>1</v>
      </c>
      <c r="N98" s="29">
        <f>IFERROR(INDEX(Cost_Components!$P$2:$P$6,MATCH(E98,Cost_Components!$A$2:$A$6,0)),"")</f>
        <v>752.57623226071905</v>
      </c>
      <c r="O98" s="23">
        <f t="shared" ref="O98:O131" si="39">AF98*J98</f>
        <v>13528700.386201559</v>
      </c>
      <c r="P98" s="23">
        <f t="shared" ref="P98:P131" si="40">AG98*J98</f>
        <v>13465407.129068041</v>
      </c>
      <c r="Q98" s="23">
        <f t="shared" ref="Q98:Q129" si="41">P98*L98*M98*N98</f>
        <v>1498929019.3564112</v>
      </c>
      <c r="R98" s="23">
        <f t="shared" ref="R98:R131" si="42">O98*K98*M98*N98</f>
        <v>4240544088.6192045</v>
      </c>
      <c r="S98" s="23">
        <f t="shared" ref="S98:S129" si="43">R98-Q98</f>
        <v>2741615069.2627935</v>
      </c>
      <c r="T98" s="16">
        <f>IFERROR(INDEX(Cost_Components!$R$2:$R$6,MATCH(E98,Cost_Components!$A$2:$A$6,0)),"")</f>
        <v>1</v>
      </c>
      <c r="U98" s="26">
        <f>IFERROR(INDEX(Cost_Components!$Q$2:$Q$6,MATCH(E98,Cost_Components!$A$2:$A$6,0)),"")</f>
        <v>2023</v>
      </c>
      <c r="V98" s="30">
        <f>1/(1+Calculation_Assumptions!$B$5)^(B98-Calculation_Assumptions!$B$2)</f>
        <v>0.5873946076162827</v>
      </c>
      <c r="W98" s="23">
        <f t="shared" ref="W98:W129" si="44">Q98*V98</f>
        <v>880462823.16951859</v>
      </c>
      <c r="X98" s="23">
        <f t="shared" ref="X98:X131" si="45">R98*V98</f>
        <v>2490872731.0140247</v>
      </c>
      <c r="Y98" s="23">
        <f t="shared" ref="Y98:Y131" si="46">S98*V98</f>
        <v>1610409907.8445063</v>
      </c>
      <c r="Z98" s="17">
        <f>IFERROR(INDEX(Cost_Components!$T$2:$T$6,MATCH(E98,Cost_Components!$A$2:$A$6,0)),"")</f>
        <v>0.41649999999999998</v>
      </c>
      <c r="AA98" s="26">
        <f>IFERROR(INDEX(Cost_Components!$U$2:$U$6,MATCH(E98,Cost_Components!$A$2:$A$6,0)),"")</f>
        <v>2025</v>
      </c>
      <c r="AB98" s="26">
        <f>IFERROR(INDEX(Cost_Components!$V$2:$V$6,MATCH(E98,Cost_Components!$A$2:$A$6,0)),"")</f>
        <v>2040</v>
      </c>
      <c r="AC98" s="26">
        <f>IFERROR(INDEX(Cost_Components!$M$2:$M$6,MATCH(E98,Cost_Components!$A$2:$A$6,0)),"")</f>
        <v>30</v>
      </c>
      <c r="AD98" s="26">
        <f>IFERROR(INDEX(Cost_Components!$N$2:$N$6,MATCH(E98,Cost_Components!$A$2:$A$6,0)),"")</f>
        <v>95</v>
      </c>
      <c r="AE98" s="16" t="str">
        <f>IFERROR(INDEX(Cost_Components!$O$2:$O$6,MATCH(E98,Cost_Components!$A$2:$A$6,0)),"")</f>
        <v>Both</v>
      </c>
      <c r="AF98" s="11">
        <v>22547833.977002598</v>
      </c>
      <c r="AG98" s="11">
        <v>22442345.215113401</v>
      </c>
      <c r="AH98" s="23">
        <f t="shared" ref="AH98:AH131" si="47">IF(H98="shared-count-once",COUNTIFS($A$2:$A$131,A98,$B$2:$B$131,B98,$E$2:$E$131,E98),1)</f>
        <v>1</v>
      </c>
      <c r="AI98" s="10">
        <v>317814114.06715202</v>
      </c>
      <c r="AJ98" s="29">
        <f t="shared" ref="AJ98:AJ129" si="48">IF(AI98=0,"",Q98/AI98)</f>
        <v>4.7163702082774632</v>
      </c>
      <c r="AK98" s="29">
        <f t="shared" ref="AK98:AK131" si="49">IF(AI98=0,"",R98/AI98)</f>
        <v>13.34284382261011</v>
      </c>
      <c r="AL98" s="29">
        <f t="shared" ref="AL98:AL131" si="50">IF(AI98=0,"",S98/AI98)</f>
        <v>8.6264736143326477</v>
      </c>
      <c r="AM98" s="29">
        <f t="shared" ref="AM98:AM131" si="51">IF(AI98=0,"",Y98/AI98)</f>
        <v>5.0671440838031421</v>
      </c>
    </row>
    <row r="99" spans="1:39">
      <c r="A99" t="s">
        <v>115</v>
      </c>
      <c r="B99" s="20">
        <v>2044</v>
      </c>
      <c r="C99" t="s">
        <v>229</v>
      </c>
      <c r="D99" t="s">
        <v>233</v>
      </c>
      <c r="E99" s="22" t="s">
        <v>276</v>
      </c>
      <c r="F99" s="22" t="s">
        <v>277</v>
      </c>
      <c r="G99" s="22" t="s">
        <v>230</v>
      </c>
      <c r="H99" s="22" t="s">
        <v>237</v>
      </c>
      <c r="I99" s="22" t="s">
        <v>274</v>
      </c>
      <c r="J99" s="17">
        <f>IFERROR(INDEX(Cost_Components!$K$2:$K$6,MATCH(E99,Cost_Components!$A$2:$A$6,0)),"")</f>
        <v>0.6</v>
      </c>
      <c r="K99" s="31">
        <v>0.41649999999999998</v>
      </c>
      <c r="L99" s="17">
        <f>IFERROR(INDEX(Cost_Components!$S$2:$S$6,MATCH(E99,Cost_Components!$A$2:$A$6,0)),"")</f>
        <v>0.147914612579645</v>
      </c>
      <c r="M99" s="28">
        <f>IFERROR(INDEX(Cost_Components!$L$2:$L$6,MATCH(E99,Cost_Components!$A$2:$A$6,0)),"")</f>
        <v>1</v>
      </c>
      <c r="N99" s="29">
        <f>IFERROR(INDEX(Cost_Components!$P$2:$P$6,MATCH(E99,Cost_Components!$A$2:$A$6,0)),"")</f>
        <v>752.57623226071905</v>
      </c>
      <c r="O99" s="23">
        <f t="shared" si="39"/>
        <v>13773751.050326578</v>
      </c>
      <c r="P99" s="23">
        <f t="shared" si="40"/>
        <v>13703241.113269979</v>
      </c>
      <c r="Q99" s="23">
        <f t="shared" si="41"/>
        <v>1525403990.1680894</v>
      </c>
      <c r="R99" s="23">
        <f t="shared" si="42"/>
        <v>4317354729.3683653</v>
      </c>
      <c r="S99" s="23">
        <f t="shared" si="43"/>
        <v>2791950739.2002759</v>
      </c>
      <c r="T99" s="16">
        <f>IFERROR(INDEX(Cost_Components!$R$2:$R$6,MATCH(E99,Cost_Components!$A$2:$A$6,0)),"")</f>
        <v>1</v>
      </c>
      <c r="U99" s="26">
        <f>IFERROR(INDEX(Cost_Components!$Q$2:$Q$6,MATCH(E99,Cost_Components!$A$2:$A$6,0)),"")</f>
        <v>2023</v>
      </c>
      <c r="V99" s="30">
        <f>1/(1+Calculation_Assumptions!$B$5)^(B99-Calculation_Assumptions!$B$2)</f>
        <v>0.57028602681192497</v>
      </c>
      <c r="W99" s="23">
        <f t="shared" si="44"/>
        <v>869916580.83601642</v>
      </c>
      <c r="X99" s="23">
        <f t="shared" si="45"/>
        <v>2462127074.9491587</v>
      </c>
      <c r="Y99" s="23">
        <f t="shared" si="46"/>
        <v>1592210494.1131423</v>
      </c>
      <c r="Z99" s="17">
        <f>IFERROR(INDEX(Cost_Components!$T$2:$T$6,MATCH(E99,Cost_Components!$A$2:$A$6,0)),"")</f>
        <v>0.41649999999999998</v>
      </c>
      <c r="AA99" s="26">
        <f>IFERROR(INDEX(Cost_Components!$U$2:$U$6,MATCH(E99,Cost_Components!$A$2:$A$6,0)),"")</f>
        <v>2025</v>
      </c>
      <c r="AB99" s="26">
        <f>IFERROR(INDEX(Cost_Components!$V$2:$V$6,MATCH(E99,Cost_Components!$A$2:$A$6,0)),"")</f>
        <v>2040</v>
      </c>
      <c r="AC99" s="26">
        <f>IFERROR(INDEX(Cost_Components!$M$2:$M$6,MATCH(E99,Cost_Components!$A$2:$A$6,0)),"")</f>
        <v>30</v>
      </c>
      <c r="AD99" s="26">
        <f>IFERROR(INDEX(Cost_Components!$N$2:$N$6,MATCH(E99,Cost_Components!$A$2:$A$6,0)),"")</f>
        <v>95</v>
      </c>
      <c r="AE99" s="16" t="str">
        <f>IFERROR(INDEX(Cost_Components!$O$2:$O$6,MATCH(E99,Cost_Components!$A$2:$A$6,0)),"")</f>
        <v>Both</v>
      </c>
      <c r="AF99" s="11">
        <v>22956251.750544298</v>
      </c>
      <c r="AG99" s="11">
        <v>22838735.188783299</v>
      </c>
      <c r="AH99" s="23">
        <f t="shared" si="47"/>
        <v>1</v>
      </c>
      <c r="AI99" s="10">
        <v>318840890.73215598</v>
      </c>
      <c r="AJ99" s="29">
        <f t="shared" si="48"/>
        <v>4.7842169386282176</v>
      </c>
      <c r="AK99" s="29">
        <f t="shared" si="49"/>
        <v>13.540781169737675</v>
      </c>
      <c r="AL99" s="29">
        <f t="shared" si="50"/>
        <v>8.7565642311094578</v>
      </c>
      <c r="AM99" s="29">
        <f t="shared" si="51"/>
        <v>4.9937462238828312</v>
      </c>
    </row>
    <row r="100" spans="1:39">
      <c r="A100" t="s">
        <v>115</v>
      </c>
      <c r="B100" s="20">
        <v>2045</v>
      </c>
      <c r="C100" t="s">
        <v>229</v>
      </c>
      <c r="D100" t="s">
        <v>233</v>
      </c>
      <c r="E100" s="22" t="s">
        <v>276</v>
      </c>
      <c r="F100" s="22" t="s">
        <v>277</v>
      </c>
      <c r="G100" s="22" t="s">
        <v>230</v>
      </c>
      <c r="H100" s="22" t="s">
        <v>237</v>
      </c>
      <c r="I100" s="22" t="s">
        <v>274</v>
      </c>
      <c r="J100" s="17">
        <f>IFERROR(INDEX(Cost_Components!$K$2:$K$6,MATCH(E100,Cost_Components!$A$2:$A$6,0)),"")</f>
        <v>0.6</v>
      </c>
      <c r="K100" s="31">
        <v>0.41649999999999998</v>
      </c>
      <c r="L100" s="17">
        <f>IFERROR(INDEX(Cost_Components!$S$2:$S$6,MATCH(E100,Cost_Components!$A$2:$A$6,0)),"")</f>
        <v>0.147914612579645</v>
      </c>
      <c r="M100" s="28">
        <f>IFERROR(INDEX(Cost_Components!$L$2:$L$6,MATCH(E100,Cost_Components!$A$2:$A$6,0)),"")</f>
        <v>1</v>
      </c>
      <c r="N100" s="29">
        <f>IFERROR(INDEX(Cost_Components!$P$2:$P$6,MATCH(E100,Cost_Components!$A$2:$A$6,0)),"")</f>
        <v>752.57623226071905</v>
      </c>
      <c r="O100" s="23">
        <f t="shared" si="39"/>
        <v>14013548.690400781</v>
      </c>
      <c r="P100" s="23">
        <f t="shared" si="40"/>
        <v>13935882.205608061</v>
      </c>
      <c r="Q100" s="23">
        <f t="shared" si="41"/>
        <v>1551300903.72279</v>
      </c>
      <c r="R100" s="23">
        <f t="shared" si="42"/>
        <v>4392518820.2309761</v>
      </c>
      <c r="S100" s="23">
        <f t="shared" si="43"/>
        <v>2841217916.5081863</v>
      </c>
      <c r="T100" s="16">
        <f>IFERROR(INDEX(Cost_Components!$R$2:$R$6,MATCH(E100,Cost_Components!$A$2:$A$6,0)),"")</f>
        <v>1</v>
      </c>
      <c r="U100" s="26">
        <f>IFERROR(INDEX(Cost_Components!$Q$2:$Q$6,MATCH(E100,Cost_Components!$A$2:$A$6,0)),"")</f>
        <v>2023</v>
      </c>
      <c r="V100" s="30">
        <f>1/(1+Calculation_Assumptions!$B$5)^(B100-Calculation_Assumptions!$B$2)</f>
        <v>0.55367575418633497</v>
      </c>
      <c r="W100" s="23">
        <f t="shared" si="44"/>
        <v>858917697.83865881</v>
      </c>
      <c r="X100" s="23">
        <f t="shared" si="45"/>
        <v>2432031170.569056</v>
      </c>
      <c r="Y100" s="23">
        <f t="shared" si="46"/>
        <v>1573113472.7303975</v>
      </c>
      <c r="Z100" s="17">
        <f>IFERROR(INDEX(Cost_Components!$T$2:$T$6,MATCH(E100,Cost_Components!$A$2:$A$6,0)),"")</f>
        <v>0.41649999999999998</v>
      </c>
      <c r="AA100" s="26">
        <f>IFERROR(INDEX(Cost_Components!$U$2:$U$6,MATCH(E100,Cost_Components!$A$2:$A$6,0)),"")</f>
        <v>2025</v>
      </c>
      <c r="AB100" s="26">
        <f>IFERROR(INDEX(Cost_Components!$V$2:$V$6,MATCH(E100,Cost_Components!$A$2:$A$6,0)),"")</f>
        <v>2040</v>
      </c>
      <c r="AC100" s="26">
        <f>IFERROR(INDEX(Cost_Components!$M$2:$M$6,MATCH(E100,Cost_Components!$A$2:$A$6,0)),"")</f>
        <v>30</v>
      </c>
      <c r="AD100" s="26">
        <f>IFERROR(INDEX(Cost_Components!$N$2:$N$6,MATCH(E100,Cost_Components!$A$2:$A$6,0)),"")</f>
        <v>95</v>
      </c>
      <c r="AE100" s="16" t="str">
        <f>IFERROR(INDEX(Cost_Components!$O$2:$O$6,MATCH(E100,Cost_Components!$A$2:$A$6,0)),"")</f>
        <v>Both</v>
      </c>
      <c r="AF100" s="11">
        <v>23355914.484001301</v>
      </c>
      <c r="AG100" s="11">
        <v>23226470.3426801</v>
      </c>
      <c r="AH100" s="23">
        <f t="shared" si="47"/>
        <v>1</v>
      </c>
      <c r="AI100" s="10">
        <v>319784682.33108002</v>
      </c>
      <c r="AJ100" s="29">
        <f t="shared" si="48"/>
        <v>4.8510794588863222</v>
      </c>
      <c r="AK100" s="29">
        <f t="shared" si="49"/>
        <v>13.735863732470168</v>
      </c>
      <c r="AL100" s="29">
        <f t="shared" si="50"/>
        <v>8.8847842735838487</v>
      </c>
      <c r="AM100" s="29">
        <f t="shared" si="51"/>
        <v>4.9192896334594254</v>
      </c>
    </row>
    <row r="101" spans="1:39">
      <c r="A101" t="s">
        <v>115</v>
      </c>
      <c r="B101" s="20">
        <v>2046</v>
      </c>
      <c r="C101" t="s">
        <v>229</v>
      </c>
      <c r="D101" t="s">
        <v>233</v>
      </c>
      <c r="E101" s="22" t="s">
        <v>276</v>
      </c>
      <c r="F101" s="22" t="s">
        <v>277</v>
      </c>
      <c r="G101" s="22" t="s">
        <v>230</v>
      </c>
      <c r="H101" s="22" t="s">
        <v>237</v>
      </c>
      <c r="I101" s="22" t="s">
        <v>274</v>
      </c>
      <c r="J101" s="17">
        <f>IFERROR(INDEX(Cost_Components!$K$2:$K$6,MATCH(E101,Cost_Components!$A$2:$A$6,0)),"")</f>
        <v>0.6</v>
      </c>
      <c r="K101" s="31">
        <v>0.41649999999999998</v>
      </c>
      <c r="L101" s="17">
        <f>IFERROR(INDEX(Cost_Components!$S$2:$S$6,MATCH(E101,Cost_Components!$A$2:$A$6,0)),"")</f>
        <v>0.147914612579645</v>
      </c>
      <c r="M101" s="28">
        <f>IFERROR(INDEX(Cost_Components!$L$2:$L$6,MATCH(E101,Cost_Components!$A$2:$A$6,0)),"")</f>
        <v>1</v>
      </c>
      <c r="N101" s="29">
        <f>IFERROR(INDEX(Cost_Components!$P$2:$P$6,MATCH(E101,Cost_Components!$A$2:$A$6,0)),"")</f>
        <v>752.57623226071905</v>
      </c>
      <c r="O101" s="23">
        <f t="shared" si="39"/>
        <v>14250398.24288916</v>
      </c>
      <c r="P101" s="23">
        <f t="shared" si="40"/>
        <v>14165631.321979439</v>
      </c>
      <c r="Q101" s="23">
        <f t="shared" si="41"/>
        <v>1576875891.1256688</v>
      </c>
      <c r="R101" s="23">
        <f t="shared" si="42"/>
        <v>4466758838.933815</v>
      </c>
      <c r="S101" s="23">
        <f t="shared" si="43"/>
        <v>2889882947.8081465</v>
      </c>
      <c r="T101" s="16">
        <f>IFERROR(INDEX(Cost_Components!$R$2:$R$6,MATCH(E101,Cost_Components!$A$2:$A$6,0)),"")</f>
        <v>1</v>
      </c>
      <c r="U101" s="26">
        <f>IFERROR(INDEX(Cost_Components!$Q$2:$Q$6,MATCH(E101,Cost_Components!$A$2:$A$6,0)),"")</f>
        <v>2023</v>
      </c>
      <c r="V101" s="30">
        <f>1/(1+Calculation_Assumptions!$B$5)^(B101-Calculation_Assumptions!$B$2)</f>
        <v>0.5375492759090631</v>
      </c>
      <c r="W101" s="23">
        <f t="shared" si="44"/>
        <v>847648493.4730618</v>
      </c>
      <c r="X101" s="23">
        <f t="shared" si="45"/>
        <v>2401102979.5292797</v>
      </c>
      <c r="Y101" s="23">
        <f t="shared" si="46"/>
        <v>1553454486.0562179</v>
      </c>
      <c r="Z101" s="17">
        <f>IFERROR(INDEX(Cost_Components!$T$2:$T$6,MATCH(E101,Cost_Components!$A$2:$A$6,0)),"")</f>
        <v>0.41649999999999998</v>
      </c>
      <c r="AA101" s="26">
        <f>IFERROR(INDEX(Cost_Components!$U$2:$U$6,MATCH(E101,Cost_Components!$A$2:$A$6,0)),"")</f>
        <v>2025</v>
      </c>
      <c r="AB101" s="26">
        <f>IFERROR(INDEX(Cost_Components!$V$2:$V$6,MATCH(E101,Cost_Components!$A$2:$A$6,0)),"")</f>
        <v>2040</v>
      </c>
      <c r="AC101" s="26">
        <f>IFERROR(INDEX(Cost_Components!$M$2:$M$6,MATCH(E101,Cost_Components!$A$2:$A$6,0)),"")</f>
        <v>30</v>
      </c>
      <c r="AD101" s="26">
        <f>IFERROR(INDEX(Cost_Components!$N$2:$N$6,MATCH(E101,Cost_Components!$A$2:$A$6,0)),"")</f>
        <v>95</v>
      </c>
      <c r="AE101" s="16" t="str">
        <f>IFERROR(INDEX(Cost_Components!$O$2:$O$6,MATCH(E101,Cost_Components!$A$2:$A$6,0)),"")</f>
        <v>Both</v>
      </c>
      <c r="AF101" s="11">
        <v>23750663.7381486</v>
      </c>
      <c r="AG101" s="11">
        <v>23609385.5366324</v>
      </c>
      <c r="AH101" s="23">
        <f t="shared" si="47"/>
        <v>1</v>
      </c>
      <c r="AI101" s="10">
        <v>320645615.981408</v>
      </c>
      <c r="AJ101" s="29">
        <f t="shared" si="48"/>
        <v>4.9178152219523898</v>
      </c>
      <c r="AK101" s="29">
        <f t="shared" si="49"/>
        <v>13.93051586020378</v>
      </c>
      <c r="AL101" s="29">
        <f t="shared" si="50"/>
        <v>9.0127006382513919</v>
      </c>
      <c r="AM101" s="29">
        <f t="shared" si="51"/>
        <v>4.8447707020771862</v>
      </c>
    </row>
    <row r="102" spans="1:39">
      <c r="A102" t="s">
        <v>115</v>
      </c>
      <c r="B102" s="20">
        <v>2047</v>
      </c>
      <c r="C102" t="s">
        <v>229</v>
      </c>
      <c r="D102" t="s">
        <v>233</v>
      </c>
      <c r="E102" s="22" t="s">
        <v>276</v>
      </c>
      <c r="F102" s="22" t="s">
        <v>277</v>
      </c>
      <c r="G102" s="22" t="s">
        <v>230</v>
      </c>
      <c r="H102" s="22" t="s">
        <v>237</v>
      </c>
      <c r="I102" s="22" t="s">
        <v>274</v>
      </c>
      <c r="J102" s="17">
        <f>IFERROR(INDEX(Cost_Components!$K$2:$K$6,MATCH(E102,Cost_Components!$A$2:$A$6,0)),"")</f>
        <v>0.6</v>
      </c>
      <c r="K102" s="31">
        <v>0.41649999999999998</v>
      </c>
      <c r="L102" s="17">
        <f>IFERROR(INDEX(Cost_Components!$S$2:$S$6,MATCH(E102,Cost_Components!$A$2:$A$6,0)),"")</f>
        <v>0.147914612579645</v>
      </c>
      <c r="M102" s="28">
        <f>IFERROR(INDEX(Cost_Components!$L$2:$L$6,MATCH(E102,Cost_Components!$A$2:$A$6,0)),"")</f>
        <v>1</v>
      </c>
      <c r="N102" s="29">
        <f>IFERROR(INDEX(Cost_Components!$P$2:$P$6,MATCH(E102,Cost_Components!$A$2:$A$6,0)),"")</f>
        <v>752.57623226071905</v>
      </c>
      <c r="O102" s="23">
        <f t="shared" si="39"/>
        <v>14479704.486014461</v>
      </c>
      <c r="P102" s="23">
        <f t="shared" si="40"/>
        <v>14387900.07831138</v>
      </c>
      <c r="Q102" s="23">
        <f t="shared" si="41"/>
        <v>1601618187.1267304</v>
      </c>
      <c r="R102" s="23">
        <f t="shared" si="42"/>
        <v>4538634422.3978586</v>
      </c>
      <c r="S102" s="23">
        <f t="shared" si="43"/>
        <v>2937016235.2711282</v>
      </c>
      <c r="T102" s="16">
        <f>IFERROR(INDEX(Cost_Components!$R$2:$R$6,MATCH(E102,Cost_Components!$A$2:$A$6,0)),"")</f>
        <v>1</v>
      </c>
      <c r="U102" s="26">
        <f>IFERROR(INDEX(Cost_Components!$Q$2:$Q$6,MATCH(E102,Cost_Components!$A$2:$A$6,0)),"")</f>
        <v>2023</v>
      </c>
      <c r="V102" s="30">
        <f>1/(1+Calculation_Assumptions!$B$5)^(B102-Calculation_Assumptions!$B$2)</f>
        <v>0.52189250088258554</v>
      </c>
      <c r="W102" s="23">
        <f t="shared" si="44"/>
        <v>835872521.13860226</v>
      </c>
      <c r="X102" s="23">
        <f t="shared" si="45"/>
        <v>2368679269.2970076</v>
      </c>
      <c r="Y102" s="23">
        <f t="shared" si="46"/>
        <v>1532806748.1584053</v>
      </c>
      <c r="Z102" s="17">
        <f>IFERROR(INDEX(Cost_Components!$T$2:$T$6,MATCH(E102,Cost_Components!$A$2:$A$6,0)),"")</f>
        <v>0.41649999999999998</v>
      </c>
      <c r="AA102" s="26">
        <f>IFERROR(INDEX(Cost_Components!$U$2:$U$6,MATCH(E102,Cost_Components!$A$2:$A$6,0)),"")</f>
        <v>2025</v>
      </c>
      <c r="AB102" s="26">
        <f>IFERROR(INDEX(Cost_Components!$V$2:$V$6,MATCH(E102,Cost_Components!$A$2:$A$6,0)),"")</f>
        <v>2040</v>
      </c>
      <c r="AC102" s="26">
        <f>IFERROR(INDEX(Cost_Components!$M$2:$M$6,MATCH(E102,Cost_Components!$A$2:$A$6,0)),"")</f>
        <v>30</v>
      </c>
      <c r="AD102" s="26">
        <f>IFERROR(INDEX(Cost_Components!$N$2:$N$6,MATCH(E102,Cost_Components!$A$2:$A$6,0)),"")</f>
        <v>95</v>
      </c>
      <c r="AE102" s="16" t="str">
        <f>IFERROR(INDEX(Cost_Components!$O$2:$O$6,MATCH(E102,Cost_Components!$A$2:$A$6,0)),"")</f>
        <v>Both</v>
      </c>
      <c r="AF102" s="11">
        <v>24132840.810024101</v>
      </c>
      <c r="AG102" s="11">
        <v>23979833.463852301</v>
      </c>
      <c r="AH102" s="23">
        <f t="shared" si="47"/>
        <v>1</v>
      </c>
      <c r="AI102" s="10">
        <v>321429520.52287501</v>
      </c>
      <c r="AJ102" s="29">
        <f t="shared" si="48"/>
        <v>4.9827974248331337</v>
      </c>
      <c r="AK102" s="29">
        <f t="shared" si="49"/>
        <v>14.12015428767956</v>
      </c>
      <c r="AL102" s="29">
        <f t="shared" si="50"/>
        <v>9.1373568628464259</v>
      </c>
      <c r="AM102" s="29">
        <f t="shared" si="51"/>
        <v>4.7687180246075771</v>
      </c>
    </row>
    <row r="103" spans="1:39">
      <c r="A103" t="s">
        <v>115</v>
      </c>
      <c r="B103" s="20">
        <v>2048</v>
      </c>
      <c r="C103" t="s">
        <v>229</v>
      </c>
      <c r="D103" t="s">
        <v>233</v>
      </c>
      <c r="E103" s="22" t="s">
        <v>276</v>
      </c>
      <c r="F103" s="22" t="s">
        <v>277</v>
      </c>
      <c r="G103" s="22" t="s">
        <v>230</v>
      </c>
      <c r="H103" s="22" t="s">
        <v>237</v>
      </c>
      <c r="I103" s="22" t="s">
        <v>274</v>
      </c>
      <c r="J103" s="17">
        <f>IFERROR(INDEX(Cost_Components!$K$2:$K$6,MATCH(E103,Cost_Components!$A$2:$A$6,0)),"")</f>
        <v>0.6</v>
      </c>
      <c r="K103" s="31">
        <v>0.41649999999999998</v>
      </c>
      <c r="L103" s="17">
        <f>IFERROR(INDEX(Cost_Components!$S$2:$S$6,MATCH(E103,Cost_Components!$A$2:$A$6,0)),"")</f>
        <v>0.147914612579645</v>
      </c>
      <c r="M103" s="28">
        <f>IFERROR(INDEX(Cost_Components!$L$2:$L$6,MATCH(E103,Cost_Components!$A$2:$A$6,0)),"")</f>
        <v>1</v>
      </c>
      <c r="N103" s="29">
        <f>IFERROR(INDEX(Cost_Components!$P$2:$P$6,MATCH(E103,Cost_Components!$A$2:$A$6,0)),"")</f>
        <v>752.57623226071905</v>
      </c>
      <c r="O103" s="23">
        <f t="shared" si="39"/>
        <v>14701971.224178778</v>
      </c>
      <c r="P103" s="23">
        <f t="shared" si="40"/>
        <v>14603205.90379254</v>
      </c>
      <c r="Q103" s="23">
        <f t="shared" si="41"/>
        <v>1625585390.4022644</v>
      </c>
      <c r="R103" s="23">
        <f t="shared" si="42"/>
        <v>4608303487.1057072</v>
      </c>
      <c r="S103" s="23">
        <f t="shared" si="43"/>
        <v>2982718096.7034426</v>
      </c>
      <c r="T103" s="16">
        <f>IFERROR(INDEX(Cost_Components!$R$2:$R$6,MATCH(E103,Cost_Components!$A$2:$A$6,0)),"")</f>
        <v>1</v>
      </c>
      <c r="U103" s="26">
        <f>IFERROR(INDEX(Cost_Components!$Q$2:$Q$6,MATCH(E103,Cost_Components!$A$2:$A$6,0)),"")</f>
        <v>2023</v>
      </c>
      <c r="V103" s="30">
        <f>1/(1+Calculation_Assumptions!$B$5)^(B103-Calculation_Assumptions!$B$2)</f>
        <v>0.50669174842969467</v>
      </c>
      <c r="W103" s="23">
        <f t="shared" si="44"/>
        <v>823670703.68469107</v>
      </c>
      <c r="X103" s="23">
        <f t="shared" si="45"/>
        <v>2334989351.1762495</v>
      </c>
      <c r="Y103" s="23">
        <f t="shared" si="46"/>
        <v>1511318647.4915583</v>
      </c>
      <c r="Z103" s="17">
        <f>IFERROR(INDEX(Cost_Components!$T$2:$T$6,MATCH(E103,Cost_Components!$A$2:$A$6,0)),"")</f>
        <v>0.41649999999999998</v>
      </c>
      <c r="AA103" s="26">
        <f>IFERROR(INDEX(Cost_Components!$U$2:$U$6,MATCH(E103,Cost_Components!$A$2:$A$6,0)),"")</f>
        <v>2025</v>
      </c>
      <c r="AB103" s="26">
        <f>IFERROR(INDEX(Cost_Components!$V$2:$V$6,MATCH(E103,Cost_Components!$A$2:$A$6,0)),"")</f>
        <v>2040</v>
      </c>
      <c r="AC103" s="26">
        <f>IFERROR(INDEX(Cost_Components!$M$2:$M$6,MATCH(E103,Cost_Components!$A$2:$A$6,0)),"")</f>
        <v>30</v>
      </c>
      <c r="AD103" s="26">
        <f>IFERROR(INDEX(Cost_Components!$N$2:$N$6,MATCH(E103,Cost_Components!$A$2:$A$6,0)),"")</f>
        <v>95</v>
      </c>
      <c r="AE103" s="16" t="str">
        <f>IFERROR(INDEX(Cost_Components!$O$2:$O$6,MATCH(E103,Cost_Components!$A$2:$A$6,0)),"")</f>
        <v>Both</v>
      </c>
      <c r="AF103" s="11">
        <v>24503285.373631299</v>
      </c>
      <c r="AG103" s="11">
        <v>24338676.506320901</v>
      </c>
      <c r="AH103" s="23">
        <f t="shared" si="47"/>
        <v>1</v>
      </c>
      <c r="AI103" s="10">
        <v>322136832.26016098</v>
      </c>
      <c r="AJ103" s="29">
        <f t="shared" si="48"/>
        <v>5.0462574521420294</v>
      </c>
      <c r="AK103" s="29">
        <f t="shared" si="49"/>
        <v>14.305422496313598</v>
      </c>
      <c r="AL103" s="29">
        <f t="shared" si="50"/>
        <v>9.2591650441715689</v>
      </c>
      <c r="AM103" s="29">
        <f t="shared" si="51"/>
        <v>4.6915425252304024</v>
      </c>
    </row>
    <row r="104" spans="1:39">
      <c r="A104" t="s">
        <v>115</v>
      </c>
      <c r="B104" s="20">
        <v>2049</v>
      </c>
      <c r="C104" t="s">
        <v>229</v>
      </c>
      <c r="D104" t="s">
        <v>233</v>
      </c>
      <c r="E104" s="22" t="s">
        <v>276</v>
      </c>
      <c r="F104" s="22" t="s">
        <v>277</v>
      </c>
      <c r="G104" s="22" t="s">
        <v>230</v>
      </c>
      <c r="H104" s="22" t="s">
        <v>237</v>
      </c>
      <c r="I104" s="22" t="s">
        <v>274</v>
      </c>
      <c r="J104" s="17">
        <f>IFERROR(INDEX(Cost_Components!$K$2:$K$6,MATCH(E104,Cost_Components!$A$2:$A$6,0)),"")</f>
        <v>0.6</v>
      </c>
      <c r="K104" s="31">
        <v>0.41649999999999998</v>
      </c>
      <c r="L104" s="17">
        <f>IFERROR(INDEX(Cost_Components!$S$2:$S$6,MATCH(E104,Cost_Components!$A$2:$A$6,0)),"")</f>
        <v>0.147914612579645</v>
      </c>
      <c r="M104" s="28">
        <f>IFERROR(INDEX(Cost_Components!$L$2:$L$6,MATCH(E104,Cost_Components!$A$2:$A$6,0)),"")</f>
        <v>1</v>
      </c>
      <c r="N104" s="29">
        <f>IFERROR(INDEX(Cost_Components!$P$2:$P$6,MATCH(E104,Cost_Components!$A$2:$A$6,0)),"")</f>
        <v>752.57623226071905</v>
      </c>
      <c r="O104" s="23">
        <f t="shared" si="39"/>
        <v>14918987.14151994</v>
      </c>
      <c r="P104" s="23">
        <f t="shared" si="40"/>
        <v>14813345.2433025</v>
      </c>
      <c r="Q104" s="23">
        <f t="shared" si="41"/>
        <v>1648977475.8461502</v>
      </c>
      <c r="R104" s="23">
        <f t="shared" si="42"/>
        <v>4676326692.5243111</v>
      </c>
      <c r="S104" s="23">
        <f t="shared" si="43"/>
        <v>3027349216.6781607</v>
      </c>
      <c r="T104" s="16">
        <f>IFERROR(INDEX(Cost_Components!$R$2:$R$6,MATCH(E104,Cost_Components!$A$2:$A$6,0)),"")</f>
        <v>1</v>
      </c>
      <c r="U104" s="26">
        <f>IFERROR(INDEX(Cost_Components!$Q$2:$Q$6,MATCH(E104,Cost_Components!$A$2:$A$6,0)),"")</f>
        <v>2023</v>
      </c>
      <c r="V104" s="30">
        <f>1/(1+Calculation_Assumptions!$B$5)^(B104-Calculation_Assumptions!$B$2)</f>
        <v>0.49193373633950943</v>
      </c>
      <c r="W104" s="23">
        <f t="shared" si="44"/>
        <v>811187650.83268976</v>
      </c>
      <c r="X104" s="23">
        <f t="shared" si="45"/>
        <v>2300442862.1976647</v>
      </c>
      <c r="Y104" s="23">
        <f t="shared" si="46"/>
        <v>1489255211.3649747</v>
      </c>
      <c r="Z104" s="17">
        <f>IFERROR(INDEX(Cost_Components!$T$2:$T$6,MATCH(E104,Cost_Components!$A$2:$A$6,0)),"")</f>
        <v>0.41649999999999998</v>
      </c>
      <c r="AA104" s="26">
        <f>IFERROR(INDEX(Cost_Components!$U$2:$U$6,MATCH(E104,Cost_Components!$A$2:$A$6,0)),"")</f>
        <v>2025</v>
      </c>
      <c r="AB104" s="26">
        <f>IFERROR(INDEX(Cost_Components!$V$2:$V$6,MATCH(E104,Cost_Components!$A$2:$A$6,0)),"")</f>
        <v>2040</v>
      </c>
      <c r="AC104" s="26">
        <f>IFERROR(INDEX(Cost_Components!$M$2:$M$6,MATCH(E104,Cost_Components!$A$2:$A$6,0)),"")</f>
        <v>30</v>
      </c>
      <c r="AD104" s="26">
        <f>IFERROR(INDEX(Cost_Components!$N$2:$N$6,MATCH(E104,Cost_Components!$A$2:$A$6,0)),"")</f>
        <v>95</v>
      </c>
      <c r="AE104" s="16" t="str">
        <f>IFERROR(INDEX(Cost_Components!$O$2:$O$6,MATCH(E104,Cost_Components!$A$2:$A$6,0)),"")</f>
        <v>Both</v>
      </c>
      <c r="AF104" s="11">
        <v>24864978.569199901</v>
      </c>
      <c r="AG104" s="11">
        <v>24688908.738837499</v>
      </c>
      <c r="AH104" s="23">
        <f t="shared" si="47"/>
        <v>1</v>
      </c>
      <c r="AI104" s="10">
        <v>322765819.75268102</v>
      </c>
      <c r="AJ104" s="29">
        <f t="shared" si="48"/>
        <v>5.1088974573258019</v>
      </c>
      <c r="AK104" s="29">
        <f t="shared" si="49"/>
        <v>14.488295867596952</v>
      </c>
      <c r="AL104" s="29">
        <f t="shared" si="50"/>
        <v>9.3793984102711487</v>
      </c>
      <c r="AM104" s="29">
        <f t="shared" si="51"/>
        <v>4.6140425045815414</v>
      </c>
    </row>
    <row r="105" spans="1:39">
      <c r="A105" t="s">
        <v>115</v>
      </c>
      <c r="B105" s="20">
        <v>2050</v>
      </c>
      <c r="C105" t="s">
        <v>229</v>
      </c>
      <c r="D105" t="s">
        <v>233</v>
      </c>
      <c r="E105" s="22" t="s">
        <v>276</v>
      </c>
      <c r="F105" s="22" t="s">
        <v>277</v>
      </c>
      <c r="G105" s="22" t="s">
        <v>230</v>
      </c>
      <c r="H105" s="22" t="s">
        <v>237</v>
      </c>
      <c r="I105" s="22" t="s">
        <v>274</v>
      </c>
      <c r="J105" s="17">
        <f>IFERROR(INDEX(Cost_Components!$K$2:$K$6,MATCH(E105,Cost_Components!$A$2:$A$6,0)),"")</f>
        <v>0.6</v>
      </c>
      <c r="K105" s="31">
        <v>0.41649999999999998</v>
      </c>
      <c r="L105" s="17">
        <f>IFERROR(INDEX(Cost_Components!$S$2:$S$6,MATCH(E105,Cost_Components!$A$2:$A$6,0)),"")</f>
        <v>0.147914612579645</v>
      </c>
      <c r="M105" s="28">
        <f>IFERROR(INDEX(Cost_Components!$L$2:$L$6,MATCH(E105,Cost_Components!$A$2:$A$6,0)),"")</f>
        <v>1</v>
      </c>
      <c r="N105" s="29">
        <f>IFERROR(INDEX(Cost_Components!$P$2:$P$6,MATCH(E105,Cost_Components!$A$2:$A$6,0)),"")</f>
        <v>752.57623226071905</v>
      </c>
      <c r="O105" s="23">
        <f t="shared" si="39"/>
        <v>15130660.087001581</v>
      </c>
      <c r="P105" s="23">
        <f t="shared" si="40"/>
        <v>15018252.342844019</v>
      </c>
      <c r="Q105" s="23">
        <f t="shared" si="41"/>
        <v>1671787123.9192412</v>
      </c>
      <c r="R105" s="23">
        <f t="shared" si="42"/>
        <v>4742675154.0955563</v>
      </c>
      <c r="S105" s="23">
        <f t="shared" si="43"/>
        <v>3070888030.1763153</v>
      </c>
      <c r="T105" s="16">
        <f>IFERROR(INDEX(Cost_Components!$R$2:$R$6,MATCH(E105,Cost_Components!$A$2:$A$6,0)),"")</f>
        <v>1</v>
      </c>
      <c r="U105" s="26">
        <f>IFERROR(INDEX(Cost_Components!$Q$2:$Q$6,MATCH(E105,Cost_Components!$A$2:$A$6,0)),"")</f>
        <v>2023</v>
      </c>
      <c r="V105" s="30">
        <f>1/(1+Calculation_Assumptions!$B$5)^(B105-Calculation_Assumptions!$B$2)</f>
        <v>0.47760556926165965</v>
      </c>
      <c r="W105" s="23">
        <f t="shared" si="44"/>
        <v>798454841.00376189</v>
      </c>
      <c r="X105" s="23">
        <f t="shared" si="45"/>
        <v>2265128066.7949376</v>
      </c>
      <c r="Y105" s="23">
        <f t="shared" si="46"/>
        <v>1466673225.7911756</v>
      </c>
      <c r="Z105" s="17">
        <f>IFERROR(INDEX(Cost_Components!$T$2:$T$6,MATCH(E105,Cost_Components!$A$2:$A$6,0)),"")</f>
        <v>0.41649999999999998</v>
      </c>
      <c r="AA105" s="26">
        <f>IFERROR(INDEX(Cost_Components!$U$2:$U$6,MATCH(E105,Cost_Components!$A$2:$A$6,0)),"")</f>
        <v>2025</v>
      </c>
      <c r="AB105" s="26">
        <f>IFERROR(INDEX(Cost_Components!$V$2:$V$6,MATCH(E105,Cost_Components!$A$2:$A$6,0)),"")</f>
        <v>2040</v>
      </c>
      <c r="AC105" s="26">
        <f>IFERROR(INDEX(Cost_Components!$M$2:$M$6,MATCH(E105,Cost_Components!$A$2:$A$6,0)),"")</f>
        <v>30</v>
      </c>
      <c r="AD105" s="26">
        <f>IFERROR(INDEX(Cost_Components!$N$2:$N$6,MATCH(E105,Cost_Components!$A$2:$A$6,0)),"")</f>
        <v>95</v>
      </c>
      <c r="AE105" s="16" t="str">
        <f>IFERROR(INDEX(Cost_Components!$O$2:$O$6,MATCH(E105,Cost_Components!$A$2:$A$6,0)),"")</f>
        <v>Both</v>
      </c>
      <c r="AF105" s="11">
        <v>25217766.811669301</v>
      </c>
      <c r="AG105" s="11">
        <v>25030420.5714067</v>
      </c>
      <c r="AH105" s="23">
        <f t="shared" si="47"/>
        <v>1</v>
      </c>
      <c r="AI105" s="10">
        <v>323312042.56328499</v>
      </c>
      <c r="AJ105" s="29">
        <f t="shared" si="48"/>
        <v>5.1708161275558</v>
      </c>
      <c r="AK105" s="29">
        <f t="shared" si="49"/>
        <v>14.669033409626945</v>
      </c>
      <c r="AL105" s="29">
        <f t="shared" si="50"/>
        <v>9.4982172820711455</v>
      </c>
      <c r="AM105" s="29">
        <f t="shared" si="51"/>
        <v>4.5364014719745231</v>
      </c>
    </row>
    <row r="106" spans="1:39">
      <c r="A106" t="s">
        <v>115</v>
      </c>
      <c r="B106" s="20">
        <v>2025</v>
      </c>
      <c r="C106" t="s">
        <v>229</v>
      </c>
      <c r="D106" t="s">
        <v>233</v>
      </c>
      <c r="E106" s="22" t="s">
        <v>270</v>
      </c>
      <c r="F106" s="22" t="s">
        <v>271</v>
      </c>
      <c r="G106" s="22" t="s">
        <v>230</v>
      </c>
      <c r="H106" s="22" t="s">
        <v>237</v>
      </c>
      <c r="I106" s="22" t="s">
        <v>274</v>
      </c>
      <c r="J106" s="17">
        <f>IFERROR(INDEX(Cost_Components!$K$2:$K$6,MATCH(E106,Cost_Components!$A$2:$A$6,0)),"")</f>
        <v>0.2</v>
      </c>
      <c r="K106" s="31">
        <v>0.147914612579645</v>
      </c>
      <c r="L106" s="17">
        <f>IFERROR(INDEX(Cost_Components!$S$2:$S$6,MATCH(E106,Cost_Components!$A$2:$A$6,0)),"")</f>
        <v>0.147914612579645</v>
      </c>
      <c r="M106" s="28">
        <f>IFERROR(INDEX(Cost_Components!$L$2:$L$6,MATCH(E106,Cost_Components!$A$2:$A$6,0)),"")</f>
        <v>1</v>
      </c>
      <c r="N106" s="29">
        <f>IFERROR(INDEX(Cost_Components!$P$2:$P$6,MATCH(E106,Cost_Components!$A$2:$A$6,0)),"")</f>
        <v>1154.0355216616899</v>
      </c>
      <c r="O106" s="23">
        <f t="shared" si="39"/>
        <v>2928473.0955285002</v>
      </c>
      <c r="P106" s="23">
        <f t="shared" si="40"/>
        <v>2928473.0955285002</v>
      </c>
      <c r="Q106" s="23">
        <f t="shared" si="41"/>
        <v>499886600.43852693</v>
      </c>
      <c r="R106" s="23">
        <f t="shared" si="42"/>
        <v>499886600.43852693</v>
      </c>
      <c r="S106" s="23">
        <f t="shared" si="43"/>
        <v>0</v>
      </c>
      <c r="T106" s="16">
        <f>IFERROR(INDEX(Cost_Components!$R$2:$R$6,MATCH(E106,Cost_Components!$A$2:$A$6,0)),"")</f>
        <v>1</v>
      </c>
      <c r="U106" s="26">
        <f>IFERROR(INDEX(Cost_Components!$Q$2:$Q$6,MATCH(E106,Cost_Components!$A$2:$A$6,0)),"")</f>
        <v>2023</v>
      </c>
      <c r="V106" s="30">
        <f>1/(1+Calculation_Assumptions!$B$5)^(B106-Calculation_Assumptions!$B$2)</f>
        <v>1</v>
      </c>
      <c r="W106" s="23">
        <f t="shared" si="44"/>
        <v>499886600.43852693</v>
      </c>
      <c r="X106" s="23">
        <f t="shared" si="45"/>
        <v>499886600.43852693</v>
      </c>
      <c r="Y106" s="23">
        <f t="shared" si="46"/>
        <v>0</v>
      </c>
      <c r="Z106" s="17">
        <f>IFERROR(INDEX(Cost_Components!$T$2:$T$6,MATCH(E106,Cost_Components!$A$2:$A$6,0)),"")</f>
        <v>0.41649999999999998</v>
      </c>
      <c r="AA106" s="26">
        <f>IFERROR(INDEX(Cost_Components!$U$2:$U$6,MATCH(E106,Cost_Components!$A$2:$A$6,0)),"")</f>
        <v>2025</v>
      </c>
      <c r="AB106" s="26">
        <f>IFERROR(INDEX(Cost_Components!$V$2:$V$6,MATCH(E106,Cost_Components!$A$2:$A$6,0)),"")</f>
        <v>2040</v>
      </c>
      <c r="AC106" s="26">
        <f>IFERROR(INDEX(Cost_Components!$M$2:$M$6,MATCH(E106,Cost_Components!$A$2:$A$6,0)),"")</f>
        <v>30</v>
      </c>
      <c r="AD106" s="26">
        <f>IFERROR(INDEX(Cost_Components!$N$2:$N$6,MATCH(E106,Cost_Components!$A$2:$A$6,0)),"")</f>
        <v>95</v>
      </c>
      <c r="AE106" s="16" t="str">
        <f>IFERROR(INDEX(Cost_Components!$O$2:$O$6,MATCH(E106,Cost_Components!$A$2:$A$6,0)),"")</f>
        <v>Both</v>
      </c>
      <c r="AF106" s="11">
        <v>14642365.477642501</v>
      </c>
      <c r="AG106" s="11">
        <v>14642365.477642501</v>
      </c>
      <c r="AH106" s="23">
        <f t="shared" si="47"/>
        <v>1</v>
      </c>
      <c r="AI106" s="10">
        <v>288391907.64445603</v>
      </c>
      <c r="AJ106" s="29">
        <f t="shared" si="48"/>
        <v>1.7333586248016783</v>
      </c>
      <c r="AK106" s="29">
        <f t="shared" si="49"/>
        <v>1.7333586248016783</v>
      </c>
      <c r="AL106" s="29">
        <f t="shared" si="50"/>
        <v>0</v>
      </c>
      <c r="AM106" s="29">
        <f t="shared" si="51"/>
        <v>0</v>
      </c>
    </row>
    <row r="107" spans="1:39">
      <c r="A107" t="s">
        <v>115</v>
      </c>
      <c r="B107" s="20">
        <v>2026</v>
      </c>
      <c r="C107" t="s">
        <v>229</v>
      </c>
      <c r="D107" t="s">
        <v>233</v>
      </c>
      <c r="E107" s="22" t="s">
        <v>270</v>
      </c>
      <c r="F107" s="22" t="s">
        <v>271</v>
      </c>
      <c r="G107" s="22" t="s">
        <v>230</v>
      </c>
      <c r="H107" s="22" t="s">
        <v>237</v>
      </c>
      <c r="I107" s="22" t="s">
        <v>274</v>
      </c>
      <c r="J107" s="17">
        <f>IFERROR(INDEX(Cost_Components!$K$2:$K$6,MATCH(E107,Cost_Components!$A$2:$A$6,0)),"")</f>
        <v>0.2</v>
      </c>
      <c r="K107" s="31">
        <v>0.14853345980212701</v>
      </c>
      <c r="L107" s="17">
        <f>IFERROR(INDEX(Cost_Components!$S$2:$S$6,MATCH(E107,Cost_Components!$A$2:$A$6,0)),"")</f>
        <v>0.147914612579645</v>
      </c>
      <c r="M107" s="28">
        <f>IFERROR(INDEX(Cost_Components!$L$2:$L$6,MATCH(E107,Cost_Components!$A$2:$A$6,0)),"")</f>
        <v>1</v>
      </c>
      <c r="N107" s="29">
        <f>IFERROR(INDEX(Cost_Components!$P$2:$P$6,MATCH(E107,Cost_Components!$A$2:$A$6,0)),"")</f>
        <v>1154.0355216616899</v>
      </c>
      <c r="O107" s="23">
        <f t="shared" si="39"/>
        <v>3022410.2910196404</v>
      </c>
      <c r="P107" s="23">
        <f t="shared" si="40"/>
        <v>3022405.21491828</v>
      </c>
      <c r="Q107" s="23">
        <f t="shared" si="41"/>
        <v>515920692.71188235</v>
      </c>
      <c r="R107" s="23">
        <f t="shared" si="42"/>
        <v>518080079.02267474</v>
      </c>
      <c r="S107" s="23">
        <f t="shared" si="43"/>
        <v>2159386.3107923865</v>
      </c>
      <c r="T107" s="16">
        <f>IFERROR(INDEX(Cost_Components!$R$2:$R$6,MATCH(E107,Cost_Components!$A$2:$A$6,0)),"")</f>
        <v>1</v>
      </c>
      <c r="U107" s="26">
        <f>IFERROR(INDEX(Cost_Components!$Q$2:$Q$6,MATCH(E107,Cost_Components!$A$2:$A$6,0)),"")</f>
        <v>2023</v>
      </c>
      <c r="V107" s="30">
        <f>1/(1+Calculation_Assumptions!$B$5)^(B107-Calculation_Assumptions!$B$2)</f>
        <v>0.970873786407767</v>
      </c>
      <c r="W107" s="23">
        <f t="shared" si="44"/>
        <v>500893876.41930324</v>
      </c>
      <c r="X107" s="23">
        <f t="shared" si="45"/>
        <v>502990367.98317939</v>
      </c>
      <c r="Y107" s="23">
        <f t="shared" si="46"/>
        <v>2096491.5638761034</v>
      </c>
      <c r="Z107" s="17">
        <f>IFERROR(INDEX(Cost_Components!$T$2:$T$6,MATCH(E107,Cost_Components!$A$2:$A$6,0)),"")</f>
        <v>0.41649999999999998</v>
      </c>
      <c r="AA107" s="26">
        <f>IFERROR(INDEX(Cost_Components!$U$2:$U$6,MATCH(E107,Cost_Components!$A$2:$A$6,0)),"")</f>
        <v>2025</v>
      </c>
      <c r="AB107" s="26">
        <f>IFERROR(INDEX(Cost_Components!$V$2:$V$6,MATCH(E107,Cost_Components!$A$2:$A$6,0)),"")</f>
        <v>2040</v>
      </c>
      <c r="AC107" s="26">
        <f>IFERROR(INDEX(Cost_Components!$M$2:$M$6,MATCH(E107,Cost_Components!$A$2:$A$6,0)),"")</f>
        <v>30</v>
      </c>
      <c r="AD107" s="26">
        <f>IFERROR(INDEX(Cost_Components!$N$2:$N$6,MATCH(E107,Cost_Components!$A$2:$A$6,0)),"")</f>
        <v>95</v>
      </c>
      <c r="AE107" s="16" t="str">
        <f>IFERROR(INDEX(Cost_Components!$O$2:$O$6,MATCH(E107,Cost_Components!$A$2:$A$6,0)),"")</f>
        <v>Both</v>
      </c>
      <c r="AF107" s="11">
        <v>15112051.455098201</v>
      </c>
      <c r="AG107" s="11">
        <v>15112026.0745914</v>
      </c>
      <c r="AH107" s="23">
        <f t="shared" si="47"/>
        <v>1</v>
      </c>
      <c r="AI107" s="10">
        <v>290472130.233437</v>
      </c>
      <c r="AJ107" s="29">
        <f t="shared" si="48"/>
        <v>1.7761452442864805</v>
      </c>
      <c r="AK107" s="29">
        <f t="shared" si="49"/>
        <v>1.7835793010720902</v>
      </c>
      <c r="AL107" s="29">
        <f t="shared" si="50"/>
        <v>7.4340567856096993E-3</v>
      </c>
      <c r="AM107" s="29">
        <f t="shared" si="51"/>
        <v>7.2175308598152414E-3</v>
      </c>
    </row>
    <row r="108" spans="1:39">
      <c r="A108" t="s">
        <v>115</v>
      </c>
      <c r="B108" s="20">
        <v>2027</v>
      </c>
      <c r="C108" t="s">
        <v>229</v>
      </c>
      <c r="D108" t="s">
        <v>233</v>
      </c>
      <c r="E108" s="22" t="s">
        <v>270</v>
      </c>
      <c r="F108" s="22" t="s">
        <v>271</v>
      </c>
      <c r="G108" s="22" t="s">
        <v>230</v>
      </c>
      <c r="H108" s="22" t="s">
        <v>237</v>
      </c>
      <c r="I108" s="22" t="s">
        <v>274</v>
      </c>
      <c r="J108" s="17">
        <f>IFERROR(INDEX(Cost_Components!$K$2:$K$6,MATCH(E108,Cost_Components!$A$2:$A$6,0)),"")</f>
        <v>0.2</v>
      </c>
      <c r="K108" s="31">
        <v>0.14915230702460899</v>
      </c>
      <c r="L108" s="17">
        <f>IFERROR(INDEX(Cost_Components!$S$2:$S$6,MATCH(E108,Cost_Components!$A$2:$A$6,0)),"")</f>
        <v>0.147914612579645</v>
      </c>
      <c r="M108" s="28">
        <f>IFERROR(INDEX(Cost_Components!$L$2:$L$6,MATCH(E108,Cost_Components!$A$2:$A$6,0)),"")</f>
        <v>1</v>
      </c>
      <c r="N108" s="29">
        <f>IFERROR(INDEX(Cost_Components!$P$2:$P$6,MATCH(E108,Cost_Components!$A$2:$A$6,0)),"")</f>
        <v>1154.0355216616899</v>
      </c>
      <c r="O108" s="23">
        <f t="shared" si="39"/>
        <v>3117635.6038458003</v>
      </c>
      <c r="P108" s="23">
        <f t="shared" si="40"/>
        <v>3117620.4497203203</v>
      </c>
      <c r="Q108" s="23">
        <f t="shared" si="41"/>
        <v>532173811.13998878</v>
      </c>
      <c r="R108" s="23">
        <f t="shared" si="42"/>
        <v>536629452.02612227</v>
      </c>
      <c r="S108" s="23">
        <f t="shared" si="43"/>
        <v>4455640.886133492</v>
      </c>
      <c r="T108" s="16">
        <f>IFERROR(INDEX(Cost_Components!$R$2:$R$6,MATCH(E108,Cost_Components!$A$2:$A$6,0)),"")</f>
        <v>1</v>
      </c>
      <c r="U108" s="26">
        <f>IFERROR(INDEX(Cost_Components!$Q$2:$Q$6,MATCH(E108,Cost_Components!$A$2:$A$6,0)),"")</f>
        <v>2023</v>
      </c>
      <c r="V108" s="30">
        <f>1/(1+Calculation_Assumptions!$B$5)^(B108-Calculation_Assumptions!$B$2)</f>
        <v>0.94259590913375435</v>
      </c>
      <c r="W108" s="23">
        <f t="shared" si="44"/>
        <v>501624857.32867259</v>
      </c>
      <c r="X108" s="23">
        <f t="shared" si="45"/>
        <v>505824726.20051116</v>
      </c>
      <c r="Y108" s="23">
        <f t="shared" si="46"/>
        <v>4199868.8718385259</v>
      </c>
      <c r="Z108" s="17">
        <f>IFERROR(INDEX(Cost_Components!$T$2:$T$6,MATCH(E108,Cost_Components!$A$2:$A$6,0)),"")</f>
        <v>0.41649999999999998</v>
      </c>
      <c r="AA108" s="26">
        <f>IFERROR(INDEX(Cost_Components!$U$2:$U$6,MATCH(E108,Cost_Components!$A$2:$A$6,0)),"")</f>
        <v>2025</v>
      </c>
      <c r="AB108" s="26">
        <f>IFERROR(INDEX(Cost_Components!$V$2:$V$6,MATCH(E108,Cost_Components!$A$2:$A$6,0)),"")</f>
        <v>2040</v>
      </c>
      <c r="AC108" s="26">
        <f>IFERROR(INDEX(Cost_Components!$M$2:$M$6,MATCH(E108,Cost_Components!$A$2:$A$6,0)),"")</f>
        <v>30</v>
      </c>
      <c r="AD108" s="26">
        <f>IFERROR(INDEX(Cost_Components!$N$2:$N$6,MATCH(E108,Cost_Components!$A$2:$A$6,0)),"")</f>
        <v>95</v>
      </c>
      <c r="AE108" s="16" t="str">
        <f>IFERROR(INDEX(Cost_Components!$O$2:$O$6,MATCH(E108,Cost_Components!$A$2:$A$6,0)),"")</f>
        <v>Both</v>
      </c>
      <c r="AF108" s="11">
        <v>15588178.019229</v>
      </c>
      <c r="AG108" s="11">
        <v>15588102.248601601</v>
      </c>
      <c r="AH108" s="23">
        <f t="shared" si="47"/>
        <v>1</v>
      </c>
      <c r="AI108" s="10">
        <v>292505080.826208</v>
      </c>
      <c r="AJ108" s="29">
        <f t="shared" si="48"/>
        <v>1.8193660419053714</v>
      </c>
      <c r="AK108" s="29">
        <f t="shared" si="49"/>
        <v>1.83459873760265</v>
      </c>
      <c r="AL108" s="29">
        <f t="shared" si="50"/>
        <v>1.5232695697278547E-2</v>
      </c>
      <c r="AM108" s="29">
        <f t="shared" si="51"/>
        <v>1.43582766493341E-2</v>
      </c>
    </row>
    <row r="109" spans="1:39">
      <c r="A109" t="s">
        <v>115</v>
      </c>
      <c r="B109" s="20">
        <v>2028</v>
      </c>
      <c r="C109" t="s">
        <v>229</v>
      </c>
      <c r="D109" t="s">
        <v>233</v>
      </c>
      <c r="E109" s="22" t="s">
        <v>270</v>
      </c>
      <c r="F109" s="22" t="s">
        <v>271</v>
      </c>
      <c r="G109" s="22" t="s">
        <v>230</v>
      </c>
      <c r="H109" s="22" t="s">
        <v>237</v>
      </c>
      <c r="I109" s="22" t="s">
        <v>274</v>
      </c>
      <c r="J109" s="17">
        <f>IFERROR(INDEX(Cost_Components!$K$2:$K$6,MATCH(E109,Cost_Components!$A$2:$A$6,0)),"")</f>
        <v>0.2</v>
      </c>
      <c r="K109" s="31">
        <v>0.149771154247091</v>
      </c>
      <c r="L109" s="17">
        <f>IFERROR(INDEX(Cost_Components!$S$2:$S$6,MATCH(E109,Cost_Components!$A$2:$A$6,0)),"")</f>
        <v>0.147914612579645</v>
      </c>
      <c r="M109" s="28">
        <f>IFERROR(INDEX(Cost_Components!$L$2:$L$6,MATCH(E109,Cost_Components!$A$2:$A$6,0)),"")</f>
        <v>1</v>
      </c>
      <c r="N109" s="29">
        <f>IFERROR(INDEX(Cost_Components!$P$2:$P$6,MATCH(E109,Cost_Components!$A$2:$A$6,0)),"")</f>
        <v>1154.0355216616899</v>
      </c>
      <c r="O109" s="23">
        <f t="shared" si="39"/>
        <v>3207095.55866628</v>
      </c>
      <c r="P109" s="23">
        <f t="shared" si="40"/>
        <v>3207064.8551535602</v>
      </c>
      <c r="Q109" s="23">
        <f t="shared" si="41"/>
        <v>547441856.39829719</v>
      </c>
      <c r="R109" s="23">
        <f t="shared" si="42"/>
        <v>554318347.89099789</v>
      </c>
      <c r="S109" s="23">
        <f t="shared" si="43"/>
        <v>6876491.492700696</v>
      </c>
      <c r="T109" s="16">
        <f>IFERROR(INDEX(Cost_Components!$R$2:$R$6,MATCH(E109,Cost_Components!$A$2:$A$6,0)),"")</f>
        <v>1</v>
      </c>
      <c r="U109" s="26">
        <f>IFERROR(INDEX(Cost_Components!$Q$2:$Q$6,MATCH(E109,Cost_Components!$A$2:$A$6,0)),"")</f>
        <v>2023</v>
      </c>
      <c r="V109" s="30">
        <f>1/(1+Calculation_Assumptions!$B$5)^(B109-Calculation_Assumptions!$B$2)</f>
        <v>0.91514165935315961</v>
      </c>
      <c r="W109" s="23">
        <f t="shared" si="44"/>
        <v>500986848.86371183</v>
      </c>
      <c r="X109" s="23">
        <f t="shared" si="45"/>
        <v>507279812.69886982</v>
      </c>
      <c r="Y109" s="23">
        <f t="shared" si="46"/>
        <v>6292963.8351580007</v>
      </c>
      <c r="Z109" s="17">
        <f>IFERROR(INDEX(Cost_Components!$T$2:$T$6,MATCH(E109,Cost_Components!$A$2:$A$6,0)),"")</f>
        <v>0.41649999999999998</v>
      </c>
      <c r="AA109" s="26">
        <f>IFERROR(INDEX(Cost_Components!$U$2:$U$6,MATCH(E109,Cost_Components!$A$2:$A$6,0)),"")</f>
        <v>2025</v>
      </c>
      <c r="AB109" s="26">
        <f>IFERROR(INDEX(Cost_Components!$V$2:$V$6,MATCH(E109,Cost_Components!$A$2:$A$6,0)),"")</f>
        <v>2040</v>
      </c>
      <c r="AC109" s="26">
        <f>IFERROR(INDEX(Cost_Components!$M$2:$M$6,MATCH(E109,Cost_Components!$A$2:$A$6,0)),"")</f>
        <v>30</v>
      </c>
      <c r="AD109" s="26">
        <f>IFERROR(INDEX(Cost_Components!$N$2:$N$6,MATCH(E109,Cost_Components!$A$2:$A$6,0)),"")</f>
        <v>95</v>
      </c>
      <c r="AE109" s="16" t="str">
        <f>IFERROR(INDEX(Cost_Components!$O$2:$O$6,MATCH(E109,Cost_Components!$A$2:$A$6,0)),"")</f>
        <v>Both</v>
      </c>
      <c r="AF109" s="11">
        <v>16035477.7933314</v>
      </c>
      <c r="AG109" s="11">
        <v>16035324.275767799</v>
      </c>
      <c r="AH109" s="23">
        <f t="shared" si="47"/>
        <v>1</v>
      </c>
      <c r="AI109" s="10">
        <v>294484707.92155403</v>
      </c>
      <c r="AJ109" s="29">
        <f t="shared" si="48"/>
        <v>1.858982288968726</v>
      </c>
      <c r="AK109" s="29">
        <f t="shared" si="49"/>
        <v>1.8823332179226751</v>
      </c>
      <c r="AL109" s="29">
        <f t="shared" si="50"/>
        <v>2.3350928953949222E-2</v>
      </c>
      <c r="AM109" s="29">
        <f t="shared" si="51"/>
        <v>2.1369407870354833E-2</v>
      </c>
    </row>
    <row r="110" spans="1:39">
      <c r="A110" t="s">
        <v>115</v>
      </c>
      <c r="B110" s="20">
        <v>2029</v>
      </c>
      <c r="C110" t="s">
        <v>229</v>
      </c>
      <c r="D110" t="s">
        <v>233</v>
      </c>
      <c r="E110" s="22" t="s">
        <v>270</v>
      </c>
      <c r="F110" s="22" t="s">
        <v>271</v>
      </c>
      <c r="G110" s="22" t="s">
        <v>230</v>
      </c>
      <c r="H110" s="22" t="s">
        <v>237</v>
      </c>
      <c r="I110" s="22" t="s">
        <v>274</v>
      </c>
      <c r="J110" s="17">
        <f>IFERROR(INDEX(Cost_Components!$K$2:$K$6,MATCH(E110,Cost_Components!$A$2:$A$6,0)),"")</f>
        <v>0.2</v>
      </c>
      <c r="K110" s="31">
        <v>0.15039000146957299</v>
      </c>
      <c r="L110" s="17">
        <f>IFERROR(INDEX(Cost_Components!$S$2:$S$6,MATCH(E110,Cost_Components!$A$2:$A$6,0)),"")</f>
        <v>0.147914612579645</v>
      </c>
      <c r="M110" s="28">
        <f>IFERROR(INDEX(Cost_Components!$L$2:$L$6,MATCH(E110,Cost_Components!$A$2:$A$6,0)),"")</f>
        <v>1</v>
      </c>
      <c r="N110" s="29">
        <f>IFERROR(INDEX(Cost_Components!$P$2:$P$6,MATCH(E110,Cost_Components!$A$2:$A$6,0)),"")</f>
        <v>1154.0355216616899</v>
      </c>
      <c r="O110" s="23">
        <f t="shared" si="39"/>
        <v>3296489.7763896203</v>
      </c>
      <c r="P110" s="23">
        <f t="shared" si="40"/>
        <v>3296437.2405123203</v>
      </c>
      <c r="Q110" s="23">
        <f t="shared" si="41"/>
        <v>562697607.92228723</v>
      </c>
      <c r="R110" s="23">
        <f t="shared" si="42"/>
        <v>572123614.25939226</v>
      </c>
      <c r="S110" s="23">
        <f t="shared" si="43"/>
        <v>9426006.3371050358</v>
      </c>
      <c r="T110" s="16">
        <f>IFERROR(INDEX(Cost_Components!$R$2:$R$6,MATCH(E110,Cost_Components!$A$2:$A$6,0)),"")</f>
        <v>1</v>
      </c>
      <c r="U110" s="26">
        <f>IFERROR(INDEX(Cost_Components!$Q$2:$Q$6,MATCH(E110,Cost_Components!$A$2:$A$6,0)),"")</f>
        <v>2023</v>
      </c>
      <c r="V110" s="30">
        <f>1/(1+Calculation_Assumptions!$B$5)^(B110-Calculation_Assumptions!$B$2)</f>
        <v>0.888487047915689</v>
      </c>
      <c r="W110" s="23">
        <f t="shared" si="44"/>
        <v>499949536.53209281</v>
      </c>
      <c r="X110" s="23">
        <f t="shared" si="45"/>
        <v>508324421.07618183</v>
      </c>
      <c r="Y110" s="23">
        <f t="shared" si="46"/>
        <v>8374884.5440890305</v>
      </c>
      <c r="Z110" s="17">
        <f>IFERROR(INDEX(Cost_Components!$T$2:$T$6,MATCH(E110,Cost_Components!$A$2:$A$6,0)),"")</f>
        <v>0.41649999999999998</v>
      </c>
      <c r="AA110" s="26">
        <f>IFERROR(INDEX(Cost_Components!$U$2:$U$6,MATCH(E110,Cost_Components!$A$2:$A$6,0)),"")</f>
        <v>2025</v>
      </c>
      <c r="AB110" s="26">
        <f>IFERROR(INDEX(Cost_Components!$V$2:$V$6,MATCH(E110,Cost_Components!$A$2:$A$6,0)),"")</f>
        <v>2040</v>
      </c>
      <c r="AC110" s="26">
        <f>IFERROR(INDEX(Cost_Components!$M$2:$M$6,MATCH(E110,Cost_Components!$A$2:$A$6,0)),"")</f>
        <v>30</v>
      </c>
      <c r="AD110" s="26">
        <f>IFERROR(INDEX(Cost_Components!$N$2:$N$6,MATCH(E110,Cost_Components!$A$2:$A$6,0)),"")</f>
        <v>95</v>
      </c>
      <c r="AE110" s="16" t="str">
        <f>IFERROR(INDEX(Cost_Components!$O$2:$O$6,MATCH(E110,Cost_Components!$A$2:$A$6,0)),"")</f>
        <v>Both</v>
      </c>
      <c r="AF110" s="11">
        <v>16482448.8819481</v>
      </c>
      <c r="AG110" s="11">
        <v>16482186.2025616</v>
      </c>
      <c r="AH110" s="23">
        <f t="shared" si="47"/>
        <v>1</v>
      </c>
      <c r="AI110" s="10">
        <v>296414030.31142998</v>
      </c>
      <c r="AJ110" s="29">
        <f t="shared" si="48"/>
        <v>1.8983501129520897</v>
      </c>
      <c r="AK110" s="29">
        <f t="shared" si="49"/>
        <v>1.9301502484827915</v>
      </c>
      <c r="AL110" s="29">
        <f t="shared" si="50"/>
        <v>3.1800135530701837E-2</v>
      </c>
      <c r="AM110" s="29">
        <f t="shared" si="51"/>
        <v>2.8254008540992089E-2</v>
      </c>
    </row>
    <row r="111" spans="1:39">
      <c r="A111" t="s">
        <v>115</v>
      </c>
      <c r="B111" s="20">
        <v>2030</v>
      </c>
      <c r="C111" t="s">
        <v>229</v>
      </c>
      <c r="D111" t="s">
        <v>233</v>
      </c>
      <c r="E111" s="22" t="s">
        <v>270</v>
      </c>
      <c r="F111" s="22" t="s">
        <v>271</v>
      </c>
      <c r="G111" s="22" t="s">
        <v>230</v>
      </c>
      <c r="H111" s="22" t="s">
        <v>237</v>
      </c>
      <c r="I111" s="22" t="s">
        <v>274</v>
      </c>
      <c r="J111" s="17">
        <f>IFERROR(INDEX(Cost_Components!$K$2:$K$6,MATCH(E111,Cost_Components!$A$2:$A$6,0)),"")</f>
        <v>0.2</v>
      </c>
      <c r="K111" s="31">
        <v>0.151008848692055</v>
      </c>
      <c r="L111" s="17">
        <f>IFERROR(INDEX(Cost_Components!$S$2:$S$6,MATCH(E111,Cost_Components!$A$2:$A$6,0)),"")</f>
        <v>0.147914612579645</v>
      </c>
      <c r="M111" s="28">
        <f>IFERROR(INDEX(Cost_Components!$L$2:$L$6,MATCH(E111,Cost_Components!$A$2:$A$6,0)),"")</f>
        <v>1</v>
      </c>
      <c r="N111" s="29">
        <f>IFERROR(INDEX(Cost_Components!$P$2:$P$6,MATCH(E111,Cost_Components!$A$2:$A$6,0)),"")</f>
        <v>1154.0355216616899</v>
      </c>
      <c r="O111" s="23">
        <f t="shared" si="39"/>
        <v>3385628.0882128598</v>
      </c>
      <c r="P111" s="23">
        <f t="shared" si="40"/>
        <v>3385546.4912510002</v>
      </c>
      <c r="Q111" s="23">
        <f t="shared" si="41"/>
        <v>577908442.70420754</v>
      </c>
      <c r="R111" s="23">
        <f t="shared" si="42"/>
        <v>590011969.65202594</v>
      </c>
      <c r="S111" s="23">
        <f t="shared" si="43"/>
        <v>12103526.947818398</v>
      </c>
      <c r="T111" s="16">
        <f>IFERROR(INDEX(Cost_Components!$R$2:$R$6,MATCH(E111,Cost_Components!$A$2:$A$6,0)),"")</f>
        <v>1</v>
      </c>
      <c r="U111" s="26">
        <f>IFERROR(INDEX(Cost_Components!$Q$2:$Q$6,MATCH(E111,Cost_Components!$A$2:$A$6,0)),"")</f>
        <v>2023</v>
      </c>
      <c r="V111" s="30">
        <f>1/(1+Calculation_Assumptions!$B$5)^(B111-Calculation_Assumptions!$B$2)</f>
        <v>0.86260878438416411</v>
      </c>
      <c r="W111" s="23">
        <f t="shared" si="44"/>
        <v>498508899.24642181</v>
      </c>
      <c r="X111" s="23">
        <f t="shared" si="45"/>
        <v>508949507.91364044</v>
      </c>
      <c r="Y111" s="23">
        <f t="shared" si="46"/>
        <v>10440608.667218601</v>
      </c>
      <c r="Z111" s="17">
        <f>IFERROR(INDEX(Cost_Components!$T$2:$T$6,MATCH(E111,Cost_Components!$A$2:$A$6,0)),"")</f>
        <v>0.41649999999999998</v>
      </c>
      <c r="AA111" s="26">
        <f>IFERROR(INDEX(Cost_Components!$U$2:$U$6,MATCH(E111,Cost_Components!$A$2:$A$6,0)),"")</f>
        <v>2025</v>
      </c>
      <c r="AB111" s="26">
        <f>IFERROR(INDEX(Cost_Components!$V$2:$V$6,MATCH(E111,Cost_Components!$A$2:$A$6,0)),"")</f>
        <v>2040</v>
      </c>
      <c r="AC111" s="26">
        <f>IFERROR(INDEX(Cost_Components!$M$2:$M$6,MATCH(E111,Cost_Components!$A$2:$A$6,0)),"")</f>
        <v>30</v>
      </c>
      <c r="AD111" s="26">
        <f>IFERROR(INDEX(Cost_Components!$N$2:$N$6,MATCH(E111,Cost_Components!$A$2:$A$6,0)),"")</f>
        <v>95</v>
      </c>
      <c r="AE111" s="16" t="str">
        <f>IFERROR(INDEX(Cost_Components!$O$2:$O$6,MATCH(E111,Cost_Components!$A$2:$A$6,0)),"")</f>
        <v>Both</v>
      </c>
      <c r="AF111" s="11">
        <v>16928140.441064298</v>
      </c>
      <c r="AG111" s="11">
        <v>16927732.456255</v>
      </c>
      <c r="AH111" s="23">
        <f t="shared" si="47"/>
        <v>1</v>
      </c>
      <c r="AI111" s="10">
        <v>298289404.664994</v>
      </c>
      <c r="AJ111" s="29">
        <f t="shared" si="48"/>
        <v>1.9374085491010016</v>
      </c>
      <c r="AK111" s="29">
        <f t="shared" si="49"/>
        <v>1.977985005249056</v>
      </c>
      <c r="AL111" s="29">
        <f t="shared" si="50"/>
        <v>4.0576456148054454E-2</v>
      </c>
      <c r="AM111" s="29">
        <f t="shared" si="51"/>
        <v>3.5001607512490596E-2</v>
      </c>
    </row>
    <row r="112" spans="1:39">
      <c r="A112" t="s">
        <v>115</v>
      </c>
      <c r="B112" s="20">
        <v>2031</v>
      </c>
      <c r="C112" t="s">
        <v>229</v>
      </c>
      <c r="D112" t="s">
        <v>233</v>
      </c>
      <c r="E112" s="22" t="s">
        <v>270</v>
      </c>
      <c r="F112" s="22" t="s">
        <v>271</v>
      </c>
      <c r="G112" s="22" t="s">
        <v>230</v>
      </c>
      <c r="H112" s="22" t="s">
        <v>237</v>
      </c>
      <c r="I112" s="22" t="s">
        <v>274</v>
      </c>
      <c r="J112" s="17">
        <f>IFERROR(INDEX(Cost_Components!$K$2:$K$6,MATCH(E112,Cost_Components!$A$2:$A$6,0)),"")</f>
        <v>0.2</v>
      </c>
      <c r="K112" s="31">
        <v>0.177557963822849</v>
      </c>
      <c r="L112" s="17">
        <f>IFERROR(INDEX(Cost_Components!$S$2:$S$6,MATCH(E112,Cost_Components!$A$2:$A$6,0)),"")</f>
        <v>0.147914612579645</v>
      </c>
      <c r="M112" s="28">
        <f>IFERROR(INDEX(Cost_Components!$L$2:$L$6,MATCH(E112,Cost_Components!$A$2:$A$6,0)),"")</f>
        <v>1</v>
      </c>
      <c r="N112" s="29">
        <f>IFERROR(INDEX(Cost_Components!$P$2:$P$6,MATCH(E112,Cost_Components!$A$2:$A$6,0)),"")</f>
        <v>1154.0355216616899</v>
      </c>
      <c r="O112" s="23">
        <f t="shared" si="39"/>
        <v>3475234.5729515203</v>
      </c>
      <c r="P112" s="23">
        <f t="shared" si="40"/>
        <v>3474885.9488785202</v>
      </c>
      <c r="Q112" s="23">
        <f t="shared" si="41"/>
        <v>593158573.50671816</v>
      </c>
      <c r="R112" s="23">
        <f t="shared" si="42"/>
        <v>712104051.90473044</v>
      </c>
      <c r="S112" s="23">
        <f t="shared" si="43"/>
        <v>118945478.39801228</v>
      </c>
      <c r="T112" s="16">
        <f>IFERROR(INDEX(Cost_Components!$R$2:$R$6,MATCH(E112,Cost_Components!$A$2:$A$6,0)),"")</f>
        <v>1</v>
      </c>
      <c r="U112" s="26">
        <f>IFERROR(INDEX(Cost_Components!$Q$2:$Q$6,MATCH(E112,Cost_Components!$A$2:$A$6,0)),"")</f>
        <v>2023</v>
      </c>
      <c r="V112" s="30">
        <f>1/(1+Calculation_Assumptions!$B$5)^(B112-Calculation_Assumptions!$B$2)</f>
        <v>0.83748425668365445</v>
      </c>
      <c r="W112" s="23">
        <f t="shared" si="44"/>
        <v>496760967.02881068</v>
      </c>
      <c r="X112" s="23">
        <f t="shared" si="45"/>
        <v>596375932.59085166</v>
      </c>
      <c r="Y112" s="23">
        <f t="shared" si="46"/>
        <v>99614965.562040985</v>
      </c>
      <c r="Z112" s="17">
        <f>IFERROR(INDEX(Cost_Components!$T$2:$T$6,MATCH(E112,Cost_Components!$A$2:$A$6,0)),"")</f>
        <v>0.41649999999999998</v>
      </c>
      <c r="AA112" s="26">
        <f>IFERROR(INDEX(Cost_Components!$U$2:$U$6,MATCH(E112,Cost_Components!$A$2:$A$6,0)),"")</f>
        <v>2025</v>
      </c>
      <c r="AB112" s="26">
        <f>IFERROR(INDEX(Cost_Components!$V$2:$V$6,MATCH(E112,Cost_Components!$A$2:$A$6,0)),"")</f>
        <v>2040</v>
      </c>
      <c r="AC112" s="26">
        <f>IFERROR(INDEX(Cost_Components!$M$2:$M$6,MATCH(E112,Cost_Components!$A$2:$A$6,0)),"")</f>
        <v>30</v>
      </c>
      <c r="AD112" s="26">
        <f>IFERROR(INDEX(Cost_Components!$N$2:$N$6,MATCH(E112,Cost_Components!$A$2:$A$6,0)),"")</f>
        <v>95</v>
      </c>
      <c r="AE112" s="16" t="str">
        <f>IFERROR(INDEX(Cost_Components!$O$2:$O$6,MATCH(E112,Cost_Components!$A$2:$A$6,0)),"")</f>
        <v>Both</v>
      </c>
      <c r="AF112" s="11">
        <v>17376172.864757601</v>
      </c>
      <c r="AG112" s="11">
        <v>17374429.7443926</v>
      </c>
      <c r="AH112" s="23">
        <f t="shared" si="47"/>
        <v>1</v>
      </c>
      <c r="AI112" s="10">
        <v>300119636.92551899</v>
      </c>
      <c r="AJ112" s="29">
        <f t="shared" si="48"/>
        <v>1.9764070741359818</v>
      </c>
      <c r="AK112" s="29">
        <f t="shared" si="49"/>
        <v>2.3727339510325147</v>
      </c>
      <c r="AL112" s="29">
        <f t="shared" si="50"/>
        <v>0.39632687689653279</v>
      </c>
      <c r="AM112" s="29">
        <f t="shared" si="51"/>
        <v>0.33191751990144697</v>
      </c>
    </row>
    <row r="113" spans="1:39">
      <c r="A113" t="s">
        <v>115</v>
      </c>
      <c r="B113" s="20">
        <v>2032</v>
      </c>
      <c r="C113" t="s">
        <v>229</v>
      </c>
      <c r="D113" t="s">
        <v>233</v>
      </c>
      <c r="E113" s="22" t="s">
        <v>270</v>
      </c>
      <c r="F113" s="22" t="s">
        <v>271</v>
      </c>
      <c r="G113" s="22" t="s">
        <v>230</v>
      </c>
      <c r="H113" s="22" t="s">
        <v>237</v>
      </c>
      <c r="I113" s="22" t="s">
        <v>274</v>
      </c>
      <c r="J113" s="17">
        <f>IFERROR(INDEX(Cost_Components!$K$2:$K$6,MATCH(E113,Cost_Components!$A$2:$A$6,0)),"")</f>
        <v>0.2</v>
      </c>
      <c r="K113" s="31">
        <v>0.20410707895364399</v>
      </c>
      <c r="L113" s="17">
        <f>IFERROR(INDEX(Cost_Components!$S$2:$S$6,MATCH(E113,Cost_Components!$A$2:$A$6,0)),"")</f>
        <v>0.147914612579645</v>
      </c>
      <c r="M113" s="28">
        <f>IFERROR(INDEX(Cost_Components!$L$2:$L$6,MATCH(E113,Cost_Components!$A$2:$A$6,0)),"")</f>
        <v>1</v>
      </c>
      <c r="N113" s="29">
        <f>IFERROR(INDEX(Cost_Components!$P$2:$P$6,MATCH(E113,Cost_Components!$A$2:$A$6,0)),"")</f>
        <v>1154.0355216616899</v>
      </c>
      <c r="O113" s="23">
        <f t="shared" si="39"/>
        <v>3565376.1760396804</v>
      </c>
      <c r="P113" s="23">
        <f t="shared" si="40"/>
        <v>3564525.2681326005</v>
      </c>
      <c r="Q113" s="23">
        <f t="shared" si="41"/>
        <v>608459890.30418706</v>
      </c>
      <c r="R113" s="23">
        <f t="shared" si="42"/>
        <v>839813017.99933207</v>
      </c>
      <c r="S113" s="23">
        <f t="shared" si="43"/>
        <v>231353127.69514501</v>
      </c>
      <c r="T113" s="16">
        <f>IFERROR(INDEX(Cost_Components!$R$2:$R$6,MATCH(E113,Cost_Components!$A$2:$A$6,0)),"")</f>
        <v>1</v>
      </c>
      <c r="U113" s="26">
        <f>IFERROR(INDEX(Cost_Components!$Q$2:$Q$6,MATCH(E113,Cost_Components!$A$2:$A$6,0)),"")</f>
        <v>2023</v>
      </c>
      <c r="V113" s="30">
        <f>1/(1+Calculation_Assumptions!$B$5)^(B113-Calculation_Assumptions!$B$2)</f>
        <v>0.81309151134335378</v>
      </c>
      <c r="W113" s="23">
        <f t="shared" si="44"/>
        <v>494733571.79924273</v>
      </c>
      <c r="X113" s="23">
        <f t="shared" si="45"/>
        <v>682844836.0509001</v>
      </c>
      <c r="Y113" s="23">
        <f t="shared" si="46"/>
        <v>188111264.25165737</v>
      </c>
      <c r="Z113" s="17">
        <f>IFERROR(INDEX(Cost_Components!$T$2:$T$6,MATCH(E113,Cost_Components!$A$2:$A$6,0)),"")</f>
        <v>0.41649999999999998</v>
      </c>
      <c r="AA113" s="26">
        <f>IFERROR(INDEX(Cost_Components!$U$2:$U$6,MATCH(E113,Cost_Components!$A$2:$A$6,0)),"")</f>
        <v>2025</v>
      </c>
      <c r="AB113" s="26">
        <f>IFERROR(INDEX(Cost_Components!$V$2:$V$6,MATCH(E113,Cost_Components!$A$2:$A$6,0)),"")</f>
        <v>2040</v>
      </c>
      <c r="AC113" s="26">
        <f>IFERROR(INDEX(Cost_Components!$M$2:$M$6,MATCH(E113,Cost_Components!$A$2:$A$6,0)),"")</f>
        <v>30</v>
      </c>
      <c r="AD113" s="26">
        <f>IFERROR(INDEX(Cost_Components!$N$2:$N$6,MATCH(E113,Cost_Components!$A$2:$A$6,0)),"")</f>
        <v>95</v>
      </c>
      <c r="AE113" s="16" t="str">
        <f>IFERROR(INDEX(Cost_Components!$O$2:$O$6,MATCH(E113,Cost_Components!$A$2:$A$6,0)),"")</f>
        <v>Both</v>
      </c>
      <c r="AF113" s="11">
        <v>17826880.8801984</v>
      </c>
      <c r="AG113" s="11">
        <v>17822626.340663001</v>
      </c>
      <c r="AH113" s="23">
        <f t="shared" si="47"/>
        <v>1</v>
      </c>
      <c r="AI113" s="10">
        <v>301904628.08354098</v>
      </c>
      <c r="AJ113" s="29">
        <f t="shared" si="48"/>
        <v>2.0154043154840879</v>
      </c>
      <c r="AK113" s="29">
        <f t="shared" si="49"/>
        <v>2.7817162768599388</v>
      </c>
      <c r="AL113" s="29">
        <f t="shared" si="50"/>
        <v>0.76631196137585067</v>
      </c>
      <c r="AM113" s="29">
        <f t="shared" si="51"/>
        <v>0.62308175083558015</v>
      </c>
    </row>
    <row r="114" spans="1:39">
      <c r="A114" t="s">
        <v>115</v>
      </c>
      <c r="B114" s="20">
        <v>2033</v>
      </c>
      <c r="C114" t="s">
        <v>229</v>
      </c>
      <c r="D114" t="s">
        <v>233</v>
      </c>
      <c r="E114" s="22" t="s">
        <v>270</v>
      </c>
      <c r="F114" s="22" t="s">
        <v>271</v>
      </c>
      <c r="G114" s="22" t="s">
        <v>230</v>
      </c>
      <c r="H114" s="22" t="s">
        <v>237</v>
      </c>
      <c r="I114" s="22" t="s">
        <v>274</v>
      </c>
      <c r="J114" s="17">
        <f>IFERROR(INDEX(Cost_Components!$K$2:$K$6,MATCH(E114,Cost_Components!$A$2:$A$6,0)),"")</f>
        <v>0.2</v>
      </c>
      <c r="K114" s="31">
        <v>0.23065619408443799</v>
      </c>
      <c r="L114" s="17">
        <f>IFERROR(INDEX(Cost_Components!$S$2:$S$6,MATCH(E114,Cost_Components!$A$2:$A$6,0)),"")</f>
        <v>0.147914612579645</v>
      </c>
      <c r="M114" s="28">
        <f>IFERROR(INDEX(Cost_Components!$L$2:$L$6,MATCH(E114,Cost_Components!$A$2:$A$6,0)),"")</f>
        <v>1</v>
      </c>
      <c r="N114" s="29">
        <f>IFERROR(INDEX(Cost_Components!$P$2:$P$6,MATCH(E114,Cost_Components!$A$2:$A$6,0)),"")</f>
        <v>1154.0355216616899</v>
      </c>
      <c r="O114" s="23">
        <f t="shared" si="39"/>
        <v>3651549.0804828801</v>
      </c>
      <c r="P114" s="23">
        <f t="shared" si="40"/>
        <v>3649960.4057329805</v>
      </c>
      <c r="Q114" s="23">
        <f t="shared" si="41"/>
        <v>623043558.68695712</v>
      </c>
      <c r="R114" s="23">
        <f t="shared" si="42"/>
        <v>971989203.2881707</v>
      </c>
      <c r="S114" s="23">
        <f t="shared" si="43"/>
        <v>348945644.60121357</v>
      </c>
      <c r="T114" s="16">
        <f>IFERROR(INDEX(Cost_Components!$R$2:$R$6,MATCH(E114,Cost_Components!$A$2:$A$6,0)),"")</f>
        <v>1</v>
      </c>
      <c r="U114" s="26">
        <f>IFERROR(INDEX(Cost_Components!$Q$2:$Q$6,MATCH(E114,Cost_Components!$A$2:$A$6,0)),"")</f>
        <v>2023</v>
      </c>
      <c r="V114" s="30">
        <f>1/(1+Calculation_Assumptions!$B$5)^(B114-Calculation_Assumptions!$B$2)</f>
        <v>0.78940923431393573</v>
      </c>
      <c r="W114" s="23">
        <f t="shared" si="44"/>
        <v>491836338.60730052</v>
      </c>
      <c r="X114" s="23">
        <f t="shared" si="45"/>
        <v>767297252.72912729</v>
      </c>
      <c r="Y114" s="23">
        <f t="shared" si="46"/>
        <v>275460914.12182677</v>
      </c>
      <c r="Z114" s="17">
        <f>IFERROR(INDEX(Cost_Components!$T$2:$T$6,MATCH(E114,Cost_Components!$A$2:$A$6,0)),"")</f>
        <v>0.41649999999999998</v>
      </c>
      <c r="AA114" s="26">
        <f>IFERROR(INDEX(Cost_Components!$U$2:$U$6,MATCH(E114,Cost_Components!$A$2:$A$6,0)),"")</f>
        <v>2025</v>
      </c>
      <c r="AB114" s="26">
        <f>IFERROR(INDEX(Cost_Components!$V$2:$V$6,MATCH(E114,Cost_Components!$A$2:$A$6,0)),"")</f>
        <v>2040</v>
      </c>
      <c r="AC114" s="26">
        <f>IFERROR(INDEX(Cost_Components!$M$2:$M$6,MATCH(E114,Cost_Components!$A$2:$A$6,0)),"")</f>
        <v>30</v>
      </c>
      <c r="AD114" s="26">
        <f>IFERROR(INDEX(Cost_Components!$N$2:$N$6,MATCH(E114,Cost_Components!$A$2:$A$6,0)),"")</f>
        <v>95</v>
      </c>
      <c r="AE114" s="16" t="str">
        <f>IFERROR(INDEX(Cost_Components!$O$2:$O$6,MATCH(E114,Cost_Components!$A$2:$A$6,0)),"")</f>
        <v>Both</v>
      </c>
      <c r="AF114" s="11">
        <v>18257745.4024144</v>
      </c>
      <c r="AG114" s="11">
        <v>18249802.028664902</v>
      </c>
      <c r="AH114" s="23">
        <f t="shared" si="47"/>
        <v>1</v>
      </c>
      <c r="AI114" s="10">
        <v>303644277.16916001</v>
      </c>
      <c r="AJ114" s="29">
        <f t="shared" si="48"/>
        <v>2.051886386582086</v>
      </c>
      <c r="AK114" s="29">
        <f t="shared" si="49"/>
        <v>3.2010786185397997</v>
      </c>
      <c r="AL114" s="29">
        <f t="shared" si="50"/>
        <v>1.1491922319577135</v>
      </c>
      <c r="AM114" s="29">
        <f t="shared" si="51"/>
        <v>0.90718295990926145</v>
      </c>
    </row>
    <row r="115" spans="1:39">
      <c r="A115" t="s">
        <v>115</v>
      </c>
      <c r="B115" s="20">
        <v>2034</v>
      </c>
      <c r="C115" t="s">
        <v>229</v>
      </c>
      <c r="D115" t="s">
        <v>233</v>
      </c>
      <c r="E115" s="22" t="s">
        <v>270</v>
      </c>
      <c r="F115" s="22" t="s">
        <v>271</v>
      </c>
      <c r="G115" s="22" t="s">
        <v>230</v>
      </c>
      <c r="H115" s="22" t="s">
        <v>237</v>
      </c>
      <c r="I115" s="22" t="s">
        <v>274</v>
      </c>
      <c r="J115" s="17">
        <f>IFERROR(INDEX(Cost_Components!$K$2:$K$6,MATCH(E115,Cost_Components!$A$2:$A$6,0)),"")</f>
        <v>0.2</v>
      </c>
      <c r="K115" s="31">
        <v>0.25720530921523299</v>
      </c>
      <c r="L115" s="17">
        <f>IFERROR(INDEX(Cost_Components!$S$2:$S$6,MATCH(E115,Cost_Components!$A$2:$A$6,0)),"")</f>
        <v>0.147914612579645</v>
      </c>
      <c r="M115" s="28">
        <f>IFERROR(INDEX(Cost_Components!$L$2:$L$6,MATCH(E115,Cost_Components!$A$2:$A$6,0)),"")</f>
        <v>1</v>
      </c>
      <c r="N115" s="29">
        <f>IFERROR(INDEX(Cost_Components!$P$2:$P$6,MATCH(E115,Cost_Components!$A$2:$A$6,0)),"")</f>
        <v>1154.0355216616899</v>
      </c>
      <c r="O115" s="23">
        <f t="shared" si="39"/>
        <v>3737852.3671520203</v>
      </c>
      <c r="P115" s="23">
        <f t="shared" si="40"/>
        <v>3735287.5166568602</v>
      </c>
      <c r="Q115" s="23">
        <f t="shared" si="41"/>
        <v>637608787.05463707</v>
      </c>
      <c r="R115" s="23">
        <f t="shared" si="42"/>
        <v>1109484527.2387106</v>
      </c>
      <c r="S115" s="23">
        <f t="shared" si="43"/>
        <v>471875740.18407357</v>
      </c>
      <c r="T115" s="16">
        <f>IFERROR(INDEX(Cost_Components!$R$2:$R$6,MATCH(E115,Cost_Components!$A$2:$A$6,0)),"")</f>
        <v>1</v>
      </c>
      <c r="U115" s="26">
        <f>IFERROR(INDEX(Cost_Components!$Q$2:$Q$6,MATCH(E115,Cost_Components!$A$2:$A$6,0)),"")</f>
        <v>2023</v>
      </c>
      <c r="V115" s="30">
        <f>1/(1+Calculation_Assumptions!$B$5)^(B115-Calculation_Assumptions!$B$2)</f>
        <v>0.76641673234362695</v>
      </c>
      <c r="W115" s="23">
        <f t="shared" si="44"/>
        <v>488674043.08799839</v>
      </c>
      <c r="X115" s="23">
        <f t="shared" si="45"/>
        <v>850327505.95210636</v>
      </c>
      <c r="Y115" s="23">
        <f t="shared" si="46"/>
        <v>361653462.86410797</v>
      </c>
      <c r="Z115" s="17">
        <f>IFERROR(INDEX(Cost_Components!$T$2:$T$6,MATCH(E115,Cost_Components!$A$2:$A$6,0)),"")</f>
        <v>0.41649999999999998</v>
      </c>
      <c r="AA115" s="26">
        <f>IFERROR(INDEX(Cost_Components!$U$2:$U$6,MATCH(E115,Cost_Components!$A$2:$A$6,0)),"")</f>
        <v>2025</v>
      </c>
      <c r="AB115" s="26">
        <f>IFERROR(INDEX(Cost_Components!$V$2:$V$6,MATCH(E115,Cost_Components!$A$2:$A$6,0)),"")</f>
        <v>2040</v>
      </c>
      <c r="AC115" s="26">
        <f>IFERROR(INDEX(Cost_Components!$M$2:$M$6,MATCH(E115,Cost_Components!$A$2:$A$6,0)),"")</f>
        <v>30</v>
      </c>
      <c r="AD115" s="26">
        <f>IFERROR(INDEX(Cost_Components!$N$2:$N$6,MATCH(E115,Cost_Components!$A$2:$A$6,0)),"")</f>
        <v>95</v>
      </c>
      <c r="AE115" s="16" t="str">
        <f>IFERROR(INDEX(Cost_Components!$O$2:$O$6,MATCH(E115,Cost_Components!$A$2:$A$6,0)),"")</f>
        <v>Both</v>
      </c>
      <c r="AF115" s="11">
        <v>18689261.835760102</v>
      </c>
      <c r="AG115" s="11">
        <v>18676437.5832843</v>
      </c>
      <c r="AH115" s="23">
        <f t="shared" si="47"/>
        <v>1</v>
      </c>
      <c r="AI115" s="10">
        <v>305332541.18498403</v>
      </c>
      <c r="AJ115" s="29">
        <f t="shared" si="48"/>
        <v>2.0882438032320483</v>
      </c>
      <c r="AK115" s="29">
        <f t="shared" si="49"/>
        <v>3.6336923766226921</v>
      </c>
      <c r="AL115" s="29">
        <f t="shared" si="50"/>
        <v>1.5454485733906438</v>
      </c>
      <c r="AM115" s="29">
        <f t="shared" si="51"/>
        <v>1.1844576456231772</v>
      </c>
    </row>
    <row r="116" spans="1:39">
      <c r="A116" t="s">
        <v>115</v>
      </c>
      <c r="B116" s="20">
        <v>2035</v>
      </c>
      <c r="C116" t="s">
        <v>229</v>
      </c>
      <c r="D116" t="s">
        <v>233</v>
      </c>
      <c r="E116" s="22" t="s">
        <v>270</v>
      </c>
      <c r="F116" s="22" t="s">
        <v>271</v>
      </c>
      <c r="G116" s="22" t="s">
        <v>230</v>
      </c>
      <c r="H116" s="22" t="s">
        <v>237</v>
      </c>
      <c r="I116" s="22" t="s">
        <v>274</v>
      </c>
      <c r="J116" s="17">
        <f>IFERROR(INDEX(Cost_Components!$K$2:$K$6,MATCH(E116,Cost_Components!$A$2:$A$6,0)),"")</f>
        <v>0.2</v>
      </c>
      <c r="K116" s="31">
        <v>0.28375442434602699</v>
      </c>
      <c r="L116" s="17">
        <f>IFERROR(INDEX(Cost_Components!$S$2:$S$6,MATCH(E116,Cost_Components!$A$2:$A$6,0)),"")</f>
        <v>0.147914612579645</v>
      </c>
      <c r="M116" s="28">
        <f>IFERROR(INDEX(Cost_Components!$L$2:$L$6,MATCH(E116,Cost_Components!$A$2:$A$6,0)),"")</f>
        <v>1</v>
      </c>
      <c r="N116" s="29">
        <f>IFERROR(INDEX(Cost_Components!$P$2:$P$6,MATCH(E116,Cost_Components!$A$2:$A$6,0)),"")</f>
        <v>1154.0355216616899</v>
      </c>
      <c r="O116" s="23">
        <f t="shared" si="39"/>
        <v>3824166.5431038402</v>
      </c>
      <c r="P116" s="23">
        <f t="shared" si="40"/>
        <v>3820383.3135591596</v>
      </c>
      <c r="Q116" s="23">
        <f t="shared" si="41"/>
        <v>652134530.41558838</v>
      </c>
      <c r="R116" s="23">
        <f t="shared" si="42"/>
        <v>1252271844.5660713</v>
      </c>
      <c r="S116" s="23">
        <f t="shared" si="43"/>
        <v>600137314.15048289</v>
      </c>
      <c r="T116" s="16">
        <f>IFERROR(INDEX(Cost_Components!$R$2:$R$6,MATCH(E116,Cost_Components!$A$2:$A$6,0)),"")</f>
        <v>1</v>
      </c>
      <c r="U116" s="26">
        <f>IFERROR(INDEX(Cost_Components!$Q$2:$Q$6,MATCH(E116,Cost_Components!$A$2:$A$6,0)),"")</f>
        <v>2023</v>
      </c>
      <c r="V116" s="30">
        <f>1/(1+Calculation_Assumptions!$B$5)^(B116-Calculation_Assumptions!$B$2)</f>
        <v>0.74409391489672516</v>
      </c>
      <c r="W116" s="23">
        <f t="shared" si="44"/>
        <v>485249335.77627265</v>
      </c>
      <c r="X116" s="23">
        <f t="shared" si="45"/>
        <v>931807859.33811128</v>
      </c>
      <c r="Y116" s="23">
        <f t="shared" si="46"/>
        <v>446558523.56183863</v>
      </c>
      <c r="Z116" s="17">
        <f>IFERROR(INDEX(Cost_Components!$T$2:$T$6,MATCH(E116,Cost_Components!$A$2:$A$6,0)),"")</f>
        <v>0.41649999999999998</v>
      </c>
      <c r="AA116" s="26">
        <f>IFERROR(INDEX(Cost_Components!$U$2:$U$6,MATCH(E116,Cost_Components!$A$2:$A$6,0)),"")</f>
        <v>2025</v>
      </c>
      <c r="AB116" s="26">
        <f>IFERROR(INDEX(Cost_Components!$V$2:$V$6,MATCH(E116,Cost_Components!$A$2:$A$6,0)),"")</f>
        <v>2040</v>
      </c>
      <c r="AC116" s="26">
        <f>IFERROR(INDEX(Cost_Components!$M$2:$M$6,MATCH(E116,Cost_Components!$A$2:$A$6,0)),"")</f>
        <v>30</v>
      </c>
      <c r="AD116" s="26">
        <f>IFERROR(INDEX(Cost_Components!$N$2:$N$6,MATCH(E116,Cost_Components!$A$2:$A$6,0)),"")</f>
        <v>95</v>
      </c>
      <c r="AE116" s="16" t="str">
        <f>IFERROR(INDEX(Cost_Components!$O$2:$O$6,MATCH(E116,Cost_Components!$A$2:$A$6,0)),"")</f>
        <v>Both</v>
      </c>
      <c r="AF116" s="11">
        <v>19120832.715519201</v>
      </c>
      <c r="AG116" s="11">
        <v>19101916.567795798</v>
      </c>
      <c r="AH116" s="23">
        <f t="shared" si="47"/>
        <v>1</v>
      </c>
      <c r="AI116" s="10">
        <v>306964650.16711998</v>
      </c>
      <c r="AJ116" s="29">
        <f t="shared" si="48"/>
        <v>2.1244613347515697</v>
      </c>
      <c r="AK116" s="29">
        <f t="shared" si="49"/>
        <v>4.0795311247868451</v>
      </c>
      <c r="AL116" s="29">
        <f t="shared" si="50"/>
        <v>1.9550697900352749</v>
      </c>
      <c r="AM116" s="29">
        <f t="shared" si="51"/>
        <v>1.4547555339636662</v>
      </c>
    </row>
    <row r="117" spans="1:39">
      <c r="A117" t="s">
        <v>115</v>
      </c>
      <c r="B117" s="20">
        <v>2036</v>
      </c>
      <c r="C117" t="s">
        <v>229</v>
      </c>
      <c r="D117" t="s">
        <v>233</v>
      </c>
      <c r="E117" s="22" t="s">
        <v>270</v>
      </c>
      <c r="F117" s="22" t="s">
        <v>271</v>
      </c>
      <c r="G117" s="22" t="s">
        <v>230</v>
      </c>
      <c r="H117" s="22" t="s">
        <v>237</v>
      </c>
      <c r="I117" s="22" t="s">
        <v>274</v>
      </c>
      <c r="J117" s="17">
        <f>IFERROR(INDEX(Cost_Components!$K$2:$K$6,MATCH(E117,Cost_Components!$A$2:$A$6,0)),"")</f>
        <v>0.2</v>
      </c>
      <c r="K117" s="31">
        <v>0.31030353947682199</v>
      </c>
      <c r="L117" s="17">
        <f>IFERROR(INDEX(Cost_Components!$S$2:$S$6,MATCH(E117,Cost_Components!$A$2:$A$6,0)),"")</f>
        <v>0.147914612579645</v>
      </c>
      <c r="M117" s="28">
        <f>IFERROR(INDEX(Cost_Components!$L$2:$L$6,MATCH(E117,Cost_Components!$A$2:$A$6,0)),"")</f>
        <v>1</v>
      </c>
      <c r="N117" s="29">
        <f>IFERROR(INDEX(Cost_Components!$P$2:$P$6,MATCH(E117,Cost_Components!$A$2:$A$6,0)),"")</f>
        <v>1154.0355216616899</v>
      </c>
      <c r="O117" s="23">
        <f t="shared" si="39"/>
        <v>3910613.3334395606</v>
      </c>
      <c r="P117" s="23">
        <f t="shared" si="40"/>
        <v>3905361.14855032</v>
      </c>
      <c r="Q117" s="23">
        <f t="shared" si="41"/>
        <v>666640137.82964301</v>
      </c>
      <c r="R117" s="23">
        <f t="shared" si="42"/>
        <v>1400395746.0859542</v>
      </c>
      <c r="S117" s="23">
        <f t="shared" si="43"/>
        <v>733755608.25631118</v>
      </c>
      <c r="T117" s="16">
        <f>IFERROR(INDEX(Cost_Components!$R$2:$R$6,MATCH(E117,Cost_Components!$A$2:$A$6,0)),"")</f>
        <v>1</v>
      </c>
      <c r="U117" s="26">
        <f>IFERROR(INDEX(Cost_Components!$Q$2:$Q$6,MATCH(E117,Cost_Components!$A$2:$A$6,0)),"")</f>
        <v>2023</v>
      </c>
      <c r="V117" s="30">
        <f>1/(1+Calculation_Assumptions!$B$5)^(B117-Calculation_Assumptions!$B$2)</f>
        <v>0.72242127659876232</v>
      </c>
      <c r="W117" s="23">
        <f t="shared" si="44"/>
        <v>481595019.40286559</v>
      </c>
      <c r="X117" s="23">
        <f t="shared" si="45"/>
        <v>1011675682.6308912</v>
      </c>
      <c r="Y117" s="23">
        <f t="shared" si="46"/>
        <v>530080663.22802567</v>
      </c>
      <c r="Z117" s="17">
        <f>IFERROR(INDEX(Cost_Components!$T$2:$T$6,MATCH(E117,Cost_Components!$A$2:$A$6,0)),"")</f>
        <v>0.41649999999999998</v>
      </c>
      <c r="AA117" s="26">
        <f>IFERROR(INDEX(Cost_Components!$U$2:$U$6,MATCH(E117,Cost_Components!$A$2:$A$6,0)),"")</f>
        <v>2025</v>
      </c>
      <c r="AB117" s="26">
        <f>IFERROR(INDEX(Cost_Components!$V$2:$V$6,MATCH(E117,Cost_Components!$A$2:$A$6,0)),"")</f>
        <v>2040</v>
      </c>
      <c r="AC117" s="26">
        <f>IFERROR(INDEX(Cost_Components!$M$2:$M$6,MATCH(E117,Cost_Components!$A$2:$A$6,0)),"")</f>
        <v>30</v>
      </c>
      <c r="AD117" s="26">
        <f>IFERROR(INDEX(Cost_Components!$N$2:$N$6,MATCH(E117,Cost_Components!$A$2:$A$6,0)),"")</f>
        <v>95</v>
      </c>
      <c r="AE117" s="16" t="str">
        <f>IFERROR(INDEX(Cost_Components!$O$2:$O$6,MATCH(E117,Cost_Components!$A$2:$A$6,0)),"")</f>
        <v>Both</v>
      </c>
      <c r="AF117" s="11">
        <v>19553066.667197801</v>
      </c>
      <c r="AG117" s="11">
        <v>19526805.742751598</v>
      </c>
      <c r="AH117" s="23">
        <f t="shared" si="47"/>
        <v>1</v>
      </c>
      <c r="AI117" s="10">
        <v>308542769.75662202</v>
      </c>
      <c r="AJ117" s="29">
        <f t="shared" si="48"/>
        <v>2.160608522298181</v>
      </c>
      <c r="AK117" s="29">
        <f t="shared" si="49"/>
        <v>4.5387410866590194</v>
      </c>
      <c r="AL117" s="29">
        <f t="shared" si="50"/>
        <v>2.378132564360838</v>
      </c>
      <c r="AM117" s="29">
        <f t="shared" si="51"/>
        <v>1.7180135630666451</v>
      </c>
    </row>
    <row r="118" spans="1:39">
      <c r="A118" t="s">
        <v>115</v>
      </c>
      <c r="B118" s="20">
        <v>2037</v>
      </c>
      <c r="C118" t="s">
        <v>229</v>
      </c>
      <c r="D118" t="s">
        <v>233</v>
      </c>
      <c r="E118" s="22" t="s">
        <v>270</v>
      </c>
      <c r="F118" s="22" t="s">
        <v>271</v>
      </c>
      <c r="G118" s="22" t="s">
        <v>230</v>
      </c>
      <c r="H118" s="22" t="s">
        <v>237</v>
      </c>
      <c r="I118" s="22" t="s">
        <v>274</v>
      </c>
      <c r="J118" s="17">
        <f>IFERROR(INDEX(Cost_Components!$K$2:$K$6,MATCH(E118,Cost_Components!$A$2:$A$6,0)),"")</f>
        <v>0.2</v>
      </c>
      <c r="K118" s="31">
        <v>0.33685265460761599</v>
      </c>
      <c r="L118" s="17">
        <f>IFERROR(INDEX(Cost_Components!$S$2:$S$6,MATCH(E118,Cost_Components!$A$2:$A$6,0)),"")</f>
        <v>0.147914612579645</v>
      </c>
      <c r="M118" s="28">
        <f>IFERROR(INDEX(Cost_Components!$L$2:$L$6,MATCH(E118,Cost_Components!$A$2:$A$6,0)),"")</f>
        <v>1</v>
      </c>
      <c r="N118" s="29">
        <f>IFERROR(INDEX(Cost_Components!$P$2:$P$6,MATCH(E118,Cost_Components!$A$2:$A$6,0)),"")</f>
        <v>1154.0355216616899</v>
      </c>
      <c r="O118" s="23">
        <f t="shared" si="39"/>
        <v>3997275.2590194801</v>
      </c>
      <c r="P118" s="23">
        <f t="shared" si="40"/>
        <v>3990298.5449008197</v>
      </c>
      <c r="Q118" s="23">
        <f t="shared" si="41"/>
        <v>681138842.41961575</v>
      </c>
      <c r="R118" s="23">
        <f t="shared" si="42"/>
        <v>1553900500.3176358</v>
      </c>
      <c r="S118" s="23">
        <f t="shared" si="43"/>
        <v>872761657.89802003</v>
      </c>
      <c r="T118" s="16">
        <f>IFERROR(INDEX(Cost_Components!$R$2:$R$6,MATCH(E118,Cost_Components!$A$2:$A$6,0)),"")</f>
        <v>1</v>
      </c>
      <c r="U118" s="26">
        <f>IFERROR(INDEX(Cost_Components!$Q$2:$Q$6,MATCH(E118,Cost_Components!$A$2:$A$6,0)),"")</f>
        <v>2023</v>
      </c>
      <c r="V118" s="30">
        <f>1/(1+Calculation_Assumptions!$B$5)^(B118-Calculation_Assumptions!$B$2)</f>
        <v>0.70137988019297326</v>
      </c>
      <c r="W118" s="23">
        <f t="shared" si="44"/>
        <v>477737079.69105059</v>
      </c>
      <c r="X118" s="23">
        <f t="shared" si="45"/>
        <v>1089874546.7445846</v>
      </c>
      <c r="Y118" s="23">
        <f t="shared" si="46"/>
        <v>612137467.05353403</v>
      </c>
      <c r="Z118" s="17">
        <f>IFERROR(INDEX(Cost_Components!$T$2:$T$6,MATCH(E118,Cost_Components!$A$2:$A$6,0)),"")</f>
        <v>0.41649999999999998</v>
      </c>
      <c r="AA118" s="26">
        <f>IFERROR(INDEX(Cost_Components!$U$2:$U$6,MATCH(E118,Cost_Components!$A$2:$A$6,0)),"")</f>
        <v>2025</v>
      </c>
      <c r="AB118" s="26">
        <f>IFERROR(INDEX(Cost_Components!$V$2:$V$6,MATCH(E118,Cost_Components!$A$2:$A$6,0)),"")</f>
        <v>2040</v>
      </c>
      <c r="AC118" s="26">
        <f>IFERROR(INDEX(Cost_Components!$M$2:$M$6,MATCH(E118,Cost_Components!$A$2:$A$6,0)),"")</f>
        <v>30</v>
      </c>
      <c r="AD118" s="26">
        <f>IFERROR(INDEX(Cost_Components!$N$2:$N$6,MATCH(E118,Cost_Components!$A$2:$A$6,0)),"")</f>
        <v>95</v>
      </c>
      <c r="AE118" s="16" t="str">
        <f>IFERROR(INDEX(Cost_Components!$O$2:$O$6,MATCH(E118,Cost_Components!$A$2:$A$6,0)),"")</f>
        <v>Both</v>
      </c>
      <c r="AF118" s="11">
        <v>19986376.2950974</v>
      </c>
      <c r="AG118" s="11">
        <v>19951492.724504098</v>
      </c>
      <c r="AH118" s="23">
        <f t="shared" si="47"/>
        <v>1</v>
      </c>
      <c r="AI118" s="10">
        <v>310068287.63643003</v>
      </c>
      <c r="AJ118" s="29">
        <f t="shared" si="48"/>
        <v>2.1967381689103394</v>
      </c>
      <c r="AK118" s="29">
        <f t="shared" si="49"/>
        <v>5.0114783171236743</v>
      </c>
      <c r="AL118" s="29">
        <f t="shared" si="50"/>
        <v>2.814740148213335</v>
      </c>
      <c r="AM118" s="29">
        <f t="shared" si="51"/>
        <v>1.9742021079282208</v>
      </c>
    </row>
    <row r="119" spans="1:39">
      <c r="A119" t="s">
        <v>115</v>
      </c>
      <c r="B119" s="20">
        <v>2038</v>
      </c>
      <c r="C119" t="s">
        <v>229</v>
      </c>
      <c r="D119" t="s">
        <v>233</v>
      </c>
      <c r="E119" s="22" t="s">
        <v>270</v>
      </c>
      <c r="F119" s="22" t="s">
        <v>271</v>
      </c>
      <c r="G119" s="22" t="s">
        <v>230</v>
      </c>
      <c r="H119" s="22" t="s">
        <v>237</v>
      </c>
      <c r="I119" s="22" t="s">
        <v>274</v>
      </c>
      <c r="J119" s="17">
        <f>IFERROR(INDEX(Cost_Components!$K$2:$K$6,MATCH(E119,Cost_Components!$A$2:$A$6,0)),"")</f>
        <v>0.2</v>
      </c>
      <c r="K119" s="31">
        <v>0.36340176973841098</v>
      </c>
      <c r="L119" s="17">
        <f>IFERROR(INDEX(Cost_Components!$S$2:$S$6,MATCH(E119,Cost_Components!$A$2:$A$6,0)),"")</f>
        <v>0.147914612579645</v>
      </c>
      <c r="M119" s="28">
        <f>IFERROR(INDEX(Cost_Components!$L$2:$L$6,MATCH(E119,Cost_Components!$A$2:$A$6,0)),"")</f>
        <v>1</v>
      </c>
      <c r="N119" s="29">
        <f>IFERROR(INDEX(Cost_Components!$P$2:$P$6,MATCH(E119,Cost_Components!$A$2:$A$6,0)),"")</f>
        <v>1154.0355216616899</v>
      </c>
      <c r="O119" s="23">
        <f t="shared" si="39"/>
        <v>4083968.5980241802</v>
      </c>
      <c r="P119" s="23">
        <f t="shared" si="40"/>
        <v>4075006.1351300799</v>
      </c>
      <c r="Q119" s="23">
        <f t="shared" si="41"/>
        <v>695598319.3995136</v>
      </c>
      <c r="R119" s="23">
        <f t="shared" si="42"/>
        <v>1712728832.6129577</v>
      </c>
      <c r="S119" s="23">
        <f t="shared" si="43"/>
        <v>1017130513.2134441</v>
      </c>
      <c r="T119" s="16">
        <f>IFERROR(INDEX(Cost_Components!$R$2:$R$6,MATCH(E119,Cost_Components!$A$2:$A$6,0)),"")</f>
        <v>1</v>
      </c>
      <c r="U119" s="26">
        <f>IFERROR(INDEX(Cost_Components!$Q$2:$Q$6,MATCH(E119,Cost_Components!$A$2:$A$6,0)),"")</f>
        <v>2023</v>
      </c>
      <c r="V119" s="30">
        <f>1/(1+Calculation_Assumptions!$B$5)^(B119-Calculation_Assumptions!$B$2)</f>
        <v>0.68095133999317792</v>
      </c>
      <c r="W119" s="23">
        <f t="shared" si="44"/>
        <v>473668607.69210136</v>
      </c>
      <c r="X119" s="23">
        <f t="shared" si="45"/>
        <v>1166284993.6127448</v>
      </c>
      <c r="Y119" s="23">
        <f t="shared" si="46"/>
        <v>692616385.92064357</v>
      </c>
      <c r="Z119" s="17">
        <f>IFERROR(INDEX(Cost_Components!$T$2:$T$6,MATCH(E119,Cost_Components!$A$2:$A$6,0)),"")</f>
        <v>0.41649999999999998</v>
      </c>
      <c r="AA119" s="26">
        <f>IFERROR(INDEX(Cost_Components!$U$2:$U$6,MATCH(E119,Cost_Components!$A$2:$A$6,0)),"")</f>
        <v>2025</v>
      </c>
      <c r="AB119" s="26">
        <f>IFERROR(INDEX(Cost_Components!$V$2:$V$6,MATCH(E119,Cost_Components!$A$2:$A$6,0)),"")</f>
        <v>2040</v>
      </c>
      <c r="AC119" s="26">
        <f>IFERROR(INDEX(Cost_Components!$M$2:$M$6,MATCH(E119,Cost_Components!$A$2:$A$6,0)),"")</f>
        <v>30</v>
      </c>
      <c r="AD119" s="26">
        <f>IFERROR(INDEX(Cost_Components!$N$2:$N$6,MATCH(E119,Cost_Components!$A$2:$A$6,0)),"")</f>
        <v>95</v>
      </c>
      <c r="AE119" s="16" t="str">
        <f>IFERROR(INDEX(Cost_Components!$O$2:$O$6,MATCH(E119,Cost_Components!$A$2:$A$6,0)),"")</f>
        <v>Both</v>
      </c>
      <c r="AF119" s="11">
        <v>20419842.990120899</v>
      </c>
      <c r="AG119" s="11">
        <v>20375030.675650399</v>
      </c>
      <c r="AH119" s="23">
        <f t="shared" si="47"/>
        <v>1</v>
      </c>
      <c r="AI119" s="10">
        <v>311532999.13163</v>
      </c>
      <c r="AJ119" s="29">
        <f t="shared" si="48"/>
        <v>2.232823878492586</v>
      </c>
      <c r="AK119" s="29">
        <f t="shared" si="49"/>
        <v>5.4977445002199898</v>
      </c>
      <c r="AL119" s="29">
        <f t="shared" si="50"/>
        <v>3.2649206217274034</v>
      </c>
      <c r="AM119" s="29">
        <f t="shared" si="51"/>
        <v>2.2232520723366354</v>
      </c>
    </row>
    <row r="120" spans="1:39">
      <c r="A120" t="s">
        <v>115</v>
      </c>
      <c r="B120" s="20">
        <v>2039</v>
      </c>
      <c r="C120" t="s">
        <v>229</v>
      </c>
      <c r="D120" t="s">
        <v>233</v>
      </c>
      <c r="E120" s="22" t="s">
        <v>270</v>
      </c>
      <c r="F120" s="22" t="s">
        <v>271</v>
      </c>
      <c r="G120" s="22" t="s">
        <v>230</v>
      </c>
      <c r="H120" s="22" t="s">
        <v>237</v>
      </c>
      <c r="I120" s="22" t="s">
        <v>274</v>
      </c>
      <c r="J120" s="17">
        <f>IFERROR(INDEX(Cost_Components!$K$2:$K$6,MATCH(E120,Cost_Components!$A$2:$A$6,0)),"")</f>
        <v>0.2</v>
      </c>
      <c r="K120" s="31">
        <v>0.38995088486920498</v>
      </c>
      <c r="L120" s="17">
        <f>IFERROR(INDEX(Cost_Components!$S$2:$S$6,MATCH(E120,Cost_Components!$A$2:$A$6,0)),"")</f>
        <v>0.147914612579645</v>
      </c>
      <c r="M120" s="28">
        <f>IFERROR(INDEX(Cost_Components!$L$2:$L$6,MATCH(E120,Cost_Components!$A$2:$A$6,0)),"")</f>
        <v>1</v>
      </c>
      <c r="N120" s="29">
        <f>IFERROR(INDEX(Cost_Components!$P$2:$P$6,MATCH(E120,Cost_Components!$A$2:$A$6,0)),"")</f>
        <v>1154.0355216616899</v>
      </c>
      <c r="O120" s="23">
        <f t="shared" si="39"/>
        <v>4170262.0460586804</v>
      </c>
      <c r="P120" s="23">
        <f t="shared" si="40"/>
        <v>4159046.4400442801</v>
      </c>
      <c r="Q120" s="23">
        <f t="shared" si="41"/>
        <v>709943891.63219798</v>
      </c>
      <c r="R120" s="23">
        <f t="shared" si="42"/>
        <v>1876689535.9795842</v>
      </c>
      <c r="S120" s="23">
        <f t="shared" si="43"/>
        <v>1166745644.3473864</v>
      </c>
      <c r="T120" s="16">
        <f>IFERROR(INDEX(Cost_Components!$R$2:$R$6,MATCH(E120,Cost_Components!$A$2:$A$6,0)),"")</f>
        <v>1</v>
      </c>
      <c r="U120" s="26">
        <f>IFERROR(INDEX(Cost_Components!$Q$2:$Q$6,MATCH(E120,Cost_Components!$A$2:$A$6,0)),"")</f>
        <v>2023</v>
      </c>
      <c r="V120" s="30">
        <f>1/(1+Calculation_Assumptions!$B$5)^(B120-Calculation_Assumptions!$B$2)</f>
        <v>0.66111780581861923</v>
      </c>
      <c r="W120" s="23">
        <f t="shared" si="44"/>
        <v>469356547.89021033</v>
      </c>
      <c r="X120" s="23">
        <f t="shared" si="45"/>
        <v>1240712868.2295854</v>
      </c>
      <c r="Y120" s="23">
        <f t="shared" si="46"/>
        <v>771356320.33937514</v>
      </c>
      <c r="Z120" s="17">
        <f>IFERROR(INDEX(Cost_Components!$T$2:$T$6,MATCH(E120,Cost_Components!$A$2:$A$6,0)),"")</f>
        <v>0.41649999999999998</v>
      </c>
      <c r="AA120" s="26">
        <f>IFERROR(INDEX(Cost_Components!$U$2:$U$6,MATCH(E120,Cost_Components!$A$2:$A$6,0)),"")</f>
        <v>2025</v>
      </c>
      <c r="AB120" s="26">
        <f>IFERROR(INDEX(Cost_Components!$V$2:$V$6,MATCH(E120,Cost_Components!$A$2:$A$6,0)),"")</f>
        <v>2040</v>
      </c>
      <c r="AC120" s="26">
        <f>IFERROR(INDEX(Cost_Components!$M$2:$M$6,MATCH(E120,Cost_Components!$A$2:$A$6,0)),"")</f>
        <v>30</v>
      </c>
      <c r="AD120" s="26">
        <f>IFERROR(INDEX(Cost_Components!$N$2:$N$6,MATCH(E120,Cost_Components!$A$2:$A$6,0)),"")</f>
        <v>95</v>
      </c>
      <c r="AE120" s="16" t="str">
        <f>IFERROR(INDEX(Cost_Components!$O$2:$O$6,MATCH(E120,Cost_Components!$A$2:$A$6,0)),"")</f>
        <v>Both</v>
      </c>
      <c r="AF120" s="11">
        <v>20851310.230293401</v>
      </c>
      <c r="AG120" s="11">
        <v>20795232.200221401</v>
      </c>
      <c r="AH120" s="23">
        <f t="shared" si="47"/>
        <v>1</v>
      </c>
      <c r="AI120" s="10">
        <v>312936391.85847902</v>
      </c>
      <c r="AJ120" s="29">
        <f t="shared" si="48"/>
        <v>2.2686523846458226</v>
      </c>
      <c r="AK120" s="29">
        <f t="shared" si="49"/>
        <v>5.9970319362162581</v>
      </c>
      <c r="AL120" s="29">
        <f t="shared" si="50"/>
        <v>3.7283795515704363</v>
      </c>
      <c r="AM120" s="29">
        <f t="shared" si="51"/>
        <v>2.4648981083932542</v>
      </c>
    </row>
    <row r="121" spans="1:39">
      <c r="A121" t="s">
        <v>115</v>
      </c>
      <c r="B121" s="20">
        <v>2040</v>
      </c>
      <c r="C121" t="s">
        <v>229</v>
      </c>
      <c r="D121" t="s">
        <v>233</v>
      </c>
      <c r="E121" s="22" t="s">
        <v>270</v>
      </c>
      <c r="F121" s="22" t="s">
        <v>271</v>
      </c>
      <c r="G121" s="22" t="s">
        <v>230</v>
      </c>
      <c r="H121" s="22" t="s">
        <v>237</v>
      </c>
      <c r="I121" s="22" t="s">
        <v>274</v>
      </c>
      <c r="J121" s="17">
        <f>IFERROR(INDEX(Cost_Components!$K$2:$K$6,MATCH(E121,Cost_Components!$A$2:$A$6,0)),"")</f>
        <v>0.2</v>
      </c>
      <c r="K121" s="31">
        <v>0.41649999999999998</v>
      </c>
      <c r="L121" s="17">
        <f>IFERROR(INDEX(Cost_Components!$S$2:$S$6,MATCH(E121,Cost_Components!$A$2:$A$6,0)),"")</f>
        <v>0.147914612579645</v>
      </c>
      <c r="M121" s="28">
        <f>IFERROR(INDEX(Cost_Components!$L$2:$L$6,MATCH(E121,Cost_Components!$A$2:$A$6,0)),"")</f>
        <v>1</v>
      </c>
      <c r="N121" s="29">
        <f>IFERROR(INDEX(Cost_Components!$P$2:$P$6,MATCH(E121,Cost_Components!$A$2:$A$6,0)),"")</f>
        <v>1154.0355216616899</v>
      </c>
      <c r="O121" s="23">
        <f t="shared" si="39"/>
        <v>4255925.2996301008</v>
      </c>
      <c r="P121" s="23">
        <f t="shared" si="40"/>
        <v>4242186.6352720205</v>
      </c>
      <c r="Q121" s="23">
        <f t="shared" si="41"/>
        <v>724135816.29616344</v>
      </c>
      <c r="R121" s="23">
        <f t="shared" si="42"/>
        <v>2045635157.3843677</v>
      </c>
      <c r="S121" s="23">
        <f t="shared" si="43"/>
        <v>1321499341.0882044</v>
      </c>
      <c r="T121" s="16">
        <f>IFERROR(INDEX(Cost_Components!$R$2:$R$6,MATCH(E121,Cost_Components!$A$2:$A$6,0)),"")</f>
        <v>1</v>
      </c>
      <c r="U121" s="26">
        <f>IFERROR(INDEX(Cost_Components!$Q$2:$Q$6,MATCH(E121,Cost_Components!$A$2:$A$6,0)),"")</f>
        <v>2023</v>
      </c>
      <c r="V121" s="30">
        <f>1/(1+Calculation_Assumptions!$B$5)^(B121-Calculation_Assumptions!$B$2)</f>
        <v>0.64186194739671765</v>
      </c>
      <c r="W121" s="23">
        <f t="shared" si="44"/>
        <v>464795225.22756726</v>
      </c>
      <c r="X121" s="23">
        <f t="shared" si="45"/>
        <v>1313015365.7819211</v>
      </c>
      <c r="Y121" s="23">
        <f t="shared" si="46"/>
        <v>848220140.55435407</v>
      </c>
      <c r="Z121" s="17">
        <f>IFERROR(INDEX(Cost_Components!$T$2:$T$6,MATCH(E121,Cost_Components!$A$2:$A$6,0)),"")</f>
        <v>0.41649999999999998</v>
      </c>
      <c r="AA121" s="26">
        <f>IFERROR(INDEX(Cost_Components!$U$2:$U$6,MATCH(E121,Cost_Components!$A$2:$A$6,0)),"")</f>
        <v>2025</v>
      </c>
      <c r="AB121" s="26">
        <f>IFERROR(INDEX(Cost_Components!$V$2:$V$6,MATCH(E121,Cost_Components!$A$2:$A$6,0)),"")</f>
        <v>2040</v>
      </c>
      <c r="AC121" s="26">
        <f>IFERROR(INDEX(Cost_Components!$M$2:$M$6,MATCH(E121,Cost_Components!$A$2:$A$6,0)),"")</f>
        <v>30</v>
      </c>
      <c r="AD121" s="26">
        <f>IFERROR(INDEX(Cost_Components!$N$2:$N$6,MATCH(E121,Cost_Components!$A$2:$A$6,0)),"")</f>
        <v>95</v>
      </c>
      <c r="AE121" s="16" t="str">
        <f>IFERROR(INDEX(Cost_Components!$O$2:$O$6,MATCH(E121,Cost_Components!$A$2:$A$6,0)),"")</f>
        <v>Both</v>
      </c>
      <c r="AF121" s="11">
        <v>21279626.498150501</v>
      </c>
      <c r="AG121" s="11">
        <v>21210933.176360101</v>
      </c>
      <c r="AH121" s="23">
        <f t="shared" si="47"/>
        <v>1</v>
      </c>
      <c r="AI121" s="10">
        <v>314265537.41082901</v>
      </c>
      <c r="AJ121" s="29">
        <f t="shared" si="48"/>
        <v>2.3042164351273571</v>
      </c>
      <c r="AK121" s="29">
        <f t="shared" si="49"/>
        <v>6.5092570258831026</v>
      </c>
      <c r="AL121" s="29">
        <f t="shared" si="50"/>
        <v>4.205040590755746</v>
      </c>
      <c r="AM121" s="29">
        <f t="shared" si="51"/>
        <v>2.6990555424647269</v>
      </c>
    </row>
    <row r="122" spans="1:39">
      <c r="A122" t="s">
        <v>115</v>
      </c>
      <c r="B122" s="20">
        <v>2041</v>
      </c>
      <c r="C122" t="s">
        <v>229</v>
      </c>
      <c r="D122" t="s">
        <v>233</v>
      </c>
      <c r="E122" s="22" t="s">
        <v>270</v>
      </c>
      <c r="F122" s="22" t="s">
        <v>271</v>
      </c>
      <c r="G122" s="22" t="s">
        <v>230</v>
      </c>
      <c r="H122" s="22" t="s">
        <v>237</v>
      </c>
      <c r="I122" s="22" t="s">
        <v>274</v>
      </c>
      <c r="J122" s="17">
        <f>IFERROR(INDEX(Cost_Components!$K$2:$K$6,MATCH(E122,Cost_Components!$A$2:$A$6,0)),"")</f>
        <v>0.2</v>
      </c>
      <c r="K122" s="31">
        <v>0.41649999999999998</v>
      </c>
      <c r="L122" s="17">
        <f>IFERROR(INDEX(Cost_Components!$S$2:$S$6,MATCH(E122,Cost_Components!$A$2:$A$6,0)),"")</f>
        <v>0.147914612579645</v>
      </c>
      <c r="M122" s="28">
        <f>IFERROR(INDEX(Cost_Components!$L$2:$L$6,MATCH(E122,Cost_Components!$A$2:$A$6,0)),"")</f>
        <v>1</v>
      </c>
      <c r="N122" s="29">
        <f>IFERROR(INDEX(Cost_Components!$P$2:$P$6,MATCH(E122,Cost_Components!$A$2:$A$6,0)),"")</f>
        <v>1154.0355216616899</v>
      </c>
      <c r="O122" s="23">
        <f t="shared" si="39"/>
        <v>4341433.5324753402</v>
      </c>
      <c r="P122" s="23">
        <f t="shared" si="40"/>
        <v>4325213.4643438598</v>
      </c>
      <c r="Q122" s="23">
        <f t="shared" si="41"/>
        <v>738308389.5027554</v>
      </c>
      <c r="R122" s="23">
        <f t="shared" si="42"/>
        <v>2086735185.0021536</v>
      </c>
      <c r="S122" s="23">
        <f t="shared" si="43"/>
        <v>1348426795.4993982</v>
      </c>
      <c r="T122" s="16">
        <f>IFERROR(INDEX(Cost_Components!$R$2:$R$6,MATCH(E122,Cost_Components!$A$2:$A$6,0)),"")</f>
        <v>1</v>
      </c>
      <c r="U122" s="26">
        <f>IFERROR(INDEX(Cost_Components!$Q$2:$Q$6,MATCH(E122,Cost_Components!$A$2:$A$6,0)),"")</f>
        <v>2023</v>
      </c>
      <c r="V122" s="30">
        <f>1/(1+Calculation_Assumptions!$B$5)^(B122-Calculation_Assumptions!$B$2)</f>
        <v>0.62316693922011435</v>
      </c>
      <c r="W122" s="23">
        <f t="shared" si="44"/>
        <v>460089379.28696406</v>
      </c>
      <c r="X122" s="23">
        <f t="shared" si="45"/>
        <v>1300384378.2007113</v>
      </c>
      <c r="Y122" s="23">
        <f t="shared" si="46"/>
        <v>840294998.91374707</v>
      </c>
      <c r="Z122" s="17">
        <f>IFERROR(INDEX(Cost_Components!$T$2:$T$6,MATCH(E122,Cost_Components!$A$2:$A$6,0)),"")</f>
        <v>0.41649999999999998</v>
      </c>
      <c r="AA122" s="26">
        <f>IFERROR(INDEX(Cost_Components!$U$2:$U$6,MATCH(E122,Cost_Components!$A$2:$A$6,0)),"")</f>
        <v>2025</v>
      </c>
      <c r="AB122" s="26">
        <f>IFERROR(INDEX(Cost_Components!$V$2:$V$6,MATCH(E122,Cost_Components!$A$2:$A$6,0)),"")</f>
        <v>2040</v>
      </c>
      <c r="AC122" s="26">
        <f>IFERROR(INDEX(Cost_Components!$M$2:$M$6,MATCH(E122,Cost_Components!$A$2:$A$6,0)),"")</f>
        <v>30</v>
      </c>
      <c r="AD122" s="26">
        <f>IFERROR(INDEX(Cost_Components!$N$2:$N$6,MATCH(E122,Cost_Components!$A$2:$A$6,0)),"")</f>
        <v>95</v>
      </c>
      <c r="AE122" s="16" t="str">
        <f>IFERROR(INDEX(Cost_Components!$O$2:$O$6,MATCH(E122,Cost_Components!$A$2:$A$6,0)),"")</f>
        <v>Both</v>
      </c>
      <c r="AF122" s="11">
        <v>21707167.662376702</v>
      </c>
      <c r="AG122" s="11">
        <v>21626067.3217193</v>
      </c>
      <c r="AH122" s="23">
        <f t="shared" si="47"/>
        <v>1</v>
      </c>
      <c r="AI122" s="10">
        <v>315525215.31254798</v>
      </c>
      <c r="AJ122" s="29">
        <f t="shared" si="48"/>
        <v>2.3399346666205854</v>
      </c>
      <c r="AK122" s="29">
        <f t="shared" si="49"/>
        <v>6.613529073849481</v>
      </c>
      <c r="AL122" s="29">
        <f t="shared" si="50"/>
        <v>4.2735944072288961</v>
      </c>
      <c r="AM122" s="29">
        <f t="shared" si="51"/>
        <v>2.6631627462210301</v>
      </c>
    </row>
    <row r="123" spans="1:39">
      <c r="A123" t="s">
        <v>115</v>
      </c>
      <c r="B123" s="20">
        <v>2042</v>
      </c>
      <c r="C123" t="s">
        <v>229</v>
      </c>
      <c r="D123" t="s">
        <v>233</v>
      </c>
      <c r="E123" s="22" t="s">
        <v>270</v>
      </c>
      <c r="F123" s="22" t="s">
        <v>271</v>
      </c>
      <c r="G123" s="22" t="s">
        <v>230</v>
      </c>
      <c r="H123" s="22" t="s">
        <v>237</v>
      </c>
      <c r="I123" s="22" t="s">
        <v>274</v>
      </c>
      <c r="J123" s="17">
        <f>IFERROR(INDEX(Cost_Components!$K$2:$K$6,MATCH(E123,Cost_Components!$A$2:$A$6,0)),"")</f>
        <v>0.2</v>
      </c>
      <c r="K123" s="31">
        <v>0.41649999999999998</v>
      </c>
      <c r="L123" s="17">
        <f>IFERROR(INDEX(Cost_Components!$S$2:$S$6,MATCH(E123,Cost_Components!$A$2:$A$6,0)),"")</f>
        <v>0.147914612579645</v>
      </c>
      <c r="M123" s="28">
        <f>IFERROR(INDEX(Cost_Components!$L$2:$L$6,MATCH(E123,Cost_Components!$A$2:$A$6,0)),"")</f>
        <v>1</v>
      </c>
      <c r="N123" s="29">
        <f>IFERROR(INDEX(Cost_Components!$P$2:$P$6,MATCH(E123,Cost_Components!$A$2:$A$6,0)),"")</f>
        <v>1154.0355216616899</v>
      </c>
      <c r="O123" s="23">
        <f t="shared" si="39"/>
        <v>4426293.3341672802</v>
      </c>
      <c r="P123" s="23">
        <f t="shared" si="40"/>
        <v>4407622.7764694002</v>
      </c>
      <c r="Q123" s="23">
        <f t="shared" si="41"/>
        <v>752375553.35883296</v>
      </c>
      <c r="R123" s="23">
        <f t="shared" si="42"/>
        <v>2127523540.4285953</v>
      </c>
      <c r="S123" s="23">
        <f t="shared" si="43"/>
        <v>1375147987.0697622</v>
      </c>
      <c r="T123" s="16">
        <f>IFERROR(INDEX(Cost_Components!$R$2:$R$6,MATCH(E123,Cost_Components!$A$2:$A$6,0)),"")</f>
        <v>1</v>
      </c>
      <c r="U123" s="26">
        <f>IFERROR(INDEX(Cost_Components!$Q$2:$Q$6,MATCH(E123,Cost_Components!$A$2:$A$6,0)),"")</f>
        <v>2023</v>
      </c>
      <c r="V123" s="30">
        <f>1/(1+Calculation_Assumptions!$B$5)^(B123-Calculation_Assumptions!$B$2)</f>
        <v>0.60501644584477121</v>
      </c>
      <c r="W123" s="23">
        <f t="shared" si="44"/>
        <v>455199583.23365414</v>
      </c>
      <c r="X123" s="23">
        <f t="shared" si="45"/>
        <v>1287186730.8811932</v>
      </c>
      <c r="Y123" s="23">
        <f t="shared" si="46"/>
        <v>831987147.6475389</v>
      </c>
      <c r="Z123" s="17">
        <f>IFERROR(INDEX(Cost_Components!$T$2:$T$6,MATCH(E123,Cost_Components!$A$2:$A$6,0)),"")</f>
        <v>0.41649999999999998</v>
      </c>
      <c r="AA123" s="26">
        <f>IFERROR(INDEX(Cost_Components!$U$2:$U$6,MATCH(E123,Cost_Components!$A$2:$A$6,0)),"")</f>
        <v>2025</v>
      </c>
      <c r="AB123" s="26">
        <f>IFERROR(INDEX(Cost_Components!$V$2:$V$6,MATCH(E123,Cost_Components!$A$2:$A$6,0)),"")</f>
        <v>2040</v>
      </c>
      <c r="AC123" s="26">
        <f>IFERROR(INDEX(Cost_Components!$M$2:$M$6,MATCH(E123,Cost_Components!$A$2:$A$6,0)),"")</f>
        <v>30</v>
      </c>
      <c r="AD123" s="26">
        <f>IFERROR(INDEX(Cost_Components!$N$2:$N$6,MATCH(E123,Cost_Components!$A$2:$A$6,0)),"")</f>
        <v>95</v>
      </c>
      <c r="AE123" s="16" t="str">
        <f>IFERROR(INDEX(Cost_Components!$O$2:$O$6,MATCH(E123,Cost_Components!$A$2:$A$6,0)),"")</f>
        <v>Both</v>
      </c>
      <c r="AF123" s="11">
        <v>22131466.6708364</v>
      </c>
      <c r="AG123" s="11">
        <v>22038113.882346999</v>
      </c>
      <c r="AH123" s="23">
        <f t="shared" si="47"/>
        <v>1</v>
      </c>
      <c r="AI123" s="10">
        <v>316707694.211882</v>
      </c>
      <c r="AJ123" s="29">
        <f t="shared" si="48"/>
        <v>2.3756150138098096</v>
      </c>
      <c r="AK123" s="29">
        <f t="shared" si="49"/>
        <v>6.7176250508307875</v>
      </c>
      <c r="AL123" s="29">
        <f t="shared" si="50"/>
        <v>4.3420100370209775</v>
      </c>
      <c r="AM123" s="29">
        <f t="shared" si="51"/>
        <v>2.6269874804207554</v>
      </c>
    </row>
    <row r="124" spans="1:39">
      <c r="A124" t="s">
        <v>115</v>
      </c>
      <c r="B124" s="20">
        <v>2043</v>
      </c>
      <c r="C124" t="s">
        <v>229</v>
      </c>
      <c r="D124" t="s">
        <v>233</v>
      </c>
      <c r="E124" s="22" t="s">
        <v>270</v>
      </c>
      <c r="F124" s="22" t="s">
        <v>271</v>
      </c>
      <c r="G124" s="22" t="s">
        <v>230</v>
      </c>
      <c r="H124" s="22" t="s">
        <v>237</v>
      </c>
      <c r="I124" s="22" t="s">
        <v>274</v>
      </c>
      <c r="J124" s="17">
        <f>IFERROR(INDEX(Cost_Components!$K$2:$K$6,MATCH(E124,Cost_Components!$A$2:$A$6,0)),"")</f>
        <v>0.2</v>
      </c>
      <c r="K124" s="31">
        <v>0.41649999999999998</v>
      </c>
      <c r="L124" s="17">
        <f>IFERROR(INDEX(Cost_Components!$S$2:$S$6,MATCH(E124,Cost_Components!$A$2:$A$6,0)),"")</f>
        <v>0.147914612579645</v>
      </c>
      <c r="M124" s="28">
        <f>IFERROR(INDEX(Cost_Components!$L$2:$L$6,MATCH(E124,Cost_Components!$A$2:$A$6,0)),"")</f>
        <v>1</v>
      </c>
      <c r="N124" s="29">
        <f>IFERROR(INDEX(Cost_Components!$P$2:$P$6,MATCH(E124,Cost_Components!$A$2:$A$6,0)),"")</f>
        <v>1154.0355216616899</v>
      </c>
      <c r="O124" s="23">
        <f t="shared" si="39"/>
        <v>4509566.7954005199</v>
      </c>
      <c r="P124" s="23">
        <f t="shared" si="40"/>
        <v>4488469.0430226801</v>
      </c>
      <c r="Q124" s="23">
        <f t="shared" si="41"/>
        <v>766175907.34097266</v>
      </c>
      <c r="R124" s="23">
        <f t="shared" si="42"/>
        <v>2167549412.1210814</v>
      </c>
      <c r="S124" s="23">
        <f t="shared" si="43"/>
        <v>1401373504.7801087</v>
      </c>
      <c r="T124" s="16">
        <f>IFERROR(INDEX(Cost_Components!$R$2:$R$6,MATCH(E124,Cost_Components!$A$2:$A$6,0)),"")</f>
        <v>1</v>
      </c>
      <c r="U124" s="26">
        <f>IFERROR(INDEX(Cost_Components!$Q$2:$Q$6,MATCH(E124,Cost_Components!$A$2:$A$6,0)),"")</f>
        <v>2023</v>
      </c>
      <c r="V124" s="30">
        <f>1/(1+Calculation_Assumptions!$B$5)^(B124-Calculation_Assumptions!$B$2)</f>
        <v>0.5873946076162827</v>
      </c>
      <c r="W124" s="23">
        <f t="shared" si="44"/>
        <v>450047596.4576</v>
      </c>
      <c r="X124" s="23">
        <f t="shared" si="45"/>
        <v>1273206836.4217668</v>
      </c>
      <c r="Y124" s="23">
        <f t="shared" si="46"/>
        <v>823159239.96416676</v>
      </c>
      <c r="Z124" s="17">
        <f>IFERROR(INDEX(Cost_Components!$T$2:$T$6,MATCH(E124,Cost_Components!$A$2:$A$6,0)),"")</f>
        <v>0.41649999999999998</v>
      </c>
      <c r="AA124" s="26">
        <f>IFERROR(INDEX(Cost_Components!$U$2:$U$6,MATCH(E124,Cost_Components!$A$2:$A$6,0)),"")</f>
        <v>2025</v>
      </c>
      <c r="AB124" s="26">
        <f>IFERROR(INDEX(Cost_Components!$V$2:$V$6,MATCH(E124,Cost_Components!$A$2:$A$6,0)),"")</f>
        <v>2040</v>
      </c>
      <c r="AC124" s="26">
        <f>IFERROR(INDEX(Cost_Components!$M$2:$M$6,MATCH(E124,Cost_Components!$A$2:$A$6,0)),"")</f>
        <v>30</v>
      </c>
      <c r="AD124" s="26">
        <f>IFERROR(INDEX(Cost_Components!$N$2:$N$6,MATCH(E124,Cost_Components!$A$2:$A$6,0)),"")</f>
        <v>95</v>
      </c>
      <c r="AE124" s="16" t="str">
        <f>IFERROR(INDEX(Cost_Components!$O$2:$O$6,MATCH(E124,Cost_Components!$A$2:$A$6,0)),"")</f>
        <v>Both</v>
      </c>
      <c r="AF124" s="11">
        <v>22547833.977002598</v>
      </c>
      <c r="AG124" s="11">
        <v>22442345.215113401</v>
      </c>
      <c r="AH124" s="23">
        <f t="shared" si="47"/>
        <v>1</v>
      </c>
      <c r="AI124" s="10">
        <v>317814114.06715202</v>
      </c>
      <c r="AJ124" s="29">
        <f t="shared" si="48"/>
        <v>2.4107674059405833</v>
      </c>
      <c r="AK124" s="29">
        <f t="shared" si="49"/>
        <v>6.8201798352577017</v>
      </c>
      <c r="AL124" s="29">
        <f t="shared" si="50"/>
        <v>4.4094124293171184</v>
      </c>
      <c r="AM124" s="29">
        <f t="shared" si="51"/>
        <v>2.5900650837370889</v>
      </c>
    </row>
    <row r="125" spans="1:39">
      <c r="A125" t="s">
        <v>115</v>
      </c>
      <c r="B125" s="20">
        <v>2044</v>
      </c>
      <c r="C125" t="s">
        <v>229</v>
      </c>
      <c r="D125" t="s">
        <v>233</v>
      </c>
      <c r="E125" s="22" t="s">
        <v>270</v>
      </c>
      <c r="F125" s="22" t="s">
        <v>271</v>
      </c>
      <c r="G125" s="22" t="s">
        <v>230</v>
      </c>
      <c r="H125" s="22" t="s">
        <v>237</v>
      </c>
      <c r="I125" s="22" t="s">
        <v>274</v>
      </c>
      <c r="J125" s="17">
        <f>IFERROR(INDEX(Cost_Components!$K$2:$K$6,MATCH(E125,Cost_Components!$A$2:$A$6,0)),"")</f>
        <v>0.2</v>
      </c>
      <c r="K125" s="31">
        <v>0.41649999999999998</v>
      </c>
      <c r="L125" s="17">
        <f>IFERROR(INDEX(Cost_Components!$S$2:$S$6,MATCH(E125,Cost_Components!$A$2:$A$6,0)),"")</f>
        <v>0.147914612579645</v>
      </c>
      <c r="M125" s="28">
        <f>IFERROR(INDEX(Cost_Components!$L$2:$L$6,MATCH(E125,Cost_Components!$A$2:$A$6,0)),"")</f>
        <v>1</v>
      </c>
      <c r="N125" s="29">
        <f>IFERROR(INDEX(Cost_Components!$P$2:$P$6,MATCH(E125,Cost_Components!$A$2:$A$6,0)),"")</f>
        <v>1154.0355216616899</v>
      </c>
      <c r="O125" s="23">
        <f t="shared" si="39"/>
        <v>4591250.3501088601</v>
      </c>
      <c r="P125" s="23">
        <f t="shared" si="40"/>
        <v>4567747.03775666</v>
      </c>
      <c r="Q125" s="23">
        <f t="shared" si="41"/>
        <v>779708559.33551002</v>
      </c>
      <c r="R125" s="23">
        <f t="shared" si="42"/>
        <v>2206811086.0292282</v>
      </c>
      <c r="S125" s="23">
        <f t="shared" si="43"/>
        <v>1427102526.6937182</v>
      </c>
      <c r="T125" s="16">
        <f>IFERROR(INDEX(Cost_Components!$R$2:$R$6,MATCH(E125,Cost_Components!$A$2:$A$6,0)),"")</f>
        <v>1</v>
      </c>
      <c r="U125" s="26">
        <f>IFERROR(INDEX(Cost_Components!$Q$2:$Q$6,MATCH(E125,Cost_Components!$A$2:$A$6,0)),"")</f>
        <v>2023</v>
      </c>
      <c r="V125" s="30">
        <f>1/(1+Calculation_Assumptions!$B$5)^(B125-Calculation_Assumptions!$B$2)</f>
        <v>0.57028602681192497</v>
      </c>
      <c r="W125" s="23">
        <f t="shared" si="44"/>
        <v>444656896.37469804</v>
      </c>
      <c r="X125" s="23">
        <f t="shared" si="45"/>
        <v>1258513526.1761177</v>
      </c>
      <c r="Y125" s="23">
        <f t="shared" si="46"/>
        <v>813856629.80141962</v>
      </c>
      <c r="Z125" s="17">
        <f>IFERROR(INDEX(Cost_Components!$T$2:$T$6,MATCH(E125,Cost_Components!$A$2:$A$6,0)),"")</f>
        <v>0.41649999999999998</v>
      </c>
      <c r="AA125" s="26">
        <f>IFERROR(INDEX(Cost_Components!$U$2:$U$6,MATCH(E125,Cost_Components!$A$2:$A$6,0)),"")</f>
        <v>2025</v>
      </c>
      <c r="AB125" s="26">
        <f>IFERROR(INDEX(Cost_Components!$V$2:$V$6,MATCH(E125,Cost_Components!$A$2:$A$6,0)),"")</f>
        <v>2040</v>
      </c>
      <c r="AC125" s="26">
        <f>IFERROR(INDEX(Cost_Components!$M$2:$M$6,MATCH(E125,Cost_Components!$A$2:$A$6,0)),"")</f>
        <v>30</v>
      </c>
      <c r="AD125" s="26">
        <f>IFERROR(INDEX(Cost_Components!$N$2:$N$6,MATCH(E125,Cost_Components!$A$2:$A$6,0)),"")</f>
        <v>95</v>
      </c>
      <c r="AE125" s="16" t="str">
        <f>IFERROR(INDEX(Cost_Components!$O$2:$O$6,MATCH(E125,Cost_Components!$A$2:$A$6,0)),"")</f>
        <v>Both</v>
      </c>
      <c r="AF125" s="11">
        <v>22956251.750544298</v>
      </c>
      <c r="AG125" s="11">
        <v>22838735.188783299</v>
      </c>
      <c r="AH125" s="23">
        <f t="shared" si="47"/>
        <v>1</v>
      </c>
      <c r="AI125" s="10">
        <v>318840890.73215598</v>
      </c>
      <c r="AJ125" s="29">
        <f t="shared" si="48"/>
        <v>2.4454471869811343</v>
      </c>
      <c r="AK125" s="29">
        <f t="shared" si="49"/>
        <v>6.92135529091553</v>
      </c>
      <c r="AL125" s="29">
        <f t="shared" si="50"/>
        <v>4.4759081039343958</v>
      </c>
      <c r="AM125" s="29">
        <f t="shared" si="51"/>
        <v>2.5525478489680431</v>
      </c>
    </row>
    <row r="126" spans="1:39">
      <c r="A126" t="s">
        <v>115</v>
      </c>
      <c r="B126" s="20">
        <v>2045</v>
      </c>
      <c r="C126" t="s">
        <v>229</v>
      </c>
      <c r="D126" t="s">
        <v>233</v>
      </c>
      <c r="E126" s="22" t="s">
        <v>270</v>
      </c>
      <c r="F126" s="22" t="s">
        <v>271</v>
      </c>
      <c r="G126" s="22" t="s">
        <v>230</v>
      </c>
      <c r="H126" s="22" t="s">
        <v>237</v>
      </c>
      <c r="I126" s="22" t="s">
        <v>274</v>
      </c>
      <c r="J126" s="17">
        <f>IFERROR(INDEX(Cost_Components!$K$2:$K$6,MATCH(E126,Cost_Components!$A$2:$A$6,0)),"")</f>
        <v>0.2</v>
      </c>
      <c r="K126" s="31">
        <v>0.41649999999999998</v>
      </c>
      <c r="L126" s="17">
        <f>IFERROR(INDEX(Cost_Components!$S$2:$S$6,MATCH(E126,Cost_Components!$A$2:$A$6,0)),"")</f>
        <v>0.147914612579645</v>
      </c>
      <c r="M126" s="28">
        <f>IFERROR(INDEX(Cost_Components!$L$2:$L$6,MATCH(E126,Cost_Components!$A$2:$A$6,0)),"")</f>
        <v>1</v>
      </c>
      <c r="N126" s="29">
        <f>IFERROR(INDEX(Cost_Components!$P$2:$P$6,MATCH(E126,Cost_Components!$A$2:$A$6,0)),"")</f>
        <v>1154.0355216616899</v>
      </c>
      <c r="O126" s="23">
        <f t="shared" si="39"/>
        <v>4671182.8968002601</v>
      </c>
      <c r="P126" s="23">
        <f t="shared" si="40"/>
        <v>4645294.0685360199</v>
      </c>
      <c r="Q126" s="23">
        <f t="shared" si="41"/>
        <v>792945738.00366521</v>
      </c>
      <c r="R126" s="23">
        <f t="shared" si="42"/>
        <v>2245231127.7873406</v>
      </c>
      <c r="S126" s="23">
        <f t="shared" si="43"/>
        <v>1452285389.7836754</v>
      </c>
      <c r="T126" s="16">
        <f>IFERROR(INDEX(Cost_Components!$R$2:$R$6,MATCH(E126,Cost_Components!$A$2:$A$6,0)),"")</f>
        <v>1</v>
      </c>
      <c r="U126" s="26">
        <f>IFERROR(INDEX(Cost_Components!$Q$2:$Q$6,MATCH(E126,Cost_Components!$A$2:$A$6,0)),"")</f>
        <v>2023</v>
      </c>
      <c r="V126" s="30">
        <f>1/(1+Calculation_Assumptions!$B$5)^(B126-Calculation_Assumptions!$B$2)</f>
        <v>0.55367575418633497</v>
      </c>
      <c r="W126" s="23">
        <f t="shared" si="44"/>
        <v>439034829.51801932</v>
      </c>
      <c r="X126" s="23">
        <f t="shared" si="45"/>
        <v>1243130038.0002913</v>
      </c>
      <c r="Y126" s="23">
        <f t="shared" si="46"/>
        <v>804095208.48227191</v>
      </c>
      <c r="Z126" s="17">
        <f>IFERROR(INDEX(Cost_Components!$T$2:$T$6,MATCH(E126,Cost_Components!$A$2:$A$6,0)),"")</f>
        <v>0.41649999999999998</v>
      </c>
      <c r="AA126" s="26">
        <f>IFERROR(INDEX(Cost_Components!$U$2:$U$6,MATCH(E126,Cost_Components!$A$2:$A$6,0)),"")</f>
        <v>2025</v>
      </c>
      <c r="AB126" s="26">
        <f>IFERROR(INDEX(Cost_Components!$V$2:$V$6,MATCH(E126,Cost_Components!$A$2:$A$6,0)),"")</f>
        <v>2040</v>
      </c>
      <c r="AC126" s="26">
        <f>IFERROR(INDEX(Cost_Components!$M$2:$M$6,MATCH(E126,Cost_Components!$A$2:$A$6,0)),"")</f>
        <v>30</v>
      </c>
      <c r="AD126" s="26">
        <f>IFERROR(INDEX(Cost_Components!$N$2:$N$6,MATCH(E126,Cost_Components!$A$2:$A$6,0)),"")</f>
        <v>95</v>
      </c>
      <c r="AE126" s="16" t="str">
        <f>IFERROR(INDEX(Cost_Components!$O$2:$O$6,MATCH(E126,Cost_Components!$A$2:$A$6,0)),"")</f>
        <v>Both</v>
      </c>
      <c r="AF126" s="11">
        <v>23355914.484001301</v>
      </c>
      <c r="AG126" s="11">
        <v>23226470.3426801</v>
      </c>
      <c r="AH126" s="23">
        <f t="shared" si="47"/>
        <v>1</v>
      </c>
      <c r="AI126" s="10">
        <v>319784682.33108002</v>
      </c>
      <c r="AJ126" s="29">
        <f t="shared" si="48"/>
        <v>2.4796238901233902</v>
      </c>
      <c r="AK126" s="29">
        <f t="shared" si="49"/>
        <v>7.0210715266930892</v>
      </c>
      <c r="AL126" s="29">
        <f t="shared" si="50"/>
        <v>4.541447636569699</v>
      </c>
      <c r="AM126" s="29">
        <f t="shared" si="51"/>
        <v>2.5144894452754767</v>
      </c>
    </row>
    <row r="127" spans="1:39">
      <c r="A127" t="s">
        <v>115</v>
      </c>
      <c r="B127" s="20">
        <v>2046</v>
      </c>
      <c r="C127" t="s">
        <v>229</v>
      </c>
      <c r="D127" t="s">
        <v>233</v>
      </c>
      <c r="E127" s="22" t="s">
        <v>270</v>
      </c>
      <c r="F127" s="22" t="s">
        <v>271</v>
      </c>
      <c r="G127" s="22" t="s">
        <v>230</v>
      </c>
      <c r="H127" s="22" t="s">
        <v>237</v>
      </c>
      <c r="I127" s="22" t="s">
        <v>274</v>
      </c>
      <c r="J127" s="17">
        <f>IFERROR(INDEX(Cost_Components!$K$2:$K$6,MATCH(E127,Cost_Components!$A$2:$A$6,0)),"")</f>
        <v>0.2</v>
      </c>
      <c r="K127" s="31">
        <v>0.41649999999999998</v>
      </c>
      <c r="L127" s="17">
        <f>IFERROR(INDEX(Cost_Components!$S$2:$S$6,MATCH(E127,Cost_Components!$A$2:$A$6,0)),"")</f>
        <v>0.147914612579645</v>
      </c>
      <c r="M127" s="28">
        <f>IFERROR(INDEX(Cost_Components!$L$2:$L$6,MATCH(E127,Cost_Components!$A$2:$A$6,0)),"")</f>
        <v>1</v>
      </c>
      <c r="N127" s="29">
        <f>IFERROR(INDEX(Cost_Components!$P$2:$P$6,MATCH(E127,Cost_Components!$A$2:$A$6,0)),"")</f>
        <v>1154.0355216616899</v>
      </c>
      <c r="O127" s="23">
        <f t="shared" si="39"/>
        <v>4750132.7476297198</v>
      </c>
      <c r="P127" s="23">
        <f t="shared" si="40"/>
        <v>4721877.1073264806</v>
      </c>
      <c r="Q127" s="23">
        <f t="shared" si="41"/>
        <v>806018364.47603035</v>
      </c>
      <c r="R127" s="23">
        <f t="shared" si="42"/>
        <v>2283178831.0849128</v>
      </c>
      <c r="S127" s="23">
        <f t="shared" si="43"/>
        <v>1477160466.6088824</v>
      </c>
      <c r="T127" s="16">
        <f>IFERROR(INDEX(Cost_Components!$R$2:$R$6,MATCH(E127,Cost_Components!$A$2:$A$6,0)),"")</f>
        <v>1</v>
      </c>
      <c r="U127" s="26">
        <f>IFERROR(INDEX(Cost_Components!$Q$2:$Q$6,MATCH(E127,Cost_Components!$A$2:$A$6,0)),"")</f>
        <v>2023</v>
      </c>
      <c r="V127" s="30">
        <f>1/(1+Calculation_Assumptions!$B$5)^(B127-Calculation_Assumptions!$B$2)</f>
        <v>0.5375492759090631</v>
      </c>
      <c r="W127" s="23">
        <f t="shared" si="44"/>
        <v>433274588.19349742</v>
      </c>
      <c r="X127" s="23">
        <f t="shared" si="45"/>
        <v>1227321127.4205959</v>
      </c>
      <c r="Y127" s="23">
        <f t="shared" si="46"/>
        <v>794046539.22709846</v>
      </c>
      <c r="Z127" s="17">
        <f>IFERROR(INDEX(Cost_Components!$T$2:$T$6,MATCH(E127,Cost_Components!$A$2:$A$6,0)),"")</f>
        <v>0.41649999999999998</v>
      </c>
      <c r="AA127" s="26">
        <f>IFERROR(INDEX(Cost_Components!$U$2:$U$6,MATCH(E127,Cost_Components!$A$2:$A$6,0)),"")</f>
        <v>2025</v>
      </c>
      <c r="AB127" s="26">
        <f>IFERROR(INDEX(Cost_Components!$V$2:$V$6,MATCH(E127,Cost_Components!$A$2:$A$6,0)),"")</f>
        <v>2040</v>
      </c>
      <c r="AC127" s="26">
        <f>IFERROR(INDEX(Cost_Components!$M$2:$M$6,MATCH(E127,Cost_Components!$A$2:$A$6,0)),"")</f>
        <v>30</v>
      </c>
      <c r="AD127" s="26">
        <f>IFERROR(INDEX(Cost_Components!$N$2:$N$6,MATCH(E127,Cost_Components!$A$2:$A$6,0)),"")</f>
        <v>95</v>
      </c>
      <c r="AE127" s="16" t="str">
        <f>IFERROR(INDEX(Cost_Components!$O$2:$O$6,MATCH(E127,Cost_Components!$A$2:$A$6,0)),"")</f>
        <v>Both</v>
      </c>
      <c r="AF127" s="11">
        <v>23750663.7381486</v>
      </c>
      <c r="AG127" s="11">
        <v>23609385.5366324</v>
      </c>
      <c r="AH127" s="23">
        <f t="shared" si="47"/>
        <v>1</v>
      </c>
      <c r="AI127" s="10">
        <v>320645615.981408</v>
      </c>
      <c r="AJ127" s="29">
        <f t="shared" si="48"/>
        <v>2.5137358014673925</v>
      </c>
      <c r="AK127" s="29">
        <f t="shared" si="49"/>
        <v>7.120567746097918</v>
      </c>
      <c r="AL127" s="29">
        <f t="shared" si="50"/>
        <v>4.6068319446305255</v>
      </c>
      <c r="AM127" s="29">
        <f t="shared" si="51"/>
        <v>2.4763991760708799</v>
      </c>
    </row>
    <row r="128" spans="1:39">
      <c r="A128" t="s">
        <v>115</v>
      </c>
      <c r="B128" s="20">
        <v>2047</v>
      </c>
      <c r="C128" t="s">
        <v>229</v>
      </c>
      <c r="D128" t="s">
        <v>233</v>
      </c>
      <c r="E128" s="22" t="s">
        <v>270</v>
      </c>
      <c r="F128" s="22" t="s">
        <v>271</v>
      </c>
      <c r="G128" s="22" t="s">
        <v>230</v>
      </c>
      <c r="H128" s="22" t="s">
        <v>237</v>
      </c>
      <c r="I128" s="22" t="s">
        <v>274</v>
      </c>
      <c r="J128" s="17">
        <f>IFERROR(INDEX(Cost_Components!$K$2:$K$6,MATCH(E128,Cost_Components!$A$2:$A$6,0)),"")</f>
        <v>0.2</v>
      </c>
      <c r="K128" s="31">
        <v>0.41649999999999998</v>
      </c>
      <c r="L128" s="17">
        <f>IFERROR(INDEX(Cost_Components!$S$2:$S$6,MATCH(E128,Cost_Components!$A$2:$A$6,0)),"")</f>
        <v>0.147914612579645</v>
      </c>
      <c r="M128" s="28">
        <f>IFERROR(INDEX(Cost_Components!$L$2:$L$6,MATCH(E128,Cost_Components!$A$2:$A$6,0)),"")</f>
        <v>1</v>
      </c>
      <c r="N128" s="29">
        <f>IFERROR(INDEX(Cost_Components!$P$2:$P$6,MATCH(E128,Cost_Components!$A$2:$A$6,0)),"")</f>
        <v>1154.0355216616899</v>
      </c>
      <c r="O128" s="23">
        <f t="shared" si="39"/>
        <v>4826568.1620048201</v>
      </c>
      <c r="P128" s="23">
        <f t="shared" si="40"/>
        <v>4795966.6927704606</v>
      </c>
      <c r="Q128" s="23">
        <f t="shared" si="41"/>
        <v>818665361.66102839</v>
      </c>
      <c r="R128" s="23">
        <f t="shared" si="42"/>
        <v>2319917955.9301109</v>
      </c>
      <c r="S128" s="23">
        <f t="shared" si="43"/>
        <v>1501252594.2690825</v>
      </c>
      <c r="T128" s="16">
        <f>IFERROR(INDEX(Cost_Components!$R$2:$R$6,MATCH(E128,Cost_Components!$A$2:$A$6,0)),"")</f>
        <v>1</v>
      </c>
      <c r="U128" s="26">
        <f>IFERROR(INDEX(Cost_Components!$Q$2:$Q$6,MATCH(E128,Cost_Components!$A$2:$A$6,0)),"")</f>
        <v>2023</v>
      </c>
      <c r="V128" s="30">
        <f>1/(1+Calculation_Assumptions!$B$5)^(B128-Calculation_Assumptions!$B$2)</f>
        <v>0.52189250088258554</v>
      </c>
      <c r="W128" s="23">
        <f t="shared" si="44"/>
        <v>427255312.98322046</v>
      </c>
      <c r="X128" s="23">
        <f t="shared" si="45"/>
        <v>1210747783.8627815</v>
      </c>
      <c r="Y128" s="23">
        <f t="shared" si="46"/>
        <v>783492470.87956095</v>
      </c>
      <c r="Z128" s="17">
        <f>IFERROR(INDEX(Cost_Components!$T$2:$T$6,MATCH(E128,Cost_Components!$A$2:$A$6,0)),"")</f>
        <v>0.41649999999999998</v>
      </c>
      <c r="AA128" s="26">
        <f>IFERROR(INDEX(Cost_Components!$U$2:$U$6,MATCH(E128,Cost_Components!$A$2:$A$6,0)),"")</f>
        <v>2025</v>
      </c>
      <c r="AB128" s="26">
        <f>IFERROR(INDEX(Cost_Components!$V$2:$V$6,MATCH(E128,Cost_Components!$A$2:$A$6,0)),"")</f>
        <v>2040</v>
      </c>
      <c r="AC128" s="26">
        <f>IFERROR(INDEX(Cost_Components!$M$2:$M$6,MATCH(E128,Cost_Components!$A$2:$A$6,0)),"")</f>
        <v>30</v>
      </c>
      <c r="AD128" s="26">
        <f>IFERROR(INDEX(Cost_Components!$N$2:$N$6,MATCH(E128,Cost_Components!$A$2:$A$6,0)),"")</f>
        <v>95</v>
      </c>
      <c r="AE128" s="16" t="str">
        <f>IFERROR(INDEX(Cost_Components!$O$2:$O$6,MATCH(E128,Cost_Components!$A$2:$A$6,0)),"")</f>
        <v>Both</v>
      </c>
      <c r="AF128" s="11">
        <v>24132840.810024101</v>
      </c>
      <c r="AG128" s="11">
        <v>23979833.463852301</v>
      </c>
      <c r="AH128" s="23">
        <f t="shared" si="47"/>
        <v>1</v>
      </c>
      <c r="AI128" s="10">
        <v>321429520.52287501</v>
      </c>
      <c r="AJ128" s="29">
        <f t="shared" si="48"/>
        <v>2.5469513824657151</v>
      </c>
      <c r="AK128" s="29">
        <f t="shared" si="49"/>
        <v>7.217501218171436</v>
      </c>
      <c r="AL128" s="29">
        <f t="shared" si="50"/>
        <v>4.6705498357057209</v>
      </c>
      <c r="AM128" s="29">
        <f t="shared" si="51"/>
        <v>2.4375249342532075</v>
      </c>
    </row>
    <row r="129" spans="1:39">
      <c r="A129" t="s">
        <v>115</v>
      </c>
      <c r="B129" s="20">
        <v>2048</v>
      </c>
      <c r="C129" t="s">
        <v>229</v>
      </c>
      <c r="D129" t="s">
        <v>233</v>
      </c>
      <c r="E129" s="22" t="s">
        <v>270</v>
      </c>
      <c r="F129" s="22" t="s">
        <v>271</v>
      </c>
      <c r="G129" s="22" t="s">
        <v>230</v>
      </c>
      <c r="H129" s="22" t="s">
        <v>237</v>
      </c>
      <c r="I129" s="22" t="s">
        <v>274</v>
      </c>
      <c r="J129" s="17">
        <f>IFERROR(INDEX(Cost_Components!$K$2:$K$6,MATCH(E129,Cost_Components!$A$2:$A$6,0)),"")</f>
        <v>0.2</v>
      </c>
      <c r="K129" s="31">
        <v>0.41649999999999998</v>
      </c>
      <c r="L129" s="17">
        <f>IFERROR(INDEX(Cost_Components!$S$2:$S$6,MATCH(E129,Cost_Components!$A$2:$A$6,0)),"")</f>
        <v>0.147914612579645</v>
      </c>
      <c r="M129" s="28">
        <f>IFERROR(INDEX(Cost_Components!$L$2:$L$6,MATCH(E129,Cost_Components!$A$2:$A$6,0)),"")</f>
        <v>1</v>
      </c>
      <c r="N129" s="29">
        <f>IFERROR(INDEX(Cost_Components!$P$2:$P$6,MATCH(E129,Cost_Components!$A$2:$A$6,0)),"")</f>
        <v>1154.0355216616899</v>
      </c>
      <c r="O129" s="23">
        <f t="shared" si="39"/>
        <v>4900657.0747262603</v>
      </c>
      <c r="P129" s="23">
        <f t="shared" si="40"/>
        <v>4867735.3012641808</v>
      </c>
      <c r="Q129" s="23">
        <f t="shared" si="41"/>
        <v>830916171.05822194</v>
      </c>
      <c r="R129" s="23">
        <f t="shared" si="42"/>
        <v>2355529221.1580348</v>
      </c>
      <c r="S129" s="23">
        <f t="shared" si="43"/>
        <v>1524613050.099813</v>
      </c>
      <c r="T129" s="16">
        <f>IFERROR(INDEX(Cost_Components!$R$2:$R$6,MATCH(E129,Cost_Components!$A$2:$A$6,0)),"")</f>
        <v>1</v>
      </c>
      <c r="U129" s="26">
        <f>IFERROR(INDEX(Cost_Components!$Q$2:$Q$6,MATCH(E129,Cost_Components!$A$2:$A$6,0)),"")</f>
        <v>2023</v>
      </c>
      <c r="V129" s="30">
        <f>1/(1+Calculation_Assumptions!$B$5)^(B129-Calculation_Assumptions!$B$2)</f>
        <v>0.50669174842969467</v>
      </c>
      <c r="W129" s="23">
        <f t="shared" si="44"/>
        <v>421018367.5119977</v>
      </c>
      <c r="X129" s="23">
        <f t="shared" si="45"/>
        <v>1193527219.5458016</v>
      </c>
      <c r="Y129" s="23">
        <f t="shared" si="46"/>
        <v>772508852.03380394</v>
      </c>
      <c r="Z129" s="17">
        <f>IFERROR(INDEX(Cost_Components!$T$2:$T$6,MATCH(E129,Cost_Components!$A$2:$A$6,0)),"")</f>
        <v>0.41649999999999998</v>
      </c>
      <c r="AA129" s="26">
        <f>IFERROR(INDEX(Cost_Components!$U$2:$U$6,MATCH(E129,Cost_Components!$A$2:$A$6,0)),"")</f>
        <v>2025</v>
      </c>
      <c r="AB129" s="26">
        <f>IFERROR(INDEX(Cost_Components!$V$2:$V$6,MATCH(E129,Cost_Components!$A$2:$A$6,0)),"")</f>
        <v>2040</v>
      </c>
      <c r="AC129" s="26">
        <f>IFERROR(INDEX(Cost_Components!$M$2:$M$6,MATCH(E129,Cost_Components!$A$2:$A$6,0)),"")</f>
        <v>30</v>
      </c>
      <c r="AD129" s="26">
        <f>IFERROR(INDEX(Cost_Components!$N$2:$N$6,MATCH(E129,Cost_Components!$A$2:$A$6,0)),"")</f>
        <v>95</v>
      </c>
      <c r="AE129" s="16" t="str">
        <f>IFERROR(INDEX(Cost_Components!$O$2:$O$6,MATCH(E129,Cost_Components!$A$2:$A$6,0)),"")</f>
        <v>Both</v>
      </c>
      <c r="AF129" s="11">
        <v>24503285.373631299</v>
      </c>
      <c r="AG129" s="11">
        <v>24338676.506320901</v>
      </c>
      <c r="AH129" s="23">
        <f t="shared" si="47"/>
        <v>1</v>
      </c>
      <c r="AI129" s="10">
        <v>322136832.26016098</v>
      </c>
      <c r="AJ129" s="29">
        <f t="shared" si="48"/>
        <v>2.579388905107149</v>
      </c>
      <c r="AK129" s="29">
        <f t="shared" si="49"/>
        <v>7.312200857726463</v>
      </c>
      <c r="AL129" s="29">
        <f t="shared" si="50"/>
        <v>4.732811952619314</v>
      </c>
      <c r="AM129" s="29">
        <f t="shared" si="51"/>
        <v>2.3980767632616375</v>
      </c>
    </row>
    <row r="130" spans="1:39">
      <c r="A130" t="s">
        <v>115</v>
      </c>
      <c r="B130" s="20">
        <v>2049</v>
      </c>
      <c r="C130" t="s">
        <v>229</v>
      </c>
      <c r="D130" t="s">
        <v>233</v>
      </c>
      <c r="E130" s="22" t="s">
        <v>270</v>
      </c>
      <c r="F130" s="22" t="s">
        <v>271</v>
      </c>
      <c r="G130" s="22" t="s">
        <v>230</v>
      </c>
      <c r="H130" s="22" t="s">
        <v>237</v>
      </c>
      <c r="I130" s="22" t="s">
        <v>274</v>
      </c>
      <c r="J130" s="17">
        <f>IFERROR(INDEX(Cost_Components!$K$2:$K$6,MATCH(E130,Cost_Components!$A$2:$A$6,0)),"")</f>
        <v>0.2</v>
      </c>
      <c r="K130" s="31">
        <v>0.41649999999999998</v>
      </c>
      <c r="L130" s="17">
        <f>IFERROR(INDEX(Cost_Components!$S$2:$S$6,MATCH(E130,Cost_Components!$A$2:$A$6,0)),"")</f>
        <v>0.147914612579645</v>
      </c>
      <c r="M130" s="28">
        <f>IFERROR(INDEX(Cost_Components!$L$2:$L$6,MATCH(E130,Cost_Components!$A$2:$A$6,0)),"")</f>
        <v>1</v>
      </c>
      <c r="N130" s="29">
        <f>IFERROR(INDEX(Cost_Components!$P$2:$P$6,MATCH(E130,Cost_Components!$A$2:$A$6,0)),"")</f>
        <v>1154.0355216616899</v>
      </c>
      <c r="O130" s="23">
        <f t="shared" si="39"/>
        <v>4972995.7138399808</v>
      </c>
      <c r="P130" s="23">
        <f t="shared" si="40"/>
        <v>4937781.7477674996</v>
      </c>
      <c r="Q130" s="23">
        <f t="shared" ref="Q130:Q161" si="52">P130*L130*M130*N130</f>
        <v>842873009.61303341</v>
      </c>
      <c r="R130" s="23">
        <f t="shared" si="42"/>
        <v>2390299207.2339721</v>
      </c>
      <c r="S130" s="23">
        <f t="shared" ref="S130:S161" si="53">R130-Q130</f>
        <v>1547426197.6209388</v>
      </c>
      <c r="T130" s="16">
        <f>IFERROR(INDEX(Cost_Components!$R$2:$R$6,MATCH(E130,Cost_Components!$A$2:$A$6,0)),"")</f>
        <v>1</v>
      </c>
      <c r="U130" s="26">
        <f>IFERROR(INDEX(Cost_Components!$Q$2:$Q$6,MATCH(E130,Cost_Components!$A$2:$A$6,0)),"")</f>
        <v>2023</v>
      </c>
      <c r="V130" s="30">
        <f>1/(1+Calculation_Assumptions!$B$5)^(B130-Calculation_Assumptions!$B$2)</f>
        <v>0.49193373633950943</v>
      </c>
      <c r="W130" s="23">
        <f t="shared" ref="W130:W161" si="54">Q130*V130</f>
        <v>414637668.87866676</v>
      </c>
      <c r="X130" s="23">
        <f t="shared" si="45"/>
        <v>1175868819.9839752</v>
      </c>
      <c r="Y130" s="23">
        <f t="shared" si="46"/>
        <v>761231151.10530853</v>
      </c>
      <c r="Z130" s="17">
        <f>IFERROR(INDEX(Cost_Components!$T$2:$T$6,MATCH(E130,Cost_Components!$A$2:$A$6,0)),"")</f>
        <v>0.41649999999999998</v>
      </c>
      <c r="AA130" s="26">
        <f>IFERROR(INDEX(Cost_Components!$U$2:$U$6,MATCH(E130,Cost_Components!$A$2:$A$6,0)),"")</f>
        <v>2025</v>
      </c>
      <c r="AB130" s="26">
        <f>IFERROR(INDEX(Cost_Components!$V$2:$V$6,MATCH(E130,Cost_Components!$A$2:$A$6,0)),"")</f>
        <v>2040</v>
      </c>
      <c r="AC130" s="26">
        <f>IFERROR(INDEX(Cost_Components!$M$2:$M$6,MATCH(E130,Cost_Components!$A$2:$A$6,0)),"")</f>
        <v>30</v>
      </c>
      <c r="AD130" s="26">
        <f>IFERROR(INDEX(Cost_Components!$N$2:$N$6,MATCH(E130,Cost_Components!$A$2:$A$6,0)),"")</f>
        <v>95</v>
      </c>
      <c r="AE130" s="16" t="str">
        <f>IFERROR(INDEX(Cost_Components!$O$2:$O$6,MATCH(E130,Cost_Components!$A$2:$A$6,0)),"")</f>
        <v>Both</v>
      </c>
      <c r="AF130" s="11">
        <v>24864978.569199901</v>
      </c>
      <c r="AG130" s="11">
        <v>24688908.738837499</v>
      </c>
      <c r="AH130" s="23">
        <f t="shared" si="47"/>
        <v>1</v>
      </c>
      <c r="AI130" s="10">
        <v>322765819.75268102</v>
      </c>
      <c r="AJ130" s="29">
        <f t="shared" ref="AJ130:AJ161" si="55">IF(AI130=0,"",Q130/AI130)</f>
        <v>2.6114072743479593</v>
      </c>
      <c r="AK130" s="29">
        <f t="shared" si="49"/>
        <v>7.4056763788233102</v>
      </c>
      <c r="AL130" s="29">
        <f t="shared" si="50"/>
        <v>4.7942691044753518</v>
      </c>
      <c r="AM130" s="29">
        <f t="shared" si="51"/>
        <v>2.3584627135816336</v>
      </c>
    </row>
    <row r="131" spans="1:39">
      <c r="A131" t="s">
        <v>115</v>
      </c>
      <c r="B131" s="20">
        <v>2050</v>
      </c>
      <c r="C131" t="s">
        <v>229</v>
      </c>
      <c r="D131" t="s">
        <v>233</v>
      </c>
      <c r="E131" s="22" t="s">
        <v>270</v>
      </c>
      <c r="F131" s="22" t="s">
        <v>271</v>
      </c>
      <c r="G131" s="22" t="s">
        <v>230</v>
      </c>
      <c r="H131" s="22" t="s">
        <v>237</v>
      </c>
      <c r="I131" s="22" t="s">
        <v>274</v>
      </c>
      <c r="J131" s="17">
        <f>IFERROR(INDEX(Cost_Components!$K$2:$K$6,MATCH(E131,Cost_Components!$A$2:$A$6,0)),"")</f>
        <v>0.2</v>
      </c>
      <c r="K131" s="31">
        <v>0.41649999999999998</v>
      </c>
      <c r="L131" s="17">
        <f>IFERROR(INDEX(Cost_Components!$S$2:$S$6,MATCH(E131,Cost_Components!$A$2:$A$6,0)),"")</f>
        <v>0.147914612579645</v>
      </c>
      <c r="M131" s="28">
        <f>IFERROR(INDEX(Cost_Components!$L$2:$L$6,MATCH(E131,Cost_Components!$A$2:$A$6,0)),"")</f>
        <v>1</v>
      </c>
      <c r="N131" s="29">
        <f>IFERROR(INDEX(Cost_Components!$P$2:$P$6,MATCH(E131,Cost_Components!$A$2:$A$6,0)),"")</f>
        <v>1154.0355216616899</v>
      </c>
      <c r="O131" s="23">
        <f t="shared" si="39"/>
        <v>5043553.3623338602</v>
      </c>
      <c r="P131" s="23">
        <f t="shared" si="40"/>
        <v>5006084.1142813405</v>
      </c>
      <c r="Q131" s="23">
        <f t="shared" si="52"/>
        <v>854532135.95113909</v>
      </c>
      <c r="R131" s="23">
        <f t="shared" si="42"/>
        <v>2424213149.8480477</v>
      </c>
      <c r="S131" s="23">
        <f t="shared" si="53"/>
        <v>1569681013.8969088</v>
      </c>
      <c r="T131" s="16">
        <f>IFERROR(INDEX(Cost_Components!$R$2:$R$6,MATCH(E131,Cost_Components!$A$2:$A$6,0)),"")</f>
        <v>1</v>
      </c>
      <c r="U131" s="26">
        <f>IFERROR(INDEX(Cost_Components!$Q$2:$Q$6,MATCH(E131,Cost_Components!$A$2:$A$6,0)),"")</f>
        <v>2023</v>
      </c>
      <c r="V131" s="30">
        <f>1/(1+Calculation_Assumptions!$B$5)^(B131-Calculation_Assumptions!$B$2)</f>
        <v>0.47760556926165965</v>
      </c>
      <c r="W131" s="23">
        <f t="shared" si="54"/>
        <v>408129307.24332571</v>
      </c>
      <c r="X131" s="23">
        <f t="shared" si="45"/>
        <v>1157817701.444778</v>
      </c>
      <c r="Y131" s="23">
        <f t="shared" si="46"/>
        <v>749688394.20145214</v>
      </c>
      <c r="Z131" s="17">
        <f>IFERROR(INDEX(Cost_Components!$T$2:$T$6,MATCH(E131,Cost_Components!$A$2:$A$6,0)),"")</f>
        <v>0.41649999999999998</v>
      </c>
      <c r="AA131" s="26">
        <f>IFERROR(INDEX(Cost_Components!$U$2:$U$6,MATCH(E131,Cost_Components!$A$2:$A$6,0)),"")</f>
        <v>2025</v>
      </c>
      <c r="AB131" s="26">
        <f>IFERROR(INDEX(Cost_Components!$V$2:$V$6,MATCH(E131,Cost_Components!$A$2:$A$6,0)),"")</f>
        <v>2040</v>
      </c>
      <c r="AC131" s="26">
        <f>IFERROR(INDEX(Cost_Components!$M$2:$M$6,MATCH(E131,Cost_Components!$A$2:$A$6,0)),"")</f>
        <v>30</v>
      </c>
      <c r="AD131" s="26">
        <f>IFERROR(INDEX(Cost_Components!$N$2:$N$6,MATCH(E131,Cost_Components!$A$2:$A$6,0)),"")</f>
        <v>95</v>
      </c>
      <c r="AE131" s="16" t="str">
        <f>IFERROR(INDEX(Cost_Components!$O$2:$O$6,MATCH(E131,Cost_Components!$A$2:$A$6,0)),"")</f>
        <v>Both</v>
      </c>
      <c r="AF131" s="11">
        <v>25217766.811669301</v>
      </c>
      <c r="AG131" s="11">
        <v>25030420.5714067</v>
      </c>
      <c r="AH131" s="23">
        <f t="shared" si="47"/>
        <v>1</v>
      </c>
      <c r="AI131" s="10">
        <v>323312042.56328499</v>
      </c>
      <c r="AJ131" s="29">
        <f t="shared" si="55"/>
        <v>2.6430569340264314</v>
      </c>
      <c r="AK131" s="29">
        <f t="shared" si="49"/>
        <v>7.4980601731639274</v>
      </c>
      <c r="AL131" s="29">
        <f t="shared" si="50"/>
        <v>4.8550032391374964</v>
      </c>
      <c r="AM131" s="29">
        <f t="shared" si="51"/>
        <v>2.3187765857954652</v>
      </c>
    </row>
  </sheetData>
  <autoFilter ref="A1:AM1" xr:uid="{00000000-0009-0000-0000-00000C000000}"/>
  <pageMargins left="0.7" right="0.7" top="0.75" bottom="0.75" header="0.3" footer="0.3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7"/>
  <sheetViews>
    <sheetView tabSelected="1" workbookViewId="0">
      <pane ySplit="1" topLeftCell="A2" activePane="bottomLeft" state="frozen"/>
      <selection pane="bottomLeft" activeCell="F2" sqref="F2:F27"/>
    </sheetView>
  </sheetViews>
  <sheetFormatPr defaultColWidth="11.19921875" defaultRowHeight="13.8"/>
  <cols>
    <col min="1" max="2" width="11.69921875" customWidth="1"/>
    <col min="3" max="4" width="15.69921875" customWidth="1"/>
    <col min="5" max="5" width="18.69921875" customWidth="1"/>
    <col min="6" max="6" width="23.69921875" customWidth="1"/>
    <col min="7" max="7" width="29.69921875" customWidth="1"/>
    <col min="8" max="8" width="34.69921875" customWidth="1"/>
    <col min="9" max="9" width="21.69921875" customWidth="1"/>
    <col min="10" max="11" width="26.69921875" customWidth="1"/>
    <col min="12" max="12" width="29.69921875" customWidth="1"/>
    <col min="13" max="13" width="34.69921875" customWidth="1"/>
  </cols>
  <sheetData>
    <row r="1" spans="1:13" ht="28.05" customHeight="1">
      <c r="A1" s="1" t="s">
        <v>282</v>
      </c>
      <c r="B1" s="1" t="s">
        <v>42</v>
      </c>
      <c r="C1" s="1" t="s">
        <v>314</v>
      </c>
      <c r="D1" s="1" t="s">
        <v>315</v>
      </c>
      <c r="E1" s="1" t="s">
        <v>316</v>
      </c>
      <c r="F1" s="1" t="s">
        <v>317</v>
      </c>
      <c r="G1" s="1" t="s">
        <v>318</v>
      </c>
      <c r="H1" s="1" t="s">
        <v>319</v>
      </c>
      <c r="I1" s="1" t="s">
        <v>309</v>
      </c>
      <c r="J1" s="1" t="s">
        <v>320</v>
      </c>
      <c r="K1" s="1" t="s">
        <v>321</v>
      </c>
      <c r="L1" s="1" t="s">
        <v>322</v>
      </c>
      <c r="M1" s="1" t="s">
        <v>323</v>
      </c>
    </row>
    <row r="2" spans="1:13">
      <c r="A2" t="s">
        <v>115</v>
      </c>
      <c r="B2" s="20">
        <v>2025</v>
      </c>
      <c r="C2" s="23">
        <f>SUMIFS(Annual_Cost!$Q$2:$Q$131,Annual_Cost!$A$2:$A$131,A2,Annual_Cost!$B$2:$B$131,B2)</f>
        <v>1509179362.438103</v>
      </c>
      <c r="D2" s="23">
        <f>SUMIFS(Annual_Cost!$R$2:$R$131,Annual_Cost!$A$2:$A$131,A2,Annual_Cost!$B$2:$B$131,B2)</f>
        <v>1509179362.438103</v>
      </c>
      <c r="E2" s="23">
        <f>SUMIFS(Annual_Cost!$S$2:$S$131,Annual_Cost!$A$2:$A$131,A2,Annual_Cost!$B$2:$B$131,B2)</f>
        <v>0</v>
      </c>
      <c r="F2" s="23">
        <f>SUMIFS(Annual_Cost!$Y$2:$Y$131,Annual_Cost!$A$2:$A$131,A2,Annual_Cost!$B$2:$B$131,B2)</f>
        <v>0</v>
      </c>
      <c r="G2" s="23">
        <f>SUMIFS($E$2:E2,$A$2:A2,A2)</f>
        <v>0</v>
      </c>
      <c r="H2" s="23">
        <f>SUMIFS($F$2:F2,$A$2:A2,A2)</f>
        <v>0</v>
      </c>
      <c r="I2" s="10">
        <v>288391907.64445603</v>
      </c>
      <c r="J2" s="29">
        <f t="shared" ref="J2:J27" si="0">IF(I2=0,"",C2/I2)</f>
        <v>5.2330849875950571</v>
      </c>
      <c r="K2" s="29">
        <f t="shared" ref="K2:K27" si="1">IF(I2=0,"",D2/I2)</f>
        <v>5.2330849875950571</v>
      </c>
      <c r="L2" s="29">
        <f t="shared" ref="L2:L27" si="2">IF(I2=0,"",E2/I2)</f>
        <v>0</v>
      </c>
      <c r="M2" s="29">
        <f t="shared" ref="M2:M27" si="3">IF(I2=0,"",F2/I2)</f>
        <v>0</v>
      </c>
    </row>
    <row r="3" spans="1:13">
      <c r="A3" t="s">
        <v>115</v>
      </c>
      <c r="B3" s="20">
        <v>2026</v>
      </c>
      <c r="C3" s="23">
        <f>SUMIFS(Annual_Cost!$Q$2:$Q$131,Annual_Cost!$A$2:$A$131,A3,Annual_Cost!$B$2:$B$131,B3)</f>
        <v>1557069092.7934122</v>
      </c>
      <c r="D3" s="23">
        <f>SUMIFS(Annual_Cost!$R$2:$R$131,Annual_Cost!$A$2:$A$131,A3,Annual_Cost!$B$2:$B$131,B3)</f>
        <v>1564606911.4650617</v>
      </c>
      <c r="E3" s="23">
        <f>SUMIFS(Annual_Cost!$S$2:$S$131,Annual_Cost!$A$2:$A$131,A3,Annual_Cost!$B$2:$B$131,B3)</f>
        <v>7537818.6716494774</v>
      </c>
      <c r="F3" s="23">
        <f>SUMIFS(Annual_Cost!$Y$2:$Y$131,Annual_Cost!$A$2:$A$131,A3,Annual_Cost!$B$2:$B$131,B3)</f>
        <v>7318270.5549994931</v>
      </c>
      <c r="G3" s="23">
        <f>SUMIFS($E$2:E3,$A$2:A3,A3)</f>
        <v>7537818.6716494774</v>
      </c>
      <c r="H3" s="23">
        <f>SUMIFS($F$2:F3,$A$2:A3,A3)</f>
        <v>7318270.5549994931</v>
      </c>
      <c r="I3" s="10">
        <v>290472130.233437</v>
      </c>
      <c r="J3" s="29">
        <f t="shared" si="0"/>
        <v>5.3604767229891506</v>
      </c>
      <c r="K3" s="29">
        <f t="shared" si="1"/>
        <v>5.3864269532766205</v>
      </c>
      <c r="L3" s="29">
        <f t="shared" si="2"/>
        <v>2.5950230287469348E-2</v>
      </c>
      <c r="M3" s="29">
        <f t="shared" si="3"/>
        <v>2.5194398337348881E-2</v>
      </c>
    </row>
    <row r="4" spans="1:13">
      <c r="A4" t="s">
        <v>115</v>
      </c>
      <c r="B4" s="20">
        <v>2027</v>
      </c>
      <c r="C4" s="23">
        <f>SUMIFS(Annual_Cost!$Q$2:$Q$131,Annual_Cost!$A$2:$A$131,A4,Annual_Cost!$B$2:$B$131,B4)</f>
        <v>1605614959.8009319</v>
      </c>
      <c r="D4" s="23">
        <f>SUMIFS(Annual_Cost!$R$2:$R$131,Annual_Cost!$A$2:$A$131,A4,Annual_Cost!$B$2:$B$131,B4)</f>
        <v>1621126227.2760205</v>
      </c>
      <c r="E4" s="23">
        <f>SUMIFS(Annual_Cost!$S$2:$S$131,Annual_Cost!$A$2:$A$131,A4,Annual_Cost!$B$2:$B$131,B4)</f>
        <v>15511267.475088615</v>
      </c>
      <c r="F4" s="23">
        <f>SUMIFS(Annual_Cost!$Y$2:$Y$131,Annual_Cost!$A$2:$A$131,A4,Annual_Cost!$B$2:$B$131,B4)</f>
        <v>14620857.267497987</v>
      </c>
      <c r="G4" s="23">
        <f>SUMIFS($E$2:E4,$A$2:A4,A4)</f>
        <v>23049086.146738093</v>
      </c>
      <c r="H4" s="23">
        <f>SUMIFS($F$2:F4,$A$2:A4,A4)</f>
        <v>21939127.82249748</v>
      </c>
      <c r="I4" s="10">
        <v>292505080.826208</v>
      </c>
      <c r="J4" s="29">
        <f t="shared" si="0"/>
        <v>5.4891865647793949</v>
      </c>
      <c r="K4" s="29">
        <f t="shared" si="1"/>
        <v>5.5422156179202009</v>
      </c>
      <c r="L4" s="29">
        <f t="shared" si="2"/>
        <v>5.3029053140805582E-2</v>
      </c>
      <c r="M4" s="29">
        <f t="shared" si="3"/>
        <v>4.9984968555759804E-2</v>
      </c>
    </row>
    <row r="5" spans="1:13">
      <c r="A5" t="s">
        <v>115</v>
      </c>
      <c r="B5" s="20">
        <v>2028</v>
      </c>
      <c r="C5" s="23">
        <f>SUMIFS(Annual_Cost!$Q$2:$Q$131,Annual_Cost!$A$2:$A$131,A5,Annual_Cost!$B$2:$B$131,B5)</f>
        <v>1651206958.6315269</v>
      </c>
      <c r="D5" s="23">
        <f>SUMIFS(Annual_Cost!$R$2:$R$131,Annual_Cost!$A$2:$A$131,A5,Annual_Cost!$B$2:$B$131,B5)</f>
        <v>1675101446.5676258</v>
      </c>
      <c r="E5" s="23">
        <f>SUMIFS(Annual_Cost!$S$2:$S$131,Annual_Cost!$A$2:$A$131,A5,Annual_Cost!$B$2:$B$131,B5)</f>
        <v>23894487.936098736</v>
      </c>
      <c r="F5" s="23">
        <f>SUMIFS(Annual_Cost!$Y$2:$Y$131,Annual_Cost!$A$2:$A$131,A5,Annual_Cost!$B$2:$B$131,B5)</f>
        <v>21866841.339235451</v>
      </c>
      <c r="G5" s="23">
        <f>SUMIFS($E$2:E5,$A$2:A5,A5)</f>
        <v>46943574.082836829</v>
      </c>
      <c r="H5" s="23">
        <f>SUMIFS($F$2:F5,$A$2:A5,A5)</f>
        <v>43805969.161732927</v>
      </c>
      <c r="I5" s="10">
        <v>294484707.92155403</v>
      </c>
      <c r="J5" s="29">
        <f t="shared" si="0"/>
        <v>5.6071059522431357</v>
      </c>
      <c r="K5" s="29">
        <f t="shared" si="1"/>
        <v>5.6882459479486647</v>
      </c>
      <c r="L5" s="29">
        <f t="shared" si="2"/>
        <v>8.1139995705528586E-2</v>
      </c>
      <c r="M5" s="29">
        <f t="shared" si="3"/>
        <v>7.4254590309865684E-2</v>
      </c>
    </row>
    <row r="6" spans="1:13">
      <c r="A6" t="s">
        <v>115</v>
      </c>
      <c r="B6" s="20">
        <v>2029</v>
      </c>
      <c r="C6" s="23">
        <f>SUMIFS(Annual_Cost!$Q$2:$Q$131,Annual_Cost!$A$2:$A$131,A6,Annual_Cost!$B$2:$B$131,B6)</f>
        <v>1696743009.5915861</v>
      </c>
      <c r="D6" s="23">
        <f>SUMIFS(Annual_Cost!$R$2:$R$131,Annual_Cost!$A$2:$A$131,A6,Annual_Cost!$B$2:$B$131,B6)</f>
        <v>1729422130.5496447</v>
      </c>
      <c r="E6" s="23">
        <f>SUMIFS(Annual_Cost!$S$2:$S$131,Annual_Cost!$A$2:$A$131,A6,Annual_Cost!$B$2:$B$131,B6)</f>
        <v>32679120.958058752</v>
      </c>
      <c r="F6" s="23">
        <f>SUMIFS(Annual_Cost!$Y$2:$Y$131,Annual_Cost!$A$2:$A$131,A6,Annual_Cost!$B$2:$B$131,B6)</f>
        <v>29034975.708505344</v>
      </c>
      <c r="G6" s="23">
        <f>SUMIFS($E$2:E6,$A$2:A6,A6)</f>
        <v>79622695.040895581</v>
      </c>
      <c r="H6" s="23">
        <f>SUMIFS($F$2:F6,$A$2:A6,A6)</f>
        <v>72840944.870238274</v>
      </c>
      <c r="I6" s="10">
        <v>296414030.31142998</v>
      </c>
      <c r="J6" s="29">
        <f t="shared" si="0"/>
        <v>5.7242331201694077</v>
      </c>
      <c r="K6" s="29">
        <f t="shared" si="1"/>
        <v>5.8344813460166254</v>
      </c>
      <c r="L6" s="29">
        <f t="shared" si="2"/>
        <v>0.11024822584721833</v>
      </c>
      <c r="M6" s="29">
        <f t="shared" si="3"/>
        <v>9.7954120720937177E-2</v>
      </c>
    </row>
    <row r="7" spans="1:13">
      <c r="A7" t="s">
        <v>115</v>
      </c>
      <c r="B7" s="20">
        <v>2030</v>
      </c>
      <c r="C7" s="23">
        <f>SUMIFS(Annual_Cost!$Q$2:$Q$131,Annual_Cost!$A$2:$A$131,A7,Annual_Cost!$B$2:$B$131,B7)</f>
        <v>1742128267.8780189</v>
      </c>
      <c r="D7" s="23">
        <f>SUMIFS(Annual_Cost!$R$2:$R$131,Annual_Cost!$A$2:$A$131,A7,Annual_Cost!$B$2:$B$131,B7)</f>
        <v>1784011478.8144553</v>
      </c>
      <c r="E7" s="23">
        <f>SUMIFS(Annual_Cost!$S$2:$S$131,Annual_Cost!$A$2:$A$131,A7,Annual_Cost!$B$2:$B$131,B7)</f>
        <v>41883210.936436281</v>
      </c>
      <c r="F7" s="23">
        <f>SUMIFS(Annual_Cost!$Y$2:$Y$131,Annual_Cost!$A$2:$A$131,A7,Annual_Cost!$B$2:$B$131,B7)</f>
        <v>36128825.671984829</v>
      </c>
      <c r="G7" s="23">
        <f>SUMIFS($E$2:E7,$A$2:A7,A7)</f>
        <v>121505905.97733186</v>
      </c>
      <c r="H7" s="23">
        <f>SUMIFS($F$2:F7,$A$2:A7,A7)</f>
        <v>108969770.5422231</v>
      </c>
      <c r="I7" s="10">
        <v>298289404.664994</v>
      </c>
      <c r="J7" s="29">
        <f t="shared" si="0"/>
        <v>5.8403960738551426</v>
      </c>
      <c r="K7" s="29">
        <f t="shared" si="1"/>
        <v>5.9808074001758849</v>
      </c>
      <c r="L7" s="29">
        <f t="shared" si="2"/>
        <v>0.14041132632074182</v>
      </c>
      <c r="M7" s="29">
        <f t="shared" si="3"/>
        <v>0.12112004351130329</v>
      </c>
    </row>
    <row r="8" spans="1:13">
      <c r="A8" t="s">
        <v>115</v>
      </c>
      <c r="B8" s="20">
        <v>2031</v>
      </c>
      <c r="C8" s="23">
        <f>SUMIFS(Annual_Cost!$Q$2:$Q$131,Annual_Cost!$A$2:$A$131,A8,Annual_Cost!$B$2:$B$131,B8)</f>
        <v>1787626607.3730509</v>
      </c>
      <c r="D8" s="23">
        <f>SUMIFS(Annual_Cost!$R$2:$R$131,Annual_Cost!$A$2:$A$131,A8,Annual_Cost!$B$2:$B$131,B8)</f>
        <v>2153591775.0223565</v>
      </c>
      <c r="E8" s="23">
        <f>SUMIFS(Annual_Cost!$S$2:$S$131,Annual_Cost!$A$2:$A$131,A8,Annual_Cost!$B$2:$B$131,B8)</f>
        <v>365965167.64930582</v>
      </c>
      <c r="F8" s="23">
        <f>SUMIFS(Annual_Cost!$Y$2:$Y$131,Annual_Cost!$A$2:$A$131,A8,Annual_Cost!$B$2:$B$131,B8)</f>
        <v>306490066.40088785</v>
      </c>
      <c r="G8" s="23">
        <f>SUMIFS($E$2:E8,$A$2:A8,A8)</f>
        <v>487471073.6266377</v>
      </c>
      <c r="H8" s="23">
        <f>SUMIFS($F$2:F8,$A$2:A8,A8)</f>
        <v>415459836.94311094</v>
      </c>
      <c r="I8" s="10">
        <v>300119636.92551899</v>
      </c>
      <c r="J8" s="29">
        <f t="shared" si="0"/>
        <v>5.9563800146029369</v>
      </c>
      <c r="K8" s="29">
        <f t="shared" si="1"/>
        <v>7.1757776234975781</v>
      </c>
      <c r="L8" s="29">
        <f t="shared" si="2"/>
        <v>1.2193976088946414</v>
      </c>
      <c r="M8" s="29">
        <f t="shared" si="3"/>
        <v>1.0212263000869544</v>
      </c>
    </row>
    <row r="9" spans="1:13">
      <c r="A9" t="s">
        <v>115</v>
      </c>
      <c r="B9" s="20">
        <v>2032</v>
      </c>
      <c r="C9" s="23">
        <f>SUMIFS(Annual_Cost!$Q$2:$Q$131,Annual_Cost!$A$2:$A$131,A9,Annual_Cost!$B$2:$B$131,B9)</f>
        <v>1833270130.8730803</v>
      </c>
      <c r="D9" s="23">
        <f>SUMIFS(Annual_Cost!$R$2:$R$131,Annual_Cost!$A$2:$A$131,A9,Annual_Cost!$B$2:$B$131,B9)</f>
        <v>2539966326.4279671</v>
      </c>
      <c r="E9" s="23">
        <f>SUMIFS(Annual_Cost!$S$2:$S$131,Annual_Cost!$A$2:$A$131,A9,Annual_Cost!$B$2:$B$131,B9)</f>
        <v>706696195.55488706</v>
      </c>
      <c r="F9" s="23">
        <f>SUMIFS(Annual_Cost!$Y$2:$Y$131,Annual_Cost!$A$2:$A$131,A9,Annual_Cost!$B$2:$B$131,B9)</f>
        <v>574608677.70432138</v>
      </c>
      <c r="G9" s="23">
        <f>SUMIFS($E$2:E9,$A$2:A9,A9)</f>
        <v>1194167269.1815248</v>
      </c>
      <c r="H9" s="23">
        <f>SUMIFS($F$2:F9,$A$2:A9,A9)</f>
        <v>990068514.64743233</v>
      </c>
      <c r="I9" s="10">
        <v>301904628.08354098</v>
      </c>
      <c r="J9" s="29">
        <f t="shared" si="0"/>
        <v>6.0723485509662023</v>
      </c>
      <c r="K9" s="29">
        <f t="shared" si="1"/>
        <v>8.4131414034670744</v>
      </c>
      <c r="L9" s="29">
        <f t="shared" si="2"/>
        <v>2.340792852500873</v>
      </c>
      <c r="M9" s="29">
        <f t="shared" si="3"/>
        <v>1.903278798181655</v>
      </c>
    </row>
    <row r="10" spans="1:13">
      <c r="A10" t="s">
        <v>115</v>
      </c>
      <c r="B10" s="20">
        <v>2033</v>
      </c>
      <c r="C10" s="23">
        <f>SUMIFS(Annual_Cost!$Q$2:$Q$131,Annual_Cost!$A$2:$A$131,A10,Annual_Cost!$B$2:$B$131,B10)</f>
        <v>1876785867.6982112</v>
      </c>
      <c r="D10" s="23">
        <f>SUMIFS(Annual_Cost!$R$2:$R$131,Annual_Cost!$A$2:$A$131,A10,Annual_Cost!$B$2:$B$131,B10)</f>
        <v>2939733184.2397223</v>
      </c>
      <c r="E10" s="23">
        <f>SUMIFS(Annual_Cost!$S$2:$S$131,Annual_Cost!$A$2:$A$131,A10,Annual_Cost!$B$2:$B$131,B10)</f>
        <v>1062947316.5415108</v>
      </c>
      <c r="F10" s="23">
        <f>SUMIFS(Annual_Cost!$Y$2:$Y$131,Annual_Cost!$A$2:$A$131,A10,Annual_Cost!$B$2:$B$131,B10)</f>
        <v>839100427.26708674</v>
      </c>
      <c r="G10" s="23">
        <f>SUMIFS($E$2:E10,$A$2:A10,A10)</f>
        <v>2257114585.7230358</v>
      </c>
      <c r="H10" s="23">
        <f>SUMIFS($F$2:F10,$A$2:A10,A10)</f>
        <v>1829168941.9145191</v>
      </c>
      <c r="I10" s="10">
        <v>303644277.16916001</v>
      </c>
      <c r="J10" s="29">
        <f t="shared" si="0"/>
        <v>6.1808702116676324</v>
      </c>
      <c r="K10" s="29">
        <f t="shared" si="1"/>
        <v>9.681503671488592</v>
      </c>
      <c r="L10" s="29">
        <f t="shared" si="2"/>
        <v>3.5006334598209587</v>
      </c>
      <c r="M10" s="29">
        <f t="shared" si="3"/>
        <v>2.7634323791310069</v>
      </c>
    </row>
    <row r="11" spans="1:13">
      <c r="A11" t="s">
        <v>115</v>
      </c>
      <c r="B11" s="20">
        <v>2034</v>
      </c>
      <c r="C11" s="23">
        <f>SUMIFS(Annual_Cost!$Q$2:$Q$131,Annual_Cost!$A$2:$A$131,A11,Annual_Cost!$B$2:$B$131,B11)</f>
        <v>1920250175.5646691</v>
      </c>
      <c r="D11" s="23">
        <f>SUMIFS(Annual_Cost!$R$2:$R$131,Annual_Cost!$A$2:$A$131,A11,Annual_Cost!$B$2:$B$131,B11)</f>
        <v>3355427202.4542341</v>
      </c>
      <c r="E11" s="23">
        <f>SUMIFS(Annual_Cost!$S$2:$S$131,Annual_Cost!$A$2:$A$131,A11,Annual_Cost!$B$2:$B$131,B11)</f>
        <v>1435177026.889565</v>
      </c>
      <c r="F11" s="23">
        <f>SUMIFS(Annual_Cost!$Y$2:$Y$131,Annual_Cost!$A$2:$A$131,A11,Annual_Cost!$B$2:$B$131,B11)</f>
        <v>1099943687.2833419</v>
      </c>
      <c r="G11" s="23">
        <f>SUMIFS($E$2:E11,$A$2:A11,A11)</f>
        <v>3692291612.6126008</v>
      </c>
      <c r="H11" s="23">
        <f>SUMIFS($F$2:F11,$A$2:A11,A11)</f>
        <v>2929112629.1978607</v>
      </c>
      <c r="I11" s="10">
        <v>305332541.18498403</v>
      </c>
      <c r="J11" s="29">
        <f t="shared" si="0"/>
        <v>6.2890452753979345</v>
      </c>
      <c r="K11" s="29">
        <f t="shared" si="1"/>
        <v>10.989418911695257</v>
      </c>
      <c r="L11" s="29">
        <f t="shared" si="2"/>
        <v>4.7003736362973214</v>
      </c>
      <c r="M11" s="29">
        <f t="shared" si="3"/>
        <v>3.6024450031251241</v>
      </c>
    </row>
    <row r="12" spans="1:13">
      <c r="A12" t="s">
        <v>115</v>
      </c>
      <c r="B12" s="20">
        <v>2035</v>
      </c>
      <c r="C12" s="23">
        <f>SUMIFS(Annual_Cost!$Q$2:$Q$131,Annual_Cost!$A$2:$A$131,A12,Annual_Cost!$B$2:$B$131,B12)</f>
        <v>1963613284.0104692</v>
      </c>
      <c r="D12" s="23">
        <f>SUMIFS(Annual_Cost!$R$2:$R$131,Annual_Cost!$A$2:$A$131,A12,Annual_Cost!$B$2:$B$131,B12)</f>
        <v>3786993429.5084009</v>
      </c>
      <c r="E12" s="23">
        <f>SUMIFS(Annual_Cost!$S$2:$S$131,Annual_Cost!$A$2:$A$131,A12,Annual_Cost!$B$2:$B$131,B12)</f>
        <v>1823380145.4979312</v>
      </c>
      <c r="F12" s="23">
        <f>SUMIFS(Annual_Cost!$Y$2:$Y$131,Annual_Cost!$A$2:$A$131,A12,Annual_Cost!$B$2:$B$131,B12)</f>
        <v>1356766070.808516</v>
      </c>
      <c r="G12" s="23">
        <f>SUMIFS($E$2:E12,$A$2:A12,A12)</f>
        <v>5515671758.1105318</v>
      </c>
      <c r="H12" s="23">
        <f>SUMIFS($F$2:F12,$A$2:A12,A12)</f>
        <v>4285878700.0063767</v>
      </c>
      <c r="I12" s="10">
        <v>306964650.16711998</v>
      </c>
      <c r="J12" s="29">
        <f t="shared" si="0"/>
        <v>6.396871049944755</v>
      </c>
      <c r="K12" s="29">
        <f t="shared" si="1"/>
        <v>12.336904029329299</v>
      </c>
      <c r="L12" s="29">
        <f t="shared" si="2"/>
        <v>5.9400329793845419</v>
      </c>
      <c r="M12" s="29">
        <f t="shared" si="3"/>
        <v>4.4199423942459024</v>
      </c>
    </row>
    <row r="13" spans="1:13">
      <c r="A13" t="s">
        <v>115</v>
      </c>
      <c r="B13" s="20">
        <v>2036</v>
      </c>
      <c r="C13" s="23">
        <f>SUMIFS(Annual_Cost!$Q$2:$Q$131,Annual_Cost!$A$2:$A$131,A13,Annual_Cost!$B$2:$B$131,B13)</f>
        <v>2006918441.1391404</v>
      </c>
      <c r="D13" s="23">
        <f>SUMIFS(Annual_Cost!$R$2:$R$131,Annual_Cost!$A$2:$A$131,A13,Annual_Cost!$B$2:$B$131,B13)</f>
        <v>4234554441.1572118</v>
      </c>
      <c r="E13" s="23">
        <f>SUMIFS(Annual_Cost!$S$2:$S$131,Annual_Cost!$A$2:$A$131,A13,Annual_Cost!$B$2:$B$131,B13)</f>
        <v>2227636000.0180717</v>
      </c>
      <c r="F13" s="23">
        <f>SUMIFS(Annual_Cost!$Y$2:$Y$131,Annual_Cost!$A$2:$A$131,A13,Annual_Cost!$B$2:$B$131,B13)</f>
        <v>1609291642.9304159</v>
      </c>
      <c r="G13" s="23">
        <f>SUMIFS($E$2:E13,$A$2:A13,A13)</f>
        <v>7743307758.128603</v>
      </c>
      <c r="H13" s="23">
        <f>SUMIFS($F$2:F13,$A$2:A13,A13)</f>
        <v>5895170342.9367924</v>
      </c>
      <c r="I13" s="10">
        <v>308542769.75662202</v>
      </c>
      <c r="J13" s="29">
        <f t="shared" si="0"/>
        <v>6.5045064667118728</v>
      </c>
      <c r="K13" s="29">
        <f t="shared" si="1"/>
        <v>13.724367757823074</v>
      </c>
      <c r="L13" s="29">
        <f t="shared" si="2"/>
        <v>7.2198612911112026</v>
      </c>
      <c r="M13" s="29">
        <f t="shared" si="3"/>
        <v>5.2157814107905436</v>
      </c>
    </row>
    <row r="14" spans="1:13">
      <c r="A14" t="s">
        <v>115</v>
      </c>
      <c r="B14" s="20">
        <v>2037</v>
      </c>
      <c r="C14" s="23">
        <f>SUMIFS(Annual_Cost!$Q$2:$Q$131,Annual_Cost!$A$2:$A$131,A14,Annual_Cost!$B$2:$B$131,B14)</f>
        <v>2050209124.0639331</v>
      </c>
      <c r="D14" s="23">
        <f>SUMIFS(Annual_Cost!$R$2:$R$131,Annual_Cost!$A$2:$A$131,A14,Annual_Cost!$B$2:$B$131,B14)</f>
        <v>4698249233.0658884</v>
      </c>
      <c r="E14" s="23">
        <f>SUMIFS(Annual_Cost!$S$2:$S$131,Annual_Cost!$A$2:$A$131,A14,Annual_Cost!$B$2:$B$131,B14)</f>
        <v>2648040109.001955</v>
      </c>
      <c r="F14" s="23">
        <f>SUMIFS(Annual_Cost!$Y$2:$Y$131,Annual_Cost!$A$2:$A$131,A14,Annual_Cost!$B$2:$B$131,B14)</f>
        <v>1857282054.3979793</v>
      </c>
      <c r="G14" s="23">
        <f>SUMIFS($E$2:E14,$A$2:A14,A14)</f>
        <v>10391347867.130558</v>
      </c>
      <c r="H14" s="23">
        <f>SUMIFS($F$2:F14,$A$2:A14,A14)</f>
        <v>7752452397.3347721</v>
      </c>
      <c r="I14" s="10">
        <v>310068287.63643003</v>
      </c>
      <c r="J14" s="29">
        <f t="shared" si="0"/>
        <v>6.612121283644143</v>
      </c>
      <c r="K14" s="29">
        <f t="shared" si="1"/>
        <v>15.152304896703308</v>
      </c>
      <c r="L14" s="29">
        <f t="shared" si="2"/>
        <v>8.5401836130591633</v>
      </c>
      <c r="M14" s="29">
        <f t="shared" si="3"/>
        <v>5.9899129593534308</v>
      </c>
    </row>
    <row r="15" spans="1:13">
      <c r="A15" t="s">
        <v>115</v>
      </c>
      <c r="B15" s="20">
        <v>2038</v>
      </c>
      <c r="C15" s="23">
        <f>SUMIFS(Annual_Cost!$Q$2:$Q$131,Annual_Cost!$A$2:$A$131,A15,Annual_Cost!$B$2:$B$131,B15)</f>
        <v>2093374054.5550179</v>
      </c>
      <c r="D15" s="23">
        <f>SUMIFS(Annual_Cost!$R$2:$R$131,Annual_Cost!$A$2:$A$131,A15,Annual_Cost!$B$2:$B$131,B15)</f>
        <v>5177865659.1166162</v>
      </c>
      <c r="E15" s="23">
        <f>SUMIFS(Annual_Cost!$S$2:$S$131,Annual_Cost!$A$2:$A$131,A15,Annual_Cost!$B$2:$B$131,B15)</f>
        <v>3084491604.5615988</v>
      </c>
      <c r="F15" s="23">
        <f>SUMIFS(Annual_Cost!$Y$2:$Y$131,Annual_Cost!$A$2:$A$131,A15,Annual_Cost!$B$2:$B$131,B15)</f>
        <v>2100388691.3239281</v>
      </c>
      <c r="G15" s="23">
        <f>SUMIFS($E$2:E15,$A$2:A15,A15)</f>
        <v>13475839471.692158</v>
      </c>
      <c r="H15" s="23">
        <f>SUMIFS($F$2:F15,$A$2:A15,A15)</f>
        <v>9852841088.6587009</v>
      </c>
      <c r="I15" s="10">
        <v>311532999.13163</v>
      </c>
      <c r="J15" s="29">
        <f t="shared" si="0"/>
        <v>6.7195900928316048</v>
      </c>
      <c r="K15" s="29">
        <f t="shared" si="1"/>
        <v>16.620600942915992</v>
      </c>
      <c r="L15" s="29">
        <f t="shared" si="2"/>
        <v>9.9010108500843881</v>
      </c>
      <c r="M15" s="29">
        <f t="shared" si="3"/>
        <v>6.7421066056519576</v>
      </c>
    </row>
    <row r="16" spans="1:13">
      <c r="A16" t="s">
        <v>115</v>
      </c>
      <c r="B16" s="20">
        <v>2039</v>
      </c>
      <c r="C16" s="23">
        <f>SUMIFS(Annual_Cost!$Q$2:$Q$131,Annual_Cost!$A$2:$A$131,A16,Annual_Cost!$B$2:$B$131,B16)</f>
        <v>2136194719.9935465</v>
      </c>
      <c r="D16" s="23">
        <f>SUMIFS(Annual_Cost!$R$2:$R$131,Annual_Cost!$A$2:$A$131,A16,Annual_Cost!$B$2:$B$131,B16)</f>
        <v>5672840370.5852137</v>
      </c>
      <c r="E16" s="23">
        <f>SUMIFS(Annual_Cost!$S$2:$S$131,Annual_Cost!$A$2:$A$131,A16,Annual_Cost!$B$2:$B$131,B16)</f>
        <v>3536645650.5916672</v>
      </c>
      <c r="F16" s="23">
        <f>SUMIFS(Annual_Cost!$Y$2:$Y$131,Annual_Cost!$A$2:$A$131,A16,Annual_Cost!$B$2:$B$131,B16)</f>
        <v>2338139412.4771261</v>
      </c>
      <c r="G16" s="23">
        <f>SUMIFS($E$2:E16,$A$2:A16,A16)</f>
        <v>17012485122.283825</v>
      </c>
      <c r="H16" s="23">
        <f>SUMIFS($F$2:F16,$A$2:A16,A16)</f>
        <v>12190980501.135826</v>
      </c>
      <c r="I16" s="10">
        <v>312936391.85847902</v>
      </c>
      <c r="J16" s="29">
        <f t="shared" si="0"/>
        <v>6.8262905036612356</v>
      </c>
      <c r="K16" s="29">
        <f t="shared" si="1"/>
        <v>18.127774583502816</v>
      </c>
      <c r="L16" s="29">
        <f t="shared" si="2"/>
        <v>11.301484079841581</v>
      </c>
      <c r="M16" s="29">
        <f t="shared" si="3"/>
        <v>7.4716123573589233</v>
      </c>
    </row>
    <row r="17" spans="1:13">
      <c r="A17" t="s">
        <v>115</v>
      </c>
      <c r="B17" s="20">
        <v>2040</v>
      </c>
      <c r="C17" s="23">
        <f>SUMIFS(Annual_Cost!$Q$2:$Q$131,Annual_Cost!$A$2:$A$131,A17,Annual_Cost!$B$2:$B$131,B17)</f>
        <v>2178563664.2590933</v>
      </c>
      <c r="D17" s="23">
        <f>SUMIFS(Annual_Cost!$R$2:$R$131,Annual_Cost!$A$2:$A$131,A17,Annual_Cost!$B$2:$B$131,B17)</f>
        <v>6182769562.5383129</v>
      </c>
      <c r="E17" s="23">
        <f>SUMIFS(Annual_Cost!$S$2:$S$131,Annual_Cost!$A$2:$A$131,A17,Annual_Cost!$B$2:$B$131,B17)</f>
        <v>4004205898.2792196</v>
      </c>
      <c r="F17" s="23">
        <f>SUMIFS(Annual_Cost!$Y$2:$Y$131,Annual_Cost!$A$2:$A$131,A17,Annual_Cost!$B$2:$B$131,B17)</f>
        <v>2570147395.6469231</v>
      </c>
      <c r="G17" s="23">
        <f>SUMIFS($E$2:E17,$A$2:A17,A17)</f>
        <v>21016691020.563046</v>
      </c>
      <c r="H17" s="23">
        <f>SUMIFS($F$2:F17,$A$2:A17,A17)</f>
        <v>14761127896.782749</v>
      </c>
      <c r="I17" s="10">
        <v>314265537.41082901</v>
      </c>
      <c r="J17" s="29">
        <f t="shared" si="0"/>
        <v>6.9322385209903832</v>
      </c>
      <c r="K17" s="29">
        <f t="shared" si="1"/>
        <v>19.673711643589421</v>
      </c>
      <c r="L17" s="29">
        <f t="shared" si="2"/>
        <v>12.741473122599036</v>
      </c>
      <c r="M17" s="29">
        <f t="shared" si="3"/>
        <v>8.1782667511743536</v>
      </c>
    </row>
    <row r="18" spans="1:13">
      <c r="A18" t="s">
        <v>115</v>
      </c>
      <c r="B18" s="20">
        <v>2041</v>
      </c>
      <c r="C18" s="23">
        <f>SUMIFS(Annual_Cost!$Q$2:$Q$131,Annual_Cost!$A$2:$A$131,A18,Annual_Cost!$B$2:$B$131,B18)</f>
        <v>2220879406.3461528</v>
      </c>
      <c r="D18" s="23">
        <f>SUMIFS(Annual_Cost!$R$2:$R$131,Annual_Cost!$A$2:$A$131,A18,Annual_Cost!$B$2:$B$131,B18)</f>
        <v>6305858443.5264034</v>
      </c>
      <c r="E18" s="23">
        <f>SUMIFS(Annual_Cost!$S$2:$S$131,Annual_Cost!$A$2:$A$131,A18,Annual_Cost!$B$2:$B$131,B18)</f>
        <v>4084979037.1802502</v>
      </c>
      <c r="F18" s="23">
        <f>SUMIFS(Annual_Cost!$Y$2:$Y$131,Annual_Cost!$A$2:$A$131,A18,Annual_Cost!$B$2:$B$131,B18)</f>
        <v>2545623883.3779459</v>
      </c>
      <c r="G18" s="23">
        <f>SUMIFS($E$2:E18,$A$2:A18,A18)</f>
        <v>25101670057.743294</v>
      </c>
      <c r="H18" s="23">
        <f>SUMIFS($F$2:F18,$A$2:A18,A18)</f>
        <v>17306751780.160694</v>
      </c>
      <c r="I18" s="10">
        <v>315525215.31254798</v>
      </c>
      <c r="J18" s="29">
        <f t="shared" si="0"/>
        <v>7.038674877842106</v>
      </c>
      <c r="K18" s="29">
        <f t="shared" si="1"/>
        <v>19.985275779877199</v>
      </c>
      <c r="L18" s="29">
        <f t="shared" si="2"/>
        <v>12.946600902035092</v>
      </c>
      <c r="M18" s="29">
        <f t="shared" si="3"/>
        <v>8.0678936574255786</v>
      </c>
    </row>
    <row r="19" spans="1:13">
      <c r="A19" t="s">
        <v>115</v>
      </c>
      <c r="B19" s="20">
        <v>2042</v>
      </c>
      <c r="C19" s="23">
        <f>SUMIFS(Annual_Cost!$Q$2:$Q$131,Annual_Cost!$A$2:$A$131,A19,Annual_Cost!$B$2:$B$131,B19)</f>
        <v>2262888601.6321192</v>
      </c>
      <c r="D19" s="23">
        <f>SUMIFS(Annual_Cost!$R$2:$R$131,Annual_Cost!$A$2:$A$131,A19,Annual_Cost!$B$2:$B$131,B19)</f>
        <v>6427968525.4231462</v>
      </c>
      <c r="E19" s="23">
        <f>SUMIFS(Annual_Cost!$S$2:$S$131,Annual_Cost!$A$2:$A$131,A19,Annual_Cost!$B$2:$B$131,B19)</f>
        <v>4165079923.7910266</v>
      </c>
      <c r="F19" s="23">
        <f>SUMIFS(Annual_Cost!$Y$2:$Y$131,Annual_Cost!$A$2:$A$131,A19,Annual_Cost!$B$2:$B$131,B19)</f>
        <v>2519941852.1514573</v>
      </c>
      <c r="G19" s="23">
        <f>SUMIFS($E$2:E19,$A$2:A19,A19)</f>
        <v>29266749981.534321</v>
      </c>
      <c r="H19" s="23">
        <f>SUMIFS($F$2:F19,$A$2:A19,A19)</f>
        <v>19826693632.312153</v>
      </c>
      <c r="I19" s="10">
        <v>316707694.211882</v>
      </c>
      <c r="J19" s="29">
        <f t="shared" si="0"/>
        <v>7.1450382892125575</v>
      </c>
      <c r="K19" s="29">
        <f t="shared" si="1"/>
        <v>20.296218383386488</v>
      </c>
      <c r="L19" s="29">
        <f t="shared" si="2"/>
        <v>13.151180094173931</v>
      </c>
      <c r="M19" s="29">
        <f t="shared" si="3"/>
        <v>7.9566802392416145</v>
      </c>
    </row>
    <row r="20" spans="1:13">
      <c r="A20" t="s">
        <v>115</v>
      </c>
      <c r="B20" s="20">
        <v>2043</v>
      </c>
      <c r="C20" s="23">
        <f>SUMIFS(Annual_Cost!$Q$2:$Q$131,Annual_Cost!$A$2:$A$131,A20,Annual_Cost!$B$2:$B$131,B20)</f>
        <v>2304074591.9931288</v>
      </c>
      <c r="D20" s="23">
        <f>SUMIFS(Annual_Cost!$R$2:$R$131,Annual_Cost!$A$2:$A$131,A20,Annual_Cost!$B$2:$B$131,B20)</f>
        <v>6547746240.7271452</v>
      </c>
      <c r="E20" s="23">
        <f>SUMIFS(Annual_Cost!$S$2:$S$131,Annual_Cost!$A$2:$A$131,A20,Annual_Cost!$B$2:$B$131,B20)</f>
        <v>4243671648.7340174</v>
      </c>
      <c r="F20" s="23">
        <f>SUMIFS(Annual_Cost!$Y$2:$Y$131,Annual_Cost!$A$2:$A$131,A20,Annual_Cost!$B$2:$B$131,B20)</f>
        <v>2492709842.9604611</v>
      </c>
      <c r="G20" s="23">
        <f>SUMIFS($E$2:E20,$A$2:A20,A20)</f>
        <v>33510421630.268337</v>
      </c>
      <c r="H20" s="23">
        <f>SUMIFS($F$2:F20,$A$2:A20,A20)</f>
        <v>22319403475.272614</v>
      </c>
      <c r="I20" s="10">
        <v>317814114.06715202</v>
      </c>
      <c r="J20" s="29">
        <f t="shared" si="0"/>
        <v>7.2497554073583181</v>
      </c>
      <c r="K20" s="29">
        <f t="shared" si="1"/>
        <v>20.602440077106362</v>
      </c>
      <c r="L20" s="29">
        <f t="shared" si="2"/>
        <v>13.352684669748045</v>
      </c>
      <c r="M20" s="29">
        <f t="shared" si="3"/>
        <v>7.8432949722106047</v>
      </c>
    </row>
    <row r="21" spans="1:13">
      <c r="A21" t="s">
        <v>115</v>
      </c>
      <c r="B21" s="20">
        <v>2044</v>
      </c>
      <c r="C21" s="23">
        <f>SUMIFS(Annual_Cost!$Q$2:$Q$131,Annual_Cost!$A$2:$A$131,A21,Annual_Cost!$B$2:$B$131,B21)</f>
        <v>2344446718.4640608</v>
      </c>
      <c r="D21" s="23">
        <f>SUMIFS(Annual_Cost!$R$2:$R$131,Annual_Cost!$A$2:$A$131,A21,Annual_Cost!$B$2:$B$131,B21)</f>
        <v>6665187584.7250814</v>
      </c>
      <c r="E21" s="23">
        <f>SUMIFS(Annual_Cost!$S$2:$S$131,Annual_Cost!$A$2:$A$131,A21,Annual_Cost!$B$2:$B$131,B21)</f>
        <v>4320740866.2610207</v>
      </c>
      <c r="F21" s="23">
        <f>SUMIFS(Annual_Cost!$Y$2:$Y$131,Annual_Cost!$A$2:$A$131,A21,Annual_Cost!$B$2:$B$131,B21)</f>
        <v>2464058141.5039124</v>
      </c>
      <c r="G21" s="23">
        <f>SUMIFS($E$2:E21,$A$2:A21,A21)</f>
        <v>37831162496.529358</v>
      </c>
      <c r="H21" s="23">
        <f>SUMIFS($F$2:F21,$A$2:A21,A21)</f>
        <v>24783461616.776527</v>
      </c>
      <c r="I21" s="10">
        <v>318840890.73215598</v>
      </c>
      <c r="J21" s="29">
        <f t="shared" si="0"/>
        <v>7.3530302624625588</v>
      </c>
      <c r="K21" s="29">
        <f t="shared" si="1"/>
        <v>20.904431578458386</v>
      </c>
      <c r="L21" s="29">
        <f t="shared" si="2"/>
        <v>13.551401315995829</v>
      </c>
      <c r="M21" s="29">
        <f t="shared" si="3"/>
        <v>7.728174814233153</v>
      </c>
    </row>
    <row r="22" spans="1:13">
      <c r="A22" t="s">
        <v>115</v>
      </c>
      <c r="B22" s="20">
        <v>2045</v>
      </c>
      <c r="C22" s="23">
        <f>SUMIFS(Annual_Cost!$Q$2:$Q$131,Annual_Cost!$A$2:$A$131,A22,Annual_Cost!$B$2:$B$131,B22)</f>
        <v>2383918940.7236719</v>
      </c>
      <c r="D22" s="23">
        <f>SUMIFS(Annual_Cost!$R$2:$R$131,Annual_Cost!$A$2:$A$131,A22,Annual_Cost!$B$2:$B$131,B22)</f>
        <v>6780048429.1345005</v>
      </c>
      <c r="E22" s="23">
        <f>SUMIFS(Annual_Cost!$S$2:$S$131,Annual_Cost!$A$2:$A$131,A22,Annual_Cost!$B$2:$B$131,B22)</f>
        <v>4396129488.4108286</v>
      </c>
      <c r="F22" s="23">
        <f>SUMIFS(Annual_Cost!$Y$2:$Y$131,Annual_Cost!$A$2:$A$131,A22,Annual_Cost!$B$2:$B$131,B22)</f>
        <v>2434030309.9966521</v>
      </c>
      <c r="G22" s="23">
        <f>SUMIFS($E$2:E22,$A$2:A22,A22)</f>
        <v>42227291984.940186</v>
      </c>
      <c r="H22" s="23">
        <f>SUMIFS($F$2:F22,$A$2:A22,A22)</f>
        <v>27217491926.773178</v>
      </c>
      <c r="I22" s="10">
        <v>319784682.33108002</v>
      </c>
      <c r="J22" s="29">
        <f t="shared" si="0"/>
        <v>7.4547627589477496</v>
      </c>
      <c r="K22" s="29">
        <f t="shared" si="1"/>
        <v>21.201917426785844</v>
      </c>
      <c r="L22" s="29">
        <f t="shared" si="2"/>
        <v>13.747154667838094</v>
      </c>
      <c r="M22" s="29">
        <f t="shared" si="3"/>
        <v>7.6114662286314507</v>
      </c>
    </row>
    <row r="23" spans="1:13">
      <c r="A23" t="s">
        <v>115</v>
      </c>
      <c r="B23" s="20">
        <v>2046</v>
      </c>
      <c r="C23" s="23">
        <f>SUMIFS(Annual_Cost!$Q$2:$Q$131,Annual_Cost!$A$2:$A$131,A23,Annual_Cost!$B$2:$B$131,B23)</f>
        <v>2422883296.9267015</v>
      </c>
      <c r="D23" s="23">
        <f>SUMIFS(Annual_Cost!$R$2:$R$131,Annual_Cost!$A$2:$A$131,A23,Annual_Cost!$B$2:$B$131,B23)</f>
        <v>6893419009.1096611</v>
      </c>
      <c r="E23" s="23">
        <f>SUMIFS(Annual_Cost!$S$2:$S$131,Annual_Cost!$A$2:$A$131,A23,Annual_Cost!$B$2:$B$131,B23)</f>
        <v>4470535712.1829605</v>
      </c>
      <c r="F23" s="23">
        <f>SUMIFS(Annual_Cost!$Y$2:$Y$131,Annual_Cost!$A$2:$A$131,A23,Annual_Cost!$B$2:$B$131,B23)</f>
        <v>2403133235.0095577</v>
      </c>
      <c r="G23" s="23">
        <f>SUMIFS($E$2:E23,$A$2:A23,A23)</f>
        <v>46697827697.123146</v>
      </c>
      <c r="H23" s="23">
        <f>SUMIFS($F$2:F23,$A$2:A23,A23)</f>
        <v>29620625161.782738</v>
      </c>
      <c r="I23" s="10">
        <v>320645615.981408</v>
      </c>
      <c r="J23" s="29">
        <f t="shared" si="0"/>
        <v>7.5562651605602733</v>
      </c>
      <c r="K23" s="29">
        <f t="shared" si="1"/>
        <v>21.498559985018982</v>
      </c>
      <c r="L23" s="29">
        <f t="shared" si="2"/>
        <v>13.942294824458711</v>
      </c>
      <c r="M23" s="29">
        <f t="shared" si="3"/>
        <v>7.4946704873984578</v>
      </c>
    </row>
    <row r="24" spans="1:13">
      <c r="A24" t="s">
        <v>115</v>
      </c>
      <c r="B24" s="20">
        <v>2047</v>
      </c>
      <c r="C24" s="23">
        <f>SUMIFS(Annual_Cost!$Q$2:$Q$131,Annual_Cost!$A$2:$A$131,A24,Annual_Cost!$B$2:$B$131,B24)</f>
        <v>2460524786.4882317</v>
      </c>
      <c r="D24" s="23">
        <f>SUMIFS(Annual_Cost!$R$2:$R$131,Annual_Cost!$A$2:$A$131,A24,Annual_Cost!$B$2:$B$131,B24)</f>
        <v>7003003754.5492067</v>
      </c>
      <c r="E24" s="23">
        <f>SUMIFS(Annual_Cost!$S$2:$S$131,Annual_Cost!$A$2:$A$131,A24,Annual_Cost!$B$2:$B$131,B24)</f>
        <v>4542478968.0609751</v>
      </c>
      <c r="F24" s="23">
        <f>SUMIFS(Annual_Cost!$Y$2:$Y$131,Annual_Cost!$A$2:$A$131,A24,Annual_Cost!$B$2:$B$131,B24)</f>
        <v>2370685708.8478889</v>
      </c>
      <c r="G24" s="23">
        <f>SUMIFS($E$2:E24,$A$2:A24,A24)</f>
        <v>51240306665.18412</v>
      </c>
      <c r="H24" s="23">
        <f>SUMIFS($F$2:F24,$A$2:A24,A24)</f>
        <v>31991310870.630627</v>
      </c>
      <c r="I24" s="10">
        <v>321429520.52287501</v>
      </c>
      <c r="J24" s="29">
        <f t="shared" si="0"/>
        <v>7.6549433993668439</v>
      </c>
      <c r="K24" s="29">
        <f t="shared" si="1"/>
        <v>21.787058460459072</v>
      </c>
      <c r="L24" s="29">
        <f t="shared" si="2"/>
        <v>14.132115061092227</v>
      </c>
      <c r="M24" s="29">
        <f t="shared" si="3"/>
        <v>7.3754448719938761</v>
      </c>
    </row>
    <row r="25" spans="1:13">
      <c r="A25" t="s">
        <v>115</v>
      </c>
      <c r="B25" s="20">
        <v>2048</v>
      </c>
      <c r="C25" s="23">
        <f>SUMIFS(Annual_Cost!$Q$2:$Q$131,Annual_Cost!$A$2:$A$131,A25,Annual_Cost!$B$2:$B$131,B25)</f>
        <v>2496975565.3689308</v>
      </c>
      <c r="D25" s="23">
        <f>SUMIFS(Annual_Cost!$R$2:$R$131,Annual_Cost!$A$2:$A$131,A25,Annual_Cost!$B$2:$B$131,B25)</f>
        <v>7109185062.8738728</v>
      </c>
      <c r="E25" s="23">
        <f>SUMIFS(Annual_Cost!$S$2:$S$131,Annual_Cost!$A$2:$A$131,A25,Annual_Cost!$B$2:$B$131,B25)</f>
        <v>4612209497.5049419</v>
      </c>
      <c r="F25" s="23">
        <f>SUMIFS(Annual_Cost!$Y$2:$Y$131,Annual_Cost!$A$2:$A$131,A25,Annual_Cost!$B$2:$B$131,B25)</f>
        <v>2336968494.4148226</v>
      </c>
      <c r="G25" s="23">
        <f>SUMIFS($E$2:E25,$A$2:A25,A25)</f>
        <v>55852516162.689064</v>
      </c>
      <c r="H25" s="23">
        <f>SUMIFS($F$2:F25,$A$2:A25,A25)</f>
        <v>34328279365.045448</v>
      </c>
      <c r="I25" s="10">
        <v>322136832.26016098</v>
      </c>
      <c r="J25" s="29">
        <f t="shared" si="0"/>
        <v>7.7512886305169477</v>
      </c>
      <c r="K25" s="29">
        <f t="shared" si="1"/>
        <v>22.068836441318275</v>
      </c>
      <c r="L25" s="29">
        <f t="shared" si="2"/>
        <v>14.317547810801326</v>
      </c>
      <c r="M25" s="29">
        <f t="shared" si="3"/>
        <v>7.2545833334806717</v>
      </c>
    </row>
    <row r="26" spans="1:13">
      <c r="A26" t="s">
        <v>115</v>
      </c>
      <c r="B26" s="20">
        <v>2049</v>
      </c>
      <c r="C26" s="23">
        <f>SUMIFS(Annual_Cost!$Q$2:$Q$131,Annual_Cost!$A$2:$A$131,A26,Annual_Cost!$B$2:$B$131,B26)</f>
        <v>2532545786.0428152</v>
      </c>
      <c r="D26" s="23">
        <f>SUMIFS(Annual_Cost!$R$2:$R$131,Annual_Cost!$A$2:$A$131,A26,Annual_Cost!$B$2:$B$131,B26)</f>
        <v>7212837565.5570278</v>
      </c>
      <c r="E26" s="23">
        <f>SUMIFS(Annual_Cost!$S$2:$S$131,Annual_Cost!$A$2:$A$131,A26,Annual_Cost!$B$2:$B$131,B26)</f>
        <v>4680291779.5142126</v>
      </c>
      <c r="F26" s="23">
        <f>SUMIFS(Annual_Cost!$Y$2:$Y$131,Annual_Cost!$A$2:$A$131,A26,Annual_Cost!$B$2:$B$131,B26)</f>
        <v>2302393422.255518</v>
      </c>
      <c r="G26" s="23">
        <f>SUMIFS($E$2:E26,$A$2:A26,A26)</f>
        <v>60532807942.203278</v>
      </c>
      <c r="H26" s="23">
        <f>SUMIFS($F$2:F26,$A$2:A26,A26)</f>
        <v>36630672787.300964</v>
      </c>
      <c r="I26" s="10">
        <v>322765819.75268102</v>
      </c>
      <c r="J26" s="29">
        <f t="shared" si="0"/>
        <v>7.8463877866106637</v>
      </c>
      <c r="K26" s="29">
        <f t="shared" si="1"/>
        <v>22.346968371941792</v>
      </c>
      <c r="L26" s="29">
        <f t="shared" si="2"/>
        <v>14.500580585331129</v>
      </c>
      <c r="M26" s="29">
        <f t="shared" si="3"/>
        <v>7.1333247864340921</v>
      </c>
    </row>
    <row r="27" spans="1:13">
      <c r="A27" t="s">
        <v>115</v>
      </c>
      <c r="B27" s="20">
        <v>2050</v>
      </c>
      <c r="C27" s="23">
        <f>SUMIFS(Annual_Cost!$Q$2:$Q$131,Annual_Cost!$A$2:$A$131,A27,Annual_Cost!$B$2:$B$131,B27)</f>
        <v>2567216560.4074268</v>
      </c>
      <c r="D27" s="23">
        <f>SUMIFS(Annual_Cost!$R$2:$R$131,Annual_Cost!$A$2:$A$131,A27,Annual_Cost!$B$2:$B$131,B27)</f>
        <v>7313913342.5662327</v>
      </c>
      <c r="E27" s="23">
        <f>SUMIFS(Annual_Cost!$S$2:$S$131,Annual_Cost!$A$2:$A$131,A27,Annual_Cost!$B$2:$B$131,B27)</f>
        <v>4746696782.1588058</v>
      </c>
      <c r="F27" s="23">
        <f>SUMIFS(Annual_Cost!$Y$2:$Y$131,Annual_Cost!$A$2:$A$131,A27,Annual_Cost!$B$2:$B$131,B27)</f>
        <v>2267048818.7554445</v>
      </c>
      <c r="G27" s="23">
        <f>SUMIFS($E$2:E27,$A$2:A27,A27)</f>
        <v>65279504724.362083</v>
      </c>
      <c r="H27" s="23">
        <f>SUMIFS($F$2:F27,$A$2:A27,A27)</f>
        <v>38897721606.056412</v>
      </c>
      <c r="I27" s="10">
        <v>323312042.56328499</v>
      </c>
      <c r="J27" s="29">
        <f t="shared" si="0"/>
        <v>7.9403678874872741</v>
      </c>
      <c r="K27" s="29">
        <f t="shared" si="1"/>
        <v>22.621840141121901</v>
      </c>
      <c r="L27" s="29">
        <f t="shared" si="2"/>
        <v>14.681472253634626</v>
      </c>
      <c r="M27" s="29">
        <f t="shared" si="3"/>
        <v>7.0119529132964269</v>
      </c>
    </row>
  </sheetData>
  <autoFilter ref="A1:M1" xr:uid="{00000000-0009-0000-0000-00000D000000}"/>
  <pageMargins left="0.7" right="0.7" top="0.75" bottom="0.75" header="0.3" footer="0.3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2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1.69921875" customWidth="1"/>
    <col min="2" max="3" width="16.69921875" customWidth="1"/>
    <col min="4" max="4" width="15.69921875" customWidth="1"/>
    <col min="5" max="5" width="18.69921875" customWidth="1"/>
    <col min="6" max="6" width="23.69921875" customWidth="1"/>
    <col min="7" max="7" width="24.69921875" customWidth="1"/>
    <col min="8" max="8" width="11.69921875" customWidth="1"/>
    <col min="9" max="9" width="23.69921875" customWidth="1"/>
    <col min="10" max="10" width="36.69921875" customWidth="1"/>
    <col min="11" max="11" width="34.69921875" customWidth="1"/>
  </cols>
  <sheetData>
    <row r="1" spans="1:11" ht="28.05" customHeight="1">
      <c r="A1" s="1" t="s">
        <v>282</v>
      </c>
      <c r="B1" s="1" t="s">
        <v>283</v>
      </c>
      <c r="C1" s="1" t="s">
        <v>288</v>
      </c>
      <c r="D1" s="1" t="s">
        <v>290</v>
      </c>
      <c r="E1" s="1" t="s">
        <v>316</v>
      </c>
      <c r="F1" s="1" t="s">
        <v>317</v>
      </c>
      <c r="G1" s="1" t="s">
        <v>324</v>
      </c>
      <c r="H1" s="1" t="s">
        <v>325</v>
      </c>
      <c r="I1" s="1" t="s">
        <v>326</v>
      </c>
      <c r="J1" s="1" t="s">
        <v>312</v>
      </c>
      <c r="K1" s="1" t="s">
        <v>313</v>
      </c>
    </row>
    <row r="2" spans="1:11" ht="69">
      <c r="A2" t="s">
        <v>115</v>
      </c>
      <c r="B2" s="14" t="s">
        <v>291</v>
      </c>
      <c r="C2" s="23">
        <f>SUMIFS(Annual_Mortality!$H$2:$H$365,Annual_Mortality!$A$2:$A$365,A2)</f>
        <v>1576845.0949896546</v>
      </c>
      <c r="D2" s="23">
        <f>SUMIFS(Annual_Mortality!$J$2:$J$365,Annual_Mortality!$A$2:$A$365,A2)</f>
        <v>3251575.6030405117</v>
      </c>
      <c r="E2" s="23">
        <f>SUMIFS(Budget_Impact!$E$2:$E$27,Budget_Impact!$A$2:$A$27,A2)</f>
        <v>65279504724.362083</v>
      </c>
      <c r="F2" s="23">
        <f>SUMIFS(Budget_Impact!$F$2:$F$27,Budget_Impact!$A$2:$A$27,A2)</f>
        <v>38897721606.056412</v>
      </c>
      <c r="G2" s="23">
        <f>IF(C2&gt;0,F2/C2,"")</f>
        <v>24668.067731987088</v>
      </c>
      <c r="H2" s="32" t="str">
        <f>IF(AND(C2&gt;0,F2&lt;0),"Dominant (more health, lower cost)",IF(AND(C2&lt;=0,F2&gt;0),"Dominated (less/no health, higher cost)",IF(AND(C2&lt;=0,F2&lt;=0),"No deaths averted; ratio not defined","USD per death averted")))</f>
        <v>USD per death averted</v>
      </c>
      <c r="I2" s="16" t="str">
        <f>IF(AND(ABS(F2-SUMIFS(Budget_Impact!$F$2:$F$27,Budget_Impact!$A$2:$A$27,A2))&lt;=Calculation_Assumptions!$B$11,ABS(C2-SUMIFS(Annual_Mortality!$H$2:$H$365,Annual_Mortality!$A$2:$A$365,A2))&lt;=Calculation_Assumptions!$B$11),"consistent","mismatch")</f>
        <v>consistent</v>
      </c>
      <c r="J2" s="29">
        <f>IFERROR(AVERAGEIFS(Budget_Impact!$L$2:$L$27,Budget_Impact!$A$2:$A$27,A2,Budget_Impact!$B$2:$B$27,"&gt;="&amp;(Calculation_Assumptions!$B$2+1)),"")</f>
        <v>8.2455621804001797</v>
      </c>
      <c r="K2" s="29">
        <f>IFERROR(AVERAGEIFS(Budget_Impact!$M$2:$M$27,Budget_Impact!$A$2:$A$27,A2,Budget_Impact!$B$2:$B$27,"&gt;="&amp;(Calculation_Assumptions!$B$2+1)),"")</f>
        <v>4.9261599753952394</v>
      </c>
    </row>
  </sheetData>
  <autoFilter ref="A1:K1" xr:uid="{00000000-0009-0000-0000-00000E000000}"/>
  <conditionalFormatting sqref="H2">
    <cfRule type="containsText" dxfId="7" priority="1" operator="containsText" text="Dominated">
      <formula>NOT(ISERROR(SEARCH("Dominated", H2)))</formula>
    </cfRule>
  </conditionalFormatting>
  <conditionalFormatting sqref="I2">
    <cfRule type="containsText" dxfId="6" priority="2" operator="containsText" text="mismatch">
      <formula>NOT(ISERROR(SEARCH("mismatch", I2)))</formula>
    </cfRule>
    <cfRule type="containsText" dxfId="5" priority="3" operator="containsText" text="consistent">
      <formula>NOT(ISERROR(SEARCH("consistent", I2)))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7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2.69921875" customWidth="1"/>
    <col min="2" max="2" width="16.69921875" customWidth="1"/>
    <col min="3" max="3" width="12.69921875" customWidth="1"/>
    <col min="4" max="4" width="16.69921875" customWidth="1"/>
    <col min="5" max="5" width="19.69921875" customWidth="1"/>
    <col min="6" max="8" width="12.69921875" customWidth="1"/>
    <col min="9" max="9" width="14.69921875" customWidth="1"/>
    <col min="10" max="10" width="22.69921875" customWidth="1"/>
    <col min="11" max="11" width="12.69921875" customWidth="1"/>
    <col min="12" max="12" width="15.69921875" customWidth="1"/>
    <col min="13" max="13" width="16.69921875" customWidth="1"/>
    <col min="14" max="15" width="12.69921875" customWidth="1"/>
    <col min="16" max="16" width="16.69921875" customWidth="1"/>
    <col min="17" max="20" width="22.69921875" customWidth="1"/>
    <col min="21" max="22" width="13.69921875" customWidth="1"/>
    <col min="23" max="23" width="14.69921875" customWidth="1"/>
    <col min="24" max="25" width="12.69921875" customWidth="1"/>
    <col min="26" max="26" width="20.69921875" customWidth="1"/>
    <col min="27" max="27" width="17.69921875" customWidth="1"/>
    <col min="28" max="28" width="22.69921875" customWidth="1"/>
  </cols>
  <sheetData>
    <row r="1" spans="1:28" ht="28.05" customHeight="1">
      <c r="A1" s="1" t="s">
        <v>282</v>
      </c>
      <c r="B1" s="1" t="s">
        <v>283</v>
      </c>
      <c r="C1" s="1" t="s">
        <v>42</v>
      </c>
      <c r="D1" s="1" t="s">
        <v>288</v>
      </c>
      <c r="E1" s="1" t="s">
        <v>340</v>
      </c>
      <c r="F1" s="1" t="s">
        <v>341</v>
      </c>
      <c r="G1" s="1" t="s">
        <v>342</v>
      </c>
      <c r="H1" s="1" t="s">
        <v>343</v>
      </c>
      <c r="I1" s="1" t="s">
        <v>344</v>
      </c>
      <c r="J1" s="1" t="s">
        <v>345</v>
      </c>
      <c r="K1" s="1" t="s">
        <v>346</v>
      </c>
      <c r="L1" s="1" t="s">
        <v>347</v>
      </c>
      <c r="M1" s="1" t="s">
        <v>348</v>
      </c>
      <c r="N1" s="1" t="s">
        <v>349</v>
      </c>
      <c r="O1" s="1" t="s">
        <v>350</v>
      </c>
      <c r="P1" s="1" t="s">
        <v>351</v>
      </c>
      <c r="Q1" s="1" t="s">
        <v>352</v>
      </c>
      <c r="R1" s="1" t="s">
        <v>353</v>
      </c>
      <c r="S1" s="1" t="s">
        <v>354</v>
      </c>
      <c r="T1" s="1" t="s">
        <v>355</v>
      </c>
      <c r="U1" s="1" t="s">
        <v>356</v>
      </c>
      <c r="V1" s="1" t="s">
        <v>357</v>
      </c>
      <c r="W1" s="1" t="s">
        <v>358</v>
      </c>
      <c r="X1" s="1" t="s">
        <v>359</v>
      </c>
      <c r="Y1" s="1" t="s">
        <v>360</v>
      </c>
      <c r="Z1" s="1" t="s">
        <v>361</v>
      </c>
      <c r="AA1" s="1" t="s">
        <v>362</v>
      </c>
      <c r="AB1" s="1" t="s">
        <v>363</v>
      </c>
    </row>
    <row r="2" spans="1:28" ht="69">
      <c r="A2" t="s">
        <v>115</v>
      </c>
      <c r="B2" s="14" t="s">
        <v>291</v>
      </c>
      <c r="C2">
        <v>2025</v>
      </c>
      <c r="D2" s="10">
        <v>0</v>
      </c>
      <c r="E2" s="10">
        <v>0</v>
      </c>
      <c r="F2" s="10">
        <v>13851.4910785419</v>
      </c>
      <c r="G2" s="10">
        <v>74136.370794952702</v>
      </c>
      <c r="H2" s="10">
        <v>285721235.5</v>
      </c>
      <c r="I2" s="10">
        <v>37.51</v>
      </c>
      <c r="J2" s="23">
        <f>Calculation_Assumptions!$B$25*G2*(F2/G2)^Calculation_Assumptions!$B$26</f>
        <v>957963.82972618227</v>
      </c>
      <c r="K2" s="23">
        <f>Calculation_Assumptions!$B$27*F2</f>
        <v>277029.82157083799</v>
      </c>
      <c r="L2" s="23">
        <f t="shared" ref="L2:L27" si="0">MAX(J2,K2)</f>
        <v>957963.82972618227</v>
      </c>
      <c r="M2" s="23">
        <f t="shared" ref="M2:M27" si="1">IF(F2=0,"",L2/F2)</f>
        <v>69.159617855886736</v>
      </c>
      <c r="N2" s="23">
        <f>Calculation_Assumptions!$B$28*F2</f>
        <v>1385149.10785419</v>
      </c>
      <c r="O2" s="23">
        <f>Calculation_Assumptions!$B$29*F2</f>
        <v>2216238.5725667039</v>
      </c>
      <c r="P2" s="23">
        <f t="shared" ref="P2:P27" si="2">IF(I2=0,"",L2/I2)</f>
        <v>25538.891754896889</v>
      </c>
      <c r="Q2" s="23">
        <f t="shared" ref="Q2:Q27" si="3">L2*D2</f>
        <v>0</v>
      </c>
      <c r="R2" s="23">
        <f t="shared" ref="R2:R27" si="4">P2*E2</f>
        <v>0</v>
      </c>
      <c r="S2" s="23">
        <f t="shared" ref="S2:S27" si="5">N2*D2</f>
        <v>0</v>
      </c>
      <c r="T2" s="23">
        <f t="shared" ref="T2:T27" si="6">O2*D2</f>
        <v>0</v>
      </c>
      <c r="U2" s="21">
        <f>1/(1+Calculation_Assumptions!$B$22)^(C2-Calculation_Assumptions!$B$21)</f>
        <v>1</v>
      </c>
      <c r="V2" s="23">
        <f t="shared" ref="V2:V27" si="7">Q2*U2</f>
        <v>0</v>
      </c>
      <c r="W2" s="23">
        <f t="shared" ref="W2:W27" si="8">R2*U2</f>
        <v>0</v>
      </c>
      <c r="X2" s="23">
        <f t="shared" ref="X2:X27" si="9">S2*U2</f>
        <v>0</v>
      </c>
      <c r="Y2" s="23">
        <f t="shared" ref="Y2:Y27" si="10">T2*U2</f>
        <v>0</v>
      </c>
      <c r="Z2" s="23">
        <f t="shared" ref="Z2:Z27" si="11">H2*F2</f>
        <v>3957665144478.2192</v>
      </c>
      <c r="AA2" s="23">
        <f t="shared" ref="AA2:AA27" si="12">Z2*U2</f>
        <v>3957665144478.2192</v>
      </c>
      <c r="AB2" s="33">
        <f t="shared" ref="AB2:AB27" si="13">IF(Z2=0,"",Q2/Z2)</f>
        <v>0</v>
      </c>
    </row>
    <row r="3" spans="1:28" ht="69">
      <c r="A3" t="s">
        <v>115</v>
      </c>
      <c r="B3" s="14" t="s">
        <v>291</v>
      </c>
      <c r="C3">
        <v>2026</v>
      </c>
      <c r="D3" s="10">
        <v>31.257552291838</v>
      </c>
      <c r="E3" s="10">
        <v>435.89766816022001</v>
      </c>
      <c r="F3" s="10">
        <v>14370.1004216288</v>
      </c>
      <c r="G3" s="10">
        <v>75186.409743607393</v>
      </c>
      <c r="H3" s="10">
        <v>287886782.5</v>
      </c>
      <c r="I3" s="10">
        <v>37.588299999999997</v>
      </c>
      <c r="J3" s="23">
        <f>Calculation_Assumptions!$B$25*G3*(F3/G3)^Calculation_Assumptions!$B$26</f>
        <v>1005171.1466751626</v>
      </c>
      <c r="K3" s="23">
        <f>Calculation_Assumptions!$B$27*F3</f>
        <v>287402.00843257603</v>
      </c>
      <c r="L3" s="23">
        <f t="shared" si="0"/>
        <v>1005171.1466751626</v>
      </c>
      <c r="M3" s="23">
        <f t="shared" si="1"/>
        <v>69.948790696149501</v>
      </c>
      <c r="N3" s="23">
        <f>Calculation_Assumptions!$B$28*F3</f>
        <v>1437010.0421628801</v>
      </c>
      <c r="O3" s="23">
        <f>Calculation_Assumptions!$B$29*F3</f>
        <v>2299216.0674606082</v>
      </c>
      <c r="P3" s="23">
        <f t="shared" si="2"/>
        <v>26741.596365761758</v>
      </c>
      <c r="Q3" s="23">
        <f t="shared" si="3"/>
        <v>31419189.679445658</v>
      </c>
      <c r="R3" s="23">
        <f t="shared" si="4"/>
        <v>11656599.498717364</v>
      </c>
      <c r="S3" s="23">
        <f t="shared" si="5"/>
        <v>44917416.536802553</v>
      </c>
      <c r="T3" s="23">
        <f t="shared" si="6"/>
        <v>71867866.45888409</v>
      </c>
      <c r="U3" s="21">
        <f>1/(1+Calculation_Assumptions!$B$22)^(C3-Calculation_Assumptions!$B$21)</f>
        <v>0.970873786407767</v>
      </c>
      <c r="V3" s="23">
        <f t="shared" si="7"/>
        <v>30504067.649947241</v>
      </c>
      <c r="W3" s="23">
        <f t="shared" si="8"/>
        <v>11317086.891958605</v>
      </c>
      <c r="X3" s="23">
        <f t="shared" si="9"/>
        <v>43609142.268740341</v>
      </c>
      <c r="Y3" s="23">
        <f t="shared" si="10"/>
        <v>69774627.629984558</v>
      </c>
      <c r="Z3" s="23">
        <f t="shared" si="11"/>
        <v>4136961974584.6089</v>
      </c>
      <c r="AA3" s="23">
        <f t="shared" si="12"/>
        <v>4016467936489.9116</v>
      </c>
      <c r="AB3" s="33">
        <f t="shared" si="13"/>
        <v>7.5947494495886562E-6</v>
      </c>
    </row>
    <row r="4" spans="1:28" ht="69">
      <c r="A4" t="s">
        <v>115</v>
      </c>
      <c r="B4" s="14" t="s">
        <v>291</v>
      </c>
      <c r="C4">
        <v>2027</v>
      </c>
      <c r="D4" s="10">
        <v>419.99894596246003</v>
      </c>
      <c r="E4" s="10">
        <v>5678.0770155106802</v>
      </c>
      <c r="F4" s="10">
        <v>14908.1268548478</v>
      </c>
      <c r="G4" s="10">
        <v>76251.321038748298</v>
      </c>
      <c r="H4" s="10">
        <v>289986522</v>
      </c>
      <c r="I4" s="10">
        <v>37.6736</v>
      </c>
      <c r="J4" s="23">
        <f>Calculation_Assumptions!$B$25*G4*(F4/G4)^Calculation_Assumptions!$B$26</f>
        <v>1054704.7839969601</v>
      </c>
      <c r="K4" s="23">
        <f>Calculation_Assumptions!$B$27*F4</f>
        <v>298162.53709695599</v>
      </c>
      <c r="L4" s="23">
        <f t="shared" si="0"/>
        <v>1054704.7839969601</v>
      </c>
      <c r="M4" s="23">
        <f t="shared" si="1"/>
        <v>70.746968701436359</v>
      </c>
      <c r="N4" s="23">
        <f>Calculation_Assumptions!$B$28*F4</f>
        <v>1490812.68548478</v>
      </c>
      <c r="O4" s="23">
        <f>Calculation_Assumptions!$B$29*F4</f>
        <v>2385300.2967756479</v>
      </c>
      <c r="P4" s="23">
        <f t="shared" si="2"/>
        <v>27995.858744504378</v>
      </c>
      <c r="Q4" s="23">
        <f t="shared" si="3"/>
        <v>442974897.58028734</v>
      </c>
      <c r="R4" s="23">
        <f t="shared" si="4"/>
        <v>158962642.066654</v>
      </c>
      <c r="S4" s="23">
        <f t="shared" si="5"/>
        <v>626139756.53107202</v>
      </c>
      <c r="T4" s="23">
        <f t="shared" si="6"/>
        <v>1001823610.4497153</v>
      </c>
      <c r="U4" s="21">
        <f>1/(1+Calculation_Assumptions!$B$22)^(C4-Calculation_Assumptions!$B$21)</f>
        <v>0.94259590913375435</v>
      </c>
      <c r="V4" s="23">
        <f t="shared" si="7"/>
        <v>417546326.30812263</v>
      </c>
      <c r="W4" s="23">
        <f t="shared" si="8"/>
        <v>149837536.11712131</v>
      </c>
      <c r="X4" s="23">
        <f t="shared" si="9"/>
        <v>590196773.0521934</v>
      </c>
      <c r="Y4" s="23">
        <f t="shared" si="10"/>
        <v>944314836.88350952</v>
      </c>
      <c r="Z4" s="23">
        <f t="shared" si="11"/>
        <v>4323155856172.1123</v>
      </c>
      <c r="AA4" s="23">
        <f t="shared" si="12"/>
        <v>4074989024575.4663</v>
      </c>
      <c r="AB4" s="33">
        <f t="shared" si="13"/>
        <v>1.0246563212562831E-4</v>
      </c>
    </row>
    <row r="5" spans="1:28" ht="69">
      <c r="A5" t="s">
        <v>115</v>
      </c>
      <c r="B5" s="14" t="s">
        <v>291</v>
      </c>
      <c r="C5">
        <v>2028</v>
      </c>
      <c r="D5" s="10">
        <v>1039.2556408708899</v>
      </c>
      <c r="E5" s="10">
        <v>14371.8001358491</v>
      </c>
      <c r="F5" s="10">
        <v>15466.2973673947</v>
      </c>
      <c r="G5" s="10">
        <v>77331.315326552096</v>
      </c>
      <c r="H5" s="10">
        <v>292016778.5</v>
      </c>
      <c r="I5" s="10">
        <v>36.834000000000003</v>
      </c>
      <c r="J5" s="23">
        <f>Calculation_Assumptions!$B$25*G5*(F5/G5)^Calculation_Assumptions!$B$26</f>
        <v>1106679.3799897758</v>
      </c>
      <c r="K5" s="23">
        <f>Calculation_Assumptions!$B$27*F5</f>
        <v>309325.94734789402</v>
      </c>
      <c r="L5" s="23">
        <f t="shared" si="0"/>
        <v>1106679.3799897758</v>
      </c>
      <c r="M5" s="23">
        <f t="shared" si="1"/>
        <v>71.554254628701486</v>
      </c>
      <c r="N5" s="23">
        <f>Calculation_Assumptions!$B$28*F5</f>
        <v>1546629.7367394699</v>
      </c>
      <c r="O5" s="23">
        <f>Calculation_Assumptions!$B$29*F5</f>
        <v>2474607.5787831522</v>
      </c>
      <c r="P5" s="23">
        <f t="shared" si="2"/>
        <v>30045.050225057712</v>
      </c>
      <c r="Q5" s="23">
        <f t="shared" si="3"/>
        <v>1150122788.2898736</v>
      </c>
      <c r="R5" s="23">
        <f t="shared" si="4"/>
        <v>431801456.90607744</v>
      </c>
      <c r="S5" s="23">
        <f t="shared" si="5"/>
        <v>1607343678.2451537</v>
      </c>
      <c r="T5" s="23">
        <f t="shared" si="6"/>
        <v>2571749885.192246</v>
      </c>
      <c r="U5" s="21">
        <f>1/(1+Calculation_Assumptions!$B$22)^(C5-Calculation_Assumptions!$B$21)</f>
        <v>0.91514165935315961</v>
      </c>
      <c r="V5" s="23">
        <f t="shared" si="7"/>
        <v>1052525276.9354776</v>
      </c>
      <c r="W5" s="23">
        <f t="shared" si="8"/>
        <v>395159501.78413957</v>
      </c>
      <c r="X5" s="23">
        <f t="shared" si="9"/>
        <v>1470947160.860081</v>
      </c>
      <c r="Y5" s="23">
        <f t="shared" si="10"/>
        <v>2353515457.3761296</v>
      </c>
      <c r="Z5" s="23">
        <f t="shared" si="11"/>
        <v>4516418332549.6309</v>
      </c>
      <c r="AA5" s="23">
        <f t="shared" si="12"/>
        <v>4133162567182.4995</v>
      </c>
      <c r="AB5" s="33">
        <f t="shared" si="13"/>
        <v>2.5465373302578919E-4</v>
      </c>
    </row>
    <row r="6" spans="1:28" ht="69">
      <c r="A6" t="s">
        <v>115</v>
      </c>
      <c r="B6" s="14" t="s">
        <v>291</v>
      </c>
      <c r="C6">
        <v>2029</v>
      </c>
      <c r="D6" s="10">
        <v>1856.58850533635</v>
      </c>
      <c r="E6" s="10">
        <v>26052.555151703498</v>
      </c>
      <c r="F6" s="10">
        <v>16045.366167440099</v>
      </c>
      <c r="G6" s="10">
        <v>78426.606236706895</v>
      </c>
      <c r="H6" s="10">
        <v>293978109</v>
      </c>
      <c r="I6" s="10">
        <v>36.911799999999999</v>
      </c>
      <c r="J6" s="23">
        <f>Calculation_Assumptions!$B$25*G6*(F6/G6)^Calculation_Assumptions!$B$26</f>
        <v>1161215.2221906323</v>
      </c>
      <c r="K6" s="23">
        <f>Calculation_Assumptions!$B$27*F6</f>
        <v>320907.32334880199</v>
      </c>
      <c r="L6" s="23">
        <f t="shared" si="0"/>
        <v>1161215.2221906323</v>
      </c>
      <c r="M6" s="23">
        <f t="shared" si="1"/>
        <v>72.370752407446872</v>
      </c>
      <c r="N6" s="23">
        <f>Calculation_Assumptions!$B$28*F6</f>
        <v>1604536.61674401</v>
      </c>
      <c r="O6" s="23">
        <f>Calculation_Assumptions!$B$29*F6</f>
        <v>2567258.5867904159</v>
      </c>
      <c r="P6" s="23">
        <f t="shared" si="2"/>
        <v>31459.187094388035</v>
      </c>
      <c r="Q6" s="23">
        <f t="shared" si="3"/>
        <v>2155898833.7407236</v>
      </c>
      <c r="R6" s="23">
        <f t="shared" si="4"/>
        <v>819592206.80430317</v>
      </c>
      <c r="S6" s="23">
        <f t="shared" si="5"/>
        <v>2978964239.0382051</v>
      </c>
      <c r="T6" s="23">
        <f t="shared" si="6"/>
        <v>4766342782.4611282</v>
      </c>
      <c r="U6" s="21">
        <f>1/(1+Calculation_Assumptions!$B$22)^(C6-Calculation_Assumptions!$B$21)</f>
        <v>0.888487047915689</v>
      </c>
      <c r="V6" s="23">
        <f t="shared" si="7"/>
        <v>1915488190.3951724</v>
      </c>
      <c r="W6" s="23">
        <f t="shared" si="8"/>
        <v>728197060.31826019</v>
      </c>
      <c r="X6" s="23">
        <f t="shared" si="9"/>
        <v>2646771142.5894618</v>
      </c>
      <c r="Y6" s="23">
        <f t="shared" si="10"/>
        <v>4234833828.1431389</v>
      </c>
      <c r="Z6" s="23">
        <f t="shared" si="11"/>
        <v>4716986404116.6182</v>
      </c>
      <c r="AA6" s="23">
        <f t="shared" si="12"/>
        <v>4190981325252.0151</v>
      </c>
      <c r="AB6" s="33">
        <f t="shared" si="13"/>
        <v>4.5705004192066846E-4</v>
      </c>
    </row>
    <row r="7" spans="1:28" ht="69">
      <c r="A7" t="s">
        <v>115</v>
      </c>
      <c r="B7" s="14" t="s">
        <v>291</v>
      </c>
      <c r="C7">
        <v>2030</v>
      </c>
      <c r="D7" s="10">
        <v>2849.9084011845298</v>
      </c>
      <c r="E7" s="10">
        <v>40353.110901983098</v>
      </c>
      <c r="F7" s="10">
        <v>16646.115701226699</v>
      </c>
      <c r="G7" s="10">
        <v>79537.410424669099</v>
      </c>
      <c r="H7" s="10">
        <v>295876648</v>
      </c>
      <c r="I7" s="10">
        <v>36.992699999999999</v>
      </c>
      <c r="J7" s="23">
        <f>Calculation_Assumptions!$B$25*G7*(F7/G7)^Calculation_Assumptions!$B$26</f>
        <v>1218438.5257631587</v>
      </c>
      <c r="K7" s="23">
        <f>Calculation_Assumptions!$B$27*F7</f>
        <v>332922.31402453396</v>
      </c>
      <c r="L7" s="23">
        <f t="shared" si="0"/>
        <v>1218438.5257631587</v>
      </c>
      <c r="M7" s="23">
        <f t="shared" si="1"/>
        <v>73.196567153102777</v>
      </c>
      <c r="N7" s="23">
        <f>Calculation_Assumptions!$B$28*F7</f>
        <v>1664611.5701226699</v>
      </c>
      <c r="O7" s="23">
        <f>Calculation_Assumptions!$B$29*F7</f>
        <v>2663378.5121962717</v>
      </c>
      <c r="P7" s="23">
        <f t="shared" si="2"/>
        <v>32937.269400804988</v>
      </c>
      <c r="Q7" s="23">
        <f t="shared" si="3"/>
        <v>3472438190.8993192</v>
      </c>
      <c r="R7" s="23">
        <f t="shared" si="4"/>
        <v>1329121284.939178</v>
      </c>
      <c r="S7" s="23">
        <f t="shared" si="5"/>
        <v>4743990498.4015684</v>
      </c>
      <c r="T7" s="23">
        <f t="shared" si="6"/>
        <v>7590384797.4425087</v>
      </c>
      <c r="U7" s="21">
        <f>1/(1+Calculation_Assumptions!$B$22)^(C7-Calculation_Assumptions!$B$21)</f>
        <v>0.86260878438416411</v>
      </c>
      <c r="V7" s="23">
        <f t="shared" si="7"/>
        <v>2995355686.7008076</v>
      </c>
      <c r="W7" s="23">
        <f t="shared" si="8"/>
        <v>1146511695.9005024</v>
      </c>
      <c r="X7" s="23">
        <f t="shared" si="9"/>
        <v>4092207876.9562016</v>
      </c>
      <c r="Y7" s="23">
        <f t="shared" si="10"/>
        <v>6547532603.1299219</v>
      </c>
      <c r="Z7" s="23">
        <f t="shared" si="11"/>
        <v>4925196915899.125</v>
      </c>
      <c r="AA7" s="23">
        <f t="shared" si="12"/>
        <v>4248518124476.3784</v>
      </c>
      <c r="AB7" s="33">
        <f t="shared" si="13"/>
        <v>7.0503540268407815E-4</v>
      </c>
    </row>
    <row r="8" spans="1:28" ht="69">
      <c r="A8" t="s">
        <v>115</v>
      </c>
      <c r="B8" s="14" t="s">
        <v>291</v>
      </c>
      <c r="C8">
        <v>2031</v>
      </c>
      <c r="D8" s="10">
        <v>5381.7647063962204</v>
      </c>
      <c r="E8" s="10">
        <v>74914.295820940097</v>
      </c>
      <c r="F8" s="10">
        <v>17161.073466098602</v>
      </c>
      <c r="G8" s="10">
        <v>80420.156798629294</v>
      </c>
      <c r="H8" s="10">
        <v>297719748</v>
      </c>
      <c r="I8" s="10">
        <v>37.089500000000001</v>
      </c>
      <c r="J8" s="23">
        <f>Calculation_Assumptions!$B$25*G8*(F8/G8)^Calculation_Assumptions!$B$26</f>
        <v>1268394.0633523338</v>
      </c>
      <c r="K8" s="23">
        <f>Calculation_Assumptions!$B$27*F8</f>
        <v>343221.46932197205</v>
      </c>
      <c r="L8" s="23">
        <f t="shared" si="0"/>
        <v>1268394.0633523338</v>
      </c>
      <c r="M8" s="23">
        <f t="shared" si="1"/>
        <v>73.911114351792961</v>
      </c>
      <c r="N8" s="23">
        <f>Calculation_Assumptions!$B$28*F8</f>
        <v>1716107.3466098602</v>
      </c>
      <c r="O8" s="23">
        <f>Calculation_Assumptions!$B$29*F8</f>
        <v>2745771.7545757764</v>
      </c>
      <c r="P8" s="23">
        <f t="shared" si="2"/>
        <v>34198.197963098282</v>
      </c>
      <c r="Q8" s="23">
        <f t="shared" si="3"/>
        <v>6826198403.9520817</v>
      </c>
      <c r="R8" s="23">
        <f t="shared" si="4"/>
        <v>2561933918.7506156</v>
      </c>
      <c r="S8" s="23">
        <f t="shared" si="5"/>
        <v>9235685950.3722115</v>
      </c>
      <c r="T8" s="23">
        <f t="shared" si="6"/>
        <v>14777097520.595539</v>
      </c>
      <c r="U8" s="21">
        <f>1/(1+Calculation_Assumptions!$B$22)^(C8-Calculation_Assumptions!$B$21)</f>
        <v>0.83748425668365445</v>
      </c>
      <c r="V8" s="23">
        <f t="shared" si="7"/>
        <v>5716833696.3089571</v>
      </c>
      <c r="W8" s="23">
        <f t="shared" si="8"/>
        <v>2145579323.6175013</v>
      </c>
      <c r="X8" s="23">
        <f t="shared" si="9"/>
        <v>7734741583.1111422</v>
      </c>
      <c r="Y8" s="23">
        <f t="shared" si="10"/>
        <v>12375586532.977829</v>
      </c>
      <c r="Z8" s="23">
        <f t="shared" si="11"/>
        <v>5109190467736.3623</v>
      </c>
      <c r="AA8" s="23">
        <f t="shared" si="12"/>
        <v>4278866581127.4004</v>
      </c>
      <c r="AB8" s="33">
        <f t="shared" si="13"/>
        <v>1.3360626203032207E-3</v>
      </c>
    </row>
    <row r="9" spans="1:28" ht="69">
      <c r="A9" t="s">
        <v>115</v>
      </c>
      <c r="B9" s="14" t="s">
        <v>291</v>
      </c>
      <c r="C9">
        <v>2032</v>
      </c>
      <c r="D9" s="10">
        <v>9936.7483248369299</v>
      </c>
      <c r="E9" s="10">
        <v>135250.037305787</v>
      </c>
      <c r="F9" s="10">
        <v>17691.9617642167</v>
      </c>
      <c r="G9" s="10">
        <v>81312.700337930903</v>
      </c>
      <c r="H9" s="10">
        <v>299510661.5</v>
      </c>
      <c r="I9" s="10">
        <v>37.190399999999997</v>
      </c>
      <c r="J9" s="23">
        <f>Calculation_Assumptions!$B$25*G9*(F9/G9)^Calculation_Assumptions!$B$26</f>
        <v>1320397.7598621484</v>
      </c>
      <c r="K9" s="23">
        <f>Calculation_Assumptions!$B$27*F9</f>
        <v>353839.23528433399</v>
      </c>
      <c r="L9" s="23">
        <f t="shared" si="0"/>
        <v>1320397.7598621484</v>
      </c>
      <c r="M9" s="23">
        <f t="shared" si="1"/>
        <v>74.632636982787886</v>
      </c>
      <c r="N9" s="23">
        <f>Calculation_Assumptions!$B$28*F9</f>
        <v>1769196.17642167</v>
      </c>
      <c r="O9" s="23">
        <f>Calculation_Assumptions!$B$29*F9</f>
        <v>2830713.8822746719</v>
      </c>
      <c r="P9" s="23">
        <f t="shared" si="2"/>
        <v>35503.725688945226</v>
      </c>
      <c r="Q9" s="23">
        <f t="shared" si="3"/>
        <v>13120460228.428638</v>
      </c>
      <c r="R9" s="23">
        <f t="shared" si="4"/>
        <v>4801880223.9242697</v>
      </c>
      <c r="S9" s="23">
        <f t="shared" si="5"/>
        <v>17580057142.365932</v>
      </c>
      <c r="T9" s="23">
        <f t="shared" si="6"/>
        <v>28128091427.785488</v>
      </c>
      <c r="U9" s="21">
        <f>1/(1+Calculation_Assumptions!$B$22)^(C9-Calculation_Assumptions!$B$21)</f>
        <v>0.81309151134335378</v>
      </c>
      <c r="V9" s="23">
        <f t="shared" si="7"/>
        <v>10668134836.653406</v>
      </c>
      <c r="W9" s="23">
        <f t="shared" si="8"/>
        <v>3904368048.5603466</v>
      </c>
      <c r="X9" s="23">
        <f t="shared" si="9"/>
        <v>14294195231.388838</v>
      </c>
      <c r="Y9" s="23">
        <f t="shared" si="10"/>
        <v>22870712370.222137</v>
      </c>
      <c r="Z9" s="23">
        <f t="shared" si="11"/>
        <v>5298931171233.251</v>
      </c>
      <c r="AA9" s="23">
        <f t="shared" si="12"/>
        <v>4308515954522.4517</v>
      </c>
      <c r="AB9" s="33">
        <f t="shared" si="13"/>
        <v>2.476057869869451E-3</v>
      </c>
    </row>
    <row r="10" spans="1:28" ht="69">
      <c r="A10" t="s">
        <v>115</v>
      </c>
      <c r="B10" s="14" t="s">
        <v>291</v>
      </c>
      <c r="C10">
        <v>2033</v>
      </c>
      <c r="D10" s="10">
        <v>15837.554890043701</v>
      </c>
      <c r="E10" s="10">
        <v>214315.688342946</v>
      </c>
      <c r="F10" s="10">
        <v>18239.2734163655</v>
      </c>
      <c r="G10" s="10">
        <v>82215.149776465405</v>
      </c>
      <c r="H10" s="10">
        <v>301250984.5</v>
      </c>
      <c r="I10" s="10">
        <v>37.297499999999999</v>
      </c>
      <c r="J10" s="23">
        <f>Calculation_Assumptions!$B$25*G10*(F10/G10)^Calculation_Assumptions!$B$26</f>
        <v>1374533.5890654537</v>
      </c>
      <c r="K10" s="23">
        <f>Calculation_Assumptions!$B$27*F10</f>
        <v>364785.46832730999</v>
      </c>
      <c r="L10" s="23">
        <f t="shared" si="0"/>
        <v>1374533.5890654537</v>
      </c>
      <c r="M10" s="23">
        <f t="shared" si="1"/>
        <v>75.361203140478722</v>
      </c>
      <c r="N10" s="23">
        <f>Calculation_Assumptions!$B$28*F10</f>
        <v>1823927.3416365501</v>
      </c>
      <c r="O10" s="23">
        <f>Calculation_Assumptions!$B$29*F10</f>
        <v>2918283.74661848</v>
      </c>
      <c r="P10" s="23">
        <f t="shared" si="2"/>
        <v>36853.23651894775</v>
      </c>
      <c r="Q10" s="23">
        <f t="shared" si="3"/>
        <v>21769251165.032894</v>
      </c>
      <c r="R10" s="23">
        <f t="shared" si="4"/>
        <v>7898226752.2236824</v>
      </c>
      <c r="S10" s="23">
        <f t="shared" si="5"/>
        <v>28886549388.620354</v>
      </c>
      <c r="T10" s="23">
        <f t="shared" si="6"/>
        <v>46218479021.792557</v>
      </c>
      <c r="U10" s="21">
        <f>1/(1+Calculation_Assumptions!$B$22)^(C10-Calculation_Assumptions!$B$21)</f>
        <v>0.78940923431393573</v>
      </c>
      <c r="V10" s="23">
        <f t="shared" si="7"/>
        <v>17184847893.776371</v>
      </c>
      <c r="W10" s="23">
        <f t="shared" si="8"/>
        <v>6234933132.9107409</v>
      </c>
      <c r="X10" s="23">
        <f t="shared" si="9"/>
        <v>22803308834.84248</v>
      </c>
      <c r="Y10" s="23">
        <f t="shared" si="10"/>
        <v>36485294135.747963</v>
      </c>
      <c r="Z10" s="23">
        <f t="shared" si="11"/>
        <v>5494599073244.7852</v>
      </c>
      <c r="AA10" s="23">
        <f t="shared" si="12"/>
        <v>4337487247272.2266</v>
      </c>
      <c r="AB10" s="33">
        <f t="shared" si="13"/>
        <v>3.9619362349903467E-3</v>
      </c>
    </row>
    <row r="11" spans="1:28" ht="69">
      <c r="A11" t="s">
        <v>115</v>
      </c>
      <c r="B11" s="14" t="s">
        <v>291</v>
      </c>
      <c r="C11">
        <v>2034</v>
      </c>
      <c r="D11" s="10">
        <v>22868.804841869802</v>
      </c>
      <c r="E11" s="10">
        <v>309669.645824657</v>
      </c>
      <c r="F11" s="10">
        <v>18803.5164890413</v>
      </c>
      <c r="G11" s="10">
        <v>83127.615054908398</v>
      </c>
      <c r="H11" s="10">
        <v>302938573</v>
      </c>
      <c r="I11" s="10">
        <v>37.406399999999998</v>
      </c>
      <c r="J11" s="23">
        <f>Calculation_Assumptions!$B$25*G11*(F11/G11)^Calculation_Assumptions!$B$26</f>
        <v>1430888.9676292725</v>
      </c>
      <c r="K11" s="23">
        <f>Calculation_Assumptions!$B$27*F11</f>
        <v>376070.329780826</v>
      </c>
      <c r="L11" s="23">
        <f t="shared" si="0"/>
        <v>1430888.9676292725</v>
      </c>
      <c r="M11" s="23">
        <f t="shared" si="1"/>
        <v>76.096881583994957</v>
      </c>
      <c r="N11" s="23">
        <f>Calculation_Assumptions!$B$28*F11</f>
        <v>1880351.6489041299</v>
      </c>
      <c r="O11" s="23">
        <f>Calculation_Assumptions!$B$29*F11</f>
        <v>3008562.638246608</v>
      </c>
      <c r="P11" s="23">
        <f t="shared" si="2"/>
        <v>38252.517420261574</v>
      </c>
      <c r="Q11" s="23">
        <f t="shared" si="3"/>
        <v>32722720551.098389</v>
      </c>
      <c r="R11" s="23">
        <f t="shared" si="4"/>
        <v>11845643521.433924</v>
      </c>
      <c r="S11" s="23">
        <f t="shared" si="5"/>
        <v>43001394892.876633</v>
      </c>
      <c r="T11" s="23">
        <f t="shared" si="6"/>
        <v>68802231828.602615</v>
      </c>
      <c r="U11" s="21">
        <f>1/(1+Calculation_Assumptions!$B$22)^(C11-Calculation_Assumptions!$B$21)</f>
        <v>0.76641673234362695</v>
      </c>
      <c r="V11" s="23">
        <f t="shared" si="7"/>
        <v>25079240558.166473</v>
      </c>
      <c r="W11" s="23">
        <f t="shared" si="8"/>
        <v>9078699400.2048416</v>
      </c>
      <c r="X11" s="23">
        <f t="shared" si="9"/>
        <v>32956988560.016438</v>
      </c>
      <c r="Y11" s="23">
        <f t="shared" si="10"/>
        <v>52731181696.026299</v>
      </c>
      <c r="Z11" s="23">
        <f t="shared" si="11"/>
        <v>5696310452572.1416</v>
      </c>
      <c r="AA11" s="23">
        <f t="shared" si="12"/>
        <v>4365747643475.1875</v>
      </c>
      <c r="AB11" s="33">
        <f t="shared" si="13"/>
        <v>5.744546548779237E-3</v>
      </c>
    </row>
    <row r="12" spans="1:28" ht="69">
      <c r="A12" t="s">
        <v>115</v>
      </c>
      <c r="B12" s="14" t="s">
        <v>291</v>
      </c>
      <c r="C12">
        <v>2035</v>
      </c>
      <c r="D12" s="10">
        <v>30883.5843711251</v>
      </c>
      <c r="E12" s="10">
        <v>419050.99997868401</v>
      </c>
      <c r="F12" s="10">
        <v>19385.2147660882</v>
      </c>
      <c r="G12" s="10">
        <v>84050.207334112507</v>
      </c>
      <c r="H12" s="10">
        <v>304566622</v>
      </c>
      <c r="I12" s="10">
        <v>37.517899999999997</v>
      </c>
      <c r="J12" s="23">
        <f>Calculation_Assumptions!$B$25*G12*(F12/G12)^Calculation_Assumptions!$B$26</f>
        <v>1489554.8962722896</v>
      </c>
      <c r="K12" s="23">
        <f>Calculation_Assumptions!$B$27*F12</f>
        <v>387704.29532176402</v>
      </c>
      <c r="L12" s="23">
        <f t="shared" si="0"/>
        <v>1489554.8962722896</v>
      </c>
      <c r="M12" s="23">
        <f t="shared" si="1"/>
        <v>76.839741743695484</v>
      </c>
      <c r="N12" s="23">
        <f>Calculation_Assumptions!$B$28*F12</f>
        <v>1938521.47660882</v>
      </c>
      <c r="O12" s="23">
        <f>Calculation_Assumptions!$B$29*F12</f>
        <v>3101634.3625741121</v>
      </c>
      <c r="P12" s="23">
        <f t="shared" si="2"/>
        <v>39702.512567928636</v>
      </c>
      <c r="Q12" s="23">
        <f t="shared" si="3"/>
        <v>46002794314.447754</v>
      </c>
      <c r="R12" s="23">
        <f t="shared" si="4"/>
        <v>16637377593.256763</v>
      </c>
      <c r="S12" s="23">
        <f t="shared" si="5"/>
        <v>59868491578.086502</v>
      </c>
      <c r="T12" s="23">
        <f t="shared" si="6"/>
        <v>95789586524.938416</v>
      </c>
      <c r="U12" s="21">
        <f>1/(1+Calculation_Assumptions!$B$22)^(C12-Calculation_Assumptions!$B$21)</f>
        <v>0.74409391489672516</v>
      </c>
      <c r="V12" s="23">
        <f t="shared" si="7"/>
        <v>34230399317.62624</v>
      </c>
      <c r="W12" s="23">
        <f t="shared" si="8"/>
        <v>12379771426.98148</v>
      </c>
      <c r="X12" s="23">
        <f t="shared" si="9"/>
        <v>44547780277.300003</v>
      </c>
      <c r="Y12" s="23">
        <f t="shared" si="10"/>
        <v>71276448443.680023</v>
      </c>
      <c r="Z12" s="23">
        <f t="shared" si="11"/>
        <v>5904089378052.0029</v>
      </c>
      <c r="AA12" s="23">
        <f t="shared" si="12"/>
        <v>4393196979214.8862</v>
      </c>
      <c r="AB12" s="33">
        <f t="shared" si="13"/>
        <v>7.7916832501654862E-3</v>
      </c>
    </row>
    <row r="13" spans="1:28" ht="69">
      <c r="A13" t="s">
        <v>115</v>
      </c>
      <c r="B13" s="14" t="s">
        <v>291</v>
      </c>
      <c r="C13">
        <v>2036</v>
      </c>
      <c r="D13" s="10">
        <v>39834.461538001102</v>
      </c>
      <c r="E13" s="10">
        <v>541575.01502730802</v>
      </c>
      <c r="F13" s="10">
        <v>19931.358148438001</v>
      </c>
      <c r="G13" s="10">
        <v>84847.856806891301</v>
      </c>
      <c r="H13" s="10">
        <v>306135098</v>
      </c>
      <c r="I13" s="10">
        <v>37.6267</v>
      </c>
      <c r="J13" s="23">
        <f>Calculation_Assumptions!$B$25*G13*(F13/G13)^Calculation_Assumptions!$B$26</f>
        <v>1545627.6698162202</v>
      </c>
      <c r="K13" s="23">
        <f>Calculation_Assumptions!$B$27*F13</f>
        <v>398627.16296876001</v>
      </c>
      <c r="L13" s="23">
        <f t="shared" si="0"/>
        <v>1545627.6698162202</v>
      </c>
      <c r="M13" s="23">
        <f t="shared" si="1"/>
        <v>77.547533806036668</v>
      </c>
      <c r="N13" s="23">
        <f>Calculation_Assumptions!$B$28*F13</f>
        <v>1993135.8148438002</v>
      </c>
      <c r="O13" s="23">
        <f>Calculation_Assumptions!$B$29*F13</f>
        <v>3189017.3037500801</v>
      </c>
      <c r="P13" s="23">
        <f t="shared" si="2"/>
        <v>41077.949164189798</v>
      </c>
      <c r="Q13" s="23">
        <f t="shared" si="3"/>
        <v>61569245965.364487</v>
      </c>
      <c r="R13" s="23">
        <f t="shared" si="4"/>
        <v>22246790935.887085</v>
      </c>
      <c r="S13" s="23">
        <f t="shared" si="5"/>
        <v>79395491956.407837</v>
      </c>
      <c r="T13" s="23">
        <f t="shared" si="6"/>
        <v>127032787130.25255</v>
      </c>
      <c r="U13" s="21">
        <f>1/(1+Calculation_Assumptions!$B$22)^(C13-Calculation_Assumptions!$B$21)</f>
        <v>0.72242127659876232</v>
      </c>
      <c r="V13" s="23">
        <f t="shared" si="7"/>
        <v>44478933269.521812</v>
      </c>
      <c r="W13" s="23">
        <f t="shared" si="8"/>
        <v>16071555108.129322</v>
      </c>
      <c r="X13" s="23">
        <f t="shared" si="9"/>
        <v>57356992655.334915</v>
      </c>
      <c r="Y13" s="23">
        <f t="shared" si="10"/>
        <v>91771188248.535873</v>
      </c>
      <c r="Z13" s="23">
        <f t="shared" si="11"/>
        <v>6101688280045.166</v>
      </c>
      <c r="AA13" s="23">
        <f t="shared" si="12"/>
        <v>4407989436677.9355</v>
      </c>
      <c r="AB13" s="33">
        <f t="shared" si="13"/>
        <v>1.0090526283802347E-2</v>
      </c>
    </row>
    <row r="14" spans="1:28" ht="69">
      <c r="A14" t="s">
        <v>115</v>
      </c>
      <c r="B14" s="14" t="s">
        <v>291</v>
      </c>
      <c r="C14">
        <v>2037</v>
      </c>
      <c r="D14" s="10">
        <v>49551.404139501101</v>
      </c>
      <c r="E14" s="10">
        <v>674691.64924903703</v>
      </c>
      <c r="F14" s="10">
        <v>20492.888133292901</v>
      </c>
      <c r="G14" s="10">
        <v>85653.076096588004</v>
      </c>
      <c r="H14" s="10">
        <v>307646417.5</v>
      </c>
      <c r="I14" s="10">
        <v>37.736899999999999</v>
      </c>
      <c r="J14" s="23">
        <f>Calculation_Assumptions!$B$25*G14*(F14/G14)^Calculation_Assumptions!$B$26</f>
        <v>1603811.2456815364</v>
      </c>
      <c r="K14" s="23">
        <f>Calculation_Assumptions!$B$27*F14</f>
        <v>409857.76266585803</v>
      </c>
      <c r="L14" s="23">
        <f t="shared" si="0"/>
        <v>1603811.2456815364</v>
      </c>
      <c r="M14" s="23">
        <f t="shared" si="1"/>
        <v>78.261845536353292</v>
      </c>
      <c r="N14" s="23">
        <f>Calculation_Assumptions!$B$28*F14</f>
        <v>2049288.8133292901</v>
      </c>
      <c r="O14" s="23">
        <f>Calculation_Assumptions!$B$29*F14</f>
        <v>3278862.1013268642</v>
      </c>
      <c r="P14" s="23">
        <f t="shared" si="2"/>
        <v>42499.814390729931</v>
      </c>
      <c r="Q14" s="23">
        <f t="shared" si="3"/>
        <v>79471099198.242493</v>
      </c>
      <c r="R14" s="23">
        <f t="shared" si="4"/>
        <v>28674269864.059536</v>
      </c>
      <c r="S14" s="23">
        <f t="shared" si="5"/>
        <v>101545138187.83829</v>
      </c>
      <c r="T14" s="23">
        <f t="shared" si="6"/>
        <v>162472221100.54126</v>
      </c>
      <c r="U14" s="21">
        <f>1/(1+Calculation_Assumptions!$B$22)^(C14-Calculation_Assumptions!$B$21)</f>
        <v>0.70137988019297326</v>
      </c>
      <c r="V14" s="23">
        <f t="shared" si="7"/>
        <v>55739430034.467216</v>
      </c>
      <c r="W14" s="23">
        <f t="shared" si="8"/>
        <v>20111555961.875061</v>
      </c>
      <c r="X14" s="23">
        <f t="shared" si="9"/>
        <v>71221716856.364929</v>
      </c>
      <c r="Y14" s="23">
        <f t="shared" si="10"/>
        <v>113954746970.18388</v>
      </c>
      <c r="Z14" s="23">
        <f t="shared" si="11"/>
        <v>6304563618435.8232</v>
      </c>
      <c r="AA14" s="23">
        <f t="shared" si="12"/>
        <v>4421894075367.4961</v>
      </c>
      <c r="AB14" s="33">
        <f t="shared" si="13"/>
        <v>1.2605329093016506E-2</v>
      </c>
    </row>
    <row r="15" spans="1:28" ht="69">
      <c r="A15" t="s">
        <v>115</v>
      </c>
      <c r="B15" s="14" t="s">
        <v>291</v>
      </c>
      <c r="C15">
        <v>2038</v>
      </c>
      <c r="D15" s="10">
        <v>59951.626655629698</v>
      </c>
      <c r="E15" s="10">
        <v>817392.10431782401</v>
      </c>
      <c r="F15" s="10">
        <v>21070.238210363499</v>
      </c>
      <c r="G15" s="10">
        <v>86465.937041936297</v>
      </c>
      <c r="H15" s="10">
        <v>309096448</v>
      </c>
      <c r="I15" s="10">
        <v>37.849600000000002</v>
      </c>
      <c r="J15" s="23">
        <f>Calculation_Assumptions!$B$25*G15*(F15/G15)^Calculation_Assumptions!$B$26</f>
        <v>1664185.0828669602</v>
      </c>
      <c r="K15" s="23">
        <f>Calculation_Assumptions!$B$27*F15</f>
        <v>421404.76420727</v>
      </c>
      <c r="L15" s="23">
        <f t="shared" si="0"/>
        <v>1664185.0828669602</v>
      </c>
      <c r="M15" s="23">
        <f t="shared" si="1"/>
        <v>78.9827369891064</v>
      </c>
      <c r="N15" s="23">
        <f>Calculation_Assumptions!$B$28*F15</f>
        <v>2107023.82103635</v>
      </c>
      <c r="O15" s="23">
        <f>Calculation_Assumptions!$B$29*F15</f>
        <v>3371238.11365816</v>
      </c>
      <c r="P15" s="23">
        <f t="shared" si="2"/>
        <v>43968.366452141112</v>
      </c>
      <c r="Q15" s="23">
        <f t="shared" si="3"/>
        <v>99770602773.908173</v>
      </c>
      <c r="R15" s="23">
        <f t="shared" si="4"/>
        <v>35939395577.732841</v>
      </c>
      <c r="S15" s="23">
        <f t="shared" si="5"/>
        <v>126319505473.28958</v>
      </c>
      <c r="T15" s="23">
        <f t="shared" si="6"/>
        <v>202111208757.26334</v>
      </c>
      <c r="U15" s="21">
        <f>1/(1+Calculation_Assumptions!$B$22)^(C15-Calculation_Assumptions!$B$21)</f>
        <v>0.68095133999317792</v>
      </c>
      <c r="V15" s="23">
        <f t="shared" si="7"/>
        <v>67938925650.819847</v>
      </c>
      <c r="W15" s="23">
        <f t="shared" si="8"/>
        <v>24472979577.202072</v>
      </c>
      <c r="X15" s="23">
        <f t="shared" si="9"/>
        <v>86017436519.312119</v>
      </c>
      <c r="Y15" s="23">
        <f t="shared" si="10"/>
        <v>137627898430.89938</v>
      </c>
      <c r="Z15" s="23">
        <f t="shared" si="11"/>
        <v>6512735789337.2344</v>
      </c>
      <c r="AA15" s="23">
        <f t="shared" si="12"/>
        <v>4434856162770.7168</v>
      </c>
      <c r="AB15" s="33">
        <f t="shared" si="13"/>
        <v>1.5319307584572117E-2</v>
      </c>
    </row>
    <row r="16" spans="1:28" ht="69">
      <c r="A16" t="s">
        <v>115</v>
      </c>
      <c r="B16" s="14" t="s">
        <v>291</v>
      </c>
      <c r="C16">
        <v>2039</v>
      </c>
      <c r="D16" s="10">
        <v>71050.687827059795</v>
      </c>
      <c r="E16" s="10">
        <v>969602.81540248799</v>
      </c>
      <c r="F16" s="10">
        <v>21663.854082149101</v>
      </c>
      <c r="G16" s="10">
        <v>87286.512163430903</v>
      </c>
      <c r="H16" s="10">
        <v>310481120</v>
      </c>
      <c r="I16" s="10">
        <v>37.958199999999998</v>
      </c>
      <c r="J16" s="23">
        <f>Calculation_Assumptions!$B$25*G16*(F16/G16)^Calculation_Assumptions!$B$26</f>
        <v>1726831.6315240795</v>
      </c>
      <c r="K16" s="23">
        <f>Calculation_Assumptions!$B$27*F16</f>
        <v>433277.08164298203</v>
      </c>
      <c r="L16" s="23">
        <f t="shared" si="0"/>
        <v>1726831.6315240795</v>
      </c>
      <c r="M16" s="23">
        <f t="shared" si="1"/>
        <v>79.710268771934693</v>
      </c>
      <c r="N16" s="23">
        <f>Calculation_Assumptions!$B$28*F16</f>
        <v>2166385.40821491</v>
      </c>
      <c r="O16" s="23">
        <f>Calculation_Assumptions!$B$29*F16</f>
        <v>3466216.6531438562</v>
      </c>
      <c r="P16" s="23">
        <f t="shared" si="2"/>
        <v>45492.979949630899</v>
      </c>
      <c r="Q16" s="23">
        <f t="shared" si="3"/>
        <v>122692575181.30972</v>
      </c>
      <c r="R16" s="23">
        <f t="shared" si="4"/>
        <v>44110121440.21106</v>
      </c>
      <c r="S16" s="23">
        <f t="shared" si="5"/>
        <v>153923173352.17508</v>
      </c>
      <c r="T16" s="23">
        <f t="shared" si="6"/>
        <v>246277077363.48013</v>
      </c>
      <c r="U16" s="21">
        <f>1/(1+Calculation_Assumptions!$B$22)^(C16-Calculation_Assumptions!$B$21)</f>
        <v>0.66111780581861923</v>
      </c>
      <c r="V16" s="23">
        <f t="shared" si="7"/>
        <v>81114246094.10347</v>
      </c>
      <c r="W16" s="23">
        <f t="shared" si="8"/>
        <v>29161986700.945168</v>
      </c>
      <c r="X16" s="23">
        <f t="shared" si="9"/>
        <v>101761350631.22894</v>
      </c>
      <c r="Y16" s="23">
        <f t="shared" si="10"/>
        <v>162818161009.96634</v>
      </c>
      <c r="Z16" s="23">
        <f t="shared" si="11"/>
        <v>6726217678942.2246</v>
      </c>
      <c r="AA16" s="23">
        <f t="shared" si="12"/>
        <v>4446822273360.6895</v>
      </c>
      <c r="AB16" s="33">
        <f t="shared" si="13"/>
        <v>1.8240946255043675E-2</v>
      </c>
    </row>
    <row r="17" spans="1:28" ht="69">
      <c r="A17" t="s">
        <v>115</v>
      </c>
      <c r="B17" s="14" t="s">
        <v>291</v>
      </c>
      <c r="C17">
        <v>2040</v>
      </c>
      <c r="D17" s="10">
        <v>82706.946362273506</v>
      </c>
      <c r="E17" s="10">
        <v>1129612.4786275299</v>
      </c>
      <c r="F17" s="10">
        <v>22274.194008011302</v>
      </c>
      <c r="G17" s="10">
        <v>88114.874669796802</v>
      </c>
      <c r="H17" s="10">
        <v>311797395.5</v>
      </c>
      <c r="I17" s="10">
        <v>38.0715</v>
      </c>
      <c r="J17" s="23">
        <f>Calculation_Assumptions!$B$25*G17*(F17/G17)^Calculation_Assumptions!$B$26</f>
        <v>1791836.4455562858</v>
      </c>
      <c r="K17" s="23">
        <f>Calculation_Assumptions!$B$27*F17</f>
        <v>445483.88016022602</v>
      </c>
      <c r="L17" s="23">
        <f t="shared" si="0"/>
        <v>1791836.4455562858</v>
      </c>
      <c r="M17" s="23">
        <f t="shared" si="1"/>
        <v>80.444502050750771</v>
      </c>
      <c r="N17" s="23">
        <f>Calculation_Assumptions!$B$28*F17</f>
        <v>2227419.4008011301</v>
      </c>
      <c r="O17" s="23">
        <f>Calculation_Assumptions!$B$29*F17</f>
        <v>3563871.0412818082</v>
      </c>
      <c r="P17" s="23">
        <f t="shared" si="2"/>
        <v>47065.034095223091</v>
      </c>
      <c r="Q17" s="23">
        <f t="shared" si="3"/>
        <v>148197320792.59055</v>
      </c>
      <c r="R17" s="23">
        <f t="shared" si="4"/>
        <v>53165249820.994164</v>
      </c>
      <c r="S17" s="23">
        <f t="shared" si="5"/>
        <v>184223056908.34647</v>
      </c>
      <c r="T17" s="23">
        <f t="shared" si="6"/>
        <v>294756891053.35431</v>
      </c>
      <c r="U17" s="21">
        <f>1/(1+Calculation_Assumptions!$B$22)^(C17-Calculation_Assumptions!$B$21)</f>
        <v>0.64186194739671765</v>
      </c>
      <c r="V17" s="23">
        <f t="shared" si="7"/>
        <v>95122220922.908249</v>
      </c>
      <c r="W17" s="23">
        <f t="shared" si="8"/>
        <v>34124750783.93631</v>
      </c>
      <c r="X17" s="23">
        <f t="shared" si="9"/>
        <v>118245770062.5676</v>
      </c>
      <c r="Y17" s="23">
        <f t="shared" si="10"/>
        <v>189193232100.10812</v>
      </c>
      <c r="Z17" s="23">
        <f t="shared" si="11"/>
        <v>6945035678559.6299</v>
      </c>
      <c r="AA17" s="23">
        <f t="shared" si="12"/>
        <v>4457754125379.9688</v>
      </c>
      <c r="AB17" s="33">
        <f t="shared" si="13"/>
        <v>2.133859747475423E-2</v>
      </c>
    </row>
    <row r="18" spans="1:28" ht="69">
      <c r="A18" t="s">
        <v>115</v>
      </c>
      <c r="B18" s="14" t="s">
        <v>291</v>
      </c>
      <c r="C18">
        <v>2041</v>
      </c>
      <c r="D18" s="10">
        <v>93023.930295420505</v>
      </c>
      <c r="E18" s="10">
        <v>1274290.3538679699</v>
      </c>
      <c r="F18" s="10">
        <v>22835.781799026801</v>
      </c>
      <c r="G18" s="10">
        <v>88881.561359791202</v>
      </c>
      <c r="H18" s="10">
        <v>313041661</v>
      </c>
      <c r="I18" s="10">
        <v>37.258299999999998</v>
      </c>
      <c r="J18" s="23">
        <f>Calculation_Assumptions!$B$25*G18*(F18/G18)^Calculation_Assumptions!$B$26</f>
        <v>1851987.1625359422</v>
      </c>
      <c r="K18" s="23">
        <f>Calculation_Assumptions!$B$27*F18</f>
        <v>456715.635980536</v>
      </c>
      <c r="L18" s="23">
        <f t="shared" si="0"/>
        <v>1851987.1625359422</v>
      </c>
      <c r="M18" s="23">
        <f t="shared" si="1"/>
        <v>81.100230280483274</v>
      </c>
      <c r="N18" s="23">
        <f>Calculation_Assumptions!$B$28*F18</f>
        <v>2283578.1799026802</v>
      </c>
      <c r="O18" s="23">
        <f>Calculation_Assumptions!$B$29*F18</f>
        <v>3653725.087844288</v>
      </c>
      <c r="P18" s="23">
        <f t="shared" si="2"/>
        <v>49706.700588484775</v>
      </c>
      <c r="Q18" s="23">
        <f t="shared" si="3"/>
        <v>172279124715.75708</v>
      </c>
      <c r="R18" s="23">
        <f t="shared" si="4"/>
        <v>63340769082.509491</v>
      </c>
      <c r="S18" s="23">
        <f t="shared" si="5"/>
        <v>212427417431.41016</v>
      </c>
      <c r="T18" s="23">
        <f t="shared" si="6"/>
        <v>339883867890.25623</v>
      </c>
      <c r="U18" s="21">
        <f>1/(1+Calculation_Assumptions!$B$22)^(C18-Calculation_Assumptions!$B$21)</f>
        <v>0.62316693922011435</v>
      </c>
      <c r="V18" s="23">
        <f t="shared" si="7"/>
        <v>107358654840.63869</v>
      </c>
      <c r="W18" s="23">
        <f t="shared" si="8"/>
        <v>39471873196.995491</v>
      </c>
      <c r="X18" s="23">
        <f t="shared" si="9"/>
        <v>132377743527.16544</v>
      </c>
      <c r="Y18" s="23">
        <f t="shared" si="10"/>
        <v>211804389643.46466</v>
      </c>
      <c r="Z18" s="23">
        <f t="shared" si="11"/>
        <v>7148551064600.918</v>
      </c>
      <c r="AA18" s="23">
        <f t="shared" si="12"/>
        <v>4454740686786.0439</v>
      </c>
      <c r="AB18" s="33">
        <f t="shared" si="13"/>
        <v>2.4099866274841376E-2</v>
      </c>
    </row>
    <row r="19" spans="1:28" ht="69">
      <c r="A19" t="s">
        <v>115</v>
      </c>
      <c r="B19" s="14" t="s">
        <v>291</v>
      </c>
      <c r="C19">
        <v>2042</v>
      </c>
      <c r="D19" s="10">
        <v>101174.93452869701</v>
      </c>
      <c r="E19" s="10">
        <v>1392165.02422734</v>
      </c>
      <c r="F19" s="10">
        <v>23411.5286140188</v>
      </c>
      <c r="G19" s="10">
        <v>89654.918983413998</v>
      </c>
      <c r="H19" s="10">
        <v>314211282.5</v>
      </c>
      <c r="I19" s="10">
        <v>37.373199999999997</v>
      </c>
      <c r="J19" s="23">
        <f>Calculation_Assumptions!$B$25*G19*(F19/G19)^Calculation_Assumptions!$B$26</f>
        <v>1914157.097710504</v>
      </c>
      <c r="K19" s="23">
        <f>Calculation_Assumptions!$B$27*F19</f>
        <v>468230.57228037599</v>
      </c>
      <c r="L19" s="23">
        <f t="shared" si="0"/>
        <v>1914157.097710504</v>
      </c>
      <c r="M19" s="23">
        <f t="shared" si="1"/>
        <v>81.761303555561454</v>
      </c>
      <c r="N19" s="23">
        <f>Calculation_Assumptions!$B$28*F19</f>
        <v>2341152.8614018802</v>
      </c>
      <c r="O19" s="23">
        <f>Calculation_Assumptions!$B$29*F19</f>
        <v>3745844.5782430079</v>
      </c>
      <c r="P19" s="23">
        <f t="shared" si="2"/>
        <v>51217.372280417629</v>
      </c>
      <c r="Q19" s="23">
        <f t="shared" si="3"/>
        <v>193664719038.50092</v>
      </c>
      <c r="R19" s="23">
        <f t="shared" si="4"/>
        <v>71303034321.628296</v>
      </c>
      <c r="S19" s="23">
        <f t="shared" si="5"/>
        <v>236865987474.00687</v>
      </c>
      <c r="T19" s="23">
        <f t="shared" si="6"/>
        <v>378985579958.41095</v>
      </c>
      <c r="U19" s="21">
        <f>1/(1+Calculation_Assumptions!$B$22)^(C19-Calculation_Assumptions!$B$21)</f>
        <v>0.60501644584477121</v>
      </c>
      <c r="V19" s="23">
        <f t="shared" si="7"/>
        <v>117170339998.20003</v>
      </c>
      <c r="W19" s="23">
        <f t="shared" si="8"/>
        <v>43139508403.219292</v>
      </c>
      <c r="X19" s="23">
        <f t="shared" si="9"/>
        <v>143307817883.03574</v>
      </c>
      <c r="Y19" s="23">
        <f t="shared" si="10"/>
        <v>229292508612.85715</v>
      </c>
      <c r="Z19" s="23">
        <f t="shared" si="11"/>
        <v>7356166431096.2949</v>
      </c>
      <c r="AA19" s="23">
        <f t="shared" si="12"/>
        <v>4450601669184.4951</v>
      </c>
      <c r="AB19" s="33">
        <f t="shared" si="13"/>
        <v>2.6326853919431906E-2</v>
      </c>
    </row>
    <row r="20" spans="1:28" ht="69">
      <c r="A20" t="s">
        <v>115</v>
      </c>
      <c r="B20" s="14" t="s">
        <v>291</v>
      </c>
      <c r="C20">
        <v>2043</v>
      </c>
      <c r="D20" s="10">
        <v>108001.41642101599</v>
      </c>
      <c r="E20" s="10">
        <v>1492086.0567972499</v>
      </c>
      <c r="F20" s="10">
        <v>24001.7914371726</v>
      </c>
      <c r="G20" s="10">
        <v>90435.005584395898</v>
      </c>
      <c r="H20" s="10">
        <v>315304312</v>
      </c>
      <c r="I20" s="10">
        <v>37.491100000000003</v>
      </c>
      <c r="J20" s="23">
        <f>Calculation_Assumptions!$B$25*G20*(F20/G20)^Calculation_Assumptions!$B$26</f>
        <v>1978414.0348458875</v>
      </c>
      <c r="K20" s="23">
        <f>Calculation_Assumptions!$B$27*F20</f>
        <v>480035.82874345197</v>
      </c>
      <c r="L20" s="23">
        <f t="shared" si="0"/>
        <v>1978414.0348458875</v>
      </c>
      <c r="M20" s="23">
        <f t="shared" si="1"/>
        <v>82.427765445117274</v>
      </c>
      <c r="N20" s="23">
        <f>Calculation_Assumptions!$B$28*F20</f>
        <v>2400179.1437172601</v>
      </c>
      <c r="O20" s="23">
        <f>Calculation_Assumptions!$B$29*F20</f>
        <v>3840286.6299476158</v>
      </c>
      <c r="P20" s="23">
        <f t="shared" si="2"/>
        <v>52770.23173088779</v>
      </c>
      <c r="Q20" s="23">
        <f t="shared" si="3"/>
        <v>213671518030.57315</v>
      </c>
      <c r="R20" s="23">
        <f t="shared" si="4"/>
        <v>78737726979.617477</v>
      </c>
      <c r="S20" s="23">
        <f t="shared" si="5"/>
        <v>259222747185.64542</v>
      </c>
      <c r="T20" s="23">
        <f t="shared" si="6"/>
        <v>414756395497.03259</v>
      </c>
      <c r="U20" s="21">
        <f>1/(1+Calculation_Assumptions!$B$22)^(C20-Calculation_Assumptions!$B$21)</f>
        <v>0.5873946076162827</v>
      </c>
      <c r="V20" s="23">
        <f t="shared" si="7"/>
        <v>125509497492.34399</v>
      </c>
      <c r="W20" s="23">
        <f t="shared" si="8"/>
        <v>46250116243.790405</v>
      </c>
      <c r="X20" s="23">
        <f t="shared" si="9"/>
        <v>152266043868.32703</v>
      </c>
      <c r="Y20" s="23">
        <f t="shared" si="10"/>
        <v>243625670189.32321</v>
      </c>
      <c r="Z20" s="23">
        <f t="shared" si="11"/>
        <v>7567868335865.1982</v>
      </c>
      <c r="AA20" s="23">
        <f t="shared" si="12"/>
        <v>4445325051637.2285</v>
      </c>
      <c r="AB20" s="33">
        <f t="shared" si="13"/>
        <v>2.823404273802619E-2</v>
      </c>
    </row>
    <row r="21" spans="1:28" ht="69">
      <c r="A21" t="s">
        <v>115</v>
      </c>
      <c r="B21" s="14" t="s">
        <v>291</v>
      </c>
      <c r="C21">
        <v>2044</v>
      </c>
      <c r="D21" s="10">
        <v>113848.347611744</v>
      </c>
      <c r="E21" s="10">
        <v>1578461.1715330901</v>
      </c>
      <c r="F21" s="10">
        <v>24606.936253131698</v>
      </c>
      <c r="G21" s="10">
        <v>91221.879711504793</v>
      </c>
      <c r="H21" s="10">
        <v>316318415.5</v>
      </c>
      <c r="I21" s="10">
        <v>37.609900000000003</v>
      </c>
      <c r="J21" s="23">
        <f>Calculation_Assumptions!$B$25*G21*(F21/G21)^Calculation_Assumptions!$B$26</f>
        <v>2044828.0331623689</v>
      </c>
      <c r="K21" s="23">
        <f>Calculation_Assumptions!$B$27*F21</f>
        <v>492138.72506263398</v>
      </c>
      <c r="L21" s="23">
        <f t="shared" si="0"/>
        <v>2044828.0331623689</v>
      </c>
      <c r="M21" s="23">
        <f t="shared" si="1"/>
        <v>83.099659873427996</v>
      </c>
      <c r="N21" s="23">
        <f>Calculation_Assumptions!$B$28*F21</f>
        <v>2460693.6253131698</v>
      </c>
      <c r="O21" s="23">
        <f>Calculation_Assumptions!$B$29*F21</f>
        <v>3937109.8005010718</v>
      </c>
      <c r="P21" s="23">
        <f t="shared" si="2"/>
        <v>54369.408936539818</v>
      </c>
      <c r="Q21" s="23">
        <f t="shared" si="3"/>
        <v>232800292725.70816</v>
      </c>
      <c r="R21" s="23">
        <f t="shared" si="4"/>
        <v>85820000925.532303</v>
      </c>
      <c r="S21" s="23">
        <f t="shared" si="5"/>
        <v>280145903220.65631</v>
      </c>
      <c r="T21" s="23">
        <f t="shared" si="6"/>
        <v>448233445153.05011</v>
      </c>
      <c r="U21" s="21">
        <f>1/(1+Calculation_Assumptions!$B$22)^(C21-Calculation_Assumptions!$B$21)</f>
        <v>0.57028602681192497</v>
      </c>
      <c r="V21" s="23">
        <f t="shared" si="7"/>
        <v>132762753979.19719</v>
      </c>
      <c r="W21" s="23">
        <f t="shared" si="8"/>
        <v>48941947348.817543</v>
      </c>
      <c r="X21" s="23">
        <f t="shared" si="9"/>
        <v>159763294075.34613</v>
      </c>
      <c r="Y21" s="23">
        <f t="shared" si="10"/>
        <v>255621270520.55383</v>
      </c>
      <c r="Z21" s="23">
        <f t="shared" si="11"/>
        <v>7783627085900.126</v>
      </c>
      <c r="AA21" s="23">
        <f t="shared" si="12"/>
        <v>4438893765003.665</v>
      </c>
      <c r="AB21" s="33">
        <f t="shared" si="13"/>
        <v>2.9908973047722304E-2</v>
      </c>
    </row>
    <row r="22" spans="1:28" ht="69">
      <c r="A22" t="s">
        <v>115</v>
      </c>
      <c r="B22" s="14" t="s">
        <v>291</v>
      </c>
      <c r="C22">
        <v>2045</v>
      </c>
      <c r="D22" s="10">
        <v>118896.485121094</v>
      </c>
      <c r="E22" s="10">
        <v>1653504.9542060799</v>
      </c>
      <c r="F22" s="10">
        <v>25227.338273922502</v>
      </c>
      <c r="G22" s="10">
        <v>92015.600422941701</v>
      </c>
      <c r="H22" s="10">
        <v>317249613</v>
      </c>
      <c r="I22" s="10">
        <v>37.724499999999999</v>
      </c>
      <c r="J22" s="23">
        <f>Calculation_Assumptions!$B$25*G22*(F22/G22)^Calculation_Assumptions!$B$26</f>
        <v>2113471.5037201103</v>
      </c>
      <c r="K22" s="23">
        <f>Calculation_Assumptions!$B$27*F22</f>
        <v>504546.76547845005</v>
      </c>
      <c r="L22" s="23">
        <f t="shared" si="0"/>
        <v>2113471.5037201103</v>
      </c>
      <c r="M22" s="23">
        <f t="shared" si="1"/>
        <v>83.777031122811934</v>
      </c>
      <c r="N22" s="23">
        <f>Calculation_Assumptions!$B$28*F22</f>
        <v>2522733.8273922503</v>
      </c>
      <c r="O22" s="23">
        <f>Calculation_Assumptions!$B$29*F22</f>
        <v>4036374.1238276004</v>
      </c>
      <c r="P22" s="23">
        <f t="shared" si="2"/>
        <v>56023.844019671844</v>
      </c>
      <c r="Q22" s="23">
        <f t="shared" si="3"/>
        <v>251284333195.91425</v>
      </c>
      <c r="R22" s="23">
        <f t="shared" si="4"/>
        <v>92635703640.19606</v>
      </c>
      <c r="S22" s="23">
        <f t="shared" si="5"/>
        <v>299944184973.02319</v>
      </c>
      <c r="T22" s="23">
        <f t="shared" si="6"/>
        <v>479910695956.8371</v>
      </c>
      <c r="U22" s="21">
        <f>1/(1+Calculation_Assumptions!$B$22)^(C22-Calculation_Assumptions!$B$21)</f>
        <v>0.55367575418633497</v>
      </c>
      <c r="V22" s="23">
        <f t="shared" si="7"/>
        <v>139130042697.4581</v>
      </c>
      <c r="W22" s="23">
        <f t="shared" si="8"/>
        <v>51290143077.567368</v>
      </c>
      <c r="X22" s="23">
        <f t="shared" si="9"/>
        <v>166071822828.74417</v>
      </c>
      <c r="Y22" s="23">
        <f t="shared" si="10"/>
        <v>265714916525.99066</v>
      </c>
      <c r="Z22" s="23">
        <f t="shared" si="11"/>
        <v>8003363304422.002</v>
      </c>
      <c r="AA22" s="23">
        <f t="shared" si="12"/>
        <v>4431268213603.0898</v>
      </c>
      <c r="AB22" s="33">
        <f t="shared" si="13"/>
        <v>3.1397341797176084E-2</v>
      </c>
    </row>
    <row r="23" spans="1:28" ht="69">
      <c r="A23" t="s">
        <v>115</v>
      </c>
      <c r="B23" s="14" t="s">
        <v>291</v>
      </c>
      <c r="C23">
        <v>2046</v>
      </c>
      <c r="D23" s="10">
        <v>123216.952188942</v>
      </c>
      <c r="E23" s="10">
        <v>1718283.61214131</v>
      </c>
      <c r="F23" s="10">
        <v>25797.702300703098</v>
      </c>
      <c r="G23" s="10">
        <v>92766.695441781907</v>
      </c>
      <c r="H23" s="10">
        <v>318096573.5</v>
      </c>
      <c r="I23" s="10">
        <v>37.836199999999998</v>
      </c>
      <c r="J23" s="23">
        <f>Calculation_Assumptions!$B$25*G23*(F23/G23)^Calculation_Assumptions!$B$26</f>
        <v>2176684.4748758646</v>
      </c>
      <c r="K23" s="23">
        <f>Calculation_Assumptions!$B$27*F23</f>
        <v>515954.04601406195</v>
      </c>
      <c r="L23" s="23">
        <f t="shared" si="0"/>
        <v>2176684.4748758646</v>
      </c>
      <c r="M23" s="23">
        <f t="shared" si="1"/>
        <v>84.375129595031439</v>
      </c>
      <c r="N23" s="23">
        <f>Calculation_Assumptions!$B$28*F23</f>
        <v>2579770.2300703097</v>
      </c>
      <c r="O23" s="23">
        <f>Calculation_Assumptions!$B$29*F23</f>
        <v>4127632.3681124956</v>
      </c>
      <c r="P23" s="23">
        <f t="shared" si="2"/>
        <v>57529.15131212608</v>
      </c>
      <c r="Q23" s="23">
        <f t="shared" si="3"/>
        <v>268204426871.19174</v>
      </c>
      <c r="R23" s="23">
        <f t="shared" si="4"/>
        <v>98851397920.023987</v>
      </c>
      <c r="S23" s="23">
        <f t="shared" si="5"/>
        <v>317871425097.02924</v>
      </c>
      <c r="T23" s="23">
        <f t="shared" si="6"/>
        <v>508594280155.24683</v>
      </c>
      <c r="U23" s="21">
        <f>1/(1+Calculation_Assumptions!$B$22)^(C23-Calculation_Assumptions!$B$21)</f>
        <v>0.5375492759090631</v>
      </c>
      <c r="V23" s="23">
        <f t="shared" si="7"/>
        <v>144173095460.21439</v>
      </c>
      <c r="W23" s="23">
        <f t="shared" si="8"/>
        <v>53137497374.507561</v>
      </c>
      <c r="X23" s="23">
        <f t="shared" si="9"/>
        <v>170871554393.09006</v>
      </c>
      <c r="Y23" s="23">
        <f t="shared" si="10"/>
        <v>273394487028.94412</v>
      </c>
      <c r="Z23" s="23">
        <f t="shared" si="11"/>
        <v>8206160706026.7227</v>
      </c>
      <c r="AA23" s="23">
        <f t="shared" si="12"/>
        <v>4411215745518.0703</v>
      </c>
      <c r="AB23" s="33">
        <f t="shared" si="13"/>
        <v>3.2683301787426434E-2</v>
      </c>
    </row>
    <row r="24" spans="1:28" ht="69">
      <c r="A24" t="s">
        <v>115</v>
      </c>
      <c r="B24" s="14" t="s">
        <v>291</v>
      </c>
      <c r="C24">
        <v>2047</v>
      </c>
      <c r="D24" s="10">
        <v>126920.47005905899</v>
      </c>
      <c r="E24" s="10">
        <v>1775361.0992447401</v>
      </c>
      <c r="F24" s="10">
        <v>26380.9616682253</v>
      </c>
      <c r="G24" s="10">
        <v>93523.921418033002</v>
      </c>
      <c r="H24" s="10">
        <v>318862019.5</v>
      </c>
      <c r="I24" s="10">
        <v>37.948900000000002</v>
      </c>
      <c r="J24" s="23">
        <f>Calculation_Assumptions!$B$25*G24*(F24/G24)^Calculation_Assumptions!$B$26</f>
        <v>2241788.1172402492</v>
      </c>
      <c r="K24" s="23">
        <f>Calculation_Assumptions!$B$27*F24</f>
        <v>527619.23336450604</v>
      </c>
      <c r="L24" s="23">
        <f t="shared" si="0"/>
        <v>2241788.1172402492</v>
      </c>
      <c r="M24" s="23">
        <f t="shared" si="1"/>
        <v>84.977497993956135</v>
      </c>
      <c r="N24" s="23">
        <f>Calculation_Assumptions!$B$28*F24</f>
        <v>2638096.1668225299</v>
      </c>
      <c r="O24" s="23">
        <f>Calculation_Assumptions!$B$29*F24</f>
        <v>4220953.8669160483</v>
      </c>
      <c r="P24" s="23">
        <f t="shared" si="2"/>
        <v>59073.862937799226</v>
      </c>
      <c r="Q24" s="23">
        <f t="shared" si="3"/>
        <v>284528801612.94525</v>
      </c>
      <c r="R24" s="23">
        <f t="shared" si="4"/>
        <v>104877438241.88434</v>
      </c>
      <c r="S24" s="23">
        <f t="shared" si="5"/>
        <v>334828405554.11719</v>
      </c>
      <c r="T24" s="23">
        <f t="shared" si="6"/>
        <v>535725448886.58759</v>
      </c>
      <c r="U24" s="21">
        <f>1/(1+Calculation_Assumptions!$B$22)^(C24-Calculation_Assumptions!$B$21)</f>
        <v>0.52189250088258554</v>
      </c>
      <c r="V24" s="23">
        <f t="shared" si="7"/>
        <v>148493447846.90503</v>
      </c>
      <c r="W24" s="23">
        <f t="shared" si="8"/>
        <v>54734748530.215935</v>
      </c>
      <c r="X24" s="23">
        <f t="shared" si="9"/>
        <v>174744433941.16681</v>
      </c>
      <c r="Y24" s="23">
        <f t="shared" si="10"/>
        <v>279591094305.86694</v>
      </c>
      <c r="Z24" s="23">
        <f t="shared" si="11"/>
        <v>8411886713882.4082</v>
      </c>
      <c r="AA24" s="23">
        <f t="shared" si="12"/>
        <v>4390100594249.0845</v>
      </c>
      <c r="AB24" s="33">
        <f t="shared" si="13"/>
        <v>3.3824611682344484E-2</v>
      </c>
    </row>
    <row r="25" spans="1:28" ht="69">
      <c r="A25" t="s">
        <v>115</v>
      </c>
      <c r="B25" s="14" t="s">
        <v>291</v>
      </c>
      <c r="C25">
        <v>2048</v>
      </c>
      <c r="D25" s="10">
        <v>130009.972354008</v>
      </c>
      <c r="E25" s="10">
        <v>1824681.6403892301</v>
      </c>
      <c r="F25" s="10">
        <v>26977.4079268061</v>
      </c>
      <c r="G25" s="10">
        <v>94287.328396812707</v>
      </c>
      <c r="H25" s="10">
        <v>319554652.5</v>
      </c>
      <c r="I25" s="10">
        <v>38.064500000000002</v>
      </c>
      <c r="J25" s="23">
        <f>Calculation_Assumptions!$B$25*G25*(F25/G25)^Calculation_Assumptions!$B$26</f>
        <v>2308838.9799289512</v>
      </c>
      <c r="K25" s="23">
        <f>Calculation_Assumptions!$B$27*F25</f>
        <v>539548.15853612195</v>
      </c>
      <c r="L25" s="23">
        <f t="shared" si="0"/>
        <v>2308838.9799289512</v>
      </c>
      <c r="M25" s="23">
        <f t="shared" si="1"/>
        <v>85.584166803318922</v>
      </c>
      <c r="N25" s="23">
        <f>Calculation_Assumptions!$B$28*F25</f>
        <v>2697740.79268061</v>
      </c>
      <c r="O25" s="23">
        <f>Calculation_Assumptions!$B$29*F25</f>
        <v>4316385.2682889756</v>
      </c>
      <c r="P25" s="23">
        <f t="shared" si="2"/>
        <v>60655.965004898295</v>
      </c>
      <c r="Q25" s="23">
        <f t="shared" si="3"/>
        <v>300172091950.41901</v>
      </c>
      <c r="R25" s="23">
        <f t="shared" si="4"/>
        <v>110677825724.52956</v>
      </c>
      <c r="S25" s="23">
        <f t="shared" si="5"/>
        <v>350733205874.68573</v>
      </c>
      <c r="T25" s="23">
        <f t="shared" si="6"/>
        <v>561173129399.49707</v>
      </c>
      <c r="U25" s="21">
        <f>1/(1+Calculation_Assumptions!$B$22)^(C25-Calculation_Assumptions!$B$21)</f>
        <v>0.50669174842969467</v>
      </c>
      <c r="V25" s="23">
        <f t="shared" si="7"/>
        <v>152094722100.15689</v>
      </c>
      <c r="W25" s="23">
        <f t="shared" si="8"/>
        <v>56079541028.758919</v>
      </c>
      <c r="X25" s="23">
        <f t="shared" si="9"/>
        <v>177713621316.99658</v>
      </c>
      <c r="Y25" s="23">
        <f t="shared" si="10"/>
        <v>284341794107.19446</v>
      </c>
      <c r="Z25" s="23">
        <f t="shared" si="11"/>
        <v>8620756215401.2686</v>
      </c>
      <c r="AA25" s="23">
        <f t="shared" si="12"/>
        <v>4368066039567.8262</v>
      </c>
      <c r="AB25" s="33">
        <f t="shared" si="13"/>
        <v>3.4819693823861013E-2</v>
      </c>
    </row>
    <row r="26" spans="1:28" ht="69">
      <c r="A26" t="s">
        <v>115</v>
      </c>
      <c r="B26" s="14" t="s">
        <v>291</v>
      </c>
      <c r="C26">
        <v>2049</v>
      </c>
      <c r="D26" s="10">
        <v>132670.93452101201</v>
      </c>
      <c r="E26" s="10">
        <v>1868078.9680723499</v>
      </c>
      <c r="F26" s="10">
        <v>27587.339218413799</v>
      </c>
      <c r="G26" s="10">
        <v>95056.966831742102</v>
      </c>
      <c r="H26" s="10">
        <v>320173250</v>
      </c>
      <c r="I26" s="10">
        <v>38.1755</v>
      </c>
      <c r="J26" s="23">
        <f>Calculation_Assumptions!$B$25*G26*(F26/G26)^Calculation_Assumptions!$B$26</f>
        <v>2377895.3034159979</v>
      </c>
      <c r="K26" s="23">
        <f>Calculation_Assumptions!$B$27*F26</f>
        <v>551746.78436827601</v>
      </c>
      <c r="L26" s="23">
        <f t="shared" si="0"/>
        <v>2377895.3034159979</v>
      </c>
      <c r="M26" s="23">
        <f t="shared" si="1"/>
        <v>86.195166724481254</v>
      </c>
      <c r="N26" s="23">
        <f>Calculation_Assumptions!$B$28*F26</f>
        <v>2758733.9218413797</v>
      </c>
      <c r="O26" s="23">
        <f>Calculation_Assumptions!$B$29*F26</f>
        <v>4413974.2749462081</v>
      </c>
      <c r="P26" s="23">
        <f t="shared" si="2"/>
        <v>62288.517594163743</v>
      </c>
      <c r="Q26" s="23">
        <f t="shared" si="3"/>
        <v>315477592097.32587</v>
      </c>
      <c r="R26" s="23">
        <f t="shared" si="4"/>
        <v>116359869670.06181</v>
      </c>
      <c r="S26" s="23">
        <f t="shared" si="5"/>
        <v>366003807505.51233</v>
      </c>
      <c r="T26" s="23">
        <f t="shared" si="6"/>
        <v>585606092008.81982</v>
      </c>
      <c r="U26" s="21">
        <f>1/(1+Calculation_Assumptions!$B$22)^(C26-Calculation_Assumptions!$B$21)</f>
        <v>0.49193373633950943</v>
      </c>
      <c r="V26" s="23">
        <f t="shared" si="7"/>
        <v>155194070611.82919</v>
      </c>
      <c r="W26" s="23">
        <f t="shared" si="8"/>
        <v>57241345446.771866</v>
      </c>
      <c r="X26" s="23">
        <f t="shared" si="9"/>
        <v>180049620540.67328</v>
      </c>
      <c r="Y26" s="23">
        <f t="shared" si="10"/>
        <v>288079392865.07727</v>
      </c>
      <c r="Z26" s="23">
        <f t="shared" si="11"/>
        <v>8832728056412.0059</v>
      </c>
      <c r="AA26" s="23">
        <f t="shared" si="12"/>
        <v>4345116914861.5713</v>
      </c>
      <c r="AB26" s="33">
        <f t="shared" si="13"/>
        <v>3.5716891778221217E-2</v>
      </c>
    </row>
    <row r="27" spans="1:28" ht="69">
      <c r="A27" t="s">
        <v>115</v>
      </c>
      <c r="B27" s="14" t="s">
        <v>291</v>
      </c>
      <c r="C27">
        <v>2050</v>
      </c>
      <c r="D27" s="10">
        <v>134881.05918628501</v>
      </c>
      <c r="E27" s="10">
        <v>1905745.8981768701</v>
      </c>
      <c r="F27" s="10">
        <v>28211.060425697899</v>
      </c>
      <c r="G27" s="10">
        <v>95832.887588279205</v>
      </c>
      <c r="H27" s="10">
        <v>320712949.5</v>
      </c>
      <c r="I27" s="10">
        <v>38.286000000000001</v>
      </c>
      <c r="J27" s="23">
        <f>Calculation_Assumptions!$B$25*G27*(F27/G27)^Calculation_Assumptions!$B$26</f>
        <v>2449017.0701214601</v>
      </c>
      <c r="K27" s="23">
        <f>Calculation_Assumptions!$B$27*F27</f>
        <v>564221.20851395791</v>
      </c>
      <c r="L27" s="23">
        <f t="shared" si="0"/>
        <v>2449017.0701214601</v>
      </c>
      <c r="M27" s="23">
        <f t="shared" si="1"/>
        <v>86.810528677986596</v>
      </c>
      <c r="N27" s="23">
        <f>Calculation_Assumptions!$B$28*F27</f>
        <v>2821106.04256979</v>
      </c>
      <c r="O27" s="23">
        <f>Calculation_Assumptions!$B$29*F27</f>
        <v>4513769.6681116633</v>
      </c>
      <c r="P27" s="23">
        <f t="shared" si="2"/>
        <v>63966.386410736566</v>
      </c>
      <c r="Q27" s="23">
        <f t="shared" si="3"/>
        <v>330326016383.27496</v>
      </c>
      <c r="R27" s="23">
        <f t="shared" si="4"/>
        <v>121903678523.4579</v>
      </c>
      <c r="S27" s="23">
        <f t="shared" si="5"/>
        <v>380513771098.64215</v>
      </c>
      <c r="T27" s="23">
        <f t="shared" si="6"/>
        <v>608822033757.82727</v>
      </c>
      <c r="U27" s="21">
        <f>1/(1+Calculation_Assumptions!$B$22)^(C27-Calculation_Assumptions!$B$21)</f>
        <v>0.47760556926165965</v>
      </c>
      <c r="V27" s="23">
        <f t="shared" si="7"/>
        <v>157765545096.67035</v>
      </c>
      <c r="W27" s="23">
        <f t="shared" si="8"/>
        <v>58221875776.286461</v>
      </c>
      <c r="X27" s="23">
        <f t="shared" si="9"/>
        <v>181735496257.46783</v>
      </c>
      <c r="Y27" s="23">
        <f t="shared" si="10"/>
        <v>290776794011.94849</v>
      </c>
      <c r="Z27" s="23">
        <f t="shared" si="11"/>
        <v>9047652397648.2988</v>
      </c>
      <c r="AA27" s="23">
        <f t="shared" si="12"/>
        <v>4321209173860.4355</v>
      </c>
      <c r="AB27" s="33">
        <f t="shared" si="13"/>
        <v>3.6509583023894086E-2</v>
      </c>
    </row>
  </sheetData>
  <autoFilter ref="A1:AB1" xr:uid="{00000000-0009-0000-0000-00000F000000}"/>
  <pageMargins left="0.7" right="0.7" top="0.75" bottom="0.75" header="0.3" footer="0.3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5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20.69921875" customWidth="1"/>
    <col min="2" max="2" width="26.69921875" customWidth="1"/>
    <col min="3" max="3" width="16.69921875" customWidth="1"/>
    <col min="4" max="4" width="14.69921875" customWidth="1"/>
    <col min="5" max="5" width="12.69921875" customWidth="1"/>
    <col min="6" max="6" width="34.69921875" customWidth="1"/>
    <col min="7" max="9" width="18.69921875" customWidth="1"/>
    <col min="10" max="10" width="14.69921875" customWidth="1"/>
    <col min="11" max="11" width="18.69921875" customWidth="1"/>
    <col min="12" max="12" width="14.69921875" customWidth="1"/>
    <col min="13" max="13" width="30.69921875" customWidth="1"/>
    <col min="14" max="14" width="60.69921875" customWidth="1"/>
  </cols>
  <sheetData>
    <row r="1" spans="1:14" ht="28.05" customHeight="1">
      <c r="A1" s="1" t="s">
        <v>282</v>
      </c>
      <c r="B1" s="1" t="s">
        <v>283</v>
      </c>
      <c r="C1" s="1" t="s">
        <v>364</v>
      </c>
      <c r="D1" s="1" t="s">
        <v>365</v>
      </c>
      <c r="E1" s="1" t="s">
        <v>366</v>
      </c>
      <c r="F1" s="1" t="s">
        <v>367</v>
      </c>
      <c r="G1" s="1" t="s">
        <v>368</v>
      </c>
      <c r="H1" s="1" t="s">
        <v>369</v>
      </c>
      <c r="I1" s="1" t="s">
        <v>370</v>
      </c>
      <c r="J1" s="1" t="s">
        <v>371</v>
      </c>
      <c r="K1" s="1" t="s">
        <v>362</v>
      </c>
      <c r="L1" s="1" t="s">
        <v>372</v>
      </c>
      <c r="M1" s="1" t="s">
        <v>373</v>
      </c>
      <c r="N1" s="1" t="s">
        <v>374</v>
      </c>
    </row>
    <row r="2" spans="1:14" ht="69">
      <c r="A2" t="s">
        <v>115</v>
      </c>
      <c r="B2" s="14" t="s">
        <v>291</v>
      </c>
      <c r="C2" t="s">
        <v>375</v>
      </c>
      <c r="D2" t="s">
        <v>376</v>
      </c>
      <c r="E2" t="s">
        <v>377</v>
      </c>
      <c r="F2" s="14" t="s">
        <v>378</v>
      </c>
      <c r="G2" s="23">
        <f>SUMIFS(Economic_Value!$V$2:$V$27,Economic_Value!$A$2:$A$27,A2)</f>
        <v>1823336801945.9556</v>
      </c>
      <c r="H2" s="23">
        <f>SUMPRODUCT((Budget_Impact!$A$2:$A$27=A2)*Budget_Impact!$E$2:$E$27*(1/(1+Calculation_Assumptions!$B$22)^(Budget_Impact!$B$2:$B$27-Calculation_Assumptions!$B$21)))*Calculation_Assumptions!$B$34</f>
        <v>116693164818.16924</v>
      </c>
      <c r="I2" s="23">
        <f>G2-H2</f>
        <v>1706643637127.7864</v>
      </c>
      <c r="J2" s="28">
        <f>IF(H2&gt;0,G2/H2,"")</f>
        <v>15.625052288084488</v>
      </c>
      <c r="K2" s="23">
        <f>SUMIFS(Economic_Value!$AA$2:$AA$27,Economic_Value!$A$2:$A$27,A2)</f>
        <v>112531452455894.98</v>
      </c>
      <c r="L2" s="33">
        <f>IF(K2=0,"",G2/K2)</f>
        <v>1.6202908272783426E-2</v>
      </c>
      <c r="M2" s="32" t="str">
        <f>IF(H2&lt;=0,"cost-saving or ratio not meaningful (PV cost&lt;=0)",IF(J2&gt;=1,"benefits exceed costs (BCR&gt;=1)","costs exceed benefits (BCR&lt;1)"))</f>
        <v>benefits exceed costs (BCR&gt;=1)</v>
      </c>
      <c r="N2" s="14" t="s">
        <v>383</v>
      </c>
    </row>
    <row r="3" spans="1:14" ht="69">
      <c r="A3" t="s">
        <v>115</v>
      </c>
      <c r="B3" s="14" t="s">
        <v>291</v>
      </c>
      <c r="C3" t="s">
        <v>375</v>
      </c>
      <c r="D3" t="s">
        <v>376</v>
      </c>
      <c r="E3" t="s">
        <v>379</v>
      </c>
      <c r="F3" s="14" t="s">
        <v>380</v>
      </c>
      <c r="G3" s="23">
        <f>SUMIFS(Economic_Value!$W$2:$W$27,Economic_Value!$A$2:$A$27,A3)</f>
        <v>668625798772.30579</v>
      </c>
      <c r="H3" s="23">
        <f>SUMPRODUCT((Budget_Impact!$A$2:$A$27=A3)*Budget_Impact!$E$2:$E$27*(1/(1+Calculation_Assumptions!$B$22)^(Budget_Impact!$B$2:$B$27-Calculation_Assumptions!$B$21)))*Calculation_Assumptions!$B$34</f>
        <v>116693164818.16924</v>
      </c>
      <c r="I3" s="23">
        <f>G3-H3</f>
        <v>551932633954.1366</v>
      </c>
      <c r="J3" s="28">
        <f>IF(H3&gt;0,G3/H3,"")</f>
        <v>5.7297768880821387</v>
      </c>
      <c r="K3" s="23">
        <f>SUMIFS(Economic_Value!$AA$2:$AA$27,Economic_Value!$A$2:$A$27,A3)</f>
        <v>112531452455894.98</v>
      </c>
      <c r="L3" s="33">
        <f>IF(K3=0,"",G3/K3)</f>
        <v>5.9416792743732126E-3</v>
      </c>
      <c r="M3" s="32" t="str">
        <f>IF(H3&lt;=0,"cost-saving or ratio not meaningful (PV cost&lt;=0)",IF(J3&gt;=1,"benefits exceed costs (BCR&gt;=1)","costs exceed benefits (BCR&lt;1)"))</f>
        <v>benefits exceed costs (BCR&gt;=1)</v>
      </c>
      <c r="N3" s="14" t="s">
        <v>383</v>
      </c>
    </row>
    <row r="4" spans="1:14" ht="69">
      <c r="A4" t="s">
        <v>115</v>
      </c>
      <c r="B4" s="14" t="s">
        <v>291</v>
      </c>
      <c r="C4" t="s">
        <v>375</v>
      </c>
      <c r="D4" t="s">
        <v>376</v>
      </c>
      <c r="E4" t="s">
        <v>377</v>
      </c>
      <c r="F4" s="14" t="s">
        <v>381</v>
      </c>
      <c r="G4" s="23">
        <f>SUMIFS(Economic_Value!$X$2:$X$27,Economic_Value!$A$2:$A$27,A4)</f>
        <v>2204685461939.207</v>
      </c>
      <c r="H4" s="23">
        <f>SUMPRODUCT((Budget_Impact!$A$2:$A$27=A4)*Budget_Impact!$E$2:$E$27*(1/(1+Calculation_Assumptions!$B$22)^(Budget_Impact!$B$2:$B$27-Calculation_Assumptions!$B$21)))*Calculation_Assumptions!$B$34</f>
        <v>116693164818.16924</v>
      </c>
      <c r="I4" s="23">
        <f>G4-H4</f>
        <v>2087992297121.0378</v>
      </c>
      <c r="J4" s="28">
        <f>IF(H4&gt;0,G4/H4,"")</f>
        <v>18.893012845906938</v>
      </c>
      <c r="K4" s="23">
        <f>SUMIFS(Economic_Value!$AA$2:$AA$27,Economic_Value!$A$2:$A$27,A4)</f>
        <v>112531452455894.98</v>
      </c>
      <c r="L4" s="33">
        <f>IF(K4=0,"",G4/K4)</f>
        <v>1.9591726702392832E-2</v>
      </c>
      <c r="M4" s="32" t="str">
        <f>IF(H4&lt;=0,"cost-saving or ratio not meaningful (PV cost&lt;=0)",IF(J4&gt;=1,"benefits exceed costs (BCR&gt;=1)","costs exceed benefits (BCR&lt;1)"))</f>
        <v>benefits exceed costs (BCR&gt;=1)</v>
      </c>
      <c r="N4" s="14" t="s">
        <v>383</v>
      </c>
    </row>
    <row r="5" spans="1:14" ht="69">
      <c r="A5" t="s">
        <v>115</v>
      </c>
      <c r="B5" s="14" t="s">
        <v>291</v>
      </c>
      <c r="C5" t="s">
        <v>375</v>
      </c>
      <c r="D5" t="s">
        <v>376</v>
      </c>
      <c r="E5" t="s">
        <v>377</v>
      </c>
      <c r="F5" s="14" t="s">
        <v>382</v>
      </c>
      <c r="G5" s="23">
        <f>SUMIFS(Economic_Value!$Y$2:$Y$27,Economic_Value!$A$2:$A$27,A5)</f>
        <v>3527496739102.7314</v>
      </c>
      <c r="H5" s="23">
        <f>SUMPRODUCT((Budget_Impact!$A$2:$A$27=A5)*Budget_Impact!$E$2:$E$27*(1/(1+Calculation_Assumptions!$B$22)^(Budget_Impact!$B$2:$B$27-Calculation_Assumptions!$B$21)))*Calculation_Assumptions!$B$34</f>
        <v>116693164818.16924</v>
      </c>
      <c r="I5" s="23">
        <f>G5-H5</f>
        <v>3410803574284.562</v>
      </c>
      <c r="J5" s="28">
        <f>IF(H5&gt;0,G5/H5,"")</f>
        <v>30.228820553451104</v>
      </c>
      <c r="K5" s="23">
        <f>SUMIFS(Economic_Value!$AA$2:$AA$27,Economic_Value!$A$2:$A$27,A5)</f>
        <v>112531452455894.98</v>
      </c>
      <c r="L5" s="33">
        <f>IF(K5=0,"",G5/K5)</f>
        <v>3.1346762723828532E-2</v>
      </c>
      <c r="M5" s="32" t="str">
        <f>IF(H5&lt;=0,"cost-saving or ratio not meaningful (PV cost&lt;=0)",IF(J5&gt;=1,"benefits exceed costs (BCR&gt;=1)","costs exceed benefits (BCR&lt;1)"))</f>
        <v>benefits exceed costs (BCR&gt;=1)</v>
      </c>
      <c r="N5" s="14" t="s">
        <v>383</v>
      </c>
    </row>
  </sheetData>
  <autoFilter ref="A1:N1" xr:uid="{00000000-0009-0000-0000-000010000000}"/>
  <conditionalFormatting sqref="M2:M5">
    <cfRule type="containsText" dxfId="4" priority="1" operator="containsText" text="costs exceed">
      <formula>NOT(ISERROR(SEARCH("costs exceed", M2)))</formula>
    </cfRule>
    <cfRule type="containsText" dxfId="3" priority="2" operator="containsText" text="benefits exceed">
      <formula>NOT(ISERROR(SEARCH("benefits exceed", M2)))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19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5" width="11.69921875" customWidth="1"/>
  </cols>
  <sheetData>
    <row r="1" spans="1:5" ht="28.05" customHeight="1">
      <c r="A1" s="1" t="s">
        <v>405</v>
      </c>
      <c r="B1" s="1" t="s">
        <v>406</v>
      </c>
      <c r="C1" s="1" t="s">
        <v>407</v>
      </c>
      <c r="D1" s="1" t="s">
        <v>408</v>
      </c>
      <c r="E1" s="1" t="s">
        <v>409</v>
      </c>
    </row>
    <row r="2" spans="1:5" ht="55.2">
      <c r="A2" t="s">
        <v>410</v>
      </c>
      <c r="B2" t="s">
        <v>175</v>
      </c>
      <c r="C2" s="16">
        <f>COUNTIF(Selected_Interventions!$U$2:$U$7,"&gt;1")</f>
        <v>0</v>
      </c>
      <c r="D2" s="16" t="str">
        <f>IF(C2=0,"PASS","FAIL")</f>
        <v>PASS</v>
      </c>
      <c r="E2" s="14" t="s">
        <v>411</v>
      </c>
    </row>
    <row r="3" spans="1:5" ht="110.4">
      <c r="A3" t="s">
        <v>412</v>
      </c>
      <c r="B3" t="s">
        <v>175</v>
      </c>
      <c r="C3" s="16">
        <f>COUNTIF(Input_Diagnostic!$E$2:$E$2,"FAIL")</f>
        <v>0</v>
      </c>
      <c r="D3" s="16" t="str">
        <f>IF(C3=0,"PASS","REVIEW")</f>
        <v>PASS</v>
      </c>
      <c r="E3" s="14" t="s">
        <v>413</v>
      </c>
    </row>
    <row r="4" spans="1:5" ht="110.4">
      <c r="A4" t="s">
        <v>414</v>
      </c>
      <c r="B4" t="s">
        <v>175</v>
      </c>
      <c r="C4" s="16">
        <f>COUNTIF(Input_Diagnostic!$E$2:$E$2,"REVIEW")</f>
        <v>0</v>
      </c>
      <c r="D4" s="16" t="str">
        <f>IF(C4=0,"PASS","REVIEW")</f>
        <v>PASS</v>
      </c>
      <c r="E4" s="14" t="s">
        <v>415</v>
      </c>
    </row>
    <row r="5" spans="1:5" ht="96.6">
      <c r="A5" t="s">
        <v>416</v>
      </c>
      <c r="B5" t="s">
        <v>417</v>
      </c>
      <c r="C5" s="16" t="b">
        <f>COUNTBLANK(Annual_Mortality!$G$2:$G$365)=0</f>
        <v>1</v>
      </c>
      <c r="D5" s="16" t="str">
        <f>IF(C5=TRUE,"PASS","FAIL")</f>
        <v>PASS</v>
      </c>
      <c r="E5" s="14" t="s">
        <v>418</v>
      </c>
    </row>
    <row r="6" spans="1:5" ht="55.2">
      <c r="A6" t="s">
        <v>419</v>
      </c>
      <c r="B6" t="s">
        <v>175</v>
      </c>
      <c r="C6" s="16">
        <f>Calculation_Assumptions!$B$16</f>
        <v>0</v>
      </c>
      <c r="D6" s="16" t="str">
        <f>IF(C6=0,"PASS","FAIL")</f>
        <v>PASS</v>
      </c>
      <c r="E6" s="14" t="s">
        <v>420</v>
      </c>
    </row>
    <row r="7" spans="1:5" ht="69">
      <c r="A7" t="s">
        <v>421</v>
      </c>
      <c r="B7" t="s">
        <v>422</v>
      </c>
      <c r="C7" s="16">
        <f>Calculation_Assumptions!$B$14</f>
        <v>107.59</v>
      </c>
      <c r="D7" s="16" t="str">
        <f>IF(C7&lt;=Calculation_Assumptions!$B$12,"PASS","REVIEW")</f>
        <v>PASS</v>
      </c>
      <c r="E7" s="14" t="s">
        <v>423</v>
      </c>
    </row>
    <row r="8" spans="1:5" ht="82.8">
      <c r="A8" t="s">
        <v>424</v>
      </c>
      <c r="B8" t="s">
        <v>425</v>
      </c>
      <c r="C8" s="16">
        <f>Calculation_Assumptions!$B$15</f>
        <v>1</v>
      </c>
      <c r="D8" s="16" t="str">
        <f>IF(C8=1,"PASS","FAIL")</f>
        <v>PASS</v>
      </c>
      <c r="E8" s="14" t="s">
        <v>426</v>
      </c>
    </row>
    <row r="9" spans="1:5" ht="82.8">
      <c r="A9" t="s">
        <v>427</v>
      </c>
      <c r="B9" t="s">
        <v>428</v>
      </c>
      <c r="C9" s="16">
        <f>ABS(SUM(Budget_Impact!$D$2:$D$27)-SUM(Annual_Cost!$R$2:$R$131))+ABS(SUM(Budget_Impact!$C$2:$C$27)-SUM(Annual_Cost!$Q$2:$Q$131))</f>
        <v>6.103515625E-5</v>
      </c>
      <c r="D9" s="16" t="str">
        <f>IF(C9&lt;=Calculation_Assumptions!$B$11,"PASS","FAIL")</f>
        <v>PASS</v>
      </c>
      <c r="E9" s="14" t="s">
        <v>429</v>
      </c>
    </row>
    <row r="10" spans="1:5" ht="82.8">
      <c r="A10" t="s">
        <v>430</v>
      </c>
      <c r="B10" t="s">
        <v>175</v>
      </c>
      <c r="C10" s="16">
        <f>COUNTIF(Annual_Cost!$AH$2:$AH$131,"&gt;1")</f>
        <v>0</v>
      </c>
      <c r="D10" s="16" t="str">
        <f>IF(C10=0,"PASS","FAIL")</f>
        <v>PASS</v>
      </c>
      <c r="E10" s="14" t="s">
        <v>431</v>
      </c>
    </row>
    <row r="11" spans="1:5" ht="82.8">
      <c r="A11" t="s">
        <v>432</v>
      </c>
      <c r="B11" t="s">
        <v>433</v>
      </c>
      <c r="C11" s="16" t="str">
        <f>IF(COUNTIF(Cost_Effectiveness!$I$2:$I$2,"mismatch")=0,"consistent","mismatch")</f>
        <v>consistent</v>
      </c>
      <c r="D11" s="16" t="str">
        <f>IF(C11="consistent","PASS","FAIL")</f>
        <v>PASS</v>
      </c>
      <c r="E11" s="14" t="s">
        <v>434</v>
      </c>
    </row>
    <row r="12" spans="1:5" ht="82.8">
      <c r="A12" t="s">
        <v>435</v>
      </c>
      <c r="B12" t="s">
        <v>436</v>
      </c>
      <c r="C12" s="16">
        <f>INDEX(Cost_Effectiveness!$C$2:$C$2,MATCH(Calculation_Assumptions!$B$20,Cost_Effectiveness!$A$2:$A$2,0))</f>
        <v>1576845.0949896546</v>
      </c>
      <c r="D12" s="16" t="str">
        <f>IF(ABS(C12-Calculation_Assumptions!$B$17)&lt;=ABS(Calculation_Assumptions!$B$17)*0.000001+0.5,"PASS","FAIL")</f>
        <v>PASS</v>
      </c>
      <c r="E12" s="14" t="s">
        <v>437</v>
      </c>
    </row>
    <row r="13" spans="1:5" ht="96.6">
      <c r="A13" t="s">
        <v>438</v>
      </c>
      <c r="B13" t="s">
        <v>436</v>
      </c>
      <c r="C13" s="16">
        <f>INDEX(Cost_Effectiveness!$F$2:$F$2,MATCH(Calculation_Assumptions!$B$20,Cost_Effectiveness!$A$2:$A$2,0))</f>
        <v>38897721606.056412</v>
      </c>
      <c r="D13" s="16" t="str">
        <f>IF(ABS(C13-Calculation_Assumptions!$B$18)&lt;=ABS(Calculation_Assumptions!$B$18)*0.000001+1,"PASS","FAIL")</f>
        <v>PASS</v>
      </c>
      <c r="E13" s="14" t="s">
        <v>439</v>
      </c>
    </row>
    <row r="14" spans="1:5" ht="96.6">
      <c r="A14" t="s">
        <v>440</v>
      </c>
      <c r="B14" t="s">
        <v>436</v>
      </c>
      <c r="C14" s="16">
        <f>INDEX(Cost_Effectiveness!$G$2:$G$2,MATCH(Calculation_Assumptions!$B$20,Cost_Effectiveness!$A$2:$A$2,0))</f>
        <v>24668.067731987088</v>
      </c>
      <c r="D14" s="16" t="str">
        <f>IF(ABS(C14-Calculation_Assumptions!$B$19)&lt;=ABS(Calculation_Assumptions!$B$19)*0.000001+1,"PASS","FAIL")</f>
        <v>PASS</v>
      </c>
      <c r="E14" s="14" t="s">
        <v>441</v>
      </c>
    </row>
    <row r="15" spans="1:5" ht="110.4">
      <c r="A15" t="s">
        <v>442</v>
      </c>
      <c r="B15" t="s">
        <v>175</v>
      </c>
      <c r="C15" s="16">
        <f>SUMPRODUCT((Economic_Value!$L$2:$L$27&lt;Economic_Value!$K$2:$K$27)*1)</f>
        <v>0</v>
      </c>
      <c r="D15" s="16" t="str">
        <f>IF(C15=0,"PASS","FAIL")</f>
        <v>PASS</v>
      </c>
      <c r="E15" s="14" t="s">
        <v>443</v>
      </c>
    </row>
    <row r="16" spans="1:5" ht="124.2">
      <c r="A16" t="s">
        <v>444</v>
      </c>
      <c r="B16" t="s">
        <v>445</v>
      </c>
      <c r="C16" s="16" t="str">
        <f>IF(AND(Calculation_Assumptions!$B$26=1.5,Calculation_Assumptions!$B$25=160,Calculation_Assumptions!$B$27=20),"as_specified","edited")</f>
        <v>as_specified</v>
      </c>
      <c r="D16" s="16" t="str">
        <f>IF(C16="as_specified","PASS","REVIEW")</f>
        <v>PASS</v>
      </c>
      <c r="E16" s="14" t="s">
        <v>446</v>
      </c>
    </row>
    <row r="17" spans="1:5" ht="110.4">
      <c r="A17" t="s">
        <v>447</v>
      </c>
      <c r="B17" t="s">
        <v>448</v>
      </c>
      <c r="C17" s="16" t="str">
        <f>IF(Calculation_Assumptions!$B$33=Calculation_Assumptions!$B$6,"match","mismatch")</f>
        <v>match</v>
      </c>
      <c r="D17" s="16" t="str">
        <f>IF(C17="match","PASS","REVIEW")</f>
        <v>PASS</v>
      </c>
      <c r="E17" s="14" t="s">
        <v>449</v>
      </c>
    </row>
    <row r="18" spans="1:5" ht="138">
      <c r="A18" t="s">
        <v>450</v>
      </c>
      <c r="B18" t="s">
        <v>175</v>
      </c>
      <c r="C18" s="16">
        <f>SUMPRODUCT((COUNTIF(Health_Outcomes!$A$2:$A$27,Benefit_Cost!$A$2:$A$5)=0)*1)</f>
        <v>0</v>
      </c>
      <c r="D18" s="16" t="str">
        <f>IF(C18=0,"PASS","FAIL")</f>
        <v>PASS</v>
      </c>
      <c r="E18" s="14" t="s">
        <v>451</v>
      </c>
    </row>
    <row r="19" spans="1:5" ht="110.4">
      <c r="A19" t="s">
        <v>452</v>
      </c>
      <c r="B19" t="s">
        <v>175</v>
      </c>
      <c r="C19" s="16">
        <f>COUNTIF(CVD_40q30!$N$2:$N$53,"mismatch")</f>
        <v>0</v>
      </c>
      <c r="D19" s="16" t="str">
        <f>IF(C19=0,"PASS","FAIL")</f>
        <v>PASS</v>
      </c>
      <c r="E19" s="14" t="s">
        <v>453</v>
      </c>
    </row>
  </sheetData>
  <autoFilter ref="A1:E1" xr:uid="{00000000-0009-0000-0000-000011000000}"/>
  <conditionalFormatting sqref="D2:D19">
    <cfRule type="containsText" dxfId="2" priority="1" operator="containsText" text="REVIEW">
      <formula>NOT(ISERROR(SEARCH("REVIEW", D2)))</formula>
    </cfRule>
    <cfRule type="containsText" dxfId="1" priority="2" operator="containsText" text="FAIL">
      <formula>NOT(ISERROR(SEARCH("FAIL", D2)))</formula>
    </cfRule>
    <cfRule type="containsText" dxfId="0" priority="3" operator="containsText" text="PASS">
      <formula>NOT(ISERROR(SEARCH("PASS", D2)))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1"/>
  <sheetViews>
    <sheetView workbookViewId="0"/>
  </sheetViews>
  <sheetFormatPr defaultColWidth="11.19921875" defaultRowHeight="13.8"/>
  <sheetData>
    <row r="1" spans="1:5">
      <c r="A1" s="1" t="s">
        <v>61</v>
      </c>
      <c r="B1" s="1" t="s">
        <v>401</v>
      </c>
      <c r="C1" s="1" t="s">
        <v>402</v>
      </c>
      <c r="D1" s="1" t="s">
        <v>403</v>
      </c>
      <c r="E1" s="1" t="s">
        <v>404</v>
      </c>
    </row>
  </sheetData>
  <pageMargins left="0.7" right="0.7" top="0.75" bottom="0.75" header="0.3" footer="0.3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19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0.69921875" customWidth="1"/>
    <col min="2" max="2" width="26.69921875" customWidth="1"/>
    <col min="3" max="3" width="88.69921875" customWidth="1"/>
    <col min="4" max="4" width="58.69921875" customWidth="1"/>
  </cols>
  <sheetData>
    <row r="1" spans="1:4" ht="28.05" customHeight="1">
      <c r="A1" s="1" t="s">
        <v>454</v>
      </c>
      <c r="B1" s="1" t="s">
        <v>455</v>
      </c>
      <c r="C1" s="1" t="s">
        <v>456</v>
      </c>
      <c r="D1" s="1" t="s">
        <v>5</v>
      </c>
    </row>
    <row r="2" spans="1:4" ht="27.6">
      <c r="A2" t="s">
        <v>457</v>
      </c>
      <c r="B2" t="s">
        <v>458</v>
      </c>
      <c r="C2" s="14" t="s">
        <v>459</v>
      </c>
      <c r="D2" s="14" t="s">
        <v>460</v>
      </c>
    </row>
    <row r="3" spans="1:4" ht="27.6">
      <c r="A3" t="s">
        <v>461</v>
      </c>
      <c r="B3" t="s">
        <v>462</v>
      </c>
      <c r="C3" s="14" t="s">
        <v>463</v>
      </c>
      <c r="D3" s="14" t="s">
        <v>460</v>
      </c>
    </row>
    <row r="4" spans="1:4" ht="27.6">
      <c r="A4" t="s">
        <v>464</v>
      </c>
      <c r="B4" t="s">
        <v>465</v>
      </c>
      <c r="C4" s="14" t="s">
        <v>466</v>
      </c>
      <c r="D4" s="14" t="s">
        <v>460</v>
      </c>
    </row>
    <row r="5" spans="1:4" ht="27.6">
      <c r="A5" t="s">
        <v>467</v>
      </c>
      <c r="B5" t="s">
        <v>468</v>
      </c>
      <c r="C5" s="14" t="s">
        <v>469</v>
      </c>
      <c r="D5" s="14" t="s">
        <v>460</v>
      </c>
    </row>
    <row r="6" spans="1:4" ht="27.6">
      <c r="A6" t="s">
        <v>470</v>
      </c>
      <c r="B6" t="s">
        <v>471</v>
      </c>
      <c r="C6" s="14" t="s">
        <v>472</v>
      </c>
      <c r="D6" s="14" t="s">
        <v>473</v>
      </c>
    </row>
    <row r="7" spans="1:4">
      <c r="A7" t="s">
        <v>474</v>
      </c>
      <c r="B7" t="s">
        <v>475</v>
      </c>
      <c r="C7" s="14" t="s">
        <v>476</v>
      </c>
      <c r="D7" s="14" t="s">
        <v>477</v>
      </c>
    </row>
    <row r="8" spans="1:4" ht="27.6">
      <c r="A8" t="s">
        <v>478</v>
      </c>
      <c r="B8" t="s">
        <v>479</v>
      </c>
      <c r="C8" s="14" t="s">
        <v>480</v>
      </c>
      <c r="D8" s="14" t="s">
        <v>477</v>
      </c>
    </row>
    <row r="9" spans="1:4" ht="27.6">
      <c r="A9" t="s">
        <v>481</v>
      </c>
      <c r="B9" t="s">
        <v>482</v>
      </c>
      <c r="C9" s="14" t="s">
        <v>483</v>
      </c>
      <c r="D9" s="14" t="s">
        <v>477</v>
      </c>
    </row>
    <row r="10" spans="1:4">
      <c r="A10" t="s">
        <v>484</v>
      </c>
      <c r="B10" t="s">
        <v>138</v>
      </c>
      <c r="C10" s="14" t="s">
        <v>485</v>
      </c>
      <c r="D10" s="14" t="s">
        <v>477</v>
      </c>
    </row>
    <row r="11" spans="1:4">
      <c r="A11" t="s">
        <v>486</v>
      </c>
      <c r="B11" t="s">
        <v>140</v>
      </c>
      <c r="C11" s="14" t="s">
        <v>487</v>
      </c>
      <c r="D11" s="14" t="s">
        <v>477</v>
      </c>
    </row>
    <row r="12" spans="1:4">
      <c r="A12" t="s">
        <v>488</v>
      </c>
      <c r="B12" t="s">
        <v>489</v>
      </c>
      <c r="C12" s="14" t="s">
        <v>490</v>
      </c>
      <c r="D12" s="14" t="s">
        <v>491</v>
      </c>
    </row>
    <row r="13" spans="1:4" ht="27.6">
      <c r="A13" t="s">
        <v>492</v>
      </c>
      <c r="B13" t="s">
        <v>493</v>
      </c>
      <c r="C13" s="14" t="s">
        <v>494</v>
      </c>
      <c r="D13" s="14" t="s">
        <v>495</v>
      </c>
    </row>
    <row r="14" spans="1:4" ht="27.6">
      <c r="A14" t="s">
        <v>496</v>
      </c>
      <c r="B14" t="s">
        <v>497</v>
      </c>
      <c r="C14" s="14" t="s">
        <v>498</v>
      </c>
      <c r="D14" s="14" t="s">
        <v>499</v>
      </c>
    </row>
    <row r="15" spans="1:4" ht="41.4">
      <c r="A15" t="s">
        <v>500</v>
      </c>
      <c r="B15" t="s">
        <v>501</v>
      </c>
      <c r="C15" s="14" t="s">
        <v>502</v>
      </c>
      <c r="D15" s="14" t="s">
        <v>503</v>
      </c>
    </row>
    <row r="16" spans="1:4" ht="41.4">
      <c r="A16" t="s">
        <v>504</v>
      </c>
      <c r="B16" t="s">
        <v>505</v>
      </c>
      <c r="C16" s="14" t="s">
        <v>506</v>
      </c>
      <c r="D16" s="14" t="s">
        <v>503</v>
      </c>
    </row>
    <row r="17" spans="1:4" ht="41.4">
      <c r="A17" t="s">
        <v>507</v>
      </c>
      <c r="B17" t="s">
        <v>508</v>
      </c>
      <c r="C17" s="14" t="s">
        <v>509</v>
      </c>
      <c r="D17" s="14" t="s">
        <v>503</v>
      </c>
    </row>
    <row r="18" spans="1:4" ht="41.4">
      <c r="A18" t="s">
        <v>510</v>
      </c>
      <c r="B18" t="s">
        <v>511</v>
      </c>
      <c r="C18" s="14" t="s">
        <v>512</v>
      </c>
      <c r="D18" s="14" t="s">
        <v>503</v>
      </c>
    </row>
    <row r="19" spans="1:4" ht="82.8">
      <c r="A19" t="s">
        <v>513</v>
      </c>
      <c r="B19" t="s">
        <v>514</v>
      </c>
      <c r="C19" s="14" t="s">
        <v>515</v>
      </c>
      <c r="D19" s="14" t="s">
        <v>516</v>
      </c>
    </row>
  </sheetData>
  <pageMargins left="0.7" right="0.7" top="0.75" bottom="0.75" header="0.3" footer="0.3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37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38.69921875" customWidth="1"/>
    <col min="2" max="3" width="16.69921875" customWidth="1"/>
    <col min="4" max="4" width="24.69921875" customWidth="1"/>
    <col min="5" max="5" width="62.69921875" customWidth="1"/>
    <col min="6" max="6" width="40.69921875" customWidth="1"/>
  </cols>
  <sheetData>
    <row r="1" spans="1:6" ht="28.0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s="4">
        <v>2025</v>
      </c>
      <c r="C2" t="s">
        <v>42</v>
      </c>
      <c r="D2" t="s">
        <v>43</v>
      </c>
      <c r="E2" s="14" t="s">
        <v>44</v>
      </c>
      <c r="F2" t="s">
        <v>45</v>
      </c>
    </row>
    <row r="3" spans="1:6">
      <c r="A3" t="s">
        <v>7</v>
      </c>
      <c r="B3" s="4">
        <v>2050</v>
      </c>
      <c r="C3" t="s">
        <v>42</v>
      </c>
      <c r="D3" t="s">
        <v>43</v>
      </c>
      <c r="E3" s="14" t="s">
        <v>46</v>
      </c>
      <c r="F3" t="s">
        <v>45</v>
      </c>
    </row>
    <row r="4" spans="1:6">
      <c r="A4" t="s">
        <v>8</v>
      </c>
      <c r="B4" s="2" t="s">
        <v>112</v>
      </c>
      <c r="C4" t="s">
        <v>47</v>
      </c>
      <c r="D4" t="s">
        <v>43</v>
      </c>
      <c r="E4" s="14" t="s">
        <v>48</v>
      </c>
      <c r="F4" t="s">
        <v>49</v>
      </c>
    </row>
    <row r="5" spans="1:6">
      <c r="A5" t="s">
        <v>9</v>
      </c>
      <c r="B5" s="5">
        <v>0.03</v>
      </c>
      <c r="C5" t="s">
        <v>50</v>
      </c>
      <c r="D5" t="s">
        <v>43</v>
      </c>
      <c r="E5" s="14" t="s">
        <v>51</v>
      </c>
      <c r="F5" t="s">
        <v>45</v>
      </c>
    </row>
    <row r="6" spans="1:6">
      <c r="A6" t="s">
        <v>10</v>
      </c>
      <c r="B6" s="4">
        <v>2023</v>
      </c>
      <c r="C6" t="s">
        <v>52</v>
      </c>
      <c r="D6" t="s">
        <v>53</v>
      </c>
      <c r="E6" s="14" t="s">
        <v>54</v>
      </c>
      <c r="F6" t="s">
        <v>55</v>
      </c>
    </row>
    <row r="7" spans="1:6">
      <c r="A7" t="s">
        <v>11</v>
      </c>
      <c r="B7" s="2" t="s">
        <v>84</v>
      </c>
      <c r="C7" t="s">
        <v>11</v>
      </c>
      <c r="D7" t="s">
        <v>53</v>
      </c>
      <c r="E7" s="14" t="s">
        <v>56</v>
      </c>
      <c r="F7" t="s">
        <v>55</v>
      </c>
    </row>
    <row r="8" spans="1:6">
      <c r="A8" t="s">
        <v>12</v>
      </c>
      <c r="B8" s="2" t="s">
        <v>113</v>
      </c>
      <c r="C8" t="s">
        <v>57</v>
      </c>
      <c r="D8" t="s">
        <v>53</v>
      </c>
      <c r="E8" s="14" t="s">
        <v>58</v>
      </c>
      <c r="F8" t="s">
        <v>55</v>
      </c>
    </row>
    <row r="9" spans="1:6">
      <c r="A9" t="s">
        <v>13</v>
      </c>
      <c r="B9" s="2" t="s">
        <v>114</v>
      </c>
      <c r="C9" t="s">
        <v>57</v>
      </c>
      <c r="D9" t="s">
        <v>43</v>
      </c>
      <c r="E9" s="14" t="s">
        <v>59</v>
      </c>
      <c r="F9" t="s">
        <v>55</v>
      </c>
    </row>
    <row r="10" spans="1:6">
      <c r="A10" t="s">
        <v>14</v>
      </c>
      <c r="B10" s="4">
        <v>0</v>
      </c>
      <c r="C10" t="s">
        <v>60</v>
      </c>
      <c r="D10" t="s">
        <v>61</v>
      </c>
      <c r="E10" s="14" t="s">
        <v>62</v>
      </c>
      <c r="F10" t="s">
        <v>55</v>
      </c>
    </row>
    <row r="11" spans="1:6">
      <c r="A11" t="s">
        <v>15</v>
      </c>
      <c r="B11" s="6">
        <v>1E-3</v>
      </c>
      <c r="C11" t="s">
        <v>63</v>
      </c>
      <c r="D11" t="s">
        <v>64</v>
      </c>
      <c r="E11" s="14" t="s">
        <v>65</v>
      </c>
      <c r="F11" t="s">
        <v>66</v>
      </c>
    </row>
    <row r="12" spans="1:6">
      <c r="A12" t="s">
        <v>16</v>
      </c>
      <c r="B12" s="7">
        <v>1000</v>
      </c>
      <c r="C12" t="s">
        <v>67</v>
      </c>
      <c r="D12" t="s">
        <v>64</v>
      </c>
      <c r="E12" s="14" t="s">
        <v>68</v>
      </c>
      <c r="F12" t="s">
        <v>69</v>
      </c>
    </row>
    <row r="13" spans="1:6">
      <c r="A13" t="s">
        <v>17</v>
      </c>
      <c r="B13" s="4">
        <v>2</v>
      </c>
      <c r="C13" t="s">
        <v>70</v>
      </c>
      <c r="D13" t="s">
        <v>71</v>
      </c>
      <c r="E13" s="14" t="s">
        <v>72</v>
      </c>
      <c r="F13" t="s">
        <v>73</v>
      </c>
    </row>
    <row r="14" spans="1:6">
      <c r="A14" t="s">
        <v>18</v>
      </c>
      <c r="B14" s="8">
        <v>107.59</v>
      </c>
      <c r="C14" t="s">
        <v>67</v>
      </c>
      <c r="D14" t="s">
        <v>74</v>
      </c>
      <c r="E14" s="14" t="s">
        <v>75</v>
      </c>
      <c r="F14" t="s">
        <v>76</v>
      </c>
    </row>
    <row r="15" spans="1:6">
      <c r="A15" t="s">
        <v>19</v>
      </c>
      <c r="B15" s="9">
        <v>1</v>
      </c>
      <c r="C15" t="s">
        <v>77</v>
      </c>
      <c r="D15" t="s">
        <v>74</v>
      </c>
      <c r="E15" s="14" t="s">
        <v>78</v>
      </c>
      <c r="F15" t="s">
        <v>76</v>
      </c>
    </row>
    <row r="16" spans="1:6">
      <c r="A16" t="s">
        <v>20</v>
      </c>
      <c r="B16" s="9">
        <v>0</v>
      </c>
      <c r="C16" t="s">
        <v>77</v>
      </c>
      <c r="D16" t="s">
        <v>74</v>
      </c>
      <c r="E16" s="14" t="s">
        <v>79</v>
      </c>
      <c r="F16" t="s">
        <v>76</v>
      </c>
    </row>
    <row r="17" spans="1:6">
      <c r="A17" t="s">
        <v>21</v>
      </c>
      <c r="B17" s="10">
        <v>1576845.09498966</v>
      </c>
      <c r="C17" t="s">
        <v>80</v>
      </c>
      <c r="D17" t="s">
        <v>81</v>
      </c>
      <c r="E17" s="14" t="s">
        <v>82</v>
      </c>
      <c r="F17" t="s">
        <v>83</v>
      </c>
    </row>
    <row r="18" spans="1:6">
      <c r="A18" t="s">
        <v>22</v>
      </c>
      <c r="B18" s="10">
        <v>38897721606.056396</v>
      </c>
      <c r="C18" t="s">
        <v>84</v>
      </c>
      <c r="D18" t="s">
        <v>81</v>
      </c>
      <c r="E18" s="14" t="s">
        <v>85</v>
      </c>
      <c r="F18" t="s">
        <v>83</v>
      </c>
    </row>
    <row r="19" spans="1:6">
      <c r="A19" t="s">
        <v>23</v>
      </c>
      <c r="B19" s="11">
        <v>24668.067731986899</v>
      </c>
      <c r="C19" t="s">
        <v>86</v>
      </c>
      <c r="D19" t="s">
        <v>81</v>
      </c>
      <c r="E19" s="14" t="s">
        <v>87</v>
      </c>
      <c r="F19" t="s">
        <v>83</v>
      </c>
    </row>
    <row r="20" spans="1:6">
      <c r="A20" t="s">
        <v>24</v>
      </c>
      <c r="B20" s="3" t="s">
        <v>115</v>
      </c>
      <c r="C20" t="s">
        <v>47</v>
      </c>
      <c r="D20" t="s">
        <v>81</v>
      </c>
      <c r="E20" s="14" t="s">
        <v>88</v>
      </c>
      <c r="F20" t="s">
        <v>83</v>
      </c>
    </row>
    <row r="21" spans="1:6">
      <c r="A21" t="s">
        <v>25</v>
      </c>
      <c r="B21" s="4">
        <v>2025</v>
      </c>
      <c r="C21" t="s">
        <v>42</v>
      </c>
      <c r="D21" t="s">
        <v>89</v>
      </c>
      <c r="E21" s="14" t="s">
        <v>90</v>
      </c>
      <c r="F21" t="s">
        <v>91</v>
      </c>
    </row>
    <row r="22" spans="1:6">
      <c r="A22" t="s">
        <v>26</v>
      </c>
      <c r="B22" s="6">
        <v>0.03</v>
      </c>
      <c r="C22" t="s">
        <v>50</v>
      </c>
      <c r="D22" t="s">
        <v>89</v>
      </c>
      <c r="E22" s="14" t="s">
        <v>92</v>
      </c>
      <c r="F22" t="s">
        <v>91</v>
      </c>
    </row>
    <row r="23" spans="1:6">
      <c r="A23" t="s">
        <v>27</v>
      </c>
      <c r="B23" s="6">
        <v>0.03</v>
      </c>
      <c r="C23" t="s">
        <v>50</v>
      </c>
      <c r="D23" t="s">
        <v>89</v>
      </c>
      <c r="E23" s="14" t="s">
        <v>93</v>
      </c>
      <c r="F23" t="s">
        <v>91</v>
      </c>
    </row>
    <row r="24" spans="1:6" ht="27.6">
      <c r="A24" t="s">
        <v>28</v>
      </c>
      <c r="B24" s="6">
        <v>0.08</v>
      </c>
      <c r="C24" t="s">
        <v>50</v>
      </c>
      <c r="D24" t="s">
        <v>89</v>
      </c>
      <c r="E24" s="14" t="s">
        <v>94</v>
      </c>
      <c r="F24" t="s">
        <v>91</v>
      </c>
    </row>
    <row r="25" spans="1:6">
      <c r="A25" t="s">
        <v>29</v>
      </c>
      <c r="B25" s="4">
        <v>160</v>
      </c>
      <c r="C25" t="s">
        <v>95</v>
      </c>
      <c r="D25" t="s">
        <v>89</v>
      </c>
      <c r="E25" s="14" t="s">
        <v>96</v>
      </c>
      <c r="F25" t="s">
        <v>91</v>
      </c>
    </row>
    <row r="26" spans="1:6">
      <c r="A26" t="s">
        <v>30</v>
      </c>
      <c r="B26" s="12">
        <v>1.5</v>
      </c>
      <c r="C26" t="s">
        <v>97</v>
      </c>
      <c r="D26" t="s">
        <v>89</v>
      </c>
      <c r="E26" s="14" t="s">
        <v>98</v>
      </c>
      <c r="F26" t="s">
        <v>91</v>
      </c>
    </row>
    <row r="27" spans="1:6">
      <c r="A27" t="s">
        <v>31</v>
      </c>
      <c r="B27" s="4">
        <v>20</v>
      </c>
      <c r="C27" t="s">
        <v>95</v>
      </c>
      <c r="D27" t="s">
        <v>89</v>
      </c>
      <c r="E27" s="14" t="s">
        <v>99</v>
      </c>
      <c r="F27" t="s">
        <v>91</v>
      </c>
    </row>
    <row r="28" spans="1:6">
      <c r="A28" t="s">
        <v>32</v>
      </c>
      <c r="B28" s="4">
        <v>100</v>
      </c>
      <c r="C28" t="s">
        <v>95</v>
      </c>
      <c r="D28" t="s">
        <v>89</v>
      </c>
      <c r="E28" s="14" t="s">
        <v>100</v>
      </c>
      <c r="F28" t="s">
        <v>91</v>
      </c>
    </row>
    <row r="29" spans="1:6">
      <c r="A29" t="s">
        <v>33</v>
      </c>
      <c r="B29" s="4">
        <v>160</v>
      </c>
      <c r="C29" t="s">
        <v>95</v>
      </c>
      <c r="D29" t="s">
        <v>89</v>
      </c>
      <c r="E29" s="14" t="s">
        <v>101</v>
      </c>
      <c r="F29" t="s">
        <v>91</v>
      </c>
    </row>
    <row r="30" spans="1:6">
      <c r="A30" t="s">
        <v>34</v>
      </c>
      <c r="B30" s="4">
        <v>15</v>
      </c>
      <c r="C30" t="s">
        <v>102</v>
      </c>
      <c r="D30" t="s">
        <v>89</v>
      </c>
      <c r="E30" s="14" t="s">
        <v>103</v>
      </c>
      <c r="F30" t="s">
        <v>91</v>
      </c>
    </row>
    <row r="31" spans="1:6">
      <c r="A31" t="s">
        <v>35</v>
      </c>
      <c r="B31" s="4">
        <v>64</v>
      </c>
      <c r="C31" t="s">
        <v>102</v>
      </c>
      <c r="D31" t="s">
        <v>89</v>
      </c>
      <c r="E31" s="14" t="s">
        <v>104</v>
      </c>
      <c r="F31" t="s">
        <v>91</v>
      </c>
    </row>
    <row r="32" spans="1:6">
      <c r="A32" t="s">
        <v>36</v>
      </c>
      <c r="B32" s="2" t="s">
        <v>116</v>
      </c>
      <c r="C32" t="s">
        <v>57</v>
      </c>
      <c r="D32" t="s">
        <v>89</v>
      </c>
      <c r="E32" s="14" t="s">
        <v>105</v>
      </c>
      <c r="F32" t="s">
        <v>91</v>
      </c>
    </row>
    <row r="33" spans="1:6">
      <c r="A33" t="s">
        <v>37</v>
      </c>
      <c r="B33" s="4">
        <v>2023</v>
      </c>
      <c r="C33" t="s">
        <v>42</v>
      </c>
      <c r="D33" t="s">
        <v>89</v>
      </c>
      <c r="E33" s="14" t="s">
        <v>106</v>
      </c>
      <c r="F33" t="s">
        <v>91</v>
      </c>
    </row>
    <row r="34" spans="1:6">
      <c r="A34" t="s">
        <v>38</v>
      </c>
      <c r="B34" s="13">
        <v>3</v>
      </c>
      <c r="C34" t="s">
        <v>107</v>
      </c>
      <c r="D34" t="s">
        <v>89</v>
      </c>
      <c r="E34" s="14" t="s">
        <v>108</v>
      </c>
      <c r="F34" t="s">
        <v>91</v>
      </c>
    </row>
    <row r="35" spans="1:6">
      <c r="A35" t="s">
        <v>39</v>
      </c>
      <c r="B35" s="2" t="s">
        <v>117</v>
      </c>
      <c r="C35" t="s">
        <v>57</v>
      </c>
      <c r="D35" t="s">
        <v>89</v>
      </c>
      <c r="E35" s="14" t="s">
        <v>109</v>
      </c>
      <c r="F35" t="s">
        <v>91</v>
      </c>
    </row>
    <row r="36" spans="1:6">
      <c r="A36" t="s">
        <v>40</v>
      </c>
      <c r="B36" s="2" t="s">
        <v>118</v>
      </c>
      <c r="C36" t="s">
        <v>57</v>
      </c>
      <c r="D36" t="s">
        <v>89</v>
      </c>
      <c r="E36" s="14" t="s">
        <v>110</v>
      </c>
      <c r="F36" t="s">
        <v>91</v>
      </c>
    </row>
    <row r="37" spans="1:6">
      <c r="A37" t="s">
        <v>41</v>
      </c>
      <c r="B37" s="6">
        <v>7.4881374163431602E-2</v>
      </c>
      <c r="C37" t="s">
        <v>50</v>
      </c>
      <c r="D37" t="s">
        <v>89</v>
      </c>
      <c r="E37" s="14" t="s">
        <v>111</v>
      </c>
      <c r="F37" t="s">
        <v>91</v>
      </c>
    </row>
  </sheetData>
  <autoFilter ref="A1:F1" xr:uid="{00000000-0009-0000-0000-000014000000}"/>
  <pageMargins left="0.7" right="0.7" top="0.75" bottom="0.75" header="0.3" footer="0.3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16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22.69921875" customWidth="1"/>
    <col min="2" max="2" width="18.69921875" customWidth="1"/>
    <col min="3" max="3" width="34.69921875" customWidth="1"/>
    <col min="4" max="4" width="52.69921875" customWidth="1"/>
    <col min="5" max="5" width="26.69921875" customWidth="1"/>
  </cols>
  <sheetData>
    <row r="1" spans="1:5" ht="28.05" customHeight="1">
      <c r="A1" s="1" t="s">
        <v>517</v>
      </c>
      <c r="B1" s="1" t="s">
        <v>518</v>
      </c>
      <c r="C1" s="1" t="s">
        <v>519</v>
      </c>
      <c r="D1" s="1" t="s">
        <v>520</v>
      </c>
      <c r="E1" s="1" t="s">
        <v>521</v>
      </c>
    </row>
    <row r="2" spans="1:5">
      <c r="A2" t="s">
        <v>522</v>
      </c>
      <c r="B2" t="s">
        <v>523</v>
      </c>
      <c r="C2" s="14" t="s">
        <v>524</v>
      </c>
      <c r="D2" s="14" t="s">
        <v>525</v>
      </c>
      <c r="E2" t="s">
        <v>526</v>
      </c>
    </row>
    <row r="3" spans="1:5">
      <c r="A3" t="s">
        <v>527</v>
      </c>
      <c r="B3" t="s">
        <v>528</v>
      </c>
      <c r="C3" s="14" t="s">
        <v>522</v>
      </c>
      <c r="D3" s="14" t="s">
        <v>529</v>
      </c>
      <c r="E3" t="s">
        <v>526</v>
      </c>
    </row>
    <row r="4" spans="1:5">
      <c r="A4" t="s">
        <v>530</v>
      </c>
      <c r="B4" t="s">
        <v>531</v>
      </c>
      <c r="C4" s="14" t="s">
        <v>532</v>
      </c>
      <c r="D4" s="14" t="s">
        <v>533</v>
      </c>
      <c r="E4" t="s">
        <v>526</v>
      </c>
    </row>
    <row r="5" spans="1:5" ht="27.6">
      <c r="A5" t="s">
        <v>534</v>
      </c>
      <c r="B5" t="s">
        <v>535</v>
      </c>
      <c r="C5" s="14" t="s">
        <v>536</v>
      </c>
      <c r="D5" s="14" t="s">
        <v>537</v>
      </c>
      <c r="E5" t="s">
        <v>526</v>
      </c>
    </row>
    <row r="6" spans="1:5" ht="27.6">
      <c r="A6" t="s">
        <v>538</v>
      </c>
      <c r="B6" t="s">
        <v>539</v>
      </c>
      <c r="C6" s="14" t="s">
        <v>540</v>
      </c>
      <c r="D6" s="14" t="s">
        <v>541</v>
      </c>
      <c r="E6" t="s">
        <v>526</v>
      </c>
    </row>
    <row r="7" spans="1:5" ht="27.6">
      <c r="A7" t="s">
        <v>542</v>
      </c>
      <c r="B7" t="s">
        <v>543</v>
      </c>
      <c r="C7" s="14" t="s">
        <v>544</v>
      </c>
      <c r="D7" s="14" t="s">
        <v>545</v>
      </c>
      <c r="E7" t="s">
        <v>526</v>
      </c>
    </row>
    <row r="8" spans="1:5" ht="41.4">
      <c r="A8" t="s">
        <v>546</v>
      </c>
      <c r="B8" t="s">
        <v>547</v>
      </c>
      <c r="C8" s="14" t="s">
        <v>548</v>
      </c>
      <c r="D8" s="14" t="s">
        <v>549</v>
      </c>
      <c r="E8" t="s">
        <v>526</v>
      </c>
    </row>
    <row r="9" spans="1:5">
      <c r="A9" t="s">
        <v>546</v>
      </c>
      <c r="B9" t="s">
        <v>550</v>
      </c>
      <c r="C9" s="14" t="s">
        <v>551</v>
      </c>
      <c r="D9" s="14" t="s">
        <v>552</v>
      </c>
      <c r="E9" t="s">
        <v>526</v>
      </c>
    </row>
    <row r="10" spans="1:5">
      <c r="A10" t="s">
        <v>553</v>
      </c>
      <c r="B10" t="s">
        <v>554</v>
      </c>
      <c r="C10" s="14" t="s">
        <v>546</v>
      </c>
      <c r="D10" s="14" t="s">
        <v>555</v>
      </c>
      <c r="E10" t="s">
        <v>526</v>
      </c>
    </row>
    <row r="11" spans="1:5" ht="27.6">
      <c r="A11" t="s">
        <v>556</v>
      </c>
      <c r="B11" t="s">
        <v>557</v>
      </c>
      <c r="C11" s="14" t="s">
        <v>558</v>
      </c>
      <c r="D11" s="14" t="s">
        <v>559</v>
      </c>
      <c r="E11" t="s">
        <v>526</v>
      </c>
    </row>
    <row r="12" spans="1:5" ht="27.6">
      <c r="A12" t="s">
        <v>560</v>
      </c>
      <c r="B12" t="s">
        <v>561</v>
      </c>
      <c r="C12" s="14" t="s">
        <v>562</v>
      </c>
      <c r="D12" s="14" t="s">
        <v>563</v>
      </c>
      <c r="E12" t="s">
        <v>526</v>
      </c>
    </row>
    <row r="13" spans="1:5" ht="41.4">
      <c r="A13" t="s">
        <v>564</v>
      </c>
      <c r="B13" t="s">
        <v>565</v>
      </c>
      <c r="C13" s="14" t="s">
        <v>566</v>
      </c>
      <c r="D13" s="14" t="s">
        <v>567</v>
      </c>
      <c r="E13" t="s">
        <v>526</v>
      </c>
    </row>
    <row r="14" spans="1:5">
      <c r="A14" t="s">
        <v>568</v>
      </c>
      <c r="B14" t="s">
        <v>569</v>
      </c>
      <c r="C14" s="14" t="s">
        <v>570</v>
      </c>
      <c r="D14" s="14" t="s">
        <v>571</v>
      </c>
      <c r="E14" t="s">
        <v>526</v>
      </c>
    </row>
    <row r="15" spans="1:5">
      <c r="A15" t="s">
        <v>572</v>
      </c>
      <c r="B15" t="s">
        <v>573</v>
      </c>
      <c r="C15" s="14" t="s">
        <v>574</v>
      </c>
      <c r="D15" s="14" t="s">
        <v>575</v>
      </c>
      <c r="E15" t="s">
        <v>526</v>
      </c>
    </row>
    <row r="16" spans="1:5">
      <c r="A16" t="s">
        <v>576</v>
      </c>
      <c r="B16" t="s">
        <v>577</v>
      </c>
      <c r="C16" s="14" t="s">
        <v>578</v>
      </c>
      <c r="D16" s="14" t="s">
        <v>579</v>
      </c>
      <c r="E16" t="s">
        <v>580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README</vt:lpstr>
      <vt:lpstr>Run_Metadata</vt:lpstr>
      <vt:lpstr>Scenario_Catalog</vt:lpstr>
      <vt:lpstr>Cascade_Assumptions</vt:lpstr>
      <vt:lpstr>Cascade_Trajectory</vt:lpstr>
      <vt:lpstr>Cascade_QA</vt:lpstr>
      <vt:lpstr>Selected_Interventions</vt:lpstr>
      <vt:lpstr>Cost_Components</vt:lpstr>
      <vt:lpstr>Annual_Mortality</vt:lpstr>
      <vt:lpstr>Health_Outcomes</vt:lpstr>
      <vt:lpstr>CVD_40q30</vt:lpstr>
      <vt:lpstr>CVD_40q30_Age</vt:lpstr>
      <vt:lpstr>Annual_Cost</vt:lpstr>
      <vt:lpstr>Budget_Impact</vt:lpstr>
      <vt:lpstr>Cost_Effectiveness</vt:lpstr>
      <vt:lpstr>Economic_Value</vt:lpstr>
      <vt:lpstr>Benefit_Cost</vt:lpstr>
      <vt:lpstr>QA_Checks</vt:lpstr>
      <vt:lpstr>Input_Diagnostic</vt:lpstr>
      <vt:lpstr>Methods_and_Sources</vt:lpstr>
      <vt:lpstr>Calculation_Assumptions</vt:lpstr>
      <vt:lpstr>Calculation_Map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wrgar</dc:creator>
  <cp:lastModifiedBy>William R Garcia</cp:lastModifiedBy>
  <dcterms:created xsi:type="dcterms:W3CDTF">2026-08-29T03:26:13Z</dcterms:created>
  <dcterms:modified xsi:type="dcterms:W3CDTF">2026-08-29T03:38:18Z</dcterms:modified>
</cp:coreProperties>
</file>