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output/70_30_30_to_70_70_70/"/>
    </mc:Choice>
  </mc:AlternateContent>
  <xr:revisionPtr revIDLastSave="9" documentId="11_AEB86297AE7AE2AA63307DB89BB8769F43D61297" xr6:coauthVersionLast="47" xr6:coauthVersionMax="47" xr10:uidLastSave="{99BC2822-C670-4908-8728-2B122DB04CAF}"/>
  <bookViews>
    <workbookView xWindow="-108" yWindow="-108" windowWidth="23256" windowHeight="12456" firstSheet="8" activeTab="12" xr2:uid="{00000000-000D-0000-FFFF-FFFF00000000}"/>
  </bookViews>
  <sheets>
    <sheet name="README" sheetId="2" r:id="rId1"/>
    <sheet name="Run_Metadata" sheetId="3" r:id="rId2"/>
    <sheet name="Scenario_Catalog" sheetId="19" r:id="rId3"/>
    <sheet name="Cascade_Assumptions" sheetId="20" r:id="rId4"/>
    <sheet name="Cascade_Trajectory" sheetId="21" r:id="rId5"/>
    <sheet name="Cascade_QA" sheetId="22" r:id="rId6"/>
    <sheet name="Selected_Interventions" sheetId="4" r:id="rId7"/>
    <sheet name="Cost_Components" sheetId="5" r:id="rId8"/>
    <sheet name="Annual_Mortality" sheetId="6" r:id="rId9"/>
    <sheet name="Health_Outcomes" sheetId="10" r:id="rId10"/>
    <sheet name="CVD_40q30" sheetId="14" r:id="rId11"/>
    <sheet name="CVD_40q30_Age" sheetId="13" r:id="rId12"/>
    <sheet name="Annual_Cost" sheetId="7" r:id="rId13"/>
    <sheet name="Budget_Impact" sheetId="8" r:id="rId14"/>
    <sheet name="Cost_Effectiveness" sheetId="9" r:id="rId15"/>
    <sheet name="Economic_Value" sheetId="11" r:id="rId16"/>
    <sheet name="Benefit_Cost" sheetId="12" r:id="rId17"/>
    <sheet name="QA_Checks" sheetId="16" r:id="rId18"/>
    <sheet name="Input_Diagnostic" sheetId="15" r:id="rId19"/>
    <sheet name="Methods_and_Sources" sheetId="17" r:id="rId20"/>
    <sheet name="Calculation_Assumptions" sheetId="1" r:id="rId21"/>
    <sheet name="Calculation_Map" sheetId="18" r:id="rId22"/>
  </sheets>
  <definedNames>
    <definedName name="_xlnm._FilterDatabase" localSheetId="8" hidden="1">Annual_Mortality!$A$1:$J$365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7" l="1"/>
  <c r="O2" i="7"/>
  <c r="J2" i="7"/>
  <c r="C18" i="16"/>
  <c r="D18" i="16" s="1"/>
  <c r="C17" i="16"/>
  <c r="D17" i="16" s="1"/>
  <c r="C16" i="16"/>
  <c r="D16" i="16" s="1"/>
  <c r="C8" i="16"/>
  <c r="D8" i="16" s="1"/>
  <c r="C7" i="16"/>
  <c r="D7" i="16" s="1"/>
  <c r="C6" i="16"/>
  <c r="D6" i="16" s="1"/>
  <c r="C5" i="16"/>
  <c r="D5" i="16" s="1"/>
  <c r="C4" i="16"/>
  <c r="D4" i="16" s="1"/>
  <c r="C3" i="16"/>
  <c r="D3" i="16" s="1"/>
  <c r="Z27" i="11"/>
  <c r="AA27" i="11" s="1"/>
  <c r="U27" i="11"/>
  <c r="S27" i="11"/>
  <c r="X27" i="11" s="1"/>
  <c r="O27" i="11"/>
  <c r="T27" i="11" s="1"/>
  <c r="Y27" i="11" s="1"/>
  <c r="N27" i="11"/>
  <c r="K27" i="11"/>
  <c r="J27" i="11"/>
  <c r="AA26" i="11"/>
  <c r="Z26" i="11"/>
  <c r="U26" i="11"/>
  <c r="T26" i="11"/>
  <c r="Y26" i="11" s="1"/>
  <c r="O26" i="11"/>
  <c r="N26" i="11"/>
  <c r="S26" i="11" s="1"/>
  <c r="K26" i="11"/>
  <c r="J26" i="11"/>
  <c r="L26" i="11" s="1"/>
  <c r="P26" i="11" s="1"/>
  <c r="R26" i="11" s="1"/>
  <c r="W26" i="11" s="1"/>
  <c r="Z25" i="11"/>
  <c r="AA25" i="11" s="1"/>
  <c r="U25" i="11"/>
  <c r="Q25" i="11"/>
  <c r="O25" i="11"/>
  <c r="T25" i="11" s="1"/>
  <c r="N25" i="11"/>
  <c r="S25" i="11" s="1"/>
  <c r="X25" i="11" s="1"/>
  <c r="L25" i="11"/>
  <c r="P25" i="11" s="1"/>
  <c r="R25" i="11" s="1"/>
  <c r="K25" i="11"/>
  <c r="J25" i="11"/>
  <c r="AA24" i="11"/>
  <c r="Z24" i="11"/>
  <c r="U24" i="11"/>
  <c r="O24" i="11"/>
  <c r="T24" i="11" s="1"/>
  <c r="Y24" i="11" s="1"/>
  <c r="N24" i="11"/>
  <c r="S24" i="11" s="1"/>
  <c r="X24" i="11" s="1"/>
  <c r="K24" i="11"/>
  <c r="J24" i="11"/>
  <c r="L24" i="11" s="1"/>
  <c r="Z23" i="11"/>
  <c r="U23" i="11"/>
  <c r="T23" i="11"/>
  <c r="O23" i="11"/>
  <c r="N23" i="11"/>
  <c r="S23" i="11" s="1"/>
  <c r="K23" i="11"/>
  <c r="J23" i="11"/>
  <c r="Z22" i="11"/>
  <c r="AA22" i="11" s="1"/>
  <c r="X22" i="11"/>
  <c r="U22" i="11"/>
  <c r="O22" i="11"/>
  <c r="T22" i="11" s="1"/>
  <c r="Y22" i="11" s="1"/>
  <c r="N22" i="11"/>
  <c r="S22" i="11" s="1"/>
  <c r="K22" i="11"/>
  <c r="J22" i="11"/>
  <c r="L22" i="11" s="1"/>
  <c r="Z21" i="11"/>
  <c r="U21" i="11"/>
  <c r="X21" i="11" s="1"/>
  <c r="S21" i="11"/>
  <c r="O21" i="11"/>
  <c r="T21" i="11" s="1"/>
  <c r="N21" i="11"/>
  <c r="K21" i="11"/>
  <c r="J21" i="11"/>
  <c r="AA20" i="11"/>
  <c r="Z20" i="11"/>
  <c r="U20" i="11"/>
  <c r="O20" i="11"/>
  <c r="T20" i="11" s="1"/>
  <c r="Y20" i="11" s="1"/>
  <c r="N20" i="11"/>
  <c r="S20" i="11" s="1"/>
  <c r="X20" i="11" s="1"/>
  <c r="K20" i="11"/>
  <c r="J20" i="11"/>
  <c r="Z19" i="11"/>
  <c r="U19" i="11"/>
  <c r="S19" i="11"/>
  <c r="X19" i="11" s="1"/>
  <c r="O19" i="11"/>
  <c r="T19" i="11" s="1"/>
  <c r="N19" i="11"/>
  <c r="K19" i="11"/>
  <c r="J19" i="11"/>
  <c r="Z18" i="11"/>
  <c r="AA18" i="11" s="1"/>
  <c r="U18" i="11"/>
  <c r="S18" i="11"/>
  <c r="X18" i="11" s="1"/>
  <c r="O18" i="11"/>
  <c r="T18" i="11" s="1"/>
  <c r="Y18" i="11" s="1"/>
  <c r="N18" i="11"/>
  <c r="L18" i="11"/>
  <c r="P18" i="11" s="1"/>
  <c r="R18" i="11" s="1"/>
  <c r="W18" i="11" s="1"/>
  <c r="K18" i="11"/>
  <c r="J18" i="11"/>
  <c r="Z17" i="11"/>
  <c r="AA17" i="11" s="1"/>
  <c r="U17" i="11"/>
  <c r="O17" i="11"/>
  <c r="T17" i="11" s="1"/>
  <c r="Y17" i="11" s="1"/>
  <c r="N17" i="11"/>
  <c r="S17" i="11" s="1"/>
  <c r="K17" i="11"/>
  <c r="J17" i="11"/>
  <c r="Z16" i="11"/>
  <c r="U16" i="11"/>
  <c r="O16" i="11"/>
  <c r="T16" i="11" s="1"/>
  <c r="Y16" i="11" s="1"/>
  <c r="N16" i="11"/>
  <c r="S16" i="11" s="1"/>
  <c r="K16" i="11"/>
  <c r="J16" i="11"/>
  <c r="L16" i="11" s="1"/>
  <c r="Z15" i="11"/>
  <c r="AA15" i="11" s="1"/>
  <c r="U15" i="11"/>
  <c r="X15" i="11" s="1"/>
  <c r="S15" i="11"/>
  <c r="O15" i="11"/>
  <c r="T15" i="11" s="1"/>
  <c r="N15" i="11"/>
  <c r="L15" i="11"/>
  <c r="P15" i="11" s="1"/>
  <c r="R15" i="11" s="1"/>
  <c r="W15" i="11" s="1"/>
  <c r="K15" i="11"/>
  <c r="J15" i="11"/>
  <c r="Z14" i="11"/>
  <c r="U14" i="11"/>
  <c r="AA14" i="11" s="1"/>
  <c r="O14" i="11"/>
  <c r="T14" i="11" s="1"/>
  <c r="Y14" i="11" s="1"/>
  <c r="N14" i="11"/>
  <c r="S14" i="11" s="1"/>
  <c r="K14" i="11"/>
  <c r="J14" i="11"/>
  <c r="L14" i="11" s="1"/>
  <c r="P14" i="11" s="1"/>
  <c r="R14" i="11" s="1"/>
  <c r="W14" i="11" s="1"/>
  <c r="Z13" i="11"/>
  <c r="U13" i="11"/>
  <c r="AA13" i="11" s="1"/>
  <c r="S13" i="11"/>
  <c r="X13" i="11" s="1"/>
  <c r="O13" i="11"/>
  <c r="T13" i="11" s="1"/>
  <c r="N13" i="11"/>
  <c r="L13" i="11"/>
  <c r="Q13" i="11" s="1"/>
  <c r="K13" i="11"/>
  <c r="J13" i="11"/>
  <c r="Z12" i="11"/>
  <c r="U12" i="11"/>
  <c r="X12" i="11" s="1"/>
  <c r="S12" i="11"/>
  <c r="O12" i="11"/>
  <c r="T12" i="11" s="1"/>
  <c r="N12" i="11"/>
  <c r="K12" i="11"/>
  <c r="J12" i="11"/>
  <c r="L12" i="11" s="1"/>
  <c r="Z11" i="11"/>
  <c r="AA11" i="11" s="1"/>
  <c r="U11" i="11"/>
  <c r="S11" i="11"/>
  <c r="X11" i="11" s="1"/>
  <c r="O11" i="11"/>
  <c r="T11" i="11" s="1"/>
  <c r="Y11" i="11" s="1"/>
  <c r="N11" i="11"/>
  <c r="K11" i="11"/>
  <c r="J11" i="11"/>
  <c r="AA10" i="11"/>
  <c r="Z10" i="11"/>
  <c r="U10" i="11"/>
  <c r="O10" i="11"/>
  <c r="T10" i="11" s="1"/>
  <c r="N10" i="11"/>
  <c r="S10" i="11" s="1"/>
  <c r="X10" i="11" s="1"/>
  <c r="L10" i="11"/>
  <c r="P10" i="11" s="1"/>
  <c r="R10" i="11" s="1"/>
  <c r="W10" i="11" s="1"/>
  <c r="K10" i="11"/>
  <c r="J10" i="11"/>
  <c r="Z9" i="11"/>
  <c r="AA9" i="11" s="1"/>
  <c r="U9" i="11"/>
  <c r="O9" i="11"/>
  <c r="T9" i="11" s="1"/>
  <c r="Y9" i="11" s="1"/>
  <c r="N9" i="11"/>
  <c r="S9" i="11" s="1"/>
  <c r="X9" i="11" s="1"/>
  <c r="L9" i="11"/>
  <c r="P9" i="11" s="1"/>
  <c r="R9" i="11" s="1"/>
  <c r="W9" i="11" s="1"/>
  <c r="K9" i="11"/>
  <c r="J9" i="11"/>
  <c r="Z8" i="11"/>
  <c r="U8" i="11"/>
  <c r="AA8" i="11" s="1"/>
  <c r="T8" i="11"/>
  <c r="Y8" i="11" s="1"/>
  <c r="O8" i="11"/>
  <c r="N8" i="11"/>
  <c r="S8" i="11" s="1"/>
  <c r="X8" i="11" s="1"/>
  <c r="K8" i="11"/>
  <c r="J8" i="11"/>
  <c r="L8" i="11" s="1"/>
  <c r="Z7" i="11"/>
  <c r="Y7" i="11"/>
  <c r="U7" i="11"/>
  <c r="AA7" i="11" s="1"/>
  <c r="T7" i="11"/>
  <c r="O7" i="11"/>
  <c r="N7" i="11"/>
  <c r="S7" i="11" s="1"/>
  <c r="K7" i="11"/>
  <c r="L7" i="11" s="1"/>
  <c r="J7" i="11"/>
  <c r="Z6" i="11"/>
  <c r="AA6" i="11" s="1"/>
  <c r="U6" i="11"/>
  <c r="O6" i="11"/>
  <c r="T6" i="11" s="1"/>
  <c r="N6" i="11"/>
  <c r="S6" i="11" s="1"/>
  <c r="X6" i="11" s="1"/>
  <c r="K6" i="11"/>
  <c r="J6" i="11"/>
  <c r="L6" i="11" s="1"/>
  <c r="AA5" i="11"/>
  <c r="Z5" i="11"/>
  <c r="U5" i="11"/>
  <c r="O5" i="11"/>
  <c r="T5" i="11" s="1"/>
  <c r="Y5" i="11" s="1"/>
  <c r="N5" i="11"/>
  <c r="S5" i="11" s="1"/>
  <c r="X5" i="11" s="1"/>
  <c r="K5" i="11"/>
  <c r="J5" i="11"/>
  <c r="Z4" i="11"/>
  <c r="U4" i="11"/>
  <c r="AA4" i="11" s="1"/>
  <c r="O4" i="11"/>
  <c r="T4" i="11" s="1"/>
  <c r="Y4" i="11" s="1"/>
  <c r="N4" i="11"/>
  <c r="S4" i="11" s="1"/>
  <c r="K4" i="11"/>
  <c r="L4" i="11" s="1"/>
  <c r="J4" i="11"/>
  <c r="Z3" i="11"/>
  <c r="U3" i="11"/>
  <c r="O3" i="11"/>
  <c r="T3" i="11" s="1"/>
  <c r="N3" i="11"/>
  <c r="S3" i="11" s="1"/>
  <c r="K3" i="11"/>
  <c r="J3" i="11"/>
  <c r="L3" i="11" s="1"/>
  <c r="Q3" i="11" s="1"/>
  <c r="Z2" i="11"/>
  <c r="AA2" i="11" s="1"/>
  <c r="U2" i="11"/>
  <c r="O2" i="11"/>
  <c r="T2" i="11" s="1"/>
  <c r="Y2" i="11" s="1"/>
  <c r="N2" i="11"/>
  <c r="S2" i="11" s="1"/>
  <c r="X2" i="11" s="1"/>
  <c r="K2" i="11"/>
  <c r="J2" i="11"/>
  <c r="L2" i="11" s="1"/>
  <c r="AH131" i="7"/>
  <c r="AE131" i="7"/>
  <c r="AD131" i="7"/>
  <c r="AC131" i="7"/>
  <c r="V131" i="7"/>
  <c r="U131" i="7"/>
  <c r="T131" i="7"/>
  <c r="N131" i="7"/>
  <c r="M131" i="7"/>
  <c r="J131" i="7"/>
  <c r="O131" i="7" s="1"/>
  <c r="AH130" i="7"/>
  <c r="AE130" i="7"/>
  <c r="AD130" i="7"/>
  <c r="AC130" i="7"/>
  <c r="V130" i="7"/>
  <c r="U130" i="7"/>
  <c r="T130" i="7"/>
  <c r="P130" i="7"/>
  <c r="O130" i="7"/>
  <c r="N130" i="7"/>
  <c r="M130" i="7"/>
  <c r="J130" i="7"/>
  <c r="AH129" i="7"/>
  <c r="AE129" i="7"/>
  <c r="AD129" i="7"/>
  <c r="AC129" i="7"/>
  <c r="V129" i="7"/>
  <c r="U129" i="7"/>
  <c r="T129" i="7"/>
  <c r="N129" i="7"/>
  <c r="M129" i="7"/>
  <c r="J129" i="7"/>
  <c r="P129" i="7" s="1"/>
  <c r="AH128" i="7"/>
  <c r="AE128" i="7"/>
  <c r="AD128" i="7"/>
  <c r="AC128" i="7"/>
  <c r="V128" i="7"/>
  <c r="U128" i="7"/>
  <c r="T128" i="7"/>
  <c r="P128" i="7"/>
  <c r="N128" i="7"/>
  <c r="M128" i="7"/>
  <c r="J128" i="7"/>
  <c r="O128" i="7" s="1"/>
  <c r="R128" i="7" s="1"/>
  <c r="X128" i="7" s="1"/>
  <c r="AH127" i="7"/>
  <c r="AE127" i="7"/>
  <c r="AD127" i="7"/>
  <c r="AC127" i="7"/>
  <c r="V127" i="7"/>
  <c r="U127" i="7"/>
  <c r="T127" i="7"/>
  <c r="N127" i="7"/>
  <c r="M127" i="7"/>
  <c r="J127" i="7"/>
  <c r="P127" i="7" s="1"/>
  <c r="AH126" i="7"/>
  <c r="AE126" i="7"/>
  <c r="AD126" i="7"/>
  <c r="AC126" i="7"/>
  <c r="V126" i="7"/>
  <c r="U126" i="7"/>
  <c r="T126" i="7"/>
  <c r="N126" i="7"/>
  <c r="M126" i="7"/>
  <c r="J126" i="7"/>
  <c r="O126" i="7" s="1"/>
  <c r="R126" i="7" s="1"/>
  <c r="AH125" i="7"/>
  <c r="AE125" i="7"/>
  <c r="AD125" i="7"/>
  <c r="AC125" i="7"/>
  <c r="V125" i="7"/>
  <c r="U125" i="7"/>
  <c r="T125" i="7"/>
  <c r="N125" i="7"/>
  <c r="M125" i="7"/>
  <c r="J125" i="7"/>
  <c r="P125" i="7" s="1"/>
  <c r="AH124" i="7"/>
  <c r="AE124" i="7"/>
  <c r="AD124" i="7"/>
  <c r="AC124" i="7"/>
  <c r="V124" i="7"/>
  <c r="U124" i="7"/>
  <c r="T124" i="7"/>
  <c r="N124" i="7"/>
  <c r="M124" i="7"/>
  <c r="J124" i="7"/>
  <c r="AH123" i="7"/>
  <c r="AE123" i="7"/>
  <c r="AD123" i="7"/>
  <c r="AC123" i="7"/>
  <c r="V123" i="7"/>
  <c r="U123" i="7"/>
  <c r="T123" i="7"/>
  <c r="P123" i="7"/>
  <c r="N123" i="7"/>
  <c r="M123" i="7"/>
  <c r="J123" i="7"/>
  <c r="O123" i="7" s="1"/>
  <c r="AH122" i="7"/>
  <c r="AE122" i="7"/>
  <c r="AD122" i="7"/>
  <c r="AC122" i="7"/>
  <c r="V122" i="7"/>
  <c r="U122" i="7"/>
  <c r="T122" i="7"/>
  <c r="N122" i="7"/>
  <c r="M122" i="7"/>
  <c r="J122" i="7"/>
  <c r="P122" i="7" s="1"/>
  <c r="AH121" i="7"/>
  <c r="AE121" i="7"/>
  <c r="AD121" i="7"/>
  <c r="AC121" i="7"/>
  <c r="V121" i="7"/>
  <c r="U121" i="7"/>
  <c r="T121" i="7"/>
  <c r="N121" i="7"/>
  <c r="M121" i="7"/>
  <c r="J121" i="7"/>
  <c r="P121" i="7" s="1"/>
  <c r="AH120" i="7"/>
  <c r="AE120" i="7"/>
  <c r="AD120" i="7"/>
  <c r="AC120" i="7"/>
  <c r="V120" i="7"/>
  <c r="U120" i="7"/>
  <c r="T120" i="7"/>
  <c r="O120" i="7"/>
  <c r="R120" i="7" s="1"/>
  <c r="N120" i="7"/>
  <c r="M120" i="7"/>
  <c r="J120" i="7"/>
  <c r="P120" i="7" s="1"/>
  <c r="AH119" i="7"/>
  <c r="AE119" i="7"/>
  <c r="AD119" i="7"/>
  <c r="AC119" i="7"/>
  <c r="V119" i="7"/>
  <c r="U119" i="7"/>
  <c r="T119" i="7"/>
  <c r="O119" i="7"/>
  <c r="R119" i="7" s="1"/>
  <c r="N119" i="7"/>
  <c r="M119" i="7"/>
  <c r="J119" i="7"/>
  <c r="P119" i="7" s="1"/>
  <c r="AH118" i="7"/>
  <c r="AE118" i="7"/>
  <c r="AD118" i="7"/>
  <c r="AC118" i="7"/>
  <c r="V118" i="7"/>
  <c r="U118" i="7"/>
  <c r="T118" i="7"/>
  <c r="N118" i="7"/>
  <c r="M118" i="7"/>
  <c r="J118" i="7"/>
  <c r="P118" i="7" s="1"/>
  <c r="AH117" i="7"/>
  <c r="AE117" i="7"/>
  <c r="AD117" i="7"/>
  <c r="AC117" i="7"/>
  <c r="V117" i="7"/>
  <c r="U117" i="7"/>
  <c r="T117" i="7"/>
  <c r="N117" i="7"/>
  <c r="M117" i="7"/>
  <c r="J117" i="7"/>
  <c r="AH116" i="7"/>
  <c r="AE116" i="7"/>
  <c r="AD116" i="7"/>
  <c r="AC116" i="7"/>
  <c r="V116" i="7"/>
  <c r="U116" i="7"/>
  <c r="T116" i="7"/>
  <c r="N116" i="7"/>
  <c r="M116" i="7"/>
  <c r="J116" i="7"/>
  <c r="AH115" i="7"/>
  <c r="AE115" i="7"/>
  <c r="AD115" i="7"/>
  <c r="AC115" i="7"/>
  <c r="V115" i="7"/>
  <c r="U115" i="7"/>
  <c r="T115" i="7"/>
  <c r="N115" i="7"/>
  <c r="M115" i="7"/>
  <c r="J115" i="7"/>
  <c r="O115" i="7" s="1"/>
  <c r="AH114" i="7"/>
  <c r="AE114" i="7"/>
  <c r="AD114" i="7"/>
  <c r="AC114" i="7"/>
  <c r="V114" i="7"/>
  <c r="U114" i="7"/>
  <c r="T114" i="7"/>
  <c r="O114" i="7"/>
  <c r="N114" i="7"/>
  <c r="M114" i="7"/>
  <c r="J114" i="7"/>
  <c r="P114" i="7" s="1"/>
  <c r="AH113" i="7"/>
  <c r="AE113" i="7"/>
  <c r="AD113" i="7"/>
  <c r="AC113" i="7"/>
  <c r="V113" i="7"/>
  <c r="U113" i="7"/>
  <c r="T113" i="7"/>
  <c r="P113" i="7"/>
  <c r="O113" i="7"/>
  <c r="N113" i="7"/>
  <c r="M113" i="7"/>
  <c r="J113" i="7"/>
  <c r="AH112" i="7"/>
  <c r="AE112" i="7"/>
  <c r="AD112" i="7"/>
  <c r="AC112" i="7"/>
  <c r="V112" i="7"/>
  <c r="U112" i="7"/>
  <c r="T112" i="7"/>
  <c r="N112" i="7"/>
  <c r="M112" i="7"/>
  <c r="J112" i="7"/>
  <c r="P112" i="7" s="1"/>
  <c r="AH111" i="7"/>
  <c r="AE111" i="7"/>
  <c r="AD111" i="7"/>
  <c r="AC111" i="7"/>
  <c r="V111" i="7"/>
  <c r="U111" i="7"/>
  <c r="T111" i="7"/>
  <c r="N111" i="7"/>
  <c r="M111" i="7"/>
  <c r="J111" i="7"/>
  <c r="P111" i="7" s="1"/>
  <c r="AH110" i="7"/>
  <c r="AE110" i="7"/>
  <c r="AD110" i="7"/>
  <c r="AC110" i="7"/>
  <c r="V110" i="7"/>
  <c r="U110" i="7"/>
  <c r="T110" i="7"/>
  <c r="P110" i="7"/>
  <c r="N110" i="7"/>
  <c r="M110" i="7"/>
  <c r="J110" i="7"/>
  <c r="O110" i="7" s="1"/>
  <c r="R110" i="7" s="1"/>
  <c r="X110" i="7" s="1"/>
  <c r="AH109" i="7"/>
  <c r="AE109" i="7"/>
  <c r="AD109" i="7"/>
  <c r="AC109" i="7"/>
  <c r="V109" i="7"/>
  <c r="U109" i="7"/>
  <c r="T109" i="7"/>
  <c r="N109" i="7"/>
  <c r="M109" i="7"/>
  <c r="J109" i="7"/>
  <c r="AH108" i="7"/>
  <c r="AE108" i="7"/>
  <c r="AD108" i="7"/>
  <c r="AC108" i="7"/>
  <c r="V108" i="7"/>
  <c r="U108" i="7"/>
  <c r="T108" i="7"/>
  <c r="P108" i="7"/>
  <c r="N108" i="7"/>
  <c r="M108" i="7"/>
  <c r="J108" i="7"/>
  <c r="O108" i="7" s="1"/>
  <c r="AH107" i="7"/>
  <c r="AE107" i="7"/>
  <c r="AD107" i="7"/>
  <c r="AC107" i="7"/>
  <c r="V107" i="7"/>
  <c r="U107" i="7"/>
  <c r="T107" i="7"/>
  <c r="P107" i="7"/>
  <c r="N107" i="7"/>
  <c r="M107" i="7"/>
  <c r="J107" i="7"/>
  <c r="O107" i="7" s="1"/>
  <c r="AH106" i="7"/>
  <c r="AE106" i="7"/>
  <c r="AD106" i="7"/>
  <c r="AC106" i="7"/>
  <c r="V106" i="7"/>
  <c r="U106" i="7"/>
  <c r="T106" i="7"/>
  <c r="P106" i="7"/>
  <c r="O106" i="7"/>
  <c r="N106" i="7"/>
  <c r="M106" i="7"/>
  <c r="J106" i="7"/>
  <c r="AH105" i="7"/>
  <c r="AE105" i="7"/>
  <c r="AD105" i="7"/>
  <c r="AC105" i="7"/>
  <c r="V105" i="7"/>
  <c r="U105" i="7"/>
  <c r="T105" i="7"/>
  <c r="O105" i="7"/>
  <c r="N105" i="7"/>
  <c r="M105" i="7"/>
  <c r="J105" i="7"/>
  <c r="P105" i="7" s="1"/>
  <c r="AH104" i="7"/>
  <c r="AE104" i="7"/>
  <c r="AD104" i="7"/>
  <c r="AC104" i="7"/>
  <c r="V104" i="7"/>
  <c r="U104" i="7"/>
  <c r="T104" i="7"/>
  <c r="P104" i="7"/>
  <c r="N104" i="7"/>
  <c r="M104" i="7"/>
  <c r="J104" i="7"/>
  <c r="O104" i="7" s="1"/>
  <c r="R104" i="7" s="1"/>
  <c r="X104" i="7" s="1"/>
  <c r="AH103" i="7"/>
  <c r="AE103" i="7"/>
  <c r="AD103" i="7"/>
  <c r="AC103" i="7"/>
  <c r="V103" i="7"/>
  <c r="U103" i="7"/>
  <c r="T103" i="7"/>
  <c r="O103" i="7"/>
  <c r="N103" i="7"/>
  <c r="M103" i="7"/>
  <c r="J103" i="7"/>
  <c r="P103" i="7" s="1"/>
  <c r="AH102" i="7"/>
  <c r="AE102" i="7"/>
  <c r="AD102" i="7"/>
  <c r="AC102" i="7"/>
  <c r="V102" i="7"/>
  <c r="U102" i="7"/>
  <c r="T102" i="7"/>
  <c r="N102" i="7"/>
  <c r="M102" i="7"/>
  <c r="J102" i="7"/>
  <c r="O102" i="7" s="1"/>
  <c r="AH101" i="7"/>
  <c r="AE101" i="7"/>
  <c r="AD101" i="7"/>
  <c r="AC101" i="7"/>
  <c r="V101" i="7"/>
  <c r="U101" i="7"/>
  <c r="T101" i="7"/>
  <c r="N101" i="7"/>
  <c r="M101" i="7"/>
  <c r="J101" i="7"/>
  <c r="AH100" i="7"/>
  <c r="AE100" i="7"/>
  <c r="AD100" i="7"/>
  <c r="AC100" i="7"/>
  <c r="V100" i="7"/>
  <c r="U100" i="7"/>
  <c r="T100" i="7"/>
  <c r="P100" i="7"/>
  <c r="N100" i="7"/>
  <c r="M100" i="7"/>
  <c r="J100" i="7"/>
  <c r="O100" i="7" s="1"/>
  <c r="AH99" i="7"/>
  <c r="AE99" i="7"/>
  <c r="AD99" i="7"/>
  <c r="AC99" i="7"/>
  <c r="V99" i="7"/>
  <c r="U99" i="7"/>
  <c r="T99" i="7"/>
  <c r="P99" i="7"/>
  <c r="N99" i="7"/>
  <c r="M99" i="7"/>
  <c r="J99" i="7"/>
  <c r="O99" i="7" s="1"/>
  <c r="R99" i="7" s="1"/>
  <c r="AH98" i="7"/>
  <c r="AE98" i="7"/>
  <c r="AD98" i="7"/>
  <c r="AC98" i="7"/>
  <c r="V98" i="7"/>
  <c r="U98" i="7"/>
  <c r="T98" i="7"/>
  <c r="P98" i="7"/>
  <c r="O98" i="7"/>
  <c r="N98" i="7"/>
  <c r="M98" i="7"/>
  <c r="J98" i="7"/>
  <c r="AH97" i="7"/>
  <c r="AE97" i="7"/>
  <c r="AD97" i="7"/>
  <c r="AC97" i="7"/>
  <c r="V97" i="7"/>
  <c r="U97" i="7"/>
  <c r="T97" i="7"/>
  <c r="N97" i="7"/>
  <c r="M97" i="7"/>
  <c r="J97" i="7"/>
  <c r="P97" i="7" s="1"/>
  <c r="AH96" i="7"/>
  <c r="AE96" i="7"/>
  <c r="AD96" i="7"/>
  <c r="AC96" i="7"/>
  <c r="V96" i="7"/>
  <c r="U96" i="7"/>
  <c r="T96" i="7"/>
  <c r="N96" i="7"/>
  <c r="M96" i="7"/>
  <c r="J96" i="7"/>
  <c r="O96" i="7" s="1"/>
  <c r="R96" i="7" s="1"/>
  <c r="AH95" i="7"/>
  <c r="AE95" i="7"/>
  <c r="AD95" i="7"/>
  <c r="AC95" i="7"/>
  <c r="V95" i="7"/>
  <c r="U95" i="7"/>
  <c r="T95" i="7"/>
  <c r="N95" i="7"/>
  <c r="M95" i="7"/>
  <c r="J95" i="7"/>
  <c r="P95" i="7" s="1"/>
  <c r="AH94" i="7"/>
  <c r="AE94" i="7"/>
  <c r="AD94" i="7"/>
  <c r="AC94" i="7"/>
  <c r="V94" i="7"/>
  <c r="U94" i="7"/>
  <c r="T94" i="7"/>
  <c r="N94" i="7"/>
  <c r="M94" i="7"/>
  <c r="J94" i="7"/>
  <c r="O94" i="7" s="1"/>
  <c r="R94" i="7" s="1"/>
  <c r="AH93" i="7"/>
  <c r="AE93" i="7"/>
  <c r="AD93" i="7"/>
  <c r="AC93" i="7"/>
  <c r="V93" i="7"/>
  <c r="U93" i="7"/>
  <c r="T93" i="7"/>
  <c r="N93" i="7"/>
  <c r="M93" i="7"/>
  <c r="J93" i="7"/>
  <c r="AH92" i="7"/>
  <c r="AE92" i="7"/>
  <c r="AD92" i="7"/>
  <c r="AC92" i="7"/>
  <c r="V92" i="7"/>
  <c r="U92" i="7"/>
  <c r="T92" i="7"/>
  <c r="P92" i="7"/>
  <c r="N92" i="7"/>
  <c r="M92" i="7"/>
  <c r="J92" i="7"/>
  <c r="O92" i="7" s="1"/>
  <c r="R92" i="7" s="1"/>
  <c r="X92" i="7" s="1"/>
  <c r="AH91" i="7"/>
  <c r="AE91" i="7"/>
  <c r="AD91" i="7"/>
  <c r="AC91" i="7"/>
  <c r="V91" i="7"/>
  <c r="U91" i="7"/>
  <c r="T91" i="7"/>
  <c r="N91" i="7"/>
  <c r="M91" i="7"/>
  <c r="J91" i="7"/>
  <c r="O91" i="7" s="1"/>
  <c r="R91" i="7" s="1"/>
  <c r="AH90" i="7"/>
  <c r="AE90" i="7"/>
  <c r="AD90" i="7"/>
  <c r="AC90" i="7"/>
  <c r="V90" i="7"/>
  <c r="U90" i="7"/>
  <c r="T90" i="7"/>
  <c r="N90" i="7"/>
  <c r="M90" i="7"/>
  <c r="J90" i="7"/>
  <c r="P90" i="7" s="1"/>
  <c r="AH89" i="7"/>
  <c r="AE89" i="7"/>
  <c r="AD89" i="7"/>
  <c r="AC89" i="7"/>
  <c r="V89" i="7"/>
  <c r="U89" i="7"/>
  <c r="T89" i="7"/>
  <c r="N89" i="7"/>
  <c r="M89" i="7"/>
  <c r="J89" i="7"/>
  <c r="P89" i="7" s="1"/>
  <c r="AH88" i="7"/>
  <c r="AE88" i="7"/>
  <c r="AD88" i="7"/>
  <c r="AC88" i="7"/>
  <c r="V88" i="7"/>
  <c r="U88" i="7"/>
  <c r="T88" i="7"/>
  <c r="N88" i="7"/>
  <c r="M88" i="7"/>
  <c r="J88" i="7"/>
  <c r="P88" i="7" s="1"/>
  <c r="AH87" i="7"/>
  <c r="AE87" i="7"/>
  <c r="AD87" i="7"/>
  <c r="AC87" i="7"/>
  <c r="V87" i="7"/>
  <c r="U87" i="7"/>
  <c r="T87" i="7"/>
  <c r="O87" i="7"/>
  <c r="R87" i="7" s="1"/>
  <c r="N87" i="7"/>
  <c r="M87" i="7"/>
  <c r="J87" i="7"/>
  <c r="P87" i="7" s="1"/>
  <c r="AH86" i="7"/>
  <c r="AE86" i="7"/>
  <c r="AD86" i="7"/>
  <c r="AC86" i="7"/>
  <c r="V86" i="7"/>
  <c r="U86" i="7"/>
  <c r="T86" i="7"/>
  <c r="N86" i="7"/>
  <c r="M86" i="7"/>
  <c r="J86" i="7"/>
  <c r="P86" i="7" s="1"/>
  <c r="AH85" i="7"/>
  <c r="AE85" i="7"/>
  <c r="AD85" i="7"/>
  <c r="AC85" i="7"/>
  <c r="V85" i="7"/>
  <c r="U85" i="7"/>
  <c r="T85" i="7"/>
  <c r="P85" i="7"/>
  <c r="N85" i="7"/>
  <c r="M85" i="7"/>
  <c r="J85" i="7"/>
  <c r="O85" i="7" s="1"/>
  <c r="AH84" i="7"/>
  <c r="AE84" i="7"/>
  <c r="AD84" i="7"/>
  <c r="AC84" i="7"/>
  <c r="V84" i="7"/>
  <c r="U84" i="7"/>
  <c r="T84" i="7"/>
  <c r="P84" i="7"/>
  <c r="N84" i="7"/>
  <c r="M84" i="7"/>
  <c r="J84" i="7"/>
  <c r="O84" i="7" s="1"/>
  <c r="AH83" i="7"/>
  <c r="AE83" i="7"/>
  <c r="AD83" i="7"/>
  <c r="AC83" i="7"/>
  <c r="V83" i="7"/>
  <c r="U83" i="7"/>
  <c r="T83" i="7"/>
  <c r="P83" i="7"/>
  <c r="N83" i="7"/>
  <c r="M83" i="7"/>
  <c r="J83" i="7"/>
  <c r="O83" i="7" s="1"/>
  <c r="AH82" i="7"/>
  <c r="AE82" i="7"/>
  <c r="AD82" i="7"/>
  <c r="AC82" i="7"/>
  <c r="V82" i="7"/>
  <c r="U82" i="7"/>
  <c r="T82" i="7"/>
  <c r="N82" i="7"/>
  <c r="M82" i="7"/>
  <c r="J82" i="7"/>
  <c r="O82" i="7" s="1"/>
  <c r="AH81" i="7"/>
  <c r="AE81" i="7"/>
  <c r="AD81" i="7"/>
  <c r="AC81" i="7"/>
  <c r="V81" i="7"/>
  <c r="U81" i="7"/>
  <c r="T81" i="7"/>
  <c r="N81" i="7"/>
  <c r="M81" i="7"/>
  <c r="J81" i="7"/>
  <c r="P81" i="7" s="1"/>
  <c r="AH80" i="7"/>
  <c r="AE80" i="7"/>
  <c r="AD80" i="7"/>
  <c r="AC80" i="7"/>
  <c r="V80" i="7"/>
  <c r="U80" i="7"/>
  <c r="T80" i="7"/>
  <c r="N80" i="7"/>
  <c r="M80" i="7"/>
  <c r="J80" i="7"/>
  <c r="P80" i="7" s="1"/>
  <c r="AH79" i="7"/>
  <c r="AE79" i="7"/>
  <c r="AD79" i="7"/>
  <c r="AC79" i="7"/>
  <c r="V79" i="7"/>
  <c r="U79" i="7"/>
  <c r="T79" i="7"/>
  <c r="N79" i="7"/>
  <c r="M79" i="7"/>
  <c r="J79" i="7"/>
  <c r="P79" i="7" s="1"/>
  <c r="AH78" i="7"/>
  <c r="AE78" i="7"/>
  <c r="AD78" i="7"/>
  <c r="AC78" i="7"/>
  <c r="V78" i="7"/>
  <c r="U78" i="7"/>
  <c r="T78" i="7"/>
  <c r="N78" i="7"/>
  <c r="M78" i="7"/>
  <c r="J78" i="7"/>
  <c r="AH77" i="7"/>
  <c r="AE77" i="7"/>
  <c r="AD77" i="7"/>
  <c r="AC77" i="7"/>
  <c r="V77" i="7"/>
  <c r="U77" i="7"/>
  <c r="T77" i="7"/>
  <c r="N77" i="7"/>
  <c r="M77" i="7"/>
  <c r="J77" i="7"/>
  <c r="AH76" i="7"/>
  <c r="AE76" i="7"/>
  <c r="AD76" i="7"/>
  <c r="AC76" i="7"/>
  <c r="V76" i="7"/>
  <c r="U76" i="7"/>
  <c r="T76" i="7"/>
  <c r="N76" i="7"/>
  <c r="M76" i="7"/>
  <c r="J76" i="7"/>
  <c r="AH75" i="7"/>
  <c r="AE75" i="7"/>
  <c r="AD75" i="7"/>
  <c r="AC75" i="7"/>
  <c r="V75" i="7"/>
  <c r="U75" i="7"/>
  <c r="T75" i="7"/>
  <c r="P75" i="7"/>
  <c r="N75" i="7"/>
  <c r="M75" i="7"/>
  <c r="J75" i="7"/>
  <c r="O75" i="7" s="1"/>
  <c r="R75" i="7" s="1"/>
  <c r="X75" i="7" s="1"/>
  <c r="AH74" i="7"/>
  <c r="AE74" i="7"/>
  <c r="AD74" i="7"/>
  <c r="AC74" i="7"/>
  <c r="V74" i="7"/>
  <c r="U74" i="7"/>
  <c r="T74" i="7"/>
  <c r="N74" i="7"/>
  <c r="M74" i="7"/>
  <c r="J74" i="7"/>
  <c r="AH73" i="7"/>
  <c r="AE73" i="7"/>
  <c r="AD73" i="7"/>
  <c r="AC73" i="7"/>
  <c r="V73" i="7"/>
  <c r="U73" i="7"/>
  <c r="T73" i="7"/>
  <c r="N73" i="7"/>
  <c r="M73" i="7"/>
  <c r="J73" i="7"/>
  <c r="AH72" i="7"/>
  <c r="AE72" i="7"/>
  <c r="AD72" i="7"/>
  <c r="AC72" i="7"/>
  <c r="V72" i="7"/>
  <c r="U72" i="7"/>
  <c r="T72" i="7"/>
  <c r="N72" i="7"/>
  <c r="M72" i="7"/>
  <c r="J72" i="7"/>
  <c r="AH71" i="7"/>
  <c r="AE71" i="7"/>
  <c r="AD71" i="7"/>
  <c r="AC71" i="7"/>
  <c r="V71" i="7"/>
  <c r="U71" i="7"/>
  <c r="T71" i="7"/>
  <c r="N71" i="7"/>
  <c r="M71" i="7"/>
  <c r="J71" i="7"/>
  <c r="P71" i="7" s="1"/>
  <c r="AH70" i="7"/>
  <c r="AE70" i="7"/>
  <c r="AD70" i="7"/>
  <c r="AC70" i="7"/>
  <c r="V70" i="7"/>
  <c r="U70" i="7"/>
  <c r="T70" i="7"/>
  <c r="P70" i="7"/>
  <c r="N70" i="7"/>
  <c r="M70" i="7"/>
  <c r="J70" i="7"/>
  <c r="O70" i="7" s="1"/>
  <c r="R70" i="7" s="1"/>
  <c r="AH69" i="7"/>
  <c r="AE69" i="7"/>
  <c r="AD69" i="7"/>
  <c r="AC69" i="7"/>
  <c r="V69" i="7"/>
  <c r="U69" i="7"/>
  <c r="T69" i="7"/>
  <c r="N69" i="7"/>
  <c r="M69" i="7"/>
  <c r="J69" i="7"/>
  <c r="O69" i="7" s="1"/>
  <c r="AH68" i="7"/>
  <c r="AE68" i="7"/>
  <c r="AD68" i="7"/>
  <c r="AC68" i="7"/>
  <c r="V68" i="7"/>
  <c r="U68" i="7"/>
  <c r="T68" i="7"/>
  <c r="N68" i="7"/>
  <c r="M68" i="7"/>
  <c r="J68" i="7"/>
  <c r="AH67" i="7"/>
  <c r="AE67" i="7"/>
  <c r="AD67" i="7"/>
  <c r="AC67" i="7"/>
  <c r="V67" i="7"/>
  <c r="U67" i="7"/>
  <c r="T67" i="7"/>
  <c r="O67" i="7"/>
  <c r="N67" i="7"/>
  <c r="M67" i="7"/>
  <c r="J67" i="7"/>
  <c r="P67" i="7" s="1"/>
  <c r="AH66" i="7"/>
  <c r="AE66" i="7"/>
  <c r="AD66" i="7"/>
  <c r="AC66" i="7"/>
  <c r="V66" i="7"/>
  <c r="U66" i="7"/>
  <c r="T66" i="7"/>
  <c r="N66" i="7"/>
  <c r="M66" i="7"/>
  <c r="J66" i="7"/>
  <c r="AH65" i="7"/>
  <c r="AE65" i="7"/>
  <c r="AD65" i="7"/>
  <c r="AC65" i="7"/>
  <c r="V65" i="7"/>
  <c r="U65" i="7"/>
  <c r="T65" i="7"/>
  <c r="N65" i="7"/>
  <c r="M65" i="7"/>
  <c r="J65" i="7"/>
  <c r="P65" i="7" s="1"/>
  <c r="AH64" i="7"/>
  <c r="AE64" i="7"/>
  <c r="AD64" i="7"/>
  <c r="AC64" i="7"/>
  <c r="V64" i="7"/>
  <c r="U64" i="7"/>
  <c r="T64" i="7"/>
  <c r="N64" i="7"/>
  <c r="M64" i="7"/>
  <c r="J64" i="7"/>
  <c r="P64" i="7" s="1"/>
  <c r="AH63" i="7"/>
  <c r="AE63" i="7"/>
  <c r="AD63" i="7"/>
  <c r="AC63" i="7"/>
  <c r="V63" i="7"/>
  <c r="U63" i="7"/>
  <c r="T63" i="7"/>
  <c r="N63" i="7"/>
  <c r="M63" i="7"/>
  <c r="J63" i="7"/>
  <c r="P63" i="7" s="1"/>
  <c r="AH62" i="7"/>
  <c r="AE62" i="7"/>
  <c r="AD62" i="7"/>
  <c r="AC62" i="7"/>
  <c r="V62" i="7"/>
  <c r="U62" i="7"/>
  <c r="T62" i="7"/>
  <c r="P62" i="7"/>
  <c r="N62" i="7"/>
  <c r="M62" i="7"/>
  <c r="J62" i="7"/>
  <c r="O62" i="7" s="1"/>
  <c r="R62" i="7" s="1"/>
  <c r="AH61" i="7"/>
  <c r="AE61" i="7"/>
  <c r="AD61" i="7"/>
  <c r="AC61" i="7"/>
  <c r="V61" i="7"/>
  <c r="U61" i="7"/>
  <c r="T61" i="7"/>
  <c r="P61" i="7"/>
  <c r="N61" i="7"/>
  <c r="M61" i="7"/>
  <c r="J61" i="7"/>
  <c r="O61" i="7" s="1"/>
  <c r="AH60" i="7"/>
  <c r="AE60" i="7"/>
  <c r="AD60" i="7"/>
  <c r="AC60" i="7"/>
  <c r="V60" i="7"/>
  <c r="U60" i="7"/>
  <c r="T60" i="7"/>
  <c r="N60" i="7"/>
  <c r="M60" i="7"/>
  <c r="J60" i="7"/>
  <c r="AH59" i="7"/>
  <c r="AE59" i="7"/>
  <c r="AD59" i="7"/>
  <c r="AC59" i="7"/>
  <c r="V59" i="7"/>
  <c r="U59" i="7"/>
  <c r="T59" i="7"/>
  <c r="N59" i="7"/>
  <c r="M59" i="7"/>
  <c r="J59" i="7"/>
  <c r="P59" i="7" s="1"/>
  <c r="AH58" i="7"/>
  <c r="AE58" i="7"/>
  <c r="AD58" i="7"/>
  <c r="AC58" i="7"/>
  <c r="V58" i="7"/>
  <c r="U58" i="7"/>
  <c r="T58" i="7"/>
  <c r="R58" i="7"/>
  <c r="P58" i="7"/>
  <c r="N58" i="7"/>
  <c r="M58" i="7"/>
  <c r="J58" i="7"/>
  <c r="O58" i="7" s="1"/>
  <c r="AH57" i="7"/>
  <c r="AE57" i="7"/>
  <c r="AD57" i="7"/>
  <c r="AC57" i="7"/>
  <c r="V57" i="7"/>
  <c r="U57" i="7"/>
  <c r="T57" i="7"/>
  <c r="P57" i="7"/>
  <c r="N57" i="7"/>
  <c r="M57" i="7"/>
  <c r="J57" i="7"/>
  <c r="O57" i="7" s="1"/>
  <c r="AH56" i="7"/>
  <c r="AE56" i="7"/>
  <c r="AD56" i="7"/>
  <c r="AC56" i="7"/>
  <c r="V56" i="7"/>
  <c r="U56" i="7"/>
  <c r="T56" i="7"/>
  <c r="N56" i="7"/>
  <c r="M56" i="7"/>
  <c r="J56" i="7"/>
  <c r="P56" i="7" s="1"/>
  <c r="AH55" i="7"/>
  <c r="AE55" i="7"/>
  <c r="AD55" i="7"/>
  <c r="AC55" i="7"/>
  <c r="V55" i="7"/>
  <c r="U55" i="7"/>
  <c r="T55" i="7"/>
  <c r="N55" i="7"/>
  <c r="M55" i="7"/>
  <c r="J55" i="7"/>
  <c r="P55" i="7" s="1"/>
  <c r="AH54" i="7"/>
  <c r="AE54" i="7"/>
  <c r="AD54" i="7"/>
  <c r="AC54" i="7"/>
  <c r="V54" i="7"/>
  <c r="U54" i="7"/>
  <c r="T54" i="7"/>
  <c r="R54" i="7"/>
  <c r="X54" i="7" s="1"/>
  <c r="O54" i="7"/>
  <c r="N54" i="7"/>
  <c r="M54" i="7"/>
  <c r="J54" i="7"/>
  <c r="P54" i="7" s="1"/>
  <c r="AH53" i="7"/>
  <c r="AE53" i="7"/>
  <c r="AD53" i="7"/>
  <c r="AC53" i="7"/>
  <c r="V53" i="7"/>
  <c r="U53" i="7"/>
  <c r="T53" i="7"/>
  <c r="N53" i="7"/>
  <c r="M53" i="7"/>
  <c r="J53" i="7"/>
  <c r="AH52" i="7"/>
  <c r="AE52" i="7"/>
  <c r="AD52" i="7"/>
  <c r="AC52" i="7"/>
  <c r="V52" i="7"/>
  <c r="U52" i="7"/>
  <c r="T52" i="7"/>
  <c r="N52" i="7"/>
  <c r="M52" i="7"/>
  <c r="J52" i="7"/>
  <c r="AH51" i="7"/>
  <c r="AE51" i="7"/>
  <c r="AD51" i="7"/>
  <c r="AC51" i="7"/>
  <c r="V51" i="7"/>
  <c r="U51" i="7"/>
  <c r="T51" i="7"/>
  <c r="N51" i="7"/>
  <c r="M51" i="7"/>
  <c r="J51" i="7"/>
  <c r="P51" i="7" s="1"/>
  <c r="AH50" i="7"/>
  <c r="AE50" i="7"/>
  <c r="AD50" i="7"/>
  <c r="AC50" i="7"/>
  <c r="V50" i="7"/>
  <c r="U50" i="7"/>
  <c r="T50" i="7"/>
  <c r="O50" i="7"/>
  <c r="N50" i="7"/>
  <c r="M50" i="7"/>
  <c r="J50" i="7"/>
  <c r="P50" i="7" s="1"/>
  <c r="AH49" i="7"/>
  <c r="AE49" i="7"/>
  <c r="AD49" i="7"/>
  <c r="AC49" i="7"/>
  <c r="V49" i="7"/>
  <c r="U49" i="7"/>
  <c r="T49" i="7"/>
  <c r="N49" i="7"/>
  <c r="M49" i="7"/>
  <c r="J49" i="7"/>
  <c r="O49" i="7" s="1"/>
  <c r="AH48" i="7"/>
  <c r="AE48" i="7"/>
  <c r="AD48" i="7"/>
  <c r="AC48" i="7"/>
  <c r="V48" i="7"/>
  <c r="U48" i="7"/>
  <c r="T48" i="7"/>
  <c r="O48" i="7"/>
  <c r="N48" i="7"/>
  <c r="M48" i="7"/>
  <c r="J48" i="7"/>
  <c r="P48" i="7" s="1"/>
  <c r="AH47" i="7"/>
  <c r="AE47" i="7"/>
  <c r="AD47" i="7"/>
  <c r="AC47" i="7"/>
  <c r="V47" i="7"/>
  <c r="U47" i="7"/>
  <c r="T47" i="7"/>
  <c r="P47" i="7"/>
  <c r="N47" i="7"/>
  <c r="M47" i="7"/>
  <c r="J47" i="7"/>
  <c r="O47" i="7" s="1"/>
  <c r="AH46" i="7"/>
  <c r="AE46" i="7"/>
  <c r="AD46" i="7"/>
  <c r="AC46" i="7"/>
  <c r="V46" i="7"/>
  <c r="U46" i="7"/>
  <c r="T46" i="7"/>
  <c r="N46" i="7"/>
  <c r="M46" i="7"/>
  <c r="J46" i="7"/>
  <c r="P46" i="7" s="1"/>
  <c r="AH45" i="7"/>
  <c r="AE45" i="7"/>
  <c r="AD45" i="7"/>
  <c r="AC45" i="7"/>
  <c r="V45" i="7"/>
  <c r="U45" i="7"/>
  <c r="T45" i="7"/>
  <c r="P45" i="7"/>
  <c r="O45" i="7"/>
  <c r="R45" i="7" s="1"/>
  <c r="X45" i="7" s="1"/>
  <c r="N45" i="7"/>
  <c r="M45" i="7"/>
  <c r="J45" i="7"/>
  <c r="AH44" i="7"/>
  <c r="AE44" i="7"/>
  <c r="AD44" i="7"/>
  <c r="AC44" i="7"/>
  <c r="V44" i="7"/>
  <c r="U44" i="7"/>
  <c r="T44" i="7"/>
  <c r="N44" i="7"/>
  <c r="M44" i="7"/>
  <c r="J44" i="7"/>
  <c r="AH43" i="7"/>
  <c r="AE43" i="7"/>
  <c r="AD43" i="7"/>
  <c r="AC43" i="7"/>
  <c r="V43" i="7"/>
  <c r="U43" i="7"/>
  <c r="T43" i="7"/>
  <c r="O43" i="7"/>
  <c r="N43" i="7"/>
  <c r="M43" i="7"/>
  <c r="J43" i="7"/>
  <c r="P43" i="7" s="1"/>
  <c r="AH42" i="7"/>
  <c r="AE42" i="7"/>
  <c r="AD42" i="7"/>
  <c r="AC42" i="7"/>
  <c r="V42" i="7"/>
  <c r="U42" i="7"/>
  <c r="T42" i="7"/>
  <c r="P42" i="7"/>
  <c r="O42" i="7"/>
  <c r="R42" i="7" s="1"/>
  <c r="X42" i="7" s="1"/>
  <c r="N42" i="7"/>
  <c r="M42" i="7"/>
  <c r="J42" i="7"/>
  <c r="AH41" i="7"/>
  <c r="AE41" i="7"/>
  <c r="AD41" i="7"/>
  <c r="AC41" i="7"/>
  <c r="V41" i="7"/>
  <c r="U41" i="7"/>
  <c r="T41" i="7"/>
  <c r="N41" i="7"/>
  <c r="M41" i="7"/>
  <c r="J41" i="7"/>
  <c r="AH40" i="7"/>
  <c r="AE40" i="7"/>
  <c r="AD40" i="7"/>
  <c r="AC40" i="7"/>
  <c r="V40" i="7"/>
  <c r="U40" i="7"/>
  <c r="T40" i="7"/>
  <c r="N40" i="7"/>
  <c r="M40" i="7"/>
  <c r="J40" i="7"/>
  <c r="AH39" i="7"/>
  <c r="AE39" i="7"/>
  <c r="AD39" i="7"/>
  <c r="AC39" i="7"/>
  <c r="V39" i="7"/>
  <c r="U39" i="7"/>
  <c r="T39" i="7"/>
  <c r="N39" i="7"/>
  <c r="M39" i="7"/>
  <c r="J39" i="7"/>
  <c r="AH38" i="7"/>
  <c r="AE38" i="7"/>
  <c r="AD38" i="7"/>
  <c r="AC38" i="7"/>
  <c r="V38" i="7"/>
  <c r="U38" i="7"/>
  <c r="T38" i="7"/>
  <c r="N38" i="7"/>
  <c r="M38" i="7"/>
  <c r="J38" i="7"/>
  <c r="P38" i="7" s="1"/>
  <c r="AH37" i="7"/>
  <c r="AE37" i="7"/>
  <c r="AD37" i="7"/>
  <c r="AC37" i="7"/>
  <c r="V37" i="7"/>
  <c r="U37" i="7"/>
  <c r="T37" i="7"/>
  <c r="P37" i="7"/>
  <c r="N37" i="7"/>
  <c r="M37" i="7"/>
  <c r="J37" i="7"/>
  <c r="O37" i="7" s="1"/>
  <c r="AH36" i="7"/>
  <c r="AE36" i="7"/>
  <c r="AD36" i="7"/>
  <c r="AC36" i="7"/>
  <c r="V36" i="7"/>
  <c r="U36" i="7"/>
  <c r="T36" i="7"/>
  <c r="N36" i="7"/>
  <c r="M36" i="7"/>
  <c r="J36" i="7"/>
  <c r="AH35" i="7"/>
  <c r="AE35" i="7"/>
  <c r="AD35" i="7"/>
  <c r="AC35" i="7"/>
  <c r="V35" i="7"/>
  <c r="U35" i="7"/>
  <c r="T35" i="7"/>
  <c r="N35" i="7"/>
  <c r="M35" i="7"/>
  <c r="J35" i="7"/>
  <c r="O35" i="7" s="1"/>
  <c r="AH34" i="7"/>
  <c r="AE34" i="7"/>
  <c r="AD34" i="7"/>
  <c r="AC34" i="7"/>
  <c r="V34" i="7"/>
  <c r="U34" i="7"/>
  <c r="T34" i="7"/>
  <c r="N34" i="7"/>
  <c r="M34" i="7"/>
  <c r="J34" i="7"/>
  <c r="P34" i="7" s="1"/>
  <c r="AH33" i="7"/>
  <c r="AE33" i="7"/>
  <c r="AD33" i="7"/>
  <c r="AC33" i="7"/>
  <c r="V33" i="7"/>
  <c r="U33" i="7"/>
  <c r="T33" i="7"/>
  <c r="N33" i="7"/>
  <c r="M33" i="7"/>
  <c r="J33" i="7"/>
  <c r="O33" i="7" s="1"/>
  <c r="AH32" i="7"/>
  <c r="AE32" i="7"/>
  <c r="AD32" i="7"/>
  <c r="AC32" i="7"/>
  <c r="V32" i="7"/>
  <c r="U32" i="7"/>
  <c r="T32" i="7"/>
  <c r="O32" i="7"/>
  <c r="N32" i="7"/>
  <c r="M32" i="7"/>
  <c r="J32" i="7"/>
  <c r="P32" i="7" s="1"/>
  <c r="AH31" i="7"/>
  <c r="AE31" i="7"/>
  <c r="AD31" i="7"/>
  <c r="AC31" i="7"/>
  <c r="V31" i="7"/>
  <c r="U31" i="7"/>
  <c r="T31" i="7"/>
  <c r="N31" i="7"/>
  <c r="M31" i="7"/>
  <c r="J31" i="7"/>
  <c r="O31" i="7" s="1"/>
  <c r="AH30" i="7"/>
  <c r="AE30" i="7"/>
  <c r="AD30" i="7"/>
  <c r="AC30" i="7"/>
  <c r="V30" i="7"/>
  <c r="U30" i="7"/>
  <c r="T30" i="7"/>
  <c r="P30" i="7"/>
  <c r="N30" i="7"/>
  <c r="M30" i="7"/>
  <c r="J30" i="7"/>
  <c r="O30" i="7" s="1"/>
  <c r="R30" i="7" s="1"/>
  <c r="AH29" i="7"/>
  <c r="AE29" i="7"/>
  <c r="AD29" i="7"/>
  <c r="AC29" i="7"/>
  <c r="V29" i="7"/>
  <c r="U29" i="7"/>
  <c r="T29" i="7"/>
  <c r="N29" i="7"/>
  <c r="M29" i="7"/>
  <c r="J29" i="7"/>
  <c r="AH28" i="7"/>
  <c r="AE28" i="7"/>
  <c r="AD28" i="7"/>
  <c r="AC28" i="7"/>
  <c r="V28" i="7"/>
  <c r="U28" i="7"/>
  <c r="T28" i="7"/>
  <c r="N28" i="7"/>
  <c r="M28" i="7"/>
  <c r="J28" i="7"/>
  <c r="AH27" i="7"/>
  <c r="AE27" i="7"/>
  <c r="AD27" i="7"/>
  <c r="AC27" i="7"/>
  <c r="V27" i="7"/>
  <c r="U27" i="7"/>
  <c r="T27" i="7"/>
  <c r="P27" i="7"/>
  <c r="O27" i="7"/>
  <c r="N27" i="7"/>
  <c r="M27" i="7"/>
  <c r="J27" i="7"/>
  <c r="AH26" i="7"/>
  <c r="AE26" i="7"/>
  <c r="AD26" i="7"/>
  <c r="AC26" i="7"/>
  <c r="V26" i="7"/>
  <c r="U26" i="7"/>
  <c r="T26" i="7"/>
  <c r="O26" i="7"/>
  <c r="N26" i="7"/>
  <c r="M26" i="7"/>
  <c r="J26" i="7"/>
  <c r="P26" i="7" s="1"/>
  <c r="AH25" i="7"/>
  <c r="AE25" i="7"/>
  <c r="AD25" i="7"/>
  <c r="AC25" i="7"/>
  <c r="V25" i="7"/>
  <c r="U25" i="7"/>
  <c r="T25" i="7"/>
  <c r="O25" i="7"/>
  <c r="R25" i="7" s="1"/>
  <c r="N25" i="7"/>
  <c r="M25" i="7"/>
  <c r="J25" i="7"/>
  <c r="P25" i="7" s="1"/>
  <c r="AH24" i="7"/>
  <c r="AE24" i="7"/>
  <c r="AD24" i="7"/>
  <c r="AC24" i="7"/>
  <c r="V24" i="7"/>
  <c r="U24" i="7"/>
  <c r="T24" i="7"/>
  <c r="P24" i="7"/>
  <c r="O24" i="7"/>
  <c r="N24" i="7"/>
  <c r="M24" i="7"/>
  <c r="J24" i="7"/>
  <c r="AH23" i="7"/>
  <c r="AE23" i="7"/>
  <c r="AD23" i="7"/>
  <c r="AC23" i="7"/>
  <c r="V23" i="7"/>
  <c r="U23" i="7"/>
  <c r="T23" i="7"/>
  <c r="N23" i="7"/>
  <c r="M23" i="7"/>
  <c r="J23" i="7"/>
  <c r="AH22" i="7"/>
  <c r="AE22" i="7"/>
  <c r="AD22" i="7"/>
  <c r="AC22" i="7"/>
  <c r="V22" i="7"/>
  <c r="U22" i="7"/>
  <c r="T22" i="7"/>
  <c r="O22" i="7"/>
  <c r="N22" i="7"/>
  <c r="M22" i="7"/>
  <c r="J22" i="7"/>
  <c r="P22" i="7" s="1"/>
  <c r="AH21" i="7"/>
  <c r="AE21" i="7"/>
  <c r="AD21" i="7"/>
  <c r="AC21" i="7"/>
  <c r="V21" i="7"/>
  <c r="U21" i="7"/>
  <c r="T21" i="7"/>
  <c r="P21" i="7"/>
  <c r="N21" i="7"/>
  <c r="M21" i="7"/>
  <c r="J21" i="7"/>
  <c r="O21" i="7" s="1"/>
  <c r="AH20" i="7"/>
  <c r="AE20" i="7"/>
  <c r="AD20" i="7"/>
  <c r="AC20" i="7"/>
  <c r="V20" i="7"/>
  <c r="U20" i="7"/>
  <c r="T20" i="7"/>
  <c r="N20" i="7"/>
  <c r="M20" i="7"/>
  <c r="J20" i="7"/>
  <c r="AH19" i="7"/>
  <c r="AE19" i="7"/>
  <c r="AD19" i="7"/>
  <c r="AC19" i="7"/>
  <c r="V19" i="7"/>
  <c r="U19" i="7"/>
  <c r="T19" i="7"/>
  <c r="N19" i="7"/>
  <c r="M19" i="7"/>
  <c r="J19" i="7"/>
  <c r="AH18" i="7"/>
  <c r="AE18" i="7"/>
  <c r="AD18" i="7"/>
  <c r="AC18" i="7"/>
  <c r="V18" i="7"/>
  <c r="U18" i="7"/>
  <c r="T18" i="7"/>
  <c r="N18" i="7"/>
  <c r="M18" i="7"/>
  <c r="J18" i="7"/>
  <c r="P18" i="7" s="1"/>
  <c r="AH17" i="7"/>
  <c r="AE17" i="7"/>
  <c r="AD17" i="7"/>
  <c r="AC17" i="7"/>
  <c r="V17" i="7"/>
  <c r="U17" i="7"/>
  <c r="T17" i="7"/>
  <c r="N17" i="7"/>
  <c r="M17" i="7"/>
  <c r="J17" i="7"/>
  <c r="AH16" i="7"/>
  <c r="AE16" i="7"/>
  <c r="AD16" i="7"/>
  <c r="AC16" i="7"/>
  <c r="V16" i="7"/>
  <c r="U16" i="7"/>
  <c r="T16" i="7"/>
  <c r="N16" i="7"/>
  <c r="M16" i="7"/>
  <c r="J16" i="7"/>
  <c r="P16" i="7" s="1"/>
  <c r="AH15" i="7"/>
  <c r="AE15" i="7"/>
  <c r="AD15" i="7"/>
  <c r="AC15" i="7"/>
  <c r="V15" i="7"/>
  <c r="U15" i="7"/>
  <c r="T15" i="7"/>
  <c r="R15" i="7"/>
  <c r="P15" i="7"/>
  <c r="N15" i="7"/>
  <c r="M15" i="7"/>
  <c r="J15" i="7"/>
  <c r="O15" i="7" s="1"/>
  <c r="AH14" i="7"/>
  <c r="AE14" i="7"/>
  <c r="AD14" i="7"/>
  <c r="AC14" i="7"/>
  <c r="V14" i="7"/>
  <c r="U14" i="7"/>
  <c r="T14" i="7"/>
  <c r="O14" i="7"/>
  <c r="R14" i="7" s="1"/>
  <c r="N14" i="7"/>
  <c r="M14" i="7"/>
  <c r="J14" i="7"/>
  <c r="P14" i="7" s="1"/>
  <c r="AH13" i="7"/>
  <c r="AE13" i="7"/>
  <c r="AD13" i="7"/>
  <c r="AC13" i="7"/>
  <c r="V13" i="7"/>
  <c r="U13" i="7"/>
  <c r="T13" i="7"/>
  <c r="N13" i="7"/>
  <c r="M13" i="7"/>
  <c r="J13" i="7"/>
  <c r="AH12" i="7"/>
  <c r="AE12" i="7"/>
  <c r="AD12" i="7"/>
  <c r="AC12" i="7"/>
  <c r="V12" i="7"/>
  <c r="U12" i="7"/>
  <c r="T12" i="7"/>
  <c r="P12" i="7"/>
  <c r="N12" i="7"/>
  <c r="M12" i="7"/>
  <c r="R12" i="7" s="1"/>
  <c r="J12" i="7"/>
  <c r="O12" i="7" s="1"/>
  <c r="AH11" i="7"/>
  <c r="AE11" i="7"/>
  <c r="AD11" i="7"/>
  <c r="AC11" i="7"/>
  <c r="V11" i="7"/>
  <c r="U11" i="7"/>
  <c r="T11" i="7"/>
  <c r="N11" i="7"/>
  <c r="M11" i="7"/>
  <c r="J11" i="7"/>
  <c r="O11" i="7" s="1"/>
  <c r="AH10" i="7"/>
  <c r="AE10" i="7"/>
  <c r="AD10" i="7"/>
  <c r="AC10" i="7"/>
  <c r="V10" i="7"/>
  <c r="U10" i="7"/>
  <c r="T10" i="7"/>
  <c r="P10" i="7"/>
  <c r="O10" i="7"/>
  <c r="R10" i="7" s="1"/>
  <c r="N10" i="7"/>
  <c r="M10" i="7"/>
  <c r="J10" i="7"/>
  <c r="AH9" i="7"/>
  <c r="AE9" i="7"/>
  <c r="AD9" i="7"/>
  <c r="AC9" i="7"/>
  <c r="V9" i="7"/>
  <c r="U9" i="7"/>
  <c r="T9" i="7"/>
  <c r="N9" i="7"/>
  <c r="M9" i="7"/>
  <c r="J9" i="7"/>
  <c r="AH8" i="7"/>
  <c r="AE8" i="7"/>
  <c r="AD8" i="7"/>
  <c r="AC8" i="7"/>
  <c r="V8" i="7"/>
  <c r="U8" i="7"/>
  <c r="T8" i="7"/>
  <c r="P8" i="7"/>
  <c r="N8" i="7"/>
  <c r="M8" i="7"/>
  <c r="J8" i="7"/>
  <c r="O8" i="7" s="1"/>
  <c r="R8" i="7" s="1"/>
  <c r="AH7" i="7"/>
  <c r="AE7" i="7"/>
  <c r="AD7" i="7"/>
  <c r="AC7" i="7"/>
  <c r="V7" i="7"/>
  <c r="U7" i="7"/>
  <c r="T7" i="7"/>
  <c r="N7" i="7"/>
  <c r="M7" i="7"/>
  <c r="J7" i="7"/>
  <c r="O7" i="7" s="1"/>
  <c r="R7" i="7" s="1"/>
  <c r="AH6" i="7"/>
  <c r="AE6" i="7"/>
  <c r="AD6" i="7"/>
  <c r="AC6" i="7"/>
  <c r="V6" i="7"/>
  <c r="U6" i="7"/>
  <c r="T6" i="7"/>
  <c r="P6" i="7"/>
  <c r="N6" i="7"/>
  <c r="M6" i="7"/>
  <c r="J6" i="7"/>
  <c r="O6" i="7" s="1"/>
  <c r="R6" i="7" s="1"/>
  <c r="AH5" i="7"/>
  <c r="AE5" i="7"/>
  <c r="AD5" i="7"/>
  <c r="AC5" i="7"/>
  <c r="V5" i="7"/>
  <c r="U5" i="7"/>
  <c r="T5" i="7"/>
  <c r="O5" i="7"/>
  <c r="N5" i="7"/>
  <c r="M5" i="7"/>
  <c r="J5" i="7"/>
  <c r="P5" i="7" s="1"/>
  <c r="AH4" i="7"/>
  <c r="AE4" i="7"/>
  <c r="AD4" i="7"/>
  <c r="AC4" i="7"/>
  <c r="V4" i="7"/>
  <c r="U4" i="7"/>
  <c r="T4" i="7"/>
  <c r="P4" i="7"/>
  <c r="N4" i="7"/>
  <c r="M4" i="7"/>
  <c r="J4" i="7"/>
  <c r="O4" i="7" s="1"/>
  <c r="AH3" i="7"/>
  <c r="AE3" i="7"/>
  <c r="AD3" i="7"/>
  <c r="AC3" i="7"/>
  <c r="V3" i="7"/>
  <c r="U3" i="7"/>
  <c r="T3" i="7"/>
  <c r="N3" i="7"/>
  <c r="M3" i="7"/>
  <c r="J3" i="7"/>
  <c r="AH2" i="7"/>
  <c r="AE2" i="7"/>
  <c r="AD2" i="7"/>
  <c r="AC2" i="7"/>
  <c r="V2" i="7"/>
  <c r="U2" i="7"/>
  <c r="T2" i="7"/>
  <c r="N2" i="7"/>
  <c r="M2" i="7"/>
  <c r="K2081" i="13"/>
  <c r="J2081" i="13"/>
  <c r="J2080" i="13"/>
  <c r="K2080" i="13" s="1"/>
  <c r="J2079" i="13"/>
  <c r="K2079" i="13" s="1"/>
  <c r="J2078" i="13"/>
  <c r="K2078" i="13" s="1"/>
  <c r="K2077" i="13"/>
  <c r="J2077" i="13"/>
  <c r="J2076" i="13"/>
  <c r="K2076" i="13" s="1"/>
  <c r="J2075" i="13"/>
  <c r="K2075" i="13" s="1"/>
  <c r="J2074" i="13"/>
  <c r="K2074" i="13" s="1"/>
  <c r="K2073" i="13"/>
  <c r="J2073" i="13"/>
  <c r="J2072" i="13"/>
  <c r="K2072" i="13" s="1"/>
  <c r="K2071" i="13"/>
  <c r="J2071" i="13"/>
  <c r="K2070" i="13"/>
  <c r="J2070" i="13"/>
  <c r="J2069" i="13"/>
  <c r="K2069" i="13" s="1"/>
  <c r="J2068" i="13"/>
  <c r="K2068" i="13" s="1"/>
  <c r="J2067" i="13"/>
  <c r="K2067" i="13" s="1"/>
  <c r="J2066" i="13"/>
  <c r="K2066" i="13" s="1"/>
  <c r="K2065" i="13"/>
  <c r="J2065" i="13"/>
  <c r="J2064" i="13"/>
  <c r="K2064" i="13" s="1"/>
  <c r="J2063" i="13"/>
  <c r="K2063" i="13" s="1"/>
  <c r="J2062" i="13"/>
  <c r="K2062" i="13" s="1"/>
  <c r="J2061" i="13"/>
  <c r="K2061" i="13" s="1"/>
  <c r="J2060" i="13"/>
  <c r="K2060" i="13" s="1"/>
  <c r="J2059" i="13"/>
  <c r="K2059" i="13" s="1"/>
  <c r="J2058" i="13"/>
  <c r="K2058" i="13" s="1"/>
  <c r="J2057" i="13"/>
  <c r="K2057" i="13" s="1"/>
  <c r="J2056" i="13"/>
  <c r="K2056" i="13" s="1"/>
  <c r="J2055" i="13"/>
  <c r="K2055" i="13" s="1"/>
  <c r="J2054" i="13"/>
  <c r="K2054" i="13" s="1"/>
  <c r="J2053" i="13"/>
  <c r="K2053" i="13" s="1"/>
  <c r="J2052" i="13"/>
  <c r="K2052" i="13" s="1"/>
  <c r="J2051" i="13"/>
  <c r="K2051" i="13" s="1"/>
  <c r="J2050" i="13"/>
  <c r="K2050" i="13" s="1"/>
  <c r="J2049" i="13"/>
  <c r="K2049" i="13" s="1"/>
  <c r="J2048" i="13"/>
  <c r="K2048" i="13" s="1"/>
  <c r="K2047" i="13"/>
  <c r="J2047" i="13"/>
  <c r="J2046" i="13"/>
  <c r="K2046" i="13" s="1"/>
  <c r="J2045" i="13"/>
  <c r="K2045" i="13" s="1"/>
  <c r="J2044" i="13"/>
  <c r="K2044" i="13" s="1"/>
  <c r="K2043" i="13"/>
  <c r="J2043" i="13"/>
  <c r="L2042" i="13"/>
  <c r="J2042" i="13"/>
  <c r="K2042" i="13" s="1"/>
  <c r="J2041" i="13"/>
  <c r="K2041" i="13" s="1"/>
  <c r="J2040" i="13"/>
  <c r="K2040" i="13" s="1"/>
  <c r="J2039" i="13"/>
  <c r="K2039" i="13" s="1"/>
  <c r="J2038" i="13"/>
  <c r="K2038" i="13" s="1"/>
  <c r="J2037" i="13"/>
  <c r="K2037" i="13" s="1"/>
  <c r="K2036" i="13"/>
  <c r="J2036" i="13"/>
  <c r="J2035" i="13"/>
  <c r="K2035" i="13" s="1"/>
  <c r="J2034" i="13"/>
  <c r="K2034" i="13" s="1"/>
  <c r="J2033" i="13"/>
  <c r="K2033" i="13" s="1"/>
  <c r="K2032" i="13"/>
  <c r="J2032" i="13"/>
  <c r="J2031" i="13"/>
  <c r="K2031" i="13" s="1"/>
  <c r="J2030" i="13"/>
  <c r="K2030" i="13" s="1"/>
  <c r="J2029" i="13"/>
  <c r="K2029" i="13" s="1"/>
  <c r="J2028" i="13"/>
  <c r="K2028" i="13" s="1"/>
  <c r="J2027" i="13"/>
  <c r="K2027" i="13" s="1"/>
  <c r="J2026" i="13"/>
  <c r="K2026" i="13" s="1"/>
  <c r="J2025" i="13"/>
  <c r="K2025" i="13" s="1"/>
  <c r="J2024" i="13"/>
  <c r="K2024" i="13" s="1"/>
  <c r="J2023" i="13"/>
  <c r="K2023" i="13" s="1"/>
  <c r="J2022" i="13"/>
  <c r="K2022" i="13" s="1"/>
  <c r="J2021" i="13"/>
  <c r="K2021" i="13" s="1"/>
  <c r="K2020" i="13"/>
  <c r="J2020" i="13"/>
  <c r="J2019" i="13"/>
  <c r="K2019" i="13" s="1"/>
  <c r="J2018" i="13"/>
  <c r="K2018" i="13" s="1"/>
  <c r="J2017" i="13"/>
  <c r="K2017" i="13" s="1"/>
  <c r="K2016" i="13"/>
  <c r="J2016" i="13"/>
  <c r="K2015" i="13"/>
  <c r="J2015" i="13"/>
  <c r="J2014" i="13"/>
  <c r="K2014" i="13" s="1"/>
  <c r="J2013" i="13"/>
  <c r="K2013" i="13" s="1"/>
  <c r="J2012" i="13"/>
  <c r="K2012" i="13" s="1"/>
  <c r="J2011" i="13"/>
  <c r="K2011" i="13" s="1"/>
  <c r="K2010" i="13"/>
  <c r="J2010" i="13"/>
  <c r="J2009" i="13"/>
  <c r="K2009" i="13" s="1"/>
  <c r="J2008" i="13"/>
  <c r="K2008" i="13" s="1"/>
  <c r="J2007" i="13"/>
  <c r="K2007" i="13" s="1"/>
  <c r="J2006" i="13"/>
  <c r="K2006" i="13" s="1"/>
  <c r="J2005" i="13"/>
  <c r="K2005" i="13" s="1"/>
  <c r="K2004" i="13"/>
  <c r="J2004" i="13"/>
  <c r="K2003" i="13"/>
  <c r="J2003" i="13"/>
  <c r="L2002" i="13"/>
  <c r="J2002" i="13"/>
  <c r="K2002" i="13" s="1"/>
  <c r="J2001" i="13"/>
  <c r="K2001" i="13" s="1"/>
  <c r="J2000" i="13"/>
  <c r="K2000" i="13" s="1"/>
  <c r="K1999" i="13"/>
  <c r="J1999" i="13"/>
  <c r="J1998" i="13"/>
  <c r="K1998" i="13" s="1"/>
  <c r="J1997" i="13"/>
  <c r="K1997" i="13" s="1"/>
  <c r="K1996" i="13"/>
  <c r="J1996" i="13"/>
  <c r="J1995" i="13"/>
  <c r="K1995" i="13" s="1"/>
  <c r="K1994" i="13"/>
  <c r="J1994" i="13"/>
  <c r="J1993" i="13"/>
  <c r="K1993" i="13" s="1"/>
  <c r="K1992" i="13"/>
  <c r="J1992" i="13"/>
  <c r="K1991" i="13"/>
  <c r="J1991" i="13"/>
  <c r="J1990" i="13"/>
  <c r="K1990" i="13" s="1"/>
  <c r="J1989" i="13"/>
  <c r="K1989" i="13" s="1"/>
  <c r="J1988" i="13"/>
  <c r="K1988" i="13" s="1"/>
  <c r="J1987" i="13"/>
  <c r="K1987" i="13" s="1"/>
  <c r="J1986" i="13"/>
  <c r="K1986" i="13" s="1"/>
  <c r="J1985" i="13"/>
  <c r="K1985" i="13" s="1"/>
  <c r="K1984" i="13"/>
  <c r="J1984" i="13"/>
  <c r="J1983" i="13"/>
  <c r="K1983" i="13" s="1"/>
  <c r="K1982" i="13"/>
  <c r="J1982" i="13"/>
  <c r="J1981" i="13"/>
  <c r="K1981" i="13" s="1"/>
  <c r="J1980" i="13"/>
  <c r="K1980" i="13" s="1"/>
  <c r="J1979" i="13"/>
  <c r="K1979" i="13" s="1"/>
  <c r="J1978" i="13"/>
  <c r="K1978" i="13" s="1"/>
  <c r="J1977" i="13"/>
  <c r="K1977" i="13" s="1"/>
  <c r="J1976" i="13"/>
  <c r="K1976" i="13" s="1"/>
  <c r="J1975" i="13"/>
  <c r="K1975" i="13" s="1"/>
  <c r="J1974" i="13"/>
  <c r="K1974" i="13" s="1"/>
  <c r="J1973" i="13"/>
  <c r="K1973" i="13" s="1"/>
  <c r="J1972" i="13"/>
  <c r="K1972" i="13" s="1"/>
  <c r="J1971" i="13"/>
  <c r="K1971" i="13" s="1"/>
  <c r="K1970" i="13"/>
  <c r="J1970" i="13"/>
  <c r="J1969" i="13"/>
  <c r="K1969" i="13" s="1"/>
  <c r="J1968" i="13"/>
  <c r="K1968" i="13" s="1"/>
  <c r="J1967" i="13"/>
  <c r="K1967" i="13" s="1"/>
  <c r="J1966" i="13"/>
  <c r="K1966" i="13" s="1"/>
  <c r="J1965" i="13"/>
  <c r="K1965" i="13" s="1"/>
  <c r="K1964" i="13"/>
  <c r="J1964" i="13"/>
  <c r="J1963" i="13"/>
  <c r="K1963" i="13" s="1"/>
  <c r="L1962" i="13"/>
  <c r="J1962" i="13"/>
  <c r="K1962" i="13" s="1"/>
  <c r="J1961" i="13"/>
  <c r="K1961" i="13" s="1"/>
  <c r="K1960" i="13"/>
  <c r="J1960" i="13"/>
  <c r="J1959" i="13"/>
  <c r="K1959" i="13" s="1"/>
  <c r="J1958" i="13"/>
  <c r="K1958" i="13" s="1"/>
  <c r="K1957" i="13"/>
  <c r="J1957" i="13"/>
  <c r="K1956" i="13"/>
  <c r="J1956" i="13"/>
  <c r="J1955" i="13"/>
  <c r="K1955" i="13" s="1"/>
  <c r="J1954" i="13"/>
  <c r="K1954" i="13" s="1"/>
  <c r="J1953" i="13"/>
  <c r="K1953" i="13" s="1"/>
  <c r="J1952" i="13"/>
  <c r="K1952" i="13" s="1"/>
  <c r="J1951" i="13"/>
  <c r="K1951" i="13" s="1"/>
  <c r="J1950" i="13"/>
  <c r="K1950" i="13" s="1"/>
  <c r="J1949" i="13"/>
  <c r="K1949" i="13" s="1"/>
  <c r="J1948" i="13"/>
  <c r="K1948" i="13" s="1"/>
  <c r="K1947" i="13"/>
  <c r="J1947" i="13"/>
  <c r="J1946" i="13"/>
  <c r="K1946" i="13" s="1"/>
  <c r="K1945" i="13"/>
  <c r="J1945" i="13"/>
  <c r="J1944" i="13"/>
  <c r="K1944" i="13" s="1"/>
  <c r="J1943" i="13"/>
  <c r="K1943" i="13" s="1"/>
  <c r="J1942" i="13"/>
  <c r="K1942" i="13" s="1"/>
  <c r="J1941" i="13"/>
  <c r="K1941" i="13" s="1"/>
  <c r="J1940" i="13"/>
  <c r="K1940" i="13" s="1"/>
  <c r="K1939" i="13"/>
  <c r="J1939" i="13"/>
  <c r="K1938" i="13"/>
  <c r="J1938" i="13"/>
  <c r="J1937" i="13"/>
  <c r="K1937" i="13" s="1"/>
  <c r="J1936" i="13"/>
  <c r="K1936" i="13" s="1"/>
  <c r="K1935" i="13"/>
  <c r="J1935" i="13"/>
  <c r="J1934" i="13"/>
  <c r="K1934" i="13" s="1"/>
  <c r="K1933" i="13"/>
  <c r="J1933" i="13"/>
  <c r="J1932" i="13"/>
  <c r="K1932" i="13" s="1"/>
  <c r="J1931" i="13"/>
  <c r="K1931" i="13" s="1"/>
  <c r="K1930" i="13"/>
  <c r="J1930" i="13"/>
  <c r="J1929" i="13"/>
  <c r="K1929" i="13" s="1"/>
  <c r="J1928" i="13"/>
  <c r="K1928" i="13" s="1"/>
  <c r="J1927" i="13"/>
  <c r="K1927" i="13" s="1"/>
  <c r="J1926" i="13"/>
  <c r="K1926" i="13" s="1"/>
  <c r="J1925" i="13"/>
  <c r="K1925" i="13" s="1"/>
  <c r="J1924" i="13"/>
  <c r="K1924" i="13" s="1"/>
  <c r="K1923" i="13"/>
  <c r="J1923" i="13"/>
  <c r="L1922" i="13"/>
  <c r="M1922" i="13" s="1"/>
  <c r="L1923" i="13" s="1"/>
  <c r="J1922" i="13"/>
  <c r="K1922" i="13" s="1"/>
  <c r="K1921" i="13"/>
  <c r="J1921" i="13"/>
  <c r="K1920" i="13"/>
  <c r="J1920" i="13"/>
  <c r="J1919" i="13"/>
  <c r="K1919" i="13" s="1"/>
  <c r="J1918" i="13"/>
  <c r="K1918" i="13" s="1"/>
  <c r="J1917" i="13"/>
  <c r="K1917" i="13" s="1"/>
  <c r="J1916" i="13"/>
  <c r="K1916" i="13" s="1"/>
  <c r="J1915" i="13"/>
  <c r="K1915" i="13" s="1"/>
  <c r="J1914" i="13"/>
  <c r="K1914" i="13" s="1"/>
  <c r="J1913" i="13"/>
  <c r="K1913" i="13" s="1"/>
  <c r="J1912" i="13"/>
  <c r="K1912" i="13" s="1"/>
  <c r="J1911" i="13"/>
  <c r="K1911" i="13" s="1"/>
  <c r="J1910" i="13"/>
  <c r="K1910" i="13" s="1"/>
  <c r="K1909" i="13"/>
  <c r="J1909" i="13"/>
  <c r="K1908" i="13"/>
  <c r="J1908" i="13"/>
  <c r="J1907" i="13"/>
  <c r="K1907" i="13" s="1"/>
  <c r="J1906" i="13"/>
  <c r="K1906" i="13" s="1"/>
  <c r="K1905" i="13"/>
  <c r="J1905" i="13"/>
  <c r="J1904" i="13"/>
  <c r="K1904" i="13" s="1"/>
  <c r="J1903" i="13"/>
  <c r="K1903" i="13" s="1"/>
  <c r="J1902" i="13"/>
  <c r="K1902" i="13" s="1"/>
  <c r="J1901" i="13"/>
  <c r="K1901" i="13" s="1"/>
  <c r="J1900" i="13"/>
  <c r="K1900" i="13" s="1"/>
  <c r="J1899" i="13"/>
  <c r="K1899" i="13" s="1"/>
  <c r="K1898" i="13"/>
  <c r="J1898" i="13"/>
  <c r="J1897" i="13"/>
  <c r="K1897" i="13" s="1"/>
  <c r="J1896" i="13"/>
  <c r="K1896" i="13" s="1"/>
  <c r="J1895" i="13"/>
  <c r="K1895" i="13" s="1"/>
  <c r="K1894" i="13"/>
  <c r="J1894" i="13"/>
  <c r="K1893" i="13"/>
  <c r="J1893" i="13"/>
  <c r="J1892" i="13"/>
  <c r="K1892" i="13" s="1"/>
  <c r="K1891" i="13"/>
  <c r="J1891" i="13"/>
  <c r="J1890" i="13"/>
  <c r="K1890" i="13" s="1"/>
  <c r="J1889" i="13"/>
  <c r="K1889" i="13" s="1"/>
  <c r="K1888" i="13"/>
  <c r="J1888" i="13"/>
  <c r="J1887" i="13"/>
  <c r="K1887" i="13" s="1"/>
  <c r="J1886" i="13"/>
  <c r="K1886" i="13" s="1"/>
  <c r="J1885" i="13"/>
  <c r="K1885" i="13" s="1"/>
  <c r="J1884" i="13"/>
  <c r="K1884" i="13" s="1"/>
  <c r="K1883" i="13"/>
  <c r="J1883" i="13"/>
  <c r="L1882" i="13"/>
  <c r="J1882" i="13"/>
  <c r="K1882" i="13" s="1"/>
  <c r="M1882" i="13" s="1"/>
  <c r="L1883" i="13" s="1"/>
  <c r="M1883" i="13" s="1"/>
  <c r="L1884" i="13" s="1"/>
  <c r="K1881" i="13"/>
  <c r="J1881" i="13"/>
  <c r="J1880" i="13"/>
  <c r="K1880" i="13" s="1"/>
  <c r="J1879" i="13"/>
  <c r="K1879" i="13" s="1"/>
  <c r="J1878" i="13"/>
  <c r="K1878" i="13" s="1"/>
  <c r="K1877" i="13"/>
  <c r="J1877" i="13"/>
  <c r="J1876" i="13"/>
  <c r="K1876" i="13" s="1"/>
  <c r="J1875" i="13"/>
  <c r="K1875" i="13" s="1"/>
  <c r="J1874" i="13"/>
  <c r="K1874" i="13" s="1"/>
  <c r="K1873" i="13"/>
  <c r="J1873" i="13"/>
  <c r="J1872" i="13"/>
  <c r="K1872" i="13" s="1"/>
  <c r="J1871" i="13"/>
  <c r="K1871" i="13" s="1"/>
  <c r="J1870" i="13"/>
  <c r="K1870" i="13" s="1"/>
  <c r="J1869" i="13"/>
  <c r="K1869" i="13" s="1"/>
  <c r="K1868" i="13"/>
  <c r="J1868" i="13"/>
  <c r="K1867" i="13"/>
  <c r="J1867" i="13"/>
  <c r="J1866" i="13"/>
  <c r="K1866" i="13" s="1"/>
  <c r="J1865" i="13"/>
  <c r="K1865" i="13" s="1"/>
  <c r="J1864" i="13"/>
  <c r="K1864" i="13" s="1"/>
  <c r="K1863" i="13"/>
  <c r="J1863" i="13"/>
  <c r="J1862" i="13"/>
  <c r="K1862" i="13" s="1"/>
  <c r="J1861" i="13"/>
  <c r="K1861" i="13" s="1"/>
  <c r="J1860" i="13"/>
  <c r="K1860" i="13" s="1"/>
  <c r="K1859" i="13"/>
  <c r="J1859" i="13"/>
  <c r="J1858" i="13"/>
  <c r="K1858" i="13" s="1"/>
  <c r="J1857" i="13"/>
  <c r="K1857" i="13" s="1"/>
  <c r="K1856" i="13"/>
  <c r="J1856" i="13"/>
  <c r="J1855" i="13"/>
  <c r="K1855" i="13" s="1"/>
  <c r="J1854" i="13"/>
  <c r="K1854" i="13" s="1"/>
  <c r="J1853" i="13"/>
  <c r="K1853" i="13" s="1"/>
  <c r="K1852" i="13"/>
  <c r="J1852" i="13"/>
  <c r="K1851" i="13"/>
  <c r="J1851" i="13"/>
  <c r="J1850" i="13"/>
  <c r="K1850" i="13" s="1"/>
  <c r="K1849" i="13"/>
  <c r="J1849" i="13"/>
  <c r="J1848" i="13"/>
  <c r="K1848" i="13" s="1"/>
  <c r="J1847" i="13"/>
  <c r="K1847" i="13" s="1"/>
  <c r="J1846" i="13"/>
  <c r="K1846" i="13" s="1"/>
  <c r="K1845" i="13"/>
  <c r="J1845" i="13"/>
  <c r="J1844" i="13"/>
  <c r="K1844" i="13" s="1"/>
  <c r="J1843" i="13"/>
  <c r="K1843" i="13" s="1"/>
  <c r="L1842" i="13"/>
  <c r="M1842" i="13" s="1"/>
  <c r="L1843" i="13" s="1"/>
  <c r="J1842" i="13"/>
  <c r="K1842" i="13" s="1"/>
  <c r="J1841" i="13"/>
  <c r="K1841" i="13" s="1"/>
  <c r="J1840" i="13"/>
  <c r="K1840" i="13" s="1"/>
  <c r="J1839" i="13"/>
  <c r="K1839" i="13" s="1"/>
  <c r="J1838" i="13"/>
  <c r="K1838" i="13" s="1"/>
  <c r="J1837" i="13"/>
  <c r="K1837" i="13" s="1"/>
  <c r="K1836" i="13"/>
  <c r="J1836" i="13"/>
  <c r="J1835" i="13"/>
  <c r="K1835" i="13" s="1"/>
  <c r="K1834" i="13"/>
  <c r="J1834" i="13"/>
  <c r="K1833" i="13"/>
  <c r="J1833" i="13"/>
  <c r="J1832" i="13"/>
  <c r="K1832" i="13" s="1"/>
  <c r="J1831" i="13"/>
  <c r="K1831" i="13" s="1"/>
  <c r="K1830" i="13"/>
  <c r="J1830" i="13"/>
  <c r="J1829" i="13"/>
  <c r="K1829" i="13" s="1"/>
  <c r="J1828" i="13"/>
  <c r="K1828" i="13" s="1"/>
  <c r="K1827" i="13"/>
  <c r="J1827" i="13"/>
  <c r="J1826" i="13"/>
  <c r="K1826" i="13" s="1"/>
  <c r="K1825" i="13"/>
  <c r="J1825" i="13"/>
  <c r="J1824" i="13"/>
  <c r="K1824" i="13" s="1"/>
  <c r="J1823" i="13"/>
  <c r="K1823" i="13" s="1"/>
  <c r="J1822" i="13"/>
  <c r="K1822" i="13" s="1"/>
  <c r="J1821" i="13"/>
  <c r="K1821" i="13" s="1"/>
  <c r="J1820" i="13"/>
  <c r="K1820" i="13" s="1"/>
  <c r="K1819" i="13"/>
  <c r="J1819" i="13"/>
  <c r="J1818" i="13"/>
  <c r="K1818" i="13" s="1"/>
  <c r="J1817" i="13"/>
  <c r="K1817" i="13" s="1"/>
  <c r="J1816" i="13"/>
  <c r="K1816" i="13" s="1"/>
  <c r="J1815" i="13"/>
  <c r="K1815" i="13" s="1"/>
  <c r="J1814" i="13"/>
  <c r="K1814" i="13" s="1"/>
  <c r="K1813" i="13"/>
  <c r="J1813" i="13"/>
  <c r="J1812" i="13"/>
  <c r="K1812" i="13" s="1"/>
  <c r="J1811" i="13"/>
  <c r="K1811" i="13" s="1"/>
  <c r="K1810" i="13"/>
  <c r="J1810" i="13"/>
  <c r="K1809" i="13"/>
  <c r="J1809" i="13"/>
  <c r="J1808" i="13"/>
  <c r="K1808" i="13" s="1"/>
  <c r="J1807" i="13"/>
  <c r="K1807" i="13" s="1"/>
  <c r="J1806" i="13"/>
  <c r="K1806" i="13" s="1"/>
  <c r="J1805" i="13"/>
  <c r="K1805" i="13" s="1"/>
  <c r="K1804" i="13"/>
  <c r="J1804" i="13"/>
  <c r="K1803" i="13"/>
  <c r="J1803" i="13"/>
  <c r="L1802" i="13"/>
  <c r="K1802" i="13"/>
  <c r="J1802" i="13"/>
  <c r="J1801" i="13"/>
  <c r="K1801" i="13" s="1"/>
  <c r="J1800" i="13"/>
  <c r="K1800" i="13" s="1"/>
  <c r="J1799" i="13"/>
  <c r="K1799" i="13" s="1"/>
  <c r="J1798" i="13"/>
  <c r="K1798" i="13" s="1"/>
  <c r="J1797" i="13"/>
  <c r="K1797" i="13" s="1"/>
  <c r="J1796" i="13"/>
  <c r="K1796" i="13" s="1"/>
  <c r="J1795" i="13"/>
  <c r="K1795" i="13" s="1"/>
  <c r="K1794" i="13"/>
  <c r="J1794" i="13"/>
  <c r="K1793" i="13"/>
  <c r="J1793" i="13"/>
  <c r="K1792" i="13"/>
  <c r="J1792" i="13"/>
  <c r="J1791" i="13"/>
  <c r="K1791" i="13" s="1"/>
  <c r="J1790" i="13"/>
  <c r="K1790" i="13" s="1"/>
  <c r="J1789" i="13"/>
  <c r="K1789" i="13" s="1"/>
  <c r="J1788" i="13"/>
  <c r="K1788" i="13" s="1"/>
  <c r="J1787" i="13"/>
  <c r="K1787" i="13" s="1"/>
  <c r="J1786" i="13"/>
  <c r="K1786" i="13" s="1"/>
  <c r="J1785" i="13"/>
  <c r="K1785" i="13" s="1"/>
  <c r="J1784" i="13"/>
  <c r="K1784" i="13" s="1"/>
  <c r="J1783" i="13"/>
  <c r="K1783" i="13" s="1"/>
  <c r="J1782" i="13"/>
  <c r="K1782" i="13" s="1"/>
  <c r="K1781" i="13"/>
  <c r="J1781" i="13"/>
  <c r="J1780" i="13"/>
  <c r="K1780" i="13" s="1"/>
  <c r="J1779" i="13"/>
  <c r="K1779" i="13" s="1"/>
  <c r="J1778" i="13"/>
  <c r="K1778" i="13" s="1"/>
  <c r="J1777" i="13"/>
  <c r="K1777" i="13" s="1"/>
  <c r="J1776" i="13"/>
  <c r="K1776" i="13" s="1"/>
  <c r="J1775" i="13"/>
  <c r="K1775" i="13" s="1"/>
  <c r="J1774" i="13"/>
  <c r="K1774" i="13" s="1"/>
  <c r="J1773" i="13"/>
  <c r="K1773" i="13" s="1"/>
  <c r="J1772" i="13"/>
  <c r="K1772" i="13" s="1"/>
  <c r="J1771" i="13"/>
  <c r="K1771" i="13" s="1"/>
  <c r="J1770" i="13"/>
  <c r="K1770" i="13" s="1"/>
  <c r="J1769" i="13"/>
  <c r="K1769" i="13" s="1"/>
  <c r="J1768" i="13"/>
  <c r="K1768" i="13" s="1"/>
  <c r="J1767" i="13"/>
  <c r="K1767" i="13" s="1"/>
  <c r="J1766" i="13"/>
  <c r="K1766" i="13" s="1"/>
  <c r="K1765" i="13"/>
  <c r="J1765" i="13"/>
  <c r="J1764" i="13"/>
  <c r="K1764" i="13" s="1"/>
  <c r="J1763" i="13"/>
  <c r="K1763" i="13" s="1"/>
  <c r="L1762" i="13"/>
  <c r="J1762" i="13"/>
  <c r="K1762" i="13" s="1"/>
  <c r="J1761" i="13"/>
  <c r="K1761" i="13" s="1"/>
  <c r="K1760" i="13"/>
  <c r="J1760" i="13"/>
  <c r="J1759" i="13"/>
  <c r="K1759" i="13" s="1"/>
  <c r="K1758" i="13"/>
  <c r="J1758" i="13"/>
  <c r="J1757" i="13"/>
  <c r="K1757" i="13" s="1"/>
  <c r="J1756" i="13"/>
  <c r="K1756" i="13" s="1"/>
  <c r="J1755" i="13"/>
  <c r="K1755" i="13" s="1"/>
  <c r="J1754" i="13"/>
  <c r="K1754" i="13" s="1"/>
  <c r="J1753" i="13"/>
  <c r="K1753" i="13" s="1"/>
  <c r="K1752" i="13"/>
  <c r="J1752" i="13"/>
  <c r="J1751" i="13"/>
  <c r="K1751" i="13" s="1"/>
  <c r="J1750" i="13"/>
  <c r="K1750" i="13" s="1"/>
  <c r="J1749" i="13"/>
  <c r="K1749" i="13" s="1"/>
  <c r="K1748" i="13"/>
  <c r="J1748" i="13"/>
  <c r="J1747" i="13"/>
  <c r="K1747" i="13" s="1"/>
  <c r="J1746" i="13"/>
  <c r="K1746" i="13" s="1"/>
  <c r="J1745" i="13"/>
  <c r="K1745" i="13" s="1"/>
  <c r="K1744" i="13"/>
  <c r="J1744" i="13"/>
  <c r="J1743" i="13"/>
  <c r="K1743" i="13" s="1"/>
  <c r="J1742" i="13"/>
  <c r="K1742" i="13" s="1"/>
  <c r="J1741" i="13"/>
  <c r="K1741" i="13" s="1"/>
  <c r="J1740" i="13"/>
  <c r="K1740" i="13" s="1"/>
  <c r="J1739" i="13"/>
  <c r="K1739" i="13" s="1"/>
  <c r="J1738" i="13"/>
  <c r="K1738" i="13" s="1"/>
  <c r="J1737" i="13"/>
  <c r="K1737" i="13" s="1"/>
  <c r="J1736" i="13"/>
  <c r="K1736" i="13" s="1"/>
  <c r="J1735" i="13"/>
  <c r="K1735" i="13" s="1"/>
  <c r="J1734" i="13"/>
  <c r="K1734" i="13" s="1"/>
  <c r="J1733" i="13"/>
  <c r="K1733" i="13" s="1"/>
  <c r="J1732" i="13"/>
  <c r="K1732" i="13" s="1"/>
  <c r="K1731" i="13"/>
  <c r="J1731" i="13"/>
  <c r="J1730" i="13"/>
  <c r="K1730" i="13" s="1"/>
  <c r="K1729" i="13"/>
  <c r="J1729" i="13"/>
  <c r="J1728" i="13"/>
  <c r="K1728" i="13" s="1"/>
  <c r="K1727" i="13"/>
  <c r="J1727" i="13"/>
  <c r="K1726" i="13"/>
  <c r="J1726" i="13"/>
  <c r="J1725" i="13"/>
  <c r="K1725" i="13" s="1"/>
  <c r="J1724" i="13"/>
  <c r="K1724" i="13" s="1"/>
  <c r="J1723" i="13"/>
  <c r="K1723" i="13" s="1"/>
  <c r="L1722" i="13"/>
  <c r="K1722" i="13"/>
  <c r="J1722" i="13"/>
  <c r="J1721" i="13"/>
  <c r="K1721" i="13" s="1"/>
  <c r="J1720" i="13"/>
  <c r="K1720" i="13" s="1"/>
  <c r="J1719" i="13"/>
  <c r="K1719" i="13" s="1"/>
  <c r="J1718" i="13"/>
  <c r="K1718" i="13" s="1"/>
  <c r="J1717" i="13"/>
  <c r="K1717" i="13" s="1"/>
  <c r="K1716" i="13"/>
  <c r="J1716" i="13"/>
  <c r="J1715" i="13"/>
  <c r="K1715" i="13" s="1"/>
  <c r="J1714" i="13"/>
  <c r="K1714" i="13" s="1"/>
  <c r="K1713" i="13"/>
  <c r="J1713" i="13"/>
  <c r="K1712" i="13"/>
  <c r="J1712" i="13"/>
  <c r="J1711" i="13"/>
  <c r="K1711" i="13" s="1"/>
  <c r="J1710" i="13"/>
  <c r="K1710" i="13" s="1"/>
  <c r="J1709" i="13"/>
  <c r="K1709" i="13" s="1"/>
  <c r="J1708" i="13"/>
  <c r="K1708" i="13" s="1"/>
  <c r="K1707" i="13"/>
  <c r="J1707" i="13"/>
  <c r="J1706" i="13"/>
  <c r="K1706" i="13" s="1"/>
  <c r="J1705" i="13"/>
  <c r="K1705" i="13" s="1"/>
  <c r="J1704" i="13"/>
  <c r="K1704" i="13" s="1"/>
  <c r="J1703" i="13"/>
  <c r="K1703" i="13" s="1"/>
  <c r="J1702" i="13"/>
  <c r="K1702" i="13" s="1"/>
  <c r="J1701" i="13"/>
  <c r="K1701" i="13" s="1"/>
  <c r="K1700" i="13"/>
  <c r="J1700" i="13"/>
  <c r="J1699" i="13"/>
  <c r="K1699" i="13" s="1"/>
  <c r="J1698" i="13"/>
  <c r="K1698" i="13" s="1"/>
  <c r="J1697" i="13"/>
  <c r="K1697" i="13" s="1"/>
  <c r="J1696" i="13"/>
  <c r="K1696" i="13" s="1"/>
  <c r="J1695" i="13"/>
  <c r="K1695" i="13" s="1"/>
  <c r="J1694" i="13"/>
  <c r="K1694" i="13" s="1"/>
  <c r="J1693" i="13"/>
  <c r="K1693" i="13" s="1"/>
  <c r="K1692" i="13"/>
  <c r="J1692" i="13"/>
  <c r="J1691" i="13"/>
  <c r="K1691" i="13" s="1"/>
  <c r="J1690" i="13"/>
  <c r="K1690" i="13" s="1"/>
  <c r="J1689" i="13"/>
  <c r="K1689" i="13" s="1"/>
  <c r="J1688" i="13"/>
  <c r="K1688" i="13" s="1"/>
  <c r="J1687" i="13"/>
  <c r="K1687" i="13" s="1"/>
  <c r="J1686" i="13"/>
  <c r="K1686" i="13" s="1"/>
  <c r="J1685" i="13"/>
  <c r="K1685" i="13" s="1"/>
  <c r="J1684" i="13"/>
  <c r="K1684" i="13" s="1"/>
  <c r="J1683" i="13"/>
  <c r="K1683" i="13" s="1"/>
  <c r="L1682" i="13"/>
  <c r="J1682" i="13"/>
  <c r="K1682" i="13" s="1"/>
  <c r="J1681" i="13"/>
  <c r="K1681" i="13" s="1"/>
  <c r="J1680" i="13"/>
  <c r="K1680" i="13" s="1"/>
  <c r="J1679" i="13"/>
  <c r="K1679" i="13" s="1"/>
  <c r="J1678" i="13"/>
  <c r="K1678" i="13" s="1"/>
  <c r="J1677" i="13"/>
  <c r="K1677" i="13" s="1"/>
  <c r="J1676" i="13"/>
  <c r="K1676" i="13" s="1"/>
  <c r="J1675" i="13"/>
  <c r="K1675" i="13" s="1"/>
  <c r="J1674" i="13"/>
  <c r="K1674" i="13" s="1"/>
  <c r="J1673" i="13"/>
  <c r="K1673" i="13" s="1"/>
  <c r="K1672" i="13"/>
  <c r="J1672" i="13"/>
  <c r="J1671" i="13"/>
  <c r="K1671" i="13" s="1"/>
  <c r="J1670" i="13"/>
  <c r="K1670" i="13" s="1"/>
  <c r="J1669" i="13"/>
  <c r="K1669" i="13" s="1"/>
  <c r="K1668" i="13"/>
  <c r="J1668" i="13"/>
  <c r="J1667" i="13"/>
  <c r="K1667" i="13" s="1"/>
  <c r="J1666" i="13"/>
  <c r="K1666" i="13" s="1"/>
  <c r="K1665" i="13"/>
  <c r="J1665" i="13"/>
  <c r="K1664" i="13"/>
  <c r="J1664" i="13"/>
  <c r="J1663" i="13"/>
  <c r="K1663" i="13" s="1"/>
  <c r="J1662" i="13"/>
  <c r="K1662" i="13" s="1"/>
  <c r="J1661" i="13"/>
  <c r="K1661" i="13" s="1"/>
  <c r="J1660" i="13"/>
  <c r="K1660" i="13" s="1"/>
  <c r="J1659" i="13"/>
  <c r="K1659" i="13" s="1"/>
  <c r="J1658" i="13"/>
  <c r="K1658" i="13" s="1"/>
  <c r="J1657" i="13"/>
  <c r="K1657" i="13" s="1"/>
  <c r="J1656" i="13"/>
  <c r="K1656" i="13" s="1"/>
  <c r="K1655" i="13"/>
  <c r="J1655" i="13"/>
  <c r="J1654" i="13"/>
  <c r="K1654" i="13" s="1"/>
  <c r="K1653" i="13"/>
  <c r="J1653" i="13"/>
  <c r="J1652" i="13"/>
  <c r="K1652" i="13" s="1"/>
  <c r="J1651" i="13"/>
  <c r="K1651" i="13" s="1"/>
  <c r="J1650" i="13"/>
  <c r="K1650" i="13" s="1"/>
  <c r="K1649" i="13"/>
  <c r="J1649" i="13"/>
  <c r="J1648" i="13"/>
  <c r="K1648" i="13" s="1"/>
  <c r="J1647" i="13"/>
  <c r="K1647" i="13" s="1"/>
  <c r="J1646" i="13"/>
  <c r="K1646" i="13" s="1"/>
  <c r="J1645" i="13"/>
  <c r="K1645" i="13" s="1"/>
  <c r="J1644" i="13"/>
  <c r="K1644" i="13" s="1"/>
  <c r="K1643" i="13"/>
  <c r="J1643" i="13"/>
  <c r="L1642" i="13"/>
  <c r="J1642" i="13"/>
  <c r="K1642" i="13" s="1"/>
  <c r="J1641" i="13"/>
  <c r="K1641" i="13" s="1"/>
  <c r="K1640" i="13"/>
  <c r="J1640" i="13"/>
  <c r="J1639" i="13"/>
  <c r="K1639" i="13" s="1"/>
  <c r="J1638" i="13"/>
  <c r="K1638" i="13" s="1"/>
  <c r="K1637" i="13"/>
  <c r="J1637" i="13"/>
  <c r="J1636" i="13"/>
  <c r="K1636" i="13" s="1"/>
  <c r="J1635" i="13"/>
  <c r="K1635" i="13" s="1"/>
  <c r="J1634" i="13"/>
  <c r="K1634" i="13" s="1"/>
  <c r="J1633" i="13"/>
  <c r="K1633" i="13" s="1"/>
  <c r="J1632" i="13"/>
  <c r="K1632" i="13" s="1"/>
  <c r="J1631" i="13"/>
  <c r="K1631" i="13" s="1"/>
  <c r="J1630" i="13"/>
  <c r="K1630" i="13" s="1"/>
  <c r="J1629" i="13"/>
  <c r="K1629" i="13" s="1"/>
  <c r="J1628" i="13"/>
  <c r="K1628" i="13" s="1"/>
  <c r="K1627" i="13"/>
  <c r="J1627" i="13"/>
  <c r="J1626" i="13"/>
  <c r="K1626" i="13" s="1"/>
  <c r="J1625" i="13"/>
  <c r="K1625" i="13" s="1"/>
  <c r="J1624" i="13"/>
  <c r="K1624" i="13" s="1"/>
  <c r="J1623" i="13"/>
  <c r="K1623" i="13" s="1"/>
  <c r="J1622" i="13"/>
  <c r="K1622" i="13" s="1"/>
  <c r="K1621" i="13"/>
  <c r="J1621" i="13"/>
  <c r="J1620" i="13"/>
  <c r="K1620" i="13" s="1"/>
  <c r="J1619" i="13"/>
  <c r="K1619" i="13" s="1"/>
  <c r="J1618" i="13"/>
  <c r="K1618" i="13" s="1"/>
  <c r="J1617" i="13"/>
  <c r="K1617" i="13" s="1"/>
  <c r="J1616" i="13"/>
  <c r="K1616" i="13" s="1"/>
  <c r="J1615" i="13"/>
  <c r="K1615" i="13" s="1"/>
  <c r="J1614" i="13"/>
  <c r="K1614" i="13" s="1"/>
  <c r="J1613" i="13"/>
  <c r="K1613" i="13" s="1"/>
  <c r="K1612" i="13"/>
  <c r="J1612" i="13"/>
  <c r="J1611" i="13"/>
  <c r="K1611" i="13" s="1"/>
  <c r="J1610" i="13"/>
  <c r="K1610" i="13" s="1"/>
  <c r="K1609" i="13"/>
  <c r="J1609" i="13"/>
  <c r="J1608" i="13"/>
  <c r="K1608" i="13" s="1"/>
  <c r="J1607" i="13"/>
  <c r="K1607" i="13" s="1"/>
  <c r="J1606" i="13"/>
  <c r="K1606" i="13" s="1"/>
  <c r="K1605" i="13"/>
  <c r="J1605" i="13"/>
  <c r="J1604" i="13"/>
  <c r="K1604" i="13" s="1"/>
  <c r="K1603" i="13"/>
  <c r="J1603" i="13"/>
  <c r="L1602" i="13"/>
  <c r="J1602" i="13"/>
  <c r="K1602" i="13" s="1"/>
  <c r="J1601" i="13"/>
  <c r="K1601" i="13" s="1"/>
  <c r="K1600" i="13"/>
  <c r="J1600" i="13"/>
  <c r="J1599" i="13"/>
  <c r="K1599" i="13" s="1"/>
  <c r="J1598" i="13"/>
  <c r="K1598" i="13" s="1"/>
  <c r="J1597" i="13"/>
  <c r="K1597" i="13" s="1"/>
  <c r="K1596" i="13"/>
  <c r="J1596" i="13"/>
  <c r="K1595" i="13"/>
  <c r="J1595" i="13"/>
  <c r="J1594" i="13"/>
  <c r="K1594" i="13" s="1"/>
  <c r="K1593" i="13"/>
  <c r="J1593" i="13"/>
  <c r="J1592" i="13"/>
  <c r="K1592" i="13" s="1"/>
  <c r="J1591" i="13"/>
  <c r="K1591" i="13" s="1"/>
  <c r="J1590" i="13"/>
  <c r="K1590" i="13" s="1"/>
  <c r="J1589" i="13"/>
  <c r="K1589" i="13" s="1"/>
  <c r="J1588" i="13"/>
  <c r="K1588" i="13" s="1"/>
  <c r="J1587" i="13"/>
  <c r="K1587" i="13" s="1"/>
  <c r="J1586" i="13"/>
  <c r="K1586" i="13" s="1"/>
  <c r="K1585" i="13"/>
  <c r="J1585" i="13"/>
  <c r="J1584" i="13"/>
  <c r="K1584" i="13" s="1"/>
  <c r="J1583" i="13"/>
  <c r="K1583" i="13" s="1"/>
  <c r="J1582" i="13"/>
  <c r="K1582" i="13" s="1"/>
  <c r="J1581" i="13"/>
  <c r="K1581" i="13" s="1"/>
  <c r="J1580" i="13"/>
  <c r="K1580" i="13" s="1"/>
  <c r="J1579" i="13"/>
  <c r="K1579" i="13" s="1"/>
  <c r="J1578" i="13"/>
  <c r="K1578" i="13" s="1"/>
  <c r="K1577" i="13"/>
  <c r="J1577" i="13"/>
  <c r="J1576" i="13"/>
  <c r="K1576" i="13" s="1"/>
  <c r="J1575" i="13"/>
  <c r="K1575" i="13" s="1"/>
  <c r="J1574" i="13"/>
  <c r="K1574" i="13" s="1"/>
  <c r="J1573" i="13"/>
  <c r="K1573" i="13" s="1"/>
  <c r="J1572" i="13"/>
  <c r="K1572" i="13" s="1"/>
  <c r="J1571" i="13"/>
  <c r="K1571" i="13" s="1"/>
  <c r="J1570" i="13"/>
  <c r="K1570" i="13" s="1"/>
  <c r="J1569" i="13"/>
  <c r="K1569" i="13" s="1"/>
  <c r="K1568" i="13"/>
  <c r="J1568" i="13"/>
  <c r="K1567" i="13"/>
  <c r="J1567" i="13"/>
  <c r="J1566" i="13"/>
  <c r="K1566" i="13" s="1"/>
  <c r="K1565" i="13"/>
  <c r="J1565" i="13"/>
  <c r="J1564" i="13"/>
  <c r="K1564" i="13" s="1"/>
  <c r="J1563" i="13"/>
  <c r="K1563" i="13" s="1"/>
  <c r="L1562" i="13"/>
  <c r="J1562" i="13"/>
  <c r="K1562" i="13" s="1"/>
  <c r="J1561" i="13"/>
  <c r="K1561" i="13" s="1"/>
  <c r="K1560" i="13"/>
  <c r="J1560" i="13"/>
  <c r="J1559" i="13"/>
  <c r="K1559" i="13" s="1"/>
  <c r="J1558" i="13"/>
  <c r="K1558" i="13" s="1"/>
  <c r="J1557" i="13"/>
  <c r="K1557" i="13" s="1"/>
  <c r="K1556" i="13"/>
  <c r="J1556" i="13"/>
  <c r="J1555" i="13"/>
  <c r="K1555" i="13" s="1"/>
  <c r="J1554" i="13"/>
  <c r="K1554" i="13" s="1"/>
  <c r="J1553" i="13"/>
  <c r="K1553" i="13" s="1"/>
  <c r="J1552" i="13"/>
  <c r="K1552" i="13" s="1"/>
  <c r="K1551" i="13"/>
  <c r="J1551" i="13"/>
  <c r="J1550" i="13"/>
  <c r="K1550" i="13" s="1"/>
  <c r="J1549" i="13"/>
  <c r="K1549" i="13" s="1"/>
  <c r="J1548" i="13"/>
  <c r="K1548" i="13" s="1"/>
  <c r="K1547" i="13"/>
  <c r="J1547" i="13"/>
  <c r="J1546" i="13"/>
  <c r="K1546" i="13" s="1"/>
  <c r="K1545" i="13"/>
  <c r="J1545" i="13"/>
  <c r="J1544" i="13"/>
  <c r="K1544" i="13" s="1"/>
  <c r="J1543" i="13"/>
  <c r="K1543" i="13" s="1"/>
  <c r="J1542" i="13"/>
  <c r="K1542" i="13" s="1"/>
  <c r="K1541" i="13"/>
  <c r="J1541" i="13"/>
  <c r="J1540" i="13"/>
  <c r="K1540" i="13" s="1"/>
  <c r="J1539" i="13"/>
  <c r="K1539" i="13" s="1"/>
  <c r="J1538" i="13"/>
  <c r="K1538" i="13" s="1"/>
  <c r="J1537" i="13"/>
  <c r="K1537" i="13" s="1"/>
  <c r="K1536" i="13"/>
  <c r="J1536" i="13"/>
  <c r="J1535" i="13"/>
  <c r="K1535" i="13" s="1"/>
  <c r="J1534" i="13"/>
  <c r="K1534" i="13" s="1"/>
  <c r="J1533" i="13"/>
  <c r="K1533" i="13" s="1"/>
  <c r="J1532" i="13"/>
  <c r="K1532" i="13" s="1"/>
  <c r="J1531" i="13"/>
  <c r="K1531" i="13" s="1"/>
  <c r="J1530" i="13"/>
  <c r="K1530" i="13" s="1"/>
  <c r="J1529" i="13"/>
  <c r="K1529" i="13" s="1"/>
  <c r="J1528" i="13"/>
  <c r="K1528" i="13" s="1"/>
  <c r="J1527" i="13"/>
  <c r="K1527" i="13" s="1"/>
  <c r="J1526" i="13"/>
  <c r="K1526" i="13" s="1"/>
  <c r="J1525" i="13"/>
  <c r="K1525" i="13" s="1"/>
  <c r="K1524" i="13"/>
  <c r="J1524" i="13"/>
  <c r="J1523" i="13"/>
  <c r="K1523" i="13" s="1"/>
  <c r="L1522" i="13"/>
  <c r="J1522" i="13"/>
  <c r="K1522" i="13" s="1"/>
  <c r="J1521" i="13"/>
  <c r="K1521" i="13" s="1"/>
  <c r="J1520" i="13"/>
  <c r="K1520" i="13" s="1"/>
  <c r="K1519" i="13"/>
  <c r="J1519" i="13"/>
  <c r="J1518" i="13"/>
  <c r="K1518" i="13" s="1"/>
  <c r="J1517" i="13"/>
  <c r="K1517" i="13" s="1"/>
  <c r="K1516" i="13"/>
  <c r="J1516" i="13"/>
  <c r="J1515" i="13"/>
  <c r="K1515" i="13" s="1"/>
  <c r="J1514" i="13"/>
  <c r="K1514" i="13" s="1"/>
  <c r="J1513" i="13"/>
  <c r="K1513" i="13" s="1"/>
  <c r="J1512" i="13"/>
  <c r="K1512" i="13" s="1"/>
  <c r="J1511" i="13"/>
  <c r="K1511" i="13" s="1"/>
  <c r="J1510" i="13"/>
  <c r="K1510" i="13" s="1"/>
  <c r="J1509" i="13"/>
  <c r="K1509" i="13" s="1"/>
  <c r="J1508" i="13"/>
  <c r="K1508" i="13" s="1"/>
  <c r="K1507" i="13"/>
  <c r="J1507" i="13"/>
  <c r="J1506" i="13"/>
  <c r="K1506" i="13" s="1"/>
  <c r="J1505" i="13"/>
  <c r="K1505" i="13" s="1"/>
  <c r="J1504" i="13"/>
  <c r="K1504" i="13" s="1"/>
  <c r="K1503" i="13"/>
  <c r="J1503" i="13"/>
  <c r="J1502" i="13"/>
  <c r="K1502" i="13" s="1"/>
  <c r="K1501" i="13"/>
  <c r="J1501" i="13"/>
  <c r="J1500" i="13"/>
  <c r="K1500" i="13" s="1"/>
  <c r="J1499" i="13"/>
  <c r="K1499" i="13" s="1"/>
  <c r="J1498" i="13"/>
  <c r="K1498" i="13" s="1"/>
  <c r="K1497" i="13"/>
  <c r="J1497" i="13"/>
  <c r="J1496" i="13"/>
  <c r="K1496" i="13" s="1"/>
  <c r="J1495" i="13"/>
  <c r="K1495" i="13" s="1"/>
  <c r="J1494" i="13"/>
  <c r="K1494" i="13" s="1"/>
  <c r="J1493" i="13"/>
  <c r="K1493" i="13" s="1"/>
  <c r="K1492" i="13"/>
  <c r="J1492" i="13"/>
  <c r="J1491" i="13"/>
  <c r="K1491" i="13" s="1"/>
  <c r="J1490" i="13"/>
  <c r="K1490" i="13" s="1"/>
  <c r="K1489" i="13"/>
  <c r="J1489" i="13"/>
  <c r="J1488" i="13"/>
  <c r="K1488" i="13" s="1"/>
  <c r="J1487" i="13"/>
  <c r="K1487" i="13" s="1"/>
  <c r="J1486" i="13"/>
  <c r="K1486" i="13" s="1"/>
  <c r="J1485" i="13"/>
  <c r="K1485" i="13" s="1"/>
  <c r="J1484" i="13"/>
  <c r="K1484" i="13" s="1"/>
  <c r="M1483" i="13"/>
  <c r="L1484" i="13" s="1"/>
  <c r="M1484" i="13" s="1"/>
  <c r="L1485" i="13" s="1"/>
  <c r="M1485" i="13" s="1"/>
  <c r="L1486" i="13" s="1"/>
  <c r="M1486" i="13" s="1"/>
  <c r="L1487" i="13" s="1"/>
  <c r="M1487" i="13" s="1"/>
  <c r="L1488" i="13" s="1"/>
  <c r="J1483" i="13"/>
  <c r="K1483" i="13" s="1"/>
  <c r="L1482" i="13"/>
  <c r="M1482" i="13" s="1"/>
  <c r="L1483" i="13" s="1"/>
  <c r="J1482" i="13"/>
  <c r="K1482" i="13" s="1"/>
  <c r="J1481" i="13"/>
  <c r="K1481" i="13" s="1"/>
  <c r="J1480" i="13"/>
  <c r="K1480" i="13" s="1"/>
  <c r="K1479" i="13"/>
  <c r="J1479" i="13"/>
  <c r="J1478" i="13"/>
  <c r="K1478" i="13" s="1"/>
  <c r="J1477" i="13"/>
  <c r="K1477" i="13" s="1"/>
  <c r="K1476" i="13"/>
  <c r="J1476" i="13"/>
  <c r="J1475" i="13"/>
  <c r="K1475" i="13" s="1"/>
  <c r="J1474" i="13"/>
  <c r="K1474" i="13" s="1"/>
  <c r="J1473" i="13"/>
  <c r="K1473" i="13" s="1"/>
  <c r="K1472" i="13"/>
  <c r="J1472" i="13"/>
  <c r="J1471" i="13"/>
  <c r="K1471" i="13" s="1"/>
  <c r="J1470" i="13"/>
  <c r="K1470" i="13" s="1"/>
  <c r="J1469" i="13"/>
  <c r="K1469" i="13" s="1"/>
  <c r="J1468" i="13"/>
  <c r="K1468" i="13" s="1"/>
  <c r="J1467" i="13"/>
  <c r="K1467" i="13" s="1"/>
  <c r="J1466" i="13"/>
  <c r="K1466" i="13" s="1"/>
  <c r="J1465" i="13"/>
  <c r="K1465" i="13" s="1"/>
  <c r="K1464" i="13"/>
  <c r="J1464" i="13"/>
  <c r="J1463" i="13"/>
  <c r="K1463" i="13" s="1"/>
  <c r="J1462" i="13"/>
  <c r="K1462" i="13" s="1"/>
  <c r="J1461" i="13"/>
  <c r="K1461" i="13" s="1"/>
  <c r="K1460" i="13"/>
  <c r="J1460" i="13"/>
  <c r="K1459" i="13"/>
  <c r="J1459" i="13"/>
  <c r="J1458" i="13"/>
  <c r="K1458" i="13" s="1"/>
  <c r="K1457" i="13"/>
  <c r="J1457" i="13"/>
  <c r="J1456" i="13"/>
  <c r="K1456" i="13" s="1"/>
  <c r="J1455" i="13"/>
  <c r="K1455" i="13" s="1"/>
  <c r="J1454" i="13"/>
  <c r="K1454" i="13" s="1"/>
  <c r="K1453" i="13"/>
  <c r="J1453" i="13"/>
  <c r="J1452" i="13"/>
  <c r="K1452" i="13" s="1"/>
  <c r="K1451" i="13"/>
  <c r="J1451" i="13"/>
  <c r="J1450" i="13"/>
  <c r="K1450" i="13" s="1"/>
  <c r="K1449" i="13"/>
  <c r="J1449" i="13"/>
  <c r="K1448" i="13"/>
  <c r="J1448" i="13"/>
  <c r="J1447" i="13"/>
  <c r="K1447" i="13" s="1"/>
  <c r="J1446" i="13"/>
  <c r="K1446" i="13" s="1"/>
  <c r="J1445" i="13"/>
  <c r="K1445" i="13" s="1"/>
  <c r="K1444" i="13"/>
  <c r="J1444" i="13"/>
  <c r="J1443" i="13"/>
  <c r="K1443" i="13" s="1"/>
  <c r="L1442" i="13"/>
  <c r="J1442" i="13"/>
  <c r="K1442" i="13" s="1"/>
  <c r="K1441" i="13"/>
  <c r="J1441" i="13"/>
  <c r="J1440" i="13"/>
  <c r="K1440" i="13" s="1"/>
  <c r="K1439" i="13"/>
  <c r="J1439" i="13"/>
  <c r="J1438" i="13"/>
  <c r="K1438" i="13" s="1"/>
  <c r="K1437" i="13"/>
  <c r="J1437" i="13"/>
  <c r="K1436" i="13"/>
  <c r="J1436" i="13"/>
  <c r="J1435" i="13"/>
  <c r="K1435" i="13" s="1"/>
  <c r="J1434" i="13"/>
  <c r="K1434" i="13" s="1"/>
  <c r="J1433" i="13"/>
  <c r="K1433" i="13" s="1"/>
  <c r="J1432" i="13"/>
  <c r="K1432" i="13" s="1"/>
  <c r="J1431" i="13"/>
  <c r="K1431" i="13" s="1"/>
  <c r="J1430" i="13"/>
  <c r="K1430" i="13" s="1"/>
  <c r="J1429" i="13"/>
  <c r="K1429" i="13" s="1"/>
  <c r="K1428" i="13"/>
  <c r="J1428" i="13"/>
  <c r="J1427" i="13"/>
  <c r="K1427" i="13" s="1"/>
  <c r="J1426" i="13"/>
  <c r="K1426" i="13" s="1"/>
  <c r="K1425" i="13"/>
  <c r="J1425" i="13"/>
  <c r="J1424" i="13"/>
  <c r="K1424" i="13" s="1"/>
  <c r="K1423" i="13"/>
  <c r="J1423" i="13"/>
  <c r="J1422" i="13"/>
  <c r="K1422" i="13" s="1"/>
  <c r="J1421" i="13"/>
  <c r="K1421" i="13" s="1"/>
  <c r="J1420" i="13"/>
  <c r="K1420" i="13" s="1"/>
  <c r="K1419" i="13"/>
  <c r="J1419" i="13"/>
  <c r="J1418" i="13"/>
  <c r="K1418" i="13" s="1"/>
  <c r="K1417" i="13"/>
  <c r="J1417" i="13"/>
  <c r="J1416" i="13"/>
  <c r="K1416" i="13" s="1"/>
  <c r="J1415" i="13"/>
  <c r="K1415" i="13" s="1"/>
  <c r="J1414" i="13"/>
  <c r="K1414" i="13" s="1"/>
  <c r="J1413" i="13"/>
  <c r="K1413" i="13" s="1"/>
  <c r="J1412" i="13"/>
  <c r="K1412" i="13" s="1"/>
  <c r="J1411" i="13"/>
  <c r="K1411" i="13" s="1"/>
  <c r="J1410" i="13"/>
  <c r="K1410" i="13" s="1"/>
  <c r="J1409" i="13"/>
  <c r="K1409" i="13" s="1"/>
  <c r="K1408" i="13"/>
  <c r="J1408" i="13"/>
  <c r="K1407" i="13"/>
  <c r="J1407" i="13"/>
  <c r="J1406" i="13"/>
  <c r="K1406" i="13" s="1"/>
  <c r="J1405" i="13"/>
  <c r="K1405" i="13" s="1"/>
  <c r="K1404" i="13"/>
  <c r="J1404" i="13"/>
  <c r="J1403" i="13"/>
  <c r="K1403" i="13" s="1"/>
  <c r="L1402" i="13"/>
  <c r="J1402" i="13"/>
  <c r="K1402" i="13" s="1"/>
  <c r="J1401" i="13"/>
  <c r="K1401" i="13" s="1"/>
  <c r="K1400" i="13"/>
  <c r="J1400" i="13"/>
  <c r="J1399" i="13"/>
  <c r="K1399" i="13" s="1"/>
  <c r="J1398" i="13"/>
  <c r="K1398" i="13" s="1"/>
  <c r="J1397" i="13"/>
  <c r="K1397" i="13" s="1"/>
  <c r="J1396" i="13"/>
  <c r="K1396" i="13" s="1"/>
  <c r="J1395" i="13"/>
  <c r="K1395" i="13" s="1"/>
  <c r="J1394" i="13"/>
  <c r="K1394" i="13" s="1"/>
  <c r="J1393" i="13"/>
  <c r="K1393" i="13" s="1"/>
  <c r="J1392" i="13"/>
  <c r="K1392" i="13" s="1"/>
  <c r="J1391" i="13"/>
  <c r="K1391" i="13" s="1"/>
  <c r="J1390" i="13"/>
  <c r="K1390" i="13" s="1"/>
  <c r="J1389" i="13"/>
  <c r="K1389" i="13" s="1"/>
  <c r="J1388" i="13"/>
  <c r="K1388" i="13" s="1"/>
  <c r="J1387" i="13"/>
  <c r="K1387" i="13" s="1"/>
  <c r="J1386" i="13"/>
  <c r="K1386" i="13" s="1"/>
  <c r="J1385" i="13"/>
  <c r="K1385" i="13" s="1"/>
  <c r="K1384" i="13"/>
  <c r="J1384" i="13"/>
  <c r="J1383" i="13"/>
  <c r="K1383" i="13" s="1"/>
  <c r="J1382" i="13"/>
  <c r="K1382" i="13" s="1"/>
  <c r="J1381" i="13"/>
  <c r="K1381" i="13" s="1"/>
  <c r="J1380" i="13"/>
  <c r="K1380" i="13" s="1"/>
  <c r="J1379" i="13"/>
  <c r="K1379" i="13" s="1"/>
  <c r="J1378" i="13"/>
  <c r="K1378" i="13" s="1"/>
  <c r="K1377" i="13"/>
  <c r="J1377" i="13"/>
  <c r="J1376" i="13"/>
  <c r="K1376" i="13" s="1"/>
  <c r="K1375" i="13"/>
  <c r="J1375" i="13"/>
  <c r="J1374" i="13"/>
  <c r="K1374" i="13" s="1"/>
  <c r="J1373" i="13"/>
  <c r="K1373" i="13" s="1"/>
  <c r="J1372" i="13"/>
  <c r="K1372" i="13" s="1"/>
  <c r="K1371" i="13"/>
  <c r="J1371" i="13"/>
  <c r="J1370" i="13"/>
  <c r="K1370" i="13" s="1"/>
  <c r="J1369" i="13"/>
  <c r="K1369" i="13" s="1"/>
  <c r="J1368" i="13"/>
  <c r="K1368" i="13" s="1"/>
  <c r="J1367" i="13"/>
  <c r="K1367" i="13" s="1"/>
  <c r="J1366" i="13"/>
  <c r="K1366" i="13" s="1"/>
  <c r="J1365" i="13"/>
  <c r="K1365" i="13" s="1"/>
  <c r="J1364" i="13"/>
  <c r="K1364" i="13" s="1"/>
  <c r="K1363" i="13"/>
  <c r="J1363" i="13"/>
  <c r="L1362" i="13"/>
  <c r="J1362" i="13"/>
  <c r="K1362" i="13" s="1"/>
  <c r="J1361" i="13"/>
  <c r="K1361" i="13" s="1"/>
  <c r="J1360" i="13"/>
  <c r="K1360" i="13" s="1"/>
  <c r="J1359" i="13"/>
  <c r="K1359" i="13" s="1"/>
  <c r="J1358" i="13"/>
  <c r="K1358" i="13" s="1"/>
  <c r="K1357" i="13"/>
  <c r="J1357" i="13"/>
  <c r="J1356" i="13"/>
  <c r="K1356" i="13" s="1"/>
  <c r="J1355" i="13"/>
  <c r="K1355" i="13" s="1"/>
  <c r="J1354" i="13"/>
  <c r="K1354" i="13" s="1"/>
  <c r="K1353" i="13"/>
  <c r="J1353" i="13"/>
  <c r="K1352" i="13"/>
  <c r="J1352" i="13"/>
  <c r="J1351" i="13"/>
  <c r="K1351" i="13" s="1"/>
  <c r="J1350" i="13"/>
  <c r="K1350" i="13" s="1"/>
  <c r="K1349" i="13"/>
  <c r="J1349" i="13"/>
  <c r="J1348" i="13"/>
  <c r="K1348" i="13" s="1"/>
  <c r="J1347" i="13"/>
  <c r="K1347" i="13" s="1"/>
  <c r="J1346" i="13"/>
  <c r="K1346" i="13" s="1"/>
  <c r="K1345" i="13"/>
  <c r="J1345" i="13"/>
  <c r="J1344" i="13"/>
  <c r="K1344" i="13" s="1"/>
  <c r="J1343" i="13"/>
  <c r="K1343" i="13" s="1"/>
  <c r="J1342" i="13"/>
  <c r="K1342" i="13" s="1"/>
  <c r="J1341" i="13"/>
  <c r="K1341" i="13" s="1"/>
  <c r="K1340" i="13"/>
  <c r="J1340" i="13"/>
  <c r="J1339" i="13"/>
  <c r="K1339" i="13" s="1"/>
  <c r="J1338" i="13"/>
  <c r="K1338" i="13" s="1"/>
  <c r="J1337" i="13"/>
  <c r="K1337" i="13" s="1"/>
  <c r="J1336" i="13"/>
  <c r="K1336" i="13" s="1"/>
  <c r="J1335" i="13"/>
  <c r="K1335" i="13" s="1"/>
  <c r="J1334" i="13"/>
  <c r="K1334" i="13" s="1"/>
  <c r="J1333" i="13"/>
  <c r="K1333" i="13" s="1"/>
  <c r="J1332" i="13"/>
  <c r="K1332" i="13" s="1"/>
  <c r="J1331" i="13"/>
  <c r="K1331" i="13" s="1"/>
  <c r="J1330" i="13"/>
  <c r="K1330" i="13" s="1"/>
  <c r="K1329" i="13"/>
  <c r="J1329" i="13"/>
  <c r="J1328" i="13"/>
  <c r="K1328" i="13" s="1"/>
  <c r="J1327" i="13"/>
  <c r="K1327" i="13" s="1"/>
  <c r="J1326" i="13"/>
  <c r="K1326" i="13" s="1"/>
  <c r="J1325" i="13"/>
  <c r="K1325" i="13" s="1"/>
  <c r="J1324" i="13"/>
  <c r="K1324" i="13" s="1"/>
  <c r="J1323" i="13"/>
  <c r="K1323" i="13" s="1"/>
  <c r="L1322" i="13"/>
  <c r="J1322" i="13"/>
  <c r="K1322" i="13" s="1"/>
  <c r="J1321" i="13"/>
  <c r="K1321" i="13" s="1"/>
  <c r="K1320" i="13"/>
  <c r="J1320" i="13"/>
  <c r="J1319" i="13"/>
  <c r="K1319" i="13" s="1"/>
  <c r="J1318" i="13"/>
  <c r="K1318" i="13" s="1"/>
  <c r="J1317" i="13"/>
  <c r="K1317" i="13" s="1"/>
  <c r="J1316" i="13"/>
  <c r="K1316" i="13" s="1"/>
  <c r="J1315" i="13"/>
  <c r="K1315" i="13" s="1"/>
  <c r="J1314" i="13"/>
  <c r="K1314" i="13" s="1"/>
  <c r="J1313" i="13"/>
  <c r="K1313" i="13" s="1"/>
  <c r="K1312" i="13"/>
  <c r="J1312" i="13"/>
  <c r="J1311" i="13"/>
  <c r="K1311" i="13" s="1"/>
  <c r="J1310" i="13"/>
  <c r="K1310" i="13" s="1"/>
  <c r="J1309" i="13"/>
  <c r="K1309" i="13" s="1"/>
  <c r="K1308" i="13"/>
  <c r="J1308" i="13"/>
  <c r="J1307" i="13"/>
  <c r="K1307" i="13" s="1"/>
  <c r="J1306" i="13"/>
  <c r="K1306" i="13" s="1"/>
  <c r="J1305" i="13"/>
  <c r="K1305" i="13" s="1"/>
  <c r="J1304" i="13"/>
  <c r="K1304" i="13" s="1"/>
  <c r="J1303" i="13"/>
  <c r="K1303" i="13" s="1"/>
  <c r="J1302" i="13"/>
  <c r="K1302" i="13" s="1"/>
  <c r="J1301" i="13"/>
  <c r="K1301" i="13" s="1"/>
  <c r="J1300" i="13"/>
  <c r="K1300" i="13" s="1"/>
  <c r="K1299" i="13"/>
  <c r="J1299" i="13"/>
  <c r="J1298" i="13"/>
  <c r="K1298" i="13" s="1"/>
  <c r="J1297" i="13"/>
  <c r="K1297" i="13" s="1"/>
  <c r="J1296" i="13"/>
  <c r="K1296" i="13" s="1"/>
  <c r="J1295" i="13"/>
  <c r="K1295" i="13" s="1"/>
  <c r="J1294" i="13"/>
  <c r="K1294" i="13" s="1"/>
  <c r="J1293" i="13"/>
  <c r="K1293" i="13" s="1"/>
  <c r="J1292" i="13"/>
  <c r="K1292" i="13" s="1"/>
  <c r="J1291" i="13"/>
  <c r="K1291" i="13" s="1"/>
  <c r="J1290" i="13"/>
  <c r="K1290" i="13" s="1"/>
  <c r="J1289" i="13"/>
  <c r="K1289" i="13" s="1"/>
  <c r="J1288" i="13"/>
  <c r="K1288" i="13" s="1"/>
  <c r="J1287" i="13"/>
  <c r="K1287" i="13" s="1"/>
  <c r="J1286" i="13"/>
  <c r="K1286" i="13" s="1"/>
  <c r="K1285" i="13"/>
  <c r="J1285" i="13"/>
  <c r="K1284" i="13"/>
  <c r="J1284" i="13"/>
  <c r="J1283" i="13"/>
  <c r="K1283" i="13" s="1"/>
  <c r="L1282" i="13"/>
  <c r="J1282" i="13"/>
  <c r="K1282" i="13" s="1"/>
  <c r="J1281" i="13"/>
  <c r="K1281" i="13" s="1"/>
  <c r="J1280" i="13"/>
  <c r="K1280" i="13" s="1"/>
  <c r="J1279" i="13"/>
  <c r="K1279" i="13" s="1"/>
  <c r="J1278" i="13"/>
  <c r="K1278" i="13" s="1"/>
  <c r="J1277" i="13"/>
  <c r="K1277" i="13" s="1"/>
  <c r="K1276" i="13"/>
  <c r="J1276" i="13"/>
  <c r="J1275" i="13"/>
  <c r="K1275" i="13" s="1"/>
  <c r="J1274" i="13"/>
  <c r="K1274" i="13" s="1"/>
  <c r="J1273" i="13"/>
  <c r="K1273" i="13" s="1"/>
  <c r="K1272" i="13"/>
  <c r="J1272" i="13"/>
  <c r="J1271" i="13"/>
  <c r="K1271" i="13" s="1"/>
  <c r="J1270" i="13"/>
  <c r="K1270" i="13" s="1"/>
  <c r="J1269" i="13"/>
  <c r="K1269" i="13" s="1"/>
  <c r="J1268" i="13"/>
  <c r="K1268" i="13" s="1"/>
  <c r="J1267" i="13"/>
  <c r="K1267" i="13" s="1"/>
  <c r="J1266" i="13"/>
  <c r="K1266" i="13" s="1"/>
  <c r="J1265" i="13"/>
  <c r="K1265" i="13" s="1"/>
  <c r="J1264" i="13"/>
  <c r="K1264" i="13" s="1"/>
  <c r="J1263" i="13"/>
  <c r="K1263" i="13" s="1"/>
  <c r="K1262" i="13"/>
  <c r="J1262" i="13"/>
  <c r="J1261" i="13"/>
  <c r="K1261" i="13" s="1"/>
  <c r="K1260" i="13"/>
  <c r="J1260" i="13"/>
  <c r="K1259" i="13"/>
  <c r="J1259" i="13"/>
  <c r="J1258" i="13"/>
  <c r="K1258" i="13" s="1"/>
  <c r="J1257" i="13"/>
  <c r="K1257" i="13" s="1"/>
  <c r="J1256" i="13"/>
  <c r="K1256" i="13" s="1"/>
  <c r="J1255" i="13"/>
  <c r="K1255" i="13" s="1"/>
  <c r="J1254" i="13"/>
  <c r="K1254" i="13" s="1"/>
  <c r="K1253" i="13"/>
  <c r="J1253" i="13"/>
  <c r="J1252" i="13"/>
  <c r="K1252" i="13" s="1"/>
  <c r="J1251" i="13"/>
  <c r="K1251" i="13" s="1"/>
  <c r="J1250" i="13"/>
  <c r="K1250" i="13" s="1"/>
  <c r="K1249" i="13"/>
  <c r="J1249" i="13"/>
  <c r="J1248" i="13"/>
  <c r="K1248" i="13" s="1"/>
  <c r="J1247" i="13"/>
  <c r="K1247" i="13" s="1"/>
  <c r="J1246" i="13"/>
  <c r="K1246" i="13" s="1"/>
  <c r="J1245" i="13"/>
  <c r="K1245" i="13" s="1"/>
  <c r="K1244" i="13"/>
  <c r="J1244" i="13"/>
  <c r="K1243" i="13"/>
  <c r="J1243" i="13"/>
  <c r="L1242" i="13"/>
  <c r="J1242" i="13"/>
  <c r="K1242" i="13" s="1"/>
  <c r="J1241" i="13"/>
  <c r="K1241" i="13" s="1"/>
  <c r="K1240" i="13"/>
  <c r="J1240" i="13"/>
  <c r="J1239" i="13"/>
  <c r="K1239" i="13" s="1"/>
  <c r="K1238" i="13"/>
  <c r="J1238" i="13"/>
  <c r="K1237" i="13"/>
  <c r="J1237" i="13"/>
  <c r="J1236" i="13"/>
  <c r="K1236" i="13" s="1"/>
  <c r="J1235" i="13"/>
  <c r="K1235" i="13" s="1"/>
  <c r="K1234" i="13"/>
  <c r="J1234" i="13"/>
  <c r="J1233" i="13"/>
  <c r="K1233" i="13" s="1"/>
  <c r="K1232" i="13"/>
  <c r="J1232" i="13"/>
  <c r="J1231" i="13"/>
  <c r="K1231" i="13" s="1"/>
  <c r="K1230" i="13"/>
  <c r="J1230" i="13"/>
  <c r="J1229" i="13"/>
  <c r="K1229" i="13" s="1"/>
  <c r="J1228" i="13"/>
  <c r="K1228" i="13" s="1"/>
  <c r="J1227" i="13"/>
  <c r="K1227" i="13" s="1"/>
  <c r="K1226" i="13"/>
  <c r="J1226" i="13"/>
  <c r="J1225" i="13"/>
  <c r="K1225" i="13" s="1"/>
  <c r="J1224" i="13"/>
  <c r="K1224" i="13" s="1"/>
  <c r="J1223" i="13"/>
  <c r="K1223" i="13" s="1"/>
  <c r="J1222" i="13"/>
  <c r="K1222" i="13" s="1"/>
  <c r="K1221" i="13"/>
  <c r="J1221" i="13"/>
  <c r="J1220" i="13"/>
  <c r="K1220" i="13" s="1"/>
  <c r="J1219" i="13"/>
  <c r="K1219" i="13" s="1"/>
  <c r="K1218" i="13"/>
  <c r="J1218" i="13"/>
  <c r="J1217" i="13"/>
  <c r="K1217" i="13" s="1"/>
  <c r="J1216" i="13"/>
  <c r="K1216" i="13" s="1"/>
  <c r="J1215" i="13"/>
  <c r="K1215" i="13" s="1"/>
  <c r="J1214" i="13"/>
  <c r="K1214" i="13" s="1"/>
  <c r="J1213" i="13"/>
  <c r="K1213" i="13" s="1"/>
  <c r="J1212" i="13"/>
  <c r="K1212" i="13" s="1"/>
  <c r="K1211" i="13"/>
  <c r="J1211" i="13"/>
  <c r="J1210" i="13"/>
  <c r="K1210" i="13" s="1"/>
  <c r="J1209" i="13"/>
  <c r="K1209" i="13" s="1"/>
  <c r="J1208" i="13"/>
  <c r="K1208" i="13" s="1"/>
  <c r="K1207" i="13"/>
  <c r="J1207" i="13"/>
  <c r="K1206" i="13"/>
  <c r="J1206" i="13"/>
  <c r="J1205" i="13"/>
  <c r="K1205" i="13" s="1"/>
  <c r="J1204" i="13"/>
  <c r="K1204" i="13" s="1"/>
  <c r="J1203" i="13"/>
  <c r="K1203" i="13" s="1"/>
  <c r="L1202" i="13"/>
  <c r="J1202" i="13"/>
  <c r="K1202" i="13" s="1"/>
  <c r="M1202" i="13" s="1"/>
  <c r="L1203" i="13" s="1"/>
  <c r="J1201" i="13"/>
  <c r="K1201" i="13" s="1"/>
  <c r="J1200" i="13"/>
  <c r="K1200" i="13" s="1"/>
  <c r="J1199" i="13"/>
  <c r="K1199" i="13" s="1"/>
  <c r="K1198" i="13"/>
  <c r="J1198" i="13"/>
  <c r="J1197" i="13"/>
  <c r="K1197" i="13" s="1"/>
  <c r="K1196" i="13"/>
  <c r="J1196" i="13"/>
  <c r="J1195" i="13"/>
  <c r="K1195" i="13" s="1"/>
  <c r="J1194" i="13"/>
  <c r="K1194" i="13" s="1"/>
  <c r="J1193" i="13"/>
  <c r="K1193" i="13" s="1"/>
  <c r="J1192" i="13"/>
  <c r="K1192" i="13" s="1"/>
  <c r="J1191" i="13"/>
  <c r="K1191" i="13" s="1"/>
  <c r="J1190" i="13"/>
  <c r="K1190" i="13" s="1"/>
  <c r="K1189" i="13"/>
  <c r="J1189" i="13"/>
  <c r="J1188" i="13"/>
  <c r="K1188" i="13" s="1"/>
  <c r="J1187" i="13"/>
  <c r="K1187" i="13" s="1"/>
  <c r="J1186" i="13"/>
  <c r="K1186" i="13" s="1"/>
  <c r="K1185" i="13"/>
  <c r="J1185" i="13"/>
  <c r="J1184" i="13"/>
  <c r="K1184" i="13" s="1"/>
  <c r="K1183" i="13"/>
  <c r="J1183" i="13"/>
  <c r="K1182" i="13"/>
  <c r="J1182" i="13"/>
  <c r="J1181" i="13"/>
  <c r="K1181" i="13" s="1"/>
  <c r="K1180" i="13"/>
  <c r="J1180" i="13"/>
  <c r="J1179" i="13"/>
  <c r="K1179" i="13" s="1"/>
  <c r="J1178" i="13"/>
  <c r="K1178" i="13" s="1"/>
  <c r="J1177" i="13"/>
  <c r="K1177" i="13" s="1"/>
  <c r="K1176" i="13"/>
  <c r="J1176" i="13"/>
  <c r="J1175" i="13"/>
  <c r="K1175" i="13" s="1"/>
  <c r="J1174" i="13"/>
  <c r="K1174" i="13" s="1"/>
  <c r="K1173" i="13"/>
  <c r="J1173" i="13"/>
  <c r="J1172" i="13"/>
  <c r="K1172" i="13" s="1"/>
  <c r="J1171" i="13"/>
  <c r="K1171" i="13" s="1"/>
  <c r="J1170" i="13"/>
  <c r="K1170" i="13" s="1"/>
  <c r="K1169" i="13"/>
  <c r="J1169" i="13"/>
  <c r="J1168" i="13"/>
  <c r="K1168" i="13" s="1"/>
  <c r="J1167" i="13"/>
  <c r="K1167" i="13" s="1"/>
  <c r="K1166" i="13"/>
  <c r="J1166" i="13"/>
  <c r="J1165" i="13"/>
  <c r="K1165" i="13" s="1"/>
  <c r="K1164" i="13"/>
  <c r="J1164" i="13"/>
  <c r="J1163" i="13"/>
  <c r="K1163" i="13" s="1"/>
  <c r="M1162" i="13"/>
  <c r="L1163" i="13" s="1"/>
  <c r="L1162" i="13"/>
  <c r="K1162" i="13"/>
  <c r="J1162" i="13"/>
  <c r="J1161" i="13"/>
  <c r="K1161" i="13" s="1"/>
  <c r="K1160" i="13"/>
  <c r="J1160" i="13"/>
  <c r="J1159" i="13"/>
  <c r="K1159" i="13" s="1"/>
  <c r="J1158" i="13"/>
  <c r="K1158" i="13" s="1"/>
  <c r="J1157" i="13"/>
  <c r="K1157" i="13" s="1"/>
  <c r="J1156" i="13"/>
  <c r="K1156" i="13" s="1"/>
  <c r="J1155" i="13"/>
  <c r="K1155" i="13" s="1"/>
  <c r="J1154" i="13"/>
  <c r="K1154" i="13" s="1"/>
  <c r="J1153" i="13"/>
  <c r="K1153" i="13" s="1"/>
  <c r="J1152" i="13"/>
  <c r="K1152" i="13" s="1"/>
  <c r="J1151" i="13"/>
  <c r="K1151" i="13" s="1"/>
  <c r="K1150" i="13"/>
  <c r="J1150" i="13"/>
  <c r="J1149" i="13"/>
  <c r="K1149" i="13" s="1"/>
  <c r="J1148" i="13"/>
  <c r="K1148" i="13" s="1"/>
  <c r="J1147" i="13"/>
  <c r="K1147" i="13" s="1"/>
  <c r="J1146" i="13"/>
  <c r="K1146" i="13" s="1"/>
  <c r="K1145" i="13"/>
  <c r="J1145" i="13"/>
  <c r="J1144" i="13"/>
  <c r="K1144" i="13" s="1"/>
  <c r="J1143" i="13"/>
  <c r="K1143" i="13" s="1"/>
  <c r="K1142" i="13"/>
  <c r="J1142" i="13"/>
  <c r="J1141" i="13"/>
  <c r="K1141" i="13" s="1"/>
  <c r="J1140" i="13"/>
  <c r="K1140" i="13" s="1"/>
  <c r="J1139" i="13"/>
  <c r="K1139" i="13" s="1"/>
  <c r="J1138" i="13"/>
  <c r="K1138" i="13" s="1"/>
  <c r="J1137" i="13"/>
  <c r="K1137" i="13" s="1"/>
  <c r="K1136" i="13"/>
  <c r="J1136" i="13"/>
  <c r="J1135" i="13"/>
  <c r="K1135" i="13" s="1"/>
  <c r="K1134" i="13"/>
  <c r="J1134" i="13"/>
  <c r="J1133" i="13"/>
  <c r="K1133" i="13" s="1"/>
  <c r="J1132" i="13"/>
  <c r="K1132" i="13" s="1"/>
  <c r="J1131" i="13"/>
  <c r="K1131" i="13" s="1"/>
  <c r="J1130" i="13"/>
  <c r="K1130" i="13" s="1"/>
  <c r="J1129" i="13"/>
  <c r="K1129" i="13" s="1"/>
  <c r="K1128" i="13"/>
  <c r="J1128" i="13"/>
  <c r="J1127" i="13"/>
  <c r="K1127" i="13" s="1"/>
  <c r="K1126" i="13"/>
  <c r="J1126" i="13"/>
  <c r="J1125" i="13"/>
  <c r="K1125" i="13" s="1"/>
  <c r="J1124" i="13"/>
  <c r="K1124" i="13" s="1"/>
  <c r="J1123" i="13"/>
  <c r="K1123" i="13" s="1"/>
  <c r="L1122" i="13"/>
  <c r="K1122" i="13"/>
  <c r="J1122" i="13"/>
  <c r="J1121" i="13"/>
  <c r="K1121" i="13" s="1"/>
  <c r="J1120" i="13"/>
  <c r="K1120" i="13" s="1"/>
  <c r="J1119" i="13"/>
  <c r="K1119" i="13" s="1"/>
  <c r="J1118" i="13"/>
  <c r="K1118" i="13" s="1"/>
  <c r="J1117" i="13"/>
  <c r="K1117" i="13" s="1"/>
  <c r="K1116" i="13"/>
  <c r="J1116" i="13"/>
  <c r="J1115" i="13"/>
  <c r="K1115" i="13" s="1"/>
  <c r="J1114" i="13"/>
  <c r="K1114" i="13" s="1"/>
  <c r="K1113" i="13"/>
  <c r="J1113" i="13"/>
  <c r="J1112" i="13"/>
  <c r="K1112" i="13" s="1"/>
  <c r="J1111" i="13"/>
  <c r="K1111" i="13" s="1"/>
  <c r="K1110" i="13"/>
  <c r="J1110" i="13"/>
  <c r="J1109" i="13"/>
  <c r="K1109" i="13" s="1"/>
  <c r="K1108" i="13"/>
  <c r="J1108" i="13"/>
  <c r="J1107" i="13"/>
  <c r="K1107" i="13" s="1"/>
  <c r="K1106" i="13"/>
  <c r="J1106" i="13"/>
  <c r="K1105" i="13"/>
  <c r="J1105" i="13"/>
  <c r="J1104" i="13"/>
  <c r="K1104" i="13" s="1"/>
  <c r="J1103" i="13"/>
  <c r="K1103" i="13" s="1"/>
  <c r="J1102" i="13"/>
  <c r="K1102" i="13" s="1"/>
  <c r="J1101" i="13"/>
  <c r="K1101" i="13" s="1"/>
  <c r="J1100" i="13"/>
  <c r="K1100" i="13" s="1"/>
  <c r="J1099" i="13"/>
  <c r="K1099" i="13" s="1"/>
  <c r="J1098" i="13"/>
  <c r="K1098" i="13" s="1"/>
  <c r="K1097" i="13"/>
  <c r="J1097" i="13"/>
  <c r="K1096" i="13"/>
  <c r="J1096" i="13"/>
  <c r="J1095" i="13"/>
  <c r="K1095" i="13" s="1"/>
  <c r="K1094" i="13"/>
  <c r="J1094" i="13"/>
  <c r="J1093" i="13"/>
  <c r="K1093" i="13" s="1"/>
  <c r="J1092" i="13"/>
  <c r="K1092" i="13" s="1"/>
  <c r="J1091" i="13"/>
  <c r="K1091" i="13" s="1"/>
  <c r="J1090" i="13"/>
  <c r="K1090" i="13" s="1"/>
  <c r="K1089" i="13"/>
  <c r="J1089" i="13"/>
  <c r="K1088" i="13"/>
  <c r="J1088" i="13"/>
  <c r="J1087" i="13"/>
  <c r="K1087" i="13" s="1"/>
  <c r="K1086" i="13"/>
  <c r="J1086" i="13"/>
  <c r="J1085" i="13"/>
  <c r="K1085" i="13" s="1"/>
  <c r="K1084" i="13"/>
  <c r="J1084" i="13"/>
  <c r="J1083" i="13"/>
  <c r="K1083" i="13" s="1"/>
  <c r="L1082" i="13"/>
  <c r="J1082" i="13"/>
  <c r="K1082" i="13" s="1"/>
  <c r="M1082" i="13" s="1"/>
  <c r="L1083" i="13" s="1"/>
  <c r="M1083" i="13" s="1"/>
  <c r="L1084" i="13" s="1"/>
  <c r="J1081" i="13"/>
  <c r="K1081" i="13" s="1"/>
  <c r="J1080" i="13"/>
  <c r="K1080" i="13" s="1"/>
  <c r="J1079" i="13"/>
  <c r="K1079" i="13" s="1"/>
  <c r="J1078" i="13"/>
  <c r="K1078" i="13" s="1"/>
  <c r="J1077" i="13"/>
  <c r="K1077" i="13" s="1"/>
  <c r="K1076" i="13"/>
  <c r="J1076" i="13"/>
  <c r="J1075" i="13"/>
  <c r="K1075" i="13" s="1"/>
  <c r="K1074" i="13"/>
  <c r="J1074" i="13"/>
  <c r="J1073" i="13"/>
  <c r="K1073" i="13" s="1"/>
  <c r="J1072" i="13"/>
  <c r="K1072" i="13" s="1"/>
  <c r="J1071" i="13"/>
  <c r="K1071" i="13" s="1"/>
  <c r="J1070" i="13"/>
  <c r="K1070" i="13" s="1"/>
  <c r="K1069" i="13"/>
  <c r="J1069" i="13"/>
  <c r="K1068" i="13"/>
  <c r="J1068" i="13"/>
  <c r="J1067" i="13"/>
  <c r="K1067" i="13" s="1"/>
  <c r="K1066" i="13"/>
  <c r="J1066" i="13"/>
  <c r="J1065" i="13"/>
  <c r="K1065" i="13" s="1"/>
  <c r="J1064" i="13"/>
  <c r="K1064" i="13" s="1"/>
  <c r="J1063" i="13"/>
  <c r="K1063" i="13" s="1"/>
  <c r="J1062" i="13"/>
  <c r="K1062" i="13" s="1"/>
  <c r="J1061" i="13"/>
  <c r="K1061" i="13" s="1"/>
  <c r="K1060" i="13"/>
  <c r="J1060" i="13"/>
  <c r="J1059" i="13"/>
  <c r="K1059" i="13" s="1"/>
  <c r="K1058" i="13"/>
  <c r="J1058" i="13"/>
  <c r="K1057" i="13"/>
  <c r="J1057" i="13"/>
  <c r="J1056" i="13"/>
  <c r="K1056" i="13" s="1"/>
  <c r="J1055" i="13"/>
  <c r="K1055" i="13" s="1"/>
  <c r="J1054" i="13"/>
  <c r="K1054" i="13" s="1"/>
  <c r="J1053" i="13"/>
  <c r="K1053" i="13" s="1"/>
  <c r="J1052" i="13"/>
  <c r="K1052" i="13" s="1"/>
  <c r="J1051" i="13"/>
  <c r="K1051" i="13" s="1"/>
  <c r="J1050" i="13"/>
  <c r="K1050" i="13" s="1"/>
  <c r="J1049" i="13"/>
  <c r="K1049" i="13" s="1"/>
  <c r="J1048" i="13"/>
  <c r="K1048" i="13" s="1"/>
  <c r="J1047" i="13"/>
  <c r="K1047" i="13" s="1"/>
  <c r="K1046" i="13"/>
  <c r="J1046" i="13"/>
  <c r="K1045" i="13"/>
  <c r="J1045" i="13"/>
  <c r="J1044" i="13"/>
  <c r="K1044" i="13" s="1"/>
  <c r="J1043" i="13"/>
  <c r="K1043" i="13" s="1"/>
  <c r="L1042" i="13"/>
  <c r="M1042" i="13" s="1"/>
  <c r="L1043" i="13" s="1"/>
  <c r="M1043" i="13" s="1"/>
  <c r="L1044" i="13" s="1"/>
  <c r="K1042" i="13"/>
  <c r="J1042" i="13"/>
  <c r="J1041" i="13"/>
  <c r="K1041" i="13" s="1"/>
  <c r="K1040" i="13"/>
  <c r="J1040" i="13"/>
  <c r="J1039" i="13"/>
  <c r="K1039" i="13" s="1"/>
  <c r="J1038" i="13"/>
  <c r="K1038" i="13" s="1"/>
  <c r="K1037" i="13"/>
  <c r="J1037" i="13"/>
  <c r="J1036" i="13"/>
  <c r="K1036" i="13" s="1"/>
  <c r="J1035" i="13"/>
  <c r="K1035" i="13" s="1"/>
  <c r="K1034" i="13"/>
  <c r="J1034" i="13"/>
  <c r="J1033" i="13"/>
  <c r="K1033" i="13" s="1"/>
  <c r="K1032" i="13"/>
  <c r="J1032" i="13"/>
  <c r="J1031" i="13"/>
  <c r="K1031" i="13" s="1"/>
  <c r="K1030" i="13"/>
  <c r="J1030" i="13"/>
  <c r="K1029" i="13"/>
  <c r="J1029" i="13"/>
  <c r="J1028" i="13"/>
  <c r="K1028" i="13" s="1"/>
  <c r="J1027" i="13"/>
  <c r="K1027" i="13" s="1"/>
  <c r="J1026" i="13"/>
  <c r="K1026" i="13" s="1"/>
  <c r="J1025" i="13"/>
  <c r="K1025" i="13" s="1"/>
  <c r="J1024" i="13"/>
  <c r="K1024" i="13" s="1"/>
  <c r="J1023" i="13"/>
  <c r="K1023" i="13" s="1"/>
  <c r="J1022" i="13"/>
  <c r="K1022" i="13" s="1"/>
  <c r="K1021" i="13"/>
  <c r="J1021" i="13"/>
  <c r="K1020" i="13"/>
  <c r="J1020" i="13"/>
  <c r="J1019" i="13"/>
  <c r="K1019" i="13" s="1"/>
  <c r="K1018" i="13"/>
  <c r="J1018" i="13"/>
  <c r="J1017" i="13"/>
  <c r="K1017" i="13" s="1"/>
  <c r="J1016" i="13"/>
  <c r="K1016" i="13" s="1"/>
  <c r="J1015" i="13"/>
  <c r="K1015" i="13" s="1"/>
  <c r="J1014" i="13"/>
  <c r="K1014" i="13" s="1"/>
  <c r="J1013" i="13"/>
  <c r="K1013" i="13" s="1"/>
  <c r="K1012" i="13"/>
  <c r="J1012" i="13"/>
  <c r="J1011" i="13"/>
  <c r="K1011" i="13" s="1"/>
  <c r="J1010" i="13"/>
  <c r="K1010" i="13" s="1"/>
  <c r="K1009" i="13"/>
  <c r="J1009" i="13"/>
  <c r="J1008" i="13"/>
  <c r="K1008" i="13" s="1"/>
  <c r="J1007" i="13"/>
  <c r="K1007" i="13" s="1"/>
  <c r="K1006" i="13"/>
  <c r="J1006" i="13"/>
  <c r="J1005" i="13"/>
  <c r="K1005" i="13" s="1"/>
  <c r="J1004" i="13"/>
  <c r="K1004" i="13" s="1"/>
  <c r="J1003" i="13"/>
  <c r="K1003" i="13" s="1"/>
  <c r="L1002" i="13"/>
  <c r="K1002" i="13"/>
  <c r="J1002" i="13"/>
  <c r="J1001" i="13"/>
  <c r="K1001" i="13" s="1"/>
  <c r="J1000" i="13"/>
  <c r="K1000" i="13" s="1"/>
  <c r="J999" i="13"/>
  <c r="K999" i="13" s="1"/>
  <c r="J998" i="13"/>
  <c r="K998" i="13" s="1"/>
  <c r="J997" i="13"/>
  <c r="K997" i="13" s="1"/>
  <c r="K996" i="13"/>
  <c r="J996" i="13"/>
  <c r="J995" i="13"/>
  <c r="K995" i="13" s="1"/>
  <c r="K994" i="13"/>
  <c r="J994" i="13"/>
  <c r="K993" i="13"/>
  <c r="J993" i="13"/>
  <c r="K992" i="13"/>
  <c r="J992" i="13"/>
  <c r="J991" i="13"/>
  <c r="K991" i="13" s="1"/>
  <c r="J990" i="13"/>
  <c r="K990" i="13" s="1"/>
  <c r="J989" i="13"/>
  <c r="K989" i="13" s="1"/>
  <c r="K988" i="13"/>
  <c r="J988" i="13"/>
  <c r="J987" i="13"/>
  <c r="K987" i="13" s="1"/>
  <c r="K986" i="13"/>
  <c r="J986" i="13"/>
  <c r="J985" i="13"/>
  <c r="K985" i="13" s="1"/>
  <c r="K984" i="13"/>
  <c r="J984" i="13"/>
  <c r="J983" i="13"/>
  <c r="K983" i="13" s="1"/>
  <c r="J982" i="13"/>
  <c r="K982" i="13" s="1"/>
  <c r="J981" i="13"/>
  <c r="K981" i="13" s="1"/>
  <c r="K980" i="13"/>
  <c r="J980" i="13"/>
  <c r="J979" i="13"/>
  <c r="K979" i="13" s="1"/>
  <c r="J978" i="13"/>
  <c r="K978" i="13" s="1"/>
  <c r="J977" i="13"/>
  <c r="K977" i="13" s="1"/>
  <c r="K976" i="13"/>
  <c r="J976" i="13"/>
  <c r="J975" i="13"/>
  <c r="K975" i="13" s="1"/>
  <c r="K974" i="13"/>
  <c r="J974" i="13"/>
  <c r="J973" i="13"/>
  <c r="K973" i="13" s="1"/>
  <c r="J972" i="13"/>
  <c r="K972" i="13" s="1"/>
  <c r="J971" i="13"/>
  <c r="K971" i="13" s="1"/>
  <c r="K970" i="13"/>
  <c r="J970" i="13"/>
  <c r="J969" i="13"/>
  <c r="K969" i="13" s="1"/>
  <c r="K968" i="13"/>
  <c r="J968" i="13"/>
  <c r="J967" i="13"/>
  <c r="K967" i="13" s="1"/>
  <c r="K966" i="13"/>
  <c r="J966" i="13"/>
  <c r="J965" i="13"/>
  <c r="K965" i="13" s="1"/>
  <c r="K964" i="13"/>
  <c r="J964" i="13"/>
  <c r="J963" i="13"/>
  <c r="K963" i="13" s="1"/>
  <c r="L962" i="13"/>
  <c r="K962" i="13"/>
  <c r="J962" i="13"/>
  <c r="J961" i="13"/>
  <c r="K961" i="13" s="1"/>
  <c r="J960" i="13"/>
  <c r="K960" i="13" s="1"/>
  <c r="J959" i="13"/>
  <c r="K959" i="13" s="1"/>
  <c r="K958" i="13"/>
  <c r="J958" i="13"/>
  <c r="K957" i="13"/>
  <c r="J957" i="13"/>
  <c r="J956" i="13"/>
  <c r="K956" i="13" s="1"/>
  <c r="J955" i="13"/>
  <c r="K955" i="13" s="1"/>
  <c r="J954" i="13"/>
  <c r="K954" i="13" s="1"/>
  <c r="J953" i="13"/>
  <c r="K953" i="13" s="1"/>
  <c r="K952" i="13"/>
  <c r="J952" i="13"/>
  <c r="J951" i="13"/>
  <c r="K951" i="13" s="1"/>
  <c r="J950" i="13"/>
  <c r="K950" i="13" s="1"/>
  <c r="K949" i="13"/>
  <c r="J949" i="13"/>
  <c r="J948" i="13"/>
  <c r="K948" i="13" s="1"/>
  <c r="J947" i="13"/>
  <c r="K947" i="13" s="1"/>
  <c r="K946" i="13"/>
  <c r="J946" i="13"/>
  <c r="J945" i="13"/>
  <c r="K945" i="13" s="1"/>
  <c r="J944" i="13"/>
  <c r="K944" i="13" s="1"/>
  <c r="J943" i="13"/>
  <c r="K943" i="13" s="1"/>
  <c r="J942" i="13"/>
  <c r="K942" i="13" s="1"/>
  <c r="J941" i="13"/>
  <c r="K941" i="13" s="1"/>
  <c r="K940" i="13"/>
  <c r="J940" i="13"/>
  <c r="J939" i="13"/>
  <c r="K939" i="13" s="1"/>
  <c r="K938" i="13"/>
  <c r="J938" i="13"/>
  <c r="J937" i="13"/>
  <c r="K937" i="13" s="1"/>
  <c r="K936" i="13"/>
  <c r="J936" i="13"/>
  <c r="J935" i="13"/>
  <c r="K935" i="13" s="1"/>
  <c r="J934" i="13"/>
  <c r="K934" i="13" s="1"/>
  <c r="J933" i="13"/>
  <c r="K933" i="13" s="1"/>
  <c r="J932" i="13"/>
  <c r="K932" i="13" s="1"/>
  <c r="J931" i="13"/>
  <c r="K931" i="13" s="1"/>
  <c r="J930" i="13"/>
  <c r="K930" i="13" s="1"/>
  <c r="J929" i="13"/>
  <c r="K929" i="13" s="1"/>
  <c r="K928" i="13"/>
  <c r="J928" i="13"/>
  <c r="J927" i="13"/>
  <c r="K927" i="13" s="1"/>
  <c r="K926" i="13"/>
  <c r="J926" i="13"/>
  <c r="J925" i="13"/>
  <c r="K925" i="13" s="1"/>
  <c r="J924" i="13"/>
  <c r="K924" i="13" s="1"/>
  <c r="J923" i="13"/>
  <c r="K923" i="13" s="1"/>
  <c r="L922" i="13"/>
  <c r="J922" i="13"/>
  <c r="K922" i="13" s="1"/>
  <c r="M922" i="13" s="1"/>
  <c r="L923" i="13" s="1"/>
  <c r="M923" i="13" s="1"/>
  <c r="L924" i="13" s="1"/>
  <c r="M924" i="13" s="1"/>
  <c r="L925" i="13" s="1"/>
  <c r="M925" i="13" s="1"/>
  <c r="L926" i="13" s="1"/>
  <c r="M926" i="13" s="1"/>
  <c r="L927" i="13" s="1"/>
  <c r="M927" i="13" s="1"/>
  <c r="L928" i="13" s="1"/>
  <c r="M928" i="13" s="1"/>
  <c r="L929" i="13" s="1"/>
  <c r="M929" i="13" s="1"/>
  <c r="L930" i="13" s="1"/>
  <c r="M930" i="13" s="1"/>
  <c r="L931" i="13" s="1"/>
  <c r="M931" i="13" s="1"/>
  <c r="L932" i="13" s="1"/>
  <c r="M932" i="13" s="1"/>
  <c r="L933" i="13" s="1"/>
  <c r="M933" i="13" s="1"/>
  <c r="L934" i="13" s="1"/>
  <c r="J921" i="13"/>
  <c r="K921" i="13" s="1"/>
  <c r="K920" i="13"/>
  <c r="J920" i="13"/>
  <c r="J919" i="13"/>
  <c r="K919" i="13" s="1"/>
  <c r="K918" i="13"/>
  <c r="J918" i="13"/>
  <c r="J917" i="13"/>
  <c r="K917" i="13" s="1"/>
  <c r="J916" i="13"/>
  <c r="K916" i="13" s="1"/>
  <c r="J915" i="13"/>
  <c r="K915" i="13" s="1"/>
  <c r="K914" i="13"/>
  <c r="J914" i="13"/>
  <c r="K913" i="13"/>
  <c r="J913" i="13"/>
  <c r="J912" i="13"/>
  <c r="K912" i="13" s="1"/>
  <c r="J911" i="13"/>
  <c r="K911" i="13" s="1"/>
  <c r="J910" i="13"/>
  <c r="K910" i="13" s="1"/>
  <c r="J909" i="13"/>
  <c r="K909" i="13" s="1"/>
  <c r="J908" i="13"/>
  <c r="K908" i="13" s="1"/>
  <c r="J907" i="13"/>
  <c r="K907" i="13" s="1"/>
  <c r="J906" i="13"/>
  <c r="K906" i="13" s="1"/>
  <c r="J905" i="13"/>
  <c r="K905" i="13" s="1"/>
  <c r="K904" i="13"/>
  <c r="J904" i="13"/>
  <c r="J903" i="13"/>
  <c r="K903" i="13" s="1"/>
  <c r="J902" i="13"/>
  <c r="K902" i="13" s="1"/>
  <c r="J901" i="13"/>
  <c r="K901" i="13" s="1"/>
  <c r="J900" i="13"/>
  <c r="K900" i="13" s="1"/>
  <c r="J899" i="13"/>
  <c r="K899" i="13" s="1"/>
  <c r="J898" i="13"/>
  <c r="K898" i="13" s="1"/>
  <c r="K897" i="13"/>
  <c r="J897" i="13"/>
  <c r="K896" i="13"/>
  <c r="J896" i="13"/>
  <c r="J895" i="13"/>
  <c r="K895" i="13" s="1"/>
  <c r="K894" i="13"/>
  <c r="J894" i="13"/>
  <c r="J893" i="13"/>
  <c r="K893" i="13" s="1"/>
  <c r="J892" i="13"/>
  <c r="K892" i="13" s="1"/>
  <c r="J891" i="13"/>
  <c r="K891" i="13" s="1"/>
  <c r="K890" i="13"/>
  <c r="J890" i="13"/>
  <c r="J889" i="13"/>
  <c r="K889" i="13" s="1"/>
  <c r="K888" i="13"/>
  <c r="J888" i="13"/>
  <c r="J887" i="13"/>
  <c r="K887" i="13" s="1"/>
  <c r="J886" i="13"/>
  <c r="K886" i="13" s="1"/>
  <c r="K885" i="13"/>
  <c r="J885" i="13"/>
  <c r="J884" i="13"/>
  <c r="K884" i="13" s="1"/>
  <c r="J883" i="13"/>
  <c r="K883" i="13" s="1"/>
  <c r="L882" i="13"/>
  <c r="M882" i="13" s="1"/>
  <c r="L883" i="13" s="1"/>
  <c r="M883" i="13" s="1"/>
  <c r="L884" i="13" s="1"/>
  <c r="M884" i="13" s="1"/>
  <c r="L885" i="13" s="1"/>
  <c r="J882" i="13"/>
  <c r="K882" i="13" s="1"/>
  <c r="K881" i="13"/>
  <c r="J881" i="13"/>
  <c r="J880" i="13"/>
  <c r="K880" i="13" s="1"/>
  <c r="J879" i="13"/>
  <c r="K879" i="13" s="1"/>
  <c r="J878" i="13"/>
  <c r="K878" i="13" s="1"/>
  <c r="J877" i="13"/>
  <c r="K877" i="13" s="1"/>
  <c r="J876" i="13"/>
  <c r="K876" i="13" s="1"/>
  <c r="J875" i="13"/>
  <c r="K875" i="13" s="1"/>
  <c r="J874" i="13"/>
  <c r="K874" i="13" s="1"/>
  <c r="J873" i="13"/>
  <c r="K873" i="13" s="1"/>
  <c r="J872" i="13"/>
  <c r="K872" i="13" s="1"/>
  <c r="J871" i="13"/>
  <c r="K871" i="13" s="1"/>
  <c r="J870" i="13"/>
  <c r="K870" i="13" s="1"/>
  <c r="J869" i="13"/>
  <c r="K869" i="13" s="1"/>
  <c r="J868" i="13"/>
  <c r="K868" i="13" s="1"/>
  <c r="J867" i="13"/>
  <c r="K867" i="13" s="1"/>
  <c r="J866" i="13"/>
  <c r="K866" i="13" s="1"/>
  <c r="K865" i="13"/>
  <c r="J865" i="13"/>
  <c r="J864" i="13"/>
  <c r="K864" i="13" s="1"/>
  <c r="J863" i="13"/>
  <c r="K863" i="13" s="1"/>
  <c r="K862" i="13"/>
  <c r="J862" i="13"/>
  <c r="J861" i="13"/>
  <c r="K861" i="13" s="1"/>
  <c r="K860" i="13"/>
  <c r="J860" i="13"/>
  <c r="J859" i="13"/>
  <c r="K859" i="13" s="1"/>
  <c r="J858" i="13"/>
  <c r="K858" i="13" s="1"/>
  <c r="J857" i="13"/>
  <c r="K857" i="13" s="1"/>
  <c r="J856" i="13"/>
  <c r="K856" i="13" s="1"/>
  <c r="J855" i="13"/>
  <c r="K855" i="13" s="1"/>
  <c r="K854" i="13"/>
  <c r="J854" i="13"/>
  <c r="J853" i="13"/>
  <c r="K853" i="13" s="1"/>
  <c r="K852" i="13"/>
  <c r="J852" i="13"/>
  <c r="J851" i="13"/>
  <c r="K851" i="13" s="1"/>
  <c r="K850" i="13"/>
  <c r="J850" i="13"/>
  <c r="J849" i="13"/>
  <c r="K849" i="13" s="1"/>
  <c r="K848" i="13"/>
  <c r="J848" i="13"/>
  <c r="J847" i="13"/>
  <c r="K847" i="13" s="1"/>
  <c r="J846" i="13"/>
  <c r="K846" i="13" s="1"/>
  <c r="K845" i="13"/>
  <c r="J845" i="13"/>
  <c r="J844" i="13"/>
  <c r="K844" i="13" s="1"/>
  <c r="J843" i="13"/>
  <c r="K843" i="13" s="1"/>
  <c r="L842" i="13"/>
  <c r="J842" i="13"/>
  <c r="K842" i="13" s="1"/>
  <c r="J841" i="13"/>
  <c r="K841" i="13" s="1"/>
  <c r="K840" i="13"/>
  <c r="J840" i="13"/>
  <c r="J839" i="13"/>
  <c r="K839" i="13" s="1"/>
  <c r="K838" i="13"/>
  <c r="J838" i="13"/>
  <c r="K837" i="13"/>
  <c r="J837" i="13"/>
  <c r="J836" i="13"/>
  <c r="K836" i="13" s="1"/>
  <c r="J835" i="13"/>
  <c r="K835" i="13" s="1"/>
  <c r="J834" i="13"/>
  <c r="K834" i="13" s="1"/>
  <c r="J833" i="13"/>
  <c r="K833" i="13" s="1"/>
  <c r="K832" i="13"/>
  <c r="J832" i="13"/>
  <c r="J831" i="13"/>
  <c r="K831" i="13" s="1"/>
  <c r="J830" i="13"/>
  <c r="K830" i="13" s="1"/>
  <c r="J829" i="13"/>
  <c r="K829" i="13" s="1"/>
  <c r="K828" i="13"/>
  <c r="J828" i="13"/>
  <c r="J827" i="13"/>
  <c r="K827" i="13" s="1"/>
  <c r="J826" i="13"/>
  <c r="K826" i="13" s="1"/>
  <c r="J825" i="13"/>
  <c r="K825" i="13" s="1"/>
  <c r="J824" i="13"/>
  <c r="K824" i="13" s="1"/>
  <c r="J823" i="13"/>
  <c r="K823" i="13" s="1"/>
  <c r="J822" i="13"/>
  <c r="K822" i="13" s="1"/>
  <c r="K821" i="13"/>
  <c r="J821" i="13"/>
  <c r="J820" i="13"/>
  <c r="K820" i="13" s="1"/>
  <c r="J819" i="13"/>
  <c r="K819" i="13" s="1"/>
  <c r="J818" i="13"/>
  <c r="K818" i="13" s="1"/>
  <c r="J817" i="13"/>
  <c r="K817" i="13" s="1"/>
  <c r="J816" i="13"/>
  <c r="K816" i="13" s="1"/>
  <c r="J815" i="13"/>
  <c r="K815" i="13" s="1"/>
  <c r="J814" i="13"/>
  <c r="K814" i="13" s="1"/>
  <c r="J813" i="13"/>
  <c r="K813" i="13" s="1"/>
  <c r="J812" i="13"/>
  <c r="K812" i="13" s="1"/>
  <c r="J811" i="13"/>
  <c r="K811" i="13" s="1"/>
  <c r="J810" i="13"/>
  <c r="K810" i="13" s="1"/>
  <c r="J809" i="13"/>
  <c r="K809" i="13" s="1"/>
  <c r="J808" i="13"/>
  <c r="K808" i="13" s="1"/>
  <c r="J807" i="13"/>
  <c r="K807" i="13" s="1"/>
  <c r="K806" i="13"/>
  <c r="J806" i="13"/>
  <c r="J805" i="13"/>
  <c r="K805" i="13" s="1"/>
  <c r="J804" i="13"/>
  <c r="K804" i="13" s="1"/>
  <c r="J803" i="13"/>
  <c r="K803" i="13" s="1"/>
  <c r="L802" i="13"/>
  <c r="J802" i="13"/>
  <c r="K802" i="13" s="1"/>
  <c r="J801" i="13"/>
  <c r="K801" i="13" s="1"/>
  <c r="J800" i="13"/>
  <c r="K800" i="13" s="1"/>
  <c r="J799" i="13"/>
  <c r="K799" i="13" s="1"/>
  <c r="J798" i="13"/>
  <c r="K798" i="13" s="1"/>
  <c r="J797" i="13"/>
  <c r="K797" i="13" s="1"/>
  <c r="J796" i="13"/>
  <c r="K796" i="13" s="1"/>
  <c r="J795" i="13"/>
  <c r="K795" i="13" s="1"/>
  <c r="J794" i="13"/>
  <c r="K794" i="13" s="1"/>
  <c r="K793" i="13"/>
  <c r="J793" i="13"/>
  <c r="J792" i="13"/>
  <c r="K792" i="13" s="1"/>
  <c r="J791" i="13"/>
  <c r="K791" i="13" s="1"/>
  <c r="J790" i="13"/>
  <c r="K790" i="13" s="1"/>
  <c r="J789" i="13"/>
  <c r="K789" i="13" s="1"/>
  <c r="K788" i="13"/>
  <c r="J788" i="13"/>
  <c r="J787" i="13"/>
  <c r="K787" i="13" s="1"/>
  <c r="K786" i="13"/>
  <c r="J786" i="13"/>
  <c r="J785" i="13"/>
  <c r="K785" i="13" s="1"/>
  <c r="J784" i="13"/>
  <c r="K784" i="13" s="1"/>
  <c r="J783" i="13"/>
  <c r="K783" i="13" s="1"/>
  <c r="K782" i="13"/>
  <c r="J782" i="13"/>
  <c r="J781" i="13"/>
  <c r="K781" i="13" s="1"/>
  <c r="J780" i="13"/>
  <c r="K780" i="13" s="1"/>
  <c r="J779" i="13"/>
  <c r="K779" i="13" s="1"/>
  <c r="J778" i="13"/>
  <c r="K778" i="13" s="1"/>
  <c r="J777" i="13"/>
  <c r="K777" i="13" s="1"/>
  <c r="K776" i="13"/>
  <c r="J776" i="13"/>
  <c r="J775" i="13"/>
  <c r="K775" i="13" s="1"/>
  <c r="K774" i="13"/>
  <c r="J774" i="13"/>
  <c r="K773" i="13"/>
  <c r="J773" i="13"/>
  <c r="J772" i="13"/>
  <c r="K772" i="13" s="1"/>
  <c r="J771" i="13"/>
  <c r="K771" i="13" s="1"/>
  <c r="J770" i="13"/>
  <c r="K770" i="13" s="1"/>
  <c r="J769" i="13"/>
  <c r="K769" i="13" s="1"/>
  <c r="J768" i="13"/>
  <c r="K768" i="13" s="1"/>
  <c r="J767" i="13"/>
  <c r="K767" i="13" s="1"/>
  <c r="J766" i="13"/>
  <c r="K766" i="13" s="1"/>
  <c r="J765" i="13"/>
  <c r="K765" i="13" s="1"/>
  <c r="K764" i="13"/>
  <c r="J764" i="13"/>
  <c r="J763" i="13"/>
  <c r="K763" i="13" s="1"/>
  <c r="L762" i="13"/>
  <c r="J762" i="13"/>
  <c r="K762" i="13" s="1"/>
  <c r="J761" i="13"/>
  <c r="K761" i="13" s="1"/>
  <c r="J760" i="13"/>
  <c r="K760" i="13" s="1"/>
  <c r="J759" i="13"/>
  <c r="K759" i="13" s="1"/>
  <c r="K758" i="13"/>
  <c r="J758" i="13"/>
  <c r="J757" i="13"/>
  <c r="K757" i="13" s="1"/>
  <c r="J756" i="13"/>
  <c r="K756" i="13" s="1"/>
  <c r="J755" i="13"/>
  <c r="K755" i="13" s="1"/>
  <c r="K754" i="13"/>
  <c r="J754" i="13"/>
  <c r="J753" i="13"/>
  <c r="K753" i="13" s="1"/>
  <c r="K752" i="13"/>
  <c r="J752" i="13"/>
  <c r="J751" i="13"/>
  <c r="K751" i="13" s="1"/>
  <c r="J750" i="13"/>
  <c r="K750" i="13" s="1"/>
  <c r="J749" i="13"/>
  <c r="K749" i="13" s="1"/>
  <c r="K748" i="13"/>
  <c r="J748" i="13"/>
  <c r="J747" i="13"/>
  <c r="K747" i="13" s="1"/>
  <c r="J746" i="13"/>
  <c r="K746" i="13" s="1"/>
  <c r="K745" i="13"/>
  <c r="J745" i="13"/>
  <c r="J744" i="13"/>
  <c r="K744" i="13" s="1"/>
  <c r="J743" i="13"/>
  <c r="K743" i="13" s="1"/>
  <c r="J742" i="13"/>
  <c r="K742" i="13" s="1"/>
  <c r="J741" i="13"/>
  <c r="K741" i="13" s="1"/>
  <c r="K740" i="13"/>
  <c r="J740" i="13"/>
  <c r="J739" i="13"/>
  <c r="K739" i="13" s="1"/>
  <c r="J738" i="13"/>
  <c r="K738" i="13" s="1"/>
  <c r="K737" i="13"/>
  <c r="J737" i="13"/>
  <c r="J736" i="13"/>
  <c r="K736" i="13" s="1"/>
  <c r="J735" i="13"/>
  <c r="K735" i="13" s="1"/>
  <c r="J734" i="13"/>
  <c r="K734" i="13" s="1"/>
  <c r="J733" i="13"/>
  <c r="K733" i="13" s="1"/>
  <c r="J732" i="13"/>
  <c r="K732" i="13" s="1"/>
  <c r="J731" i="13"/>
  <c r="K731" i="13" s="1"/>
  <c r="J730" i="13"/>
  <c r="K730" i="13" s="1"/>
  <c r="J729" i="13"/>
  <c r="K729" i="13" s="1"/>
  <c r="K728" i="13"/>
  <c r="J728" i="13"/>
  <c r="J727" i="13"/>
  <c r="K727" i="13" s="1"/>
  <c r="J726" i="13"/>
  <c r="K726" i="13" s="1"/>
  <c r="K725" i="13"/>
  <c r="J725" i="13"/>
  <c r="J724" i="13"/>
  <c r="K724" i="13" s="1"/>
  <c r="J723" i="13"/>
  <c r="K723" i="13" s="1"/>
  <c r="L722" i="13"/>
  <c r="J722" i="13"/>
  <c r="K722" i="13" s="1"/>
  <c r="J721" i="13"/>
  <c r="K721" i="13" s="1"/>
  <c r="J720" i="13"/>
  <c r="K720" i="13" s="1"/>
  <c r="J719" i="13"/>
  <c r="K719" i="13" s="1"/>
  <c r="K718" i="13"/>
  <c r="J718" i="13"/>
  <c r="J717" i="13"/>
  <c r="K717" i="13" s="1"/>
  <c r="J716" i="13"/>
  <c r="K716" i="13" s="1"/>
  <c r="J715" i="13"/>
  <c r="K715" i="13" s="1"/>
  <c r="J714" i="13"/>
  <c r="K714" i="13" s="1"/>
  <c r="J713" i="13"/>
  <c r="K713" i="13" s="1"/>
  <c r="J712" i="13"/>
  <c r="K712" i="13" s="1"/>
  <c r="J711" i="13"/>
  <c r="K711" i="13" s="1"/>
  <c r="J710" i="13"/>
  <c r="K710" i="13" s="1"/>
  <c r="J709" i="13"/>
  <c r="K709" i="13" s="1"/>
  <c r="J708" i="13"/>
  <c r="K708" i="13" s="1"/>
  <c r="J707" i="13"/>
  <c r="K707" i="13" s="1"/>
  <c r="J706" i="13"/>
  <c r="K706" i="13" s="1"/>
  <c r="J705" i="13"/>
  <c r="K705" i="13" s="1"/>
  <c r="J704" i="13"/>
  <c r="K704" i="13" s="1"/>
  <c r="J703" i="13"/>
  <c r="K703" i="13" s="1"/>
  <c r="J702" i="13"/>
  <c r="K702" i="13" s="1"/>
  <c r="J701" i="13"/>
  <c r="K701" i="13" s="1"/>
  <c r="J700" i="13"/>
  <c r="K700" i="13" s="1"/>
  <c r="J699" i="13"/>
  <c r="K699" i="13" s="1"/>
  <c r="K698" i="13"/>
  <c r="J698" i="13"/>
  <c r="J697" i="13"/>
  <c r="K697" i="13" s="1"/>
  <c r="J696" i="13"/>
  <c r="K696" i="13" s="1"/>
  <c r="J695" i="13"/>
  <c r="K695" i="13" s="1"/>
  <c r="K694" i="13"/>
  <c r="J694" i="13"/>
  <c r="J693" i="13"/>
  <c r="K693" i="13" s="1"/>
  <c r="J692" i="13"/>
  <c r="K692" i="13" s="1"/>
  <c r="J691" i="13"/>
  <c r="K691" i="13" s="1"/>
  <c r="J690" i="13"/>
  <c r="K690" i="13" s="1"/>
  <c r="J689" i="13"/>
  <c r="K689" i="13" s="1"/>
  <c r="J688" i="13"/>
  <c r="K688" i="13" s="1"/>
  <c r="J687" i="13"/>
  <c r="K687" i="13" s="1"/>
  <c r="J686" i="13"/>
  <c r="K686" i="13" s="1"/>
  <c r="J685" i="13"/>
  <c r="K685" i="13" s="1"/>
  <c r="J684" i="13"/>
  <c r="K684" i="13" s="1"/>
  <c r="J683" i="13"/>
  <c r="K683" i="13" s="1"/>
  <c r="L682" i="13"/>
  <c r="K682" i="13"/>
  <c r="J682" i="13"/>
  <c r="J681" i="13"/>
  <c r="K681" i="13" s="1"/>
  <c r="J680" i="13"/>
  <c r="K680" i="13" s="1"/>
  <c r="J679" i="13"/>
  <c r="K679" i="13" s="1"/>
  <c r="J678" i="13"/>
  <c r="K678" i="13" s="1"/>
  <c r="K677" i="13"/>
  <c r="J677" i="13"/>
  <c r="K676" i="13"/>
  <c r="J676" i="13"/>
  <c r="K675" i="13"/>
  <c r="J675" i="13"/>
  <c r="K674" i="13"/>
  <c r="J674" i="13"/>
  <c r="J673" i="13"/>
  <c r="K673" i="13" s="1"/>
  <c r="J672" i="13"/>
  <c r="K672" i="13" s="1"/>
  <c r="J671" i="13"/>
  <c r="K671" i="13" s="1"/>
  <c r="J670" i="13"/>
  <c r="K670" i="13" s="1"/>
  <c r="J669" i="13"/>
  <c r="K669" i="13" s="1"/>
  <c r="K668" i="13"/>
  <c r="J668" i="13"/>
  <c r="J667" i="13"/>
  <c r="K667" i="13" s="1"/>
  <c r="J666" i="13"/>
  <c r="K666" i="13" s="1"/>
  <c r="J665" i="13"/>
  <c r="K665" i="13" s="1"/>
  <c r="J664" i="13"/>
  <c r="K664" i="13" s="1"/>
  <c r="J663" i="13"/>
  <c r="K663" i="13" s="1"/>
  <c r="J662" i="13"/>
  <c r="K662" i="13" s="1"/>
  <c r="J661" i="13"/>
  <c r="K661" i="13" s="1"/>
  <c r="J660" i="13"/>
  <c r="K660" i="13" s="1"/>
  <c r="K659" i="13"/>
  <c r="J659" i="13"/>
  <c r="K658" i="13"/>
  <c r="J658" i="13"/>
  <c r="J657" i="13"/>
  <c r="K657" i="13" s="1"/>
  <c r="J656" i="13"/>
  <c r="K656" i="13" s="1"/>
  <c r="K655" i="13"/>
  <c r="J655" i="13"/>
  <c r="J654" i="13"/>
  <c r="K654" i="13" s="1"/>
  <c r="J653" i="13"/>
  <c r="K653" i="13" s="1"/>
  <c r="J652" i="13"/>
  <c r="K652" i="13" s="1"/>
  <c r="K651" i="13"/>
  <c r="J651" i="13"/>
  <c r="J650" i="13"/>
  <c r="K650" i="13" s="1"/>
  <c r="J649" i="13"/>
  <c r="K649" i="13" s="1"/>
  <c r="J648" i="13"/>
  <c r="K648" i="13" s="1"/>
  <c r="J647" i="13"/>
  <c r="K647" i="13" s="1"/>
  <c r="K646" i="13"/>
  <c r="J646" i="13"/>
  <c r="J645" i="13"/>
  <c r="K645" i="13" s="1"/>
  <c r="J644" i="13"/>
  <c r="K644" i="13" s="1"/>
  <c r="J643" i="13"/>
  <c r="K643" i="13" s="1"/>
  <c r="L642" i="13"/>
  <c r="J642" i="13"/>
  <c r="K642" i="13" s="1"/>
  <c r="M642" i="13" s="1"/>
  <c r="L643" i="13" s="1"/>
  <c r="K641" i="13"/>
  <c r="J641" i="13"/>
  <c r="K640" i="13"/>
  <c r="J640" i="13"/>
  <c r="J639" i="13"/>
  <c r="K639" i="13" s="1"/>
  <c r="J638" i="13"/>
  <c r="K638" i="13" s="1"/>
  <c r="J637" i="13"/>
  <c r="K637" i="13" s="1"/>
  <c r="J636" i="13"/>
  <c r="K636" i="13" s="1"/>
  <c r="J635" i="13"/>
  <c r="K635" i="13" s="1"/>
  <c r="J634" i="13"/>
  <c r="K634" i="13" s="1"/>
  <c r="J633" i="13"/>
  <c r="K633" i="13" s="1"/>
  <c r="K632" i="13"/>
  <c r="J632" i="13"/>
  <c r="J631" i="13"/>
  <c r="K631" i="13" s="1"/>
  <c r="J630" i="13"/>
  <c r="K630" i="13" s="1"/>
  <c r="K629" i="13"/>
  <c r="J629" i="13"/>
  <c r="J628" i="13"/>
  <c r="K628" i="13" s="1"/>
  <c r="J627" i="13"/>
  <c r="K627" i="13" s="1"/>
  <c r="K626" i="13"/>
  <c r="J626" i="13"/>
  <c r="K625" i="13"/>
  <c r="J625" i="13"/>
  <c r="J624" i="13"/>
  <c r="K624" i="13" s="1"/>
  <c r="K623" i="13"/>
  <c r="J623" i="13"/>
  <c r="K622" i="13"/>
  <c r="J622" i="13"/>
  <c r="J621" i="13"/>
  <c r="K621" i="13" s="1"/>
  <c r="K620" i="13"/>
  <c r="J620" i="13"/>
  <c r="J619" i="13"/>
  <c r="K619" i="13" s="1"/>
  <c r="J618" i="13"/>
  <c r="K618" i="13" s="1"/>
  <c r="J617" i="13"/>
  <c r="K617" i="13" s="1"/>
  <c r="J616" i="13"/>
  <c r="K616" i="13" s="1"/>
  <c r="K615" i="13"/>
  <c r="J615" i="13"/>
  <c r="J614" i="13"/>
  <c r="K614" i="13" s="1"/>
  <c r="K613" i="13"/>
  <c r="J613" i="13"/>
  <c r="J612" i="13"/>
  <c r="K612" i="13" s="1"/>
  <c r="J611" i="13"/>
  <c r="K611" i="13" s="1"/>
  <c r="K610" i="13"/>
  <c r="J610" i="13"/>
  <c r="J609" i="13"/>
  <c r="K609" i="13" s="1"/>
  <c r="J608" i="13"/>
  <c r="K608" i="13" s="1"/>
  <c r="K607" i="13"/>
  <c r="J607" i="13"/>
  <c r="K606" i="13"/>
  <c r="J606" i="13"/>
  <c r="J605" i="13"/>
  <c r="K605" i="13" s="1"/>
  <c r="K604" i="13"/>
  <c r="J604" i="13"/>
  <c r="K603" i="13"/>
  <c r="J603" i="13"/>
  <c r="L602" i="13"/>
  <c r="J602" i="13"/>
  <c r="K602" i="13" s="1"/>
  <c r="M602" i="13" s="1"/>
  <c r="L603" i="13" s="1"/>
  <c r="M603" i="13" s="1"/>
  <c r="L604" i="13" s="1"/>
  <c r="M604" i="13" s="1"/>
  <c r="L605" i="13" s="1"/>
  <c r="M605" i="13" s="1"/>
  <c r="L606" i="13" s="1"/>
  <c r="M606" i="13" s="1"/>
  <c r="L607" i="13" s="1"/>
  <c r="M607" i="13" s="1"/>
  <c r="L608" i="13" s="1"/>
  <c r="M608" i="13" s="1"/>
  <c r="L609" i="13" s="1"/>
  <c r="M609" i="13" s="1"/>
  <c r="L610" i="13" s="1"/>
  <c r="J601" i="13"/>
  <c r="K601" i="13" s="1"/>
  <c r="J600" i="13"/>
  <c r="K600" i="13" s="1"/>
  <c r="J599" i="13"/>
  <c r="K599" i="13" s="1"/>
  <c r="J598" i="13"/>
  <c r="K598" i="13" s="1"/>
  <c r="J597" i="13"/>
  <c r="K597" i="13" s="1"/>
  <c r="J596" i="13"/>
  <c r="K596" i="13" s="1"/>
  <c r="J595" i="13"/>
  <c r="K595" i="13" s="1"/>
  <c r="J594" i="13"/>
  <c r="K594" i="13" s="1"/>
  <c r="J593" i="13"/>
  <c r="K593" i="13" s="1"/>
  <c r="J592" i="13"/>
  <c r="K592" i="13" s="1"/>
  <c r="J591" i="13"/>
  <c r="K591" i="13" s="1"/>
  <c r="J590" i="13"/>
  <c r="K590" i="13" s="1"/>
  <c r="J589" i="13"/>
  <c r="K589" i="13" s="1"/>
  <c r="J588" i="13"/>
  <c r="K588" i="13" s="1"/>
  <c r="K587" i="13"/>
  <c r="J587" i="13"/>
  <c r="J586" i="13"/>
  <c r="K586" i="13" s="1"/>
  <c r="J585" i="13"/>
  <c r="K585" i="13" s="1"/>
  <c r="J584" i="13"/>
  <c r="K584" i="13" s="1"/>
  <c r="J583" i="13"/>
  <c r="K583" i="13" s="1"/>
  <c r="J582" i="13"/>
  <c r="K582" i="13" s="1"/>
  <c r="K581" i="13"/>
  <c r="J581" i="13"/>
  <c r="J580" i="13"/>
  <c r="K580" i="13" s="1"/>
  <c r="J579" i="13"/>
  <c r="K579" i="13" s="1"/>
  <c r="J578" i="13"/>
  <c r="K578" i="13" s="1"/>
  <c r="J577" i="13"/>
  <c r="K577" i="13" s="1"/>
  <c r="K576" i="13"/>
  <c r="J576" i="13"/>
  <c r="K575" i="13"/>
  <c r="J575" i="13"/>
  <c r="J574" i="13"/>
  <c r="K574" i="13" s="1"/>
  <c r="J573" i="13"/>
  <c r="K573" i="13" s="1"/>
  <c r="J572" i="13"/>
  <c r="K572" i="13" s="1"/>
  <c r="J571" i="13"/>
  <c r="K571" i="13" s="1"/>
  <c r="J570" i="13"/>
  <c r="K570" i="13" s="1"/>
  <c r="J569" i="13"/>
  <c r="K569" i="13" s="1"/>
  <c r="J568" i="13"/>
  <c r="K568" i="13" s="1"/>
  <c r="K567" i="13"/>
  <c r="J567" i="13"/>
  <c r="J566" i="13"/>
  <c r="K566" i="13" s="1"/>
  <c r="J565" i="13"/>
  <c r="K565" i="13" s="1"/>
  <c r="J564" i="13"/>
  <c r="K564" i="13" s="1"/>
  <c r="J563" i="13"/>
  <c r="K563" i="13" s="1"/>
  <c r="L562" i="13"/>
  <c r="J562" i="13"/>
  <c r="K562" i="13" s="1"/>
  <c r="M562" i="13" s="1"/>
  <c r="L563" i="13" s="1"/>
  <c r="M563" i="13" s="1"/>
  <c r="L564" i="13" s="1"/>
  <c r="J561" i="13"/>
  <c r="K561" i="13" s="1"/>
  <c r="J560" i="13"/>
  <c r="K560" i="13" s="1"/>
  <c r="J559" i="13"/>
  <c r="K559" i="13" s="1"/>
  <c r="J558" i="13"/>
  <c r="K558" i="13" s="1"/>
  <c r="J557" i="13"/>
  <c r="K557" i="13" s="1"/>
  <c r="K556" i="13"/>
  <c r="J556" i="13"/>
  <c r="J555" i="13"/>
  <c r="K555" i="13" s="1"/>
  <c r="J554" i="13"/>
  <c r="K554" i="13" s="1"/>
  <c r="J553" i="13"/>
  <c r="K553" i="13" s="1"/>
  <c r="J552" i="13"/>
  <c r="K552" i="13" s="1"/>
  <c r="J551" i="13"/>
  <c r="K551" i="13" s="1"/>
  <c r="K550" i="13"/>
  <c r="J550" i="13"/>
  <c r="J549" i="13"/>
  <c r="K549" i="13" s="1"/>
  <c r="J548" i="13"/>
  <c r="K548" i="13" s="1"/>
  <c r="K547" i="13"/>
  <c r="J547" i="13"/>
  <c r="J546" i="13"/>
  <c r="K546" i="13" s="1"/>
  <c r="J545" i="13"/>
  <c r="K545" i="13" s="1"/>
  <c r="J544" i="13"/>
  <c r="K544" i="13" s="1"/>
  <c r="J543" i="13"/>
  <c r="K543" i="13" s="1"/>
  <c r="J542" i="13"/>
  <c r="K542" i="13" s="1"/>
  <c r="J541" i="13"/>
  <c r="K541" i="13" s="1"/>
  <c r="J540" i="13"/>
  <c r="K540" i="13" s="1"/>
  <c r="J539" i="13"/>
  <c r="K539" i="13" s="1"/>
  <c r="J538" i="13"/>
  <c r="K538" i="13" s="1"/>
  <c r="J537" i="13"/>
  <c r="K537" i="13" s="1"/>
  <c r="J536" i="13"/>
  <c r="K536" i="13" s="1"/>
  <c r="J535" i="13"/>
  <c r="K535" i="13" s="1"/>
  <c r="J534" i="13"/>
  <c r="K534" i="13" s="1"/>
  <c r="J533" i="13"/>
  <c r="K533" i="13" s="1"/>
  <c r="J532" i="13"/>
  <c r="K532" i="13" s="1"/>
  <c r="J531" i="13"/>
  <c r="K531" i="13" s="1"/>
  <c r="J530" i="13"/>
  <c r="K530" i="13" s="1"/>
  <c r="J529" i="13"/>
  <c r="K529" i="13" s="1"/>
  <c r="J528" i="13"/>
  <c r="K528" i="13" s="1"/>
  <c r="K527" i="13"/>
  <c r="J527" i="13"/>
  <c r="J526" i="13"/>
  <c r="K526" i="13" s="1"/>
  <c r="K525" i="13"/>
  <c r="J525" i="13"/>
  <c r="J524" i="13"/>
  <c r="K524" i="13" s="1"/>
  <c r="L523" i="13"/>
  <c r="J523" i="13"/>
  <c r="K523" i="13" s="1"/>
  <c r="L522" i="13"/>
  <c r="J522" i="13"/>
  <c r="K522" i="13" s="1"/>
  <c r="M522" i="13" s="1"/>
  <c r="J521" i="13"/>
  <c r="K521" i="13" s="1"/>
  <c r="J520" i="13"/>
  <c r="K520" i="13" s="1"/>
  <c r="J519" i="13"/>
  <c r="K519" i="13" s="1"/>
  <c r="J518" i="13"/>
  <c r="K518" i="13" s="1"/>
  <c r="K517" i="13"/>
  <c r="J517" i="13"/>
  <c r="J516" i="13"/>
  <c r="K516" i="13" s="1"/>
  <c r="K515" i="13"/>
  <c r="J515" i="13"/>
  <c r="J514" i="13"/>
  <c r="K514" i="13" s="1"/>
  <c r="J513" i="13"/>
  <c r="K513" i="13" s="1"/>
  <c r="J512" i="13"/>
  <c r="K512" i="13" s="1"/>
  <c r="K511" i="13"/>
  <c r="J511" i="13"/>
  <c r="K510" i="13"/>
  <c r="J510" i="13"/>
  <c r="J509" i="13"/>
  <c r="K509" i="13" s="1"/>
  <c r="J508" i="13"/>
  <c r="K508" i="13" s="1"/>
  <c r="K507" i="13"/>
  <c r="J507" i="13"/>
  <c r="J506" i="13"/>
  <c r="K506" i="13" s="1"/>
  <c r="J505" i="13"/>
  <c r="K505" i="13" s="1"/>
  <c r="J504" i="13"/>
  <c r="K504" i="13" s="1"/>
  <c r="J503" i="13"/>
  <c r="K503" i="13" s="1"/>
  <c r="J502" i="13"/>
  <c r="K502" i="13" s="1"/>
  <c r="J501" i="13"/>
  <c r="K501" i="13" s="1"/>
  <c r="J500" i="13"/>
  <c r="K500" i="13" s="1"/>
  <c r="J499" i="13"/>
  <c r="K499" i="13" s="1"/>
  <c r="J498" i="13"/>
  <c r="K498" i="13" s="1"/>
  <c r="J497" i="13"/>
  <c r="K497" i="13" s="1"/>
  <c r="J496" i="13"/>
  <c r="K496" i="13" s="1"/>
  <c r="J495" i="13"/>
  <c r="K495" i="13" s="1"/>
  <c r="J494" i="13"/>
  <c r="K494" i="13" s="1"/>
  <c r="J493" i="13"/>
  <c r="K493" i="13" s="1"/>
  <c r="J492" i="13"/>
  <c r="K492" i="13" s="1"/>
  <c r="J491" i="13"/>
  <c r="K491" i="13" s="1"/>
  <c r="J490" i="13"/>
  <c r="K490" i="13" s="1"/>
  <c r="K489" i="13"/>
  <c r="J489" i="13"/>
  <c r="J488" i="13"/>
  <c r="K488" i="13" s="1"/>
  <c r="J487" i="13"/>
  <c r="K487" i="13" s="1"/>
  <c r="J486" i="13"/>
  <c r="K486" i="13" s="1"/>
  <c r="J485" i="13"/>
  <c r="K485" i="13" s="1"/>
  <c r="K484" i="13"/>
  <c r="J484" i="13"/>
  <c r="J483" i="13"/>
  <c r="K483" i="13" s="1"/>
  <c r="L482" i="13"/>
  <c r="J482" i="13"/>
  <c r="K482" i="13" s="1"/>
  <c r="M482" i="13" s="1"/>
  <c r="L483" i="13" s="1"/>
  <c r="M483" i="13" s="1"/>
  <c r="L484" i="13" s="1"/>
  <c r="M484" i="13" s="1"/>
  <c r="L485" i="13" s="1"/>
  <c r="M485" i="13" s="1"/>
  <c r="L486" i="13" s="1"/>
  <c r="M486" i="13" s="1"/>
  <c r="L487" i="13" s="1"/>
  <c r="M487" i="13" s="1"/>
  <c r="L488" i="13" s="1"/>
  <c r="J481" i="13"/>
  <c r="K481" i="13" s="1"/>
  <c r="J480" i="13"/>
  <c r="K480" i="13" s="1"/>
  <c r="K479" i="13"/>
  <c r="J479" i="13"/>
  <c r="J478" i="13"/>
  <c r="K478" i="13" s="1"/>
  <c r="J477" i="13"/>
  <c r="K477" i="13" s="1"/>
  <c r="K476" i="13"/>
  <c r="J476" i="13"/>
  <c r="J475" i="13"/>
  <c r="K475" i="13" s="1"/>
  <c r="J474" i="13"/>
  <c r="K474" i="13" s="1"/>
  <c r="J473" i="13"/>
  <c r="K473" i="13" s="1"/>
  <c r="J472" i="13"/>
  <c r="K472" i="13" s="1"/>
  <c r="J471" i="13"/>
  <c r="K471" i="13" s="1"/>
  <c r="J470" i="13"/>
  <c r="K470" i="13" s="1"/>
  <c r="J469" i="13"/>
  <c r="K469" i="13" s="1"/>
  <c r="J468" i="13"/>
  <c r="K468" i="13" s="1"/>
  <c r="K467" i="13"/>
  <c r="J467" i="13"/>
  <c r="J466" i="13"/>
  <c r="K466" i="13" s="1"/>
  <c r="J465" i="13"/>
  <c r="K465" i="13" s="1"/>
  <c r="J464" i="13"/>
  <c r="K464" i="13" s="1"/>
  <c r="J463" i="13"/>
  <c r="K463" i="13" s="1"/>
  <c r="K462" i="13"/>
  <c r="J462" i="13"/>
  <c r="J461" i="13"/>
  <c r="K461" i="13" s="1"/>
  <c r="J460" i="13"/>
  <c r="K460" i="13" s="1"/>
  <c r="J459" i="13"/>
  <c r="K459" i="13" s="1"/>
  <c r="J458" i="13"/>
  <c r="K458" i="13" s="1"/>
  <c r="J457" i="13"/>
  <c r="K457" i="13" s="1"/>
  <c r="J456" i="13"/>
  <c r="K456" i="13" s="1"/>
  <c r="J455" i="13"/>
  <c r="K455" i="13" s="1"/>
  <c r="J454" i="13"/>
  <c r="K454" i="13" s="1"/>
  <c r="J453" i="13"/>
  <c r="K453" i="13" s="1"/>
  <c r="J452" i="13"/>
  <c r="K452" i="13" s="1"/>
  <c r="J451" i="13"/>
  <c r="K451" i="13" s="1"/>
  <c r="J450" i="13"/>
  <c r="K450" i="13" s="1"/>
  <c r="J449" i="13"/>
  <c r="K449" i="13" s="1"/>
  <c r="J448" i="13"/>
  <c r="K448" i="13" s="1"/>
  <c r="J447" i="13"/>
  <c r="K447" i="13" s="1"/>
  <c r="J446" i="13"/>
  <c r="K446" i="13" s="1"/>
  <c r="J445" i="13"/>
  <c r="K445" i="13" s="1"/>
  <c r="J444" i="13"/>
  <c r="K444" i="13" s="1"/>
  <c r="J443" i="13"/>
  <c r="K443" i="13" s="1"/>
  <c r="L442" i="13"/>
  <c r="K442" i="13"/>
  <c r="J442" i="13"/>
  <c r="J441" i="13"/>
  <c r="K441" i="13" s="1"/>
  <c r="K440" i="13"/>
  <c r="J440" i="13"/>
  <c r="J439" i="13"/>
  <c r="K439" i="13" s="1"/>
  <c r="J438" i="13"/>
  <c r="K438" i="13" s="1"/>
  <c r="J437" i="13"/>
  <c r="K437" i="13" s="1"/>
  <c r="J436" i="13"/>
  <c r="K436" i="13" s="1"/>
  <c r="J435" i="13"/>
  <c r="K435" i="13" s="1"/>
  <c r="J434" i="13"/>
  <c r="K434" i="13" s="1"/>
  <c r="J433" i="13"/>
  <c r="K433" i="13" s="1"/>
  <c r="K432" i="13"/>
  <c r="J432" i="13"/>
  <c r="J431" i="13"/>
  <c r="K431" i="13" s="1"/>
  <c r="K430" i="13"/>
  <c r="J430" i="13"/>
  <c r="J429" i="13"/>
  <c r="K429" i="13" s="1"/>
  <c r="J428" i="13"/>
  <c r="K428" i="13" s="1"/>
  <c r="K427" i="13"/>
  <c r="J427" i="13"/>
  <c r="J426" i="13"/>
  <c r="K426" i="13" s="1"/>
  <c r="J425" i="13"/>
  <c r="K425" i="13" s="1"/>
  <c r="J424" i="13"/>
  <c r="K424" i="13" s="1"/>
  <c r="J423" i="13"/>
  <c r="K423" i="13" s="1"/>
  <c r="K422" i="13"/>
  <c r="J422" i="13"/>
  <c r="J421" i="13"/>
  <c r="K421" i="13" s="1"/>
  <c r="J420" i="13"/>
  <c r="K420" i="13" s="1"/>
  <c r="J419" i="13"/>
  <c r="K419" i="13" s="1"/>
  <c r="J418" i="13"/>
  <c r="K418" i="13" s="1"/>
  <c r="K417" i="13"/>
  <c r="J417" i="13"/>
  <c r="J416" i="13"/>
  <c r="K416" i="13" s="1"/>
  <c r="J415" i="13"/>
  <c r="K415" i="13" s="1"/>
  <c r="J414" i="13"/>
  <c r="K414" i="13" s="1"/>
  <c r="J413" i="13"/>
  <c r="K413" i="13" s="1"/>
  <c r="J412" i="13"/>
  <c r="K412" i="13" s="1"/>
  <c r="J411" i="13"/>
  <c r="K411" i="13" s="1"/>
  <c r="J410" i="13"/>
  <c r="K410" i="13" s="1"/>
  <c r="J409" i="13"/>
  <c r="K409" i="13" s="1"/>
  <c r="J408" i="13"/>
  <c r="K408" i="13" s="1"/>
  <c r="J407" i="13"/>
  <c r="K407" i="13" s="1"/>
  <c r="J406" i="13"/>
  <c r="K406" i="13" s="1"/>
  <c r="K405" i="13"/>
  <c r="J405" i="13"/>
  <c r="J404" i="13"/>
  <c r="K404" i="13" s="1"/>
  <c r="J403" i="13"/>
  <c r="K403" i="13" s="1"/>
  <c r="L402" i="13"/>
  <c r="J402" i="13"/>
  <c r="K402" i="13" s="1"/>
  <c r="M402" i="13" s="1"/>
  <c r="L403" i="13" s="1"/>
  <c r="J401" i="13"/>
  <c r="K401" i="13" s="1"/>
  <c r="J400" i="13"/>
  <c r="K400" i="13" s="1"/>
  <c r="K399" i="13"/>
  <c r="J399" i="13"/>
  <c r="K398" i="13"/>
  <c r="J398" i="13"/>
  <c r="J397" i="13"/>
  <c r="K397" i="13" s="1"/>
  <c r="J396" i="13"/>
  <c r="K396" i="13" s="1"/>
  <c r="J395" i="13"/>
  <c r="K395" i="13" s="1"/>
  <c r="J394" i="13"/>
  <c r="K394" i="13" s="1"/>
  <c r="J393" i="13"/>
  <c r="K393" i="13" s="1"/>
  <c r="J392" i="13"/>
  <c r="K392" i="13" s="1"/>
  <c r="J391" i="13"/>
  <c r="K391" i="13" s="1"/>
  <c r="J390" i="13"/>
  <c r="K390" i="13" s="1"/>
  <c r="J389" i="13"/>
  <c r="K389" i="13" s="1"/>
  <c r="J388" i="13"/>
  <c r="K388" i="13" s="1"/>
  <c r="J387" i="13"/>
  <c r="K387" i="13" s="1"/>
  <c r="J386" i="13"/>
  <c r="K386" i="13" s="1"/>
  <c r="J385" i="13"/>
  <c r="K385" i="13" s="1"/>
  <c r="J384" i="13"/>
  <c r="K384" i="13" s="1"/>
  <c r="J383" i="13"/>
  <c r="K383" i="13" s="1"/>
  <c r="J382" i="13"/>
  <c r="K382" i="13" s="1"/>
  <c r="J381" i="13"/>
  <c r="K381" i="13" s="1"/>
  <c r="J380" i="13"/>
  <c r="K380" i="13" s="1"/>
  <c r="J379" i="13"/>
  <c r="K379" i="13" s="1"/>
  <c r="J378" i="13"/>
  <c r="K378" i="13" s="1"/>
  <c r="J377" i="13"/>
  <c r="K377" i="13" s="1"/>
  <c r="J376" i="13"/>
  <c r="K376" i="13" s="1"/>
  <c r="J375" i="13"/>
  <c r="K375" i="13" s="1"/>
  <c r="J374" i="13"/>
  <c r="K374" i="13" s="1"/>
  <c r="J373" i="13"/>
  <c r="K373" i="13" s="1"/>
  <c r="J372" i="13"/>
  <c r="K372" i="13" s="1"/>
  <c r="J371" i="13"/>
  <c r="K371" i="13" s="1"/>
  <c r="K370" i="13"/>
  <c r="J370" i="13"/>
  <c r="J369" i="13"/>
  <c r="K369" i="13" s="1"/>
  <c r="J368" i="13"/>
  <c r="K368" i="13" s="1"/>
  <c r="J367" i="13"/>
  <c r="K367" i="13" s="1"/>
  <c r="J366" i="13"/>
  <c r="K366" i="13" s="1"/>
  <c r="J365" i="13"/>
  <c r="K365" i="13" s="1"/>
  <c r="J364" i="13"/>
  <c r="K364" i="13" s="1"/>
  <c r="J363" i="13"/>
  <c r="K363" i="13" s="1"/>
  <c r="L362" i="13"/>
  <c r="J362" i="13"/>
  <c r="K362" i="13" s="1"/>
  <c r="M362" i="13" s="1"/>
  <c r="L363" i="13" s="1"/>
  <c r="M363" i="13" s="1"/>
  <c r="L364" i="13" s="1"/>
  <c r="M364" i="13" s="1"/>
  <c r="L365" i="13" s="1"/>
  <c r="M365" i="13" s="1"/>
  <c r="L366" i="13" s="1"/>
  <c r="M366" i="13" s="1"/>
  <c r="L367" i="13" s="1"/>
  <c r="M367" i="13" s="1"/>
  <c r="L368" i="13" s="1"/>
  <c r="M368" i="13" s="1"/>
  <c r="L369" i="13" s="1"/>
  <c r="M369" i="13" s="1"/>
  <c r="L370" i="13" s="1"/>
  <c r="J361" i="13"/>
  <c r="K361" i="13" s="1"/>
  <c r="J360" i="13"/>
  <c r="K360" i="13" s="1"/>
  <c r="K359" i="13"/>
  <c r="J359" i="13"/>
  <c r="J358" i="13"/>
  <c r="K358" i="13" s="1"/>
  <c r="J357" i="13"/>
  <c r="K357" i="13" s="1"/>
  <c r="K356" i="13"/>
  <c r="J356" i="13"/>
  <c r="J355" i="13"/>
  <c r="K355" i="13" s="1"/>
  <c r="J354" i="13"/>
  <c r="K354" i="13" s="1"/>
  <c r="J353" i="13"/>
  <c r="K353" i="13" s="1"/>
  <c r="K352" i="13"/>
  <c r="J352" i="13"/>
  <c r="J351" i="13"/>
  <c r="K351" i="13" s="1"/>
  <c r="J350" i="13"/>
  <c r="K350" i="13" s="1"/>
  <c r="J349" i="13"/>
  <c r="K349" i="13" s="1"/>
  <c r="J348" i="13"/>
  <c r="K348" i="13" s="1"/>
  <c r="J347" i="13"/>
  <c r="K347" i="13" s="1"/>
  <c r="J346" i="13"/>
  <c r="K346" i="13" s="1"/>
  <c r="K345" i="13"/>
  <c r="J345" i="13"/>
  <c r="J344" i="13"/>
  <c r="K344" i="13" s="1"/>
  <c r="J343" i="13"/>
  <c r="K343" i="13" s="1"/>
  <c r="J342" i="13"/>
  <c r="K342" i="13" s="1"/>
  <c r="J341" i="13"/>
  <c r="K341" i="13" s="1"/>
  <c r="J340" i="13"/>
  <c r="K340" i="13" s="1"/>
  <c r="J339" i="13"/>
  <c r="K339" i="13" s="1"/>
  <c r="J338" i="13"/>
  <c r="K338" i="13" s="1"/>
  <c r="K337" i="13"/>
  <c r="J337" i="13"/>
  <c r="J336" i="13"/>
  <c r="K336" i="13" s="1"/>
  <c r="J335" i="13"/>
  <c r="K335" i="13" s="1"/>
  <c r="J334" i="13"/>
  <c r="K334" i="13" s="1"/>
  <c r="J333" i="13"/>
  <c r="K333" i="13" s="1"/>
  <c r="J332" i="13"/>
  <c r="K332" i="13" s="1"/>
  <c r="J331" i="13"/>
  <c r="K331" i="13" s="1"/>
  <c r="J330" i="13"/>
  <c r="K330" i="13" s="1"/>
  <c r="J329" i="13"/>
  <c r="K329" i="13" s="1"/>
  <c r="J328" i="13"/>
  <c r="K328" i="13" s="1"/>
  <c r="J327" i="13"/>
  <c r="K327" i="13" s="1"/>
  <c r="K326" i="13"/>
  <c r="J326" i="13"/>
  <c r="J325" i="13"/>
  <c r="K325" i="13" s="1"/>
  <c r="J324" i="13"/>
  <c r="K324" i="13" s="1"/>
  <c r="J323" i="13"/>
  <c r="K323" i="13" s="1"/>
  <c r="L322" i="13"/>
  <c r="K322" i="13"/>
  <c r="J322" i="13"/>
  <c r="J321" i="13"/>
  <c r="K321" i="13" s="1"/>
  <c r="J320" i="13"/>
  <c r="K320" i="13" s="1"/>
  <c r="J319" i="13"/>
  <c r="K319" i="13" s="1"/>
  <c r="K318" i="13"/>
  <c r="J318" i="13"/>
  <c r="J317" i="13"/>
  <c r="K317" i="13" s="1"/>
  <c r="J316" i="13"/>
  <c r="K316" i="13" s="1"/>
  <c r="J315" i="13"/>
  <c r="K315" i="13" s="1"/>
  <c r="J314" i="13"/>
  <c r="K314" i="13" s="1"/>
  <c r="K313" i="13"/>
  <c r="J313" i="13"/>
  <c r="J312" i="13"/>
  <c r="K312" i="13" s="1"/>
  <c r="J311" i="13"/>
  <c r="K311" i="13" s="1"/>
  <c r="J310" i="13"/>
  <c r="K310" i="13" s="1"/>
  <c r="J309" i="13"/>
  <c r="K309" i="13" s="1"/>
  <c r="J308" i="13"/>
  <c r="K308" i="13" s="1"/>
  <c r="J307" i="13"/>
  <c r="K307" i="13" s="1"/>
  <c r="J306" i="13"/>
  <c r="K306" i="13" s="1"/>
  <c r="J305" i="13"/>
  <c r="K305" i="13" s="1"/>
  <c r="J304" i="13"/>
  <c r="K304" i="13" s="1"/>
  <c r="J303" i="13"/>
  <c r="K303" i="13" s="1"/>
  <c r="K302" i="13"/>
  <c r="J302" i="13"/>
  <c r="K301" i="13"/>
  <c r="J301" i="13"/>
  <c r="J300" i="13"/>
  <c r="K300" i="13" s="1"/>
  <c r="J299" i="13"/>
  <c r="K299" i="13" s="1"/>
  <c r="K298" i="13"/>
  <c r="J298" i="13"/>
  <c r="K297" i="13"/>
  <c r="J297" i="13"/>
  <c r="J296" i="13"/>
  <c r="K296" i="13" s="1"/>
  <c r="J295" i="13"/>
  <c r="K295" i="13" s="1"/>
  <c r="J294" i="13"/>
  <c r="K294" i="13" s="1"/>
  <c r="J293" i="13"/>
  <c r="K293" i="13" s="1"/>
  <c r="J292" i="13"/>
  <c r="K292" i="13" s="1"/>
  <c r="J291" i="13"/>
  <c r="K291" i="13" s="1"/>
  <c r="K290" i="13"/>
  <c r="J290" i="13"/>
  <c r="J289" i="13"/>
  <c r="K289" i="13" s="1"/>
  <c r="J288" i="13"/>
  <c r="K288" i="13" s="1"/>
  <c r="J287" i="13"/>
  <c r="K287" i="13" s="1"/>
  <c r="K286" i="13"/>
  <c r="J286" i="13"/>
  <c r="J285" i="13"/>
  <c r="K285" i="13" s="1"/>
  <c r="J284" i="13"/>
  <c r="K284" i="13" s="1"/>
  <c r="J283" i="13"/>
  <c r="K283" i="13" s="1"/>
  <c r="L282" i="13"/>
  <c r="J282" i="13"/>
  <c r="K282" i="13" s="1"/>
  <c r="J281" i="13"/>
  <c r="K281" i="13" s="1"/>
  <c r="J280" i="13"/>
  <c r="K280" i="13" s="1"/>
  <c r="J279" i="13"/>
  <c r="K279" i="13" s="1"/>
  <c r="J278" i="13"/>
  <c r="K278" i="13" s="1"/>
  <c r="J277" i="13"/>
  <c r="K277" i="13" s="1"/>
  <c r="J276" i="13"/>
  <c r="K276" i="13" s="1"/>
  <c r="J275" i="13"/>
  <c r="K275" i="13" s="1"/>
  <c r="K274" i="13"/>
  <c r="J274" i="13"/>
  <c r="J273" i="13"/>
  <c r="K273" i="13" s="1"/>
  <c r="J272" i="13"/>
  <c r="K272" i="13" s="1"/>
  <c r="J271" i="13"/>
  <c r="K271" i="13" s="1"/>
  <c r="J270" i="13"/>
  <c r="K270" i="13" s="1"/>
  <c r="J269" i="13"/>
  <c r="K269" i="13" s="1"/>
  <c r="J268" i="13"/>
  <c r="K268" i="13" s="1"/>
  <c r="J267" i="13"/>
  <c r="K267" i="13" s="1"/>
  <c r="J266" i="13"/>
  <c r="K266" i="13" s="1"/>
  <c r="J265" i="13"/>
  <c r="K265" i="13" s="1"/>
  <c r="J264" i="13"/>
  <c r="K264" i="13" s="1"/>
  <c r="J263" i="13"/>
  <c r="K263" i="13" s="1"/>
  <c r="J262" i="13"/>
  <c r="K262" i="13" s="1"/>
  <c r="J261" i="13"/>
  <c r="K261" i="13" s="1"/>
  <c r="J260" i="13"/>
  <c r="K260" i="13" s="1"/>
  <c r="J259" i="13"/>
  <c r="K259" i="13" s="1"/>
  <c r="J258" i="13"/>
  <c r="K258" i="13" s="1"/>
  <c r="J257" i="13"/>
  <c r="K257" i="13" s="1"/>
  <c r="J256" i="13"/>
  <c r="K256" i="13" s="1"/>
  <c r="J255" i="13"/>
  <c r="K255" i="13" s="1"/>
  <c r="J254" i="13"/>
  <c r="K254" i="13" s="1"/>
  <c r="J253" i="13"/>
  <c r="K253" i="13" s="1"/>
  <c r="J252" i="13"/>
  <c r="K252" i="13" s="1"/>
  <c r="J251" i="13"/>
  <c r="K251" i="13" s="1"/>
  <c r="K250" i="13"/>
  <c r="J250" i="13"/>
  <c r="J249" i="13"/>
  <c r="K249" i="13" s="1"/>
  <c r="J248" i="13"/>
  <c r="K248" i="13" s="1"/>
  <c r="J247" i="13"/>
  <c r="K247" i="13" s="1"/>
  <c r="J246" i="13"/>
  <c r="K246" i="13" s="1"/>
  <c r="J245" i="13"/>
  <c r="K245" i="13" s="1"/>
  <c r="J244" i="13"/>
  <c r="K244" i="13" s="1"/>
  <c r="J243" i="13"/>
  <c r="K243" i="13" s="1"/>
  <c r="L242" i="13"/>
  <c r="J242" i="13"/>
  <c r="K242" i="13" s="1"/>
  <c r="J241" i="13"/>
  <c r="K241" i="13" s="1"/>
  <c r="J240" i="13"/>
  <c r="K240" i="13" s="1"/>
  <c r="J239" i="13"/>
  <c r="K239" i="13" s="1"/>
  <c r="J238" i="13"/>
  <c r="K238" i="13" s="1"/>
  <c r="J237" i="13"/>
  <c r="K237" i="13" s="1"/>
  <c r="J236" i="13"/>
  <c r="K236" i="13" s="1"/>
  <c r="J235" i="13"/>
  <c r="K235" i="13" s="1"/>
  <c r="J234" i="13"/>
  <c r="K234" i="13" s="1"/>
  <c r="J233" i="13"/>
  <c r="K233" i="13" s="1"/>
  <c r="J232" i="13"/>
  <c r="K232" i="13" s="1"/>
  <c r="J231" i="13"/>
  <c r="K231" i="13" s="1"/>
  <c r="J230" i="13"/>
  <c r="K230" i="13" s="1"/>
  <c r="J229" i="13"/>
  <c r="K229" i="13" s="1"/>
  <c r="J228" i="13"/>
  <c r="K228" i="13" s="1"/>
  <c r="J227" i="13"/>
  <c r="K227" i="13" s="1"/>
  <c r="J226" i="13"/>
  <c r="K226" i="13" s="1"/>
  <c r="J225" i="13"/>
  <c r="K225" i="13" s="1"/>
  <c r="J224" i="13"/>
  <c r="K224" i="13" s="1"/>
  <c r="J223" i="13"/>
  <c r="K223" i="13" s="1"/>
  <c r="J222" i="13"/>
  <c r="K222" i="13" s="1"/>
  <c r="K221" i="13"/>
  <c r="J221" i="13"/>
  <c r="J220" i="13"/>
  <c r="K220" i="13" s="1"/>
  <c r="J219" i="13"/>
  <c r="K219" i="13" s="1"/>
  <c r="K218" i="13"/>
  <c r="J218" i="13"/>
  <c r="K217" i="13"/>
  <c r="J217" i="13"/>
  <c r="J216" i="13"/>
  <c r="K216" i="13" s="1"/>
  <c r="J215" i="13"/>
  <c r="K215" i="13" s="1"/>
  <c r="J214" i="13"/>
  <c r="K214" i="13" s="1"/>
  <c r="K213" i="13"/>
  <c r="J213" i="13"/>
  <c r="J212" i="13"/>
  <c r="K212" i="13" s="1"/>
  <c r="J211" i="13"/>
  <c r="K211" i="13" s="1"/>
  <c r="K210" i="13"/>
  <c r="J210" i="13"/>
  <c r="J209" i="13"/>
  <c r="K209" i="13" s="1"/>
  <c r="J208" i="13"/>
  <c r="K208" i="13" s="1"/>
  <c r="J207" i="13"/>
  <c r="K207" i="13" s="1"/>
  <c r="J206" i="13"/>
  <c r="K206" i="13" s="1"/>
  <c r="J205" i="13"/>
  <c r="K205" i="13" s="1"/>
  <c r="J204" i="13"/>
  <c r="K204" i="13" s="1"/>
  <c r="J203" i="13"/>
  <c r="K203" i="13" s="1"/>
  <c r="L202" i="13"/>
  <c r="M202" i="13" s="1"/>
  <c r="L203" i="13" s="1"/>
  <c r="M203" i="13" s="1"/>
  <c r="L204" i="13" s="1"/>
  <c r="M204" i="13" s="1"/>
  <c r="L205" i="13" s="1"/>
  <c r="K202" i="13"/>
  <c r="J202" i="13"/>
  <c r="J201" i="13"/>
  <c r="K201" i="13" s="1"/>
  <c r="J200" i="13"/>
  <c r="K200" i="13" s="1"/>
  <c r="J199" i="13"/>
  <c r="K199" i="13" s="1"/>
  <c r="K198" i="13"/>
  <c r="J198" i="13"/>
  <c r="J197" i="13"/>
  <c r="K197" i="13" s="1"/>
  <c r="J196" i="13"/>
  <c r="K196" i="13" s="1"/>
  <c r="J195" i="13"/>
  <c r="K195" i="13" s="1"/>
  <c r="K194" i="13"/>
  <c r="J194" i="13"/>
  <c r="J193" i="13"/>
  <c r="K193" i="13" s="1"/>
  <c r="J192" i="13"/>
  <c r="K192" i="13" s="1"/>
  <c r="J191" i="13"/>
  <c r="K191" i="13" s="1"/>
  <c r="J190" i="13"/>
  <c r="K190" i="13" s="1"/>
  <c r="K189" i="13"/>
  <c r="J189" i="13"/>
  <c r="J188" i="13"/>
  <c r="K188" i="13" s="1"/>
  <c r="J187" i="13"/>
  <c r="K187" i="13" s="1"/>
  <c r="J186" i="13"/>
  <c r="K186" i="13" s="1"/>
  <c r="J185" i="13"/>
  <c r="K185" i="13" s="1"/>
  <c r="J184" i="13"/>
  <c r="K184" i="13" s="1"/>
  <c r="J183" i="13"/>
  <c r="K183" i="13" s="1"/>
  <c r="J182" i="13"/>
  <c r="K182" i="13" s="1"/>
  <c r="K181" i="13"/>
  <c r="J181" i="13"/>
  <c r="J180" i="13"/>
  <c r="K180" i="13" s="1"/>
  <c r="J179" i="13"/>
  <c r="K179" i="13" s="1"/>
  <c r="J178" i="13"/>
  <c r="K178" i="13" s="1"/>
  <c r="J177" i="13"/>
  <c r="K177" i="13" s="1"/>
  <c r="J176" i="13"/>
  <c r="K176" i="13" s="1"/>
  <c r="J175" i="13"/>
  <c r="K175" i="13" s="1"/>
  <c r="J174" i="13"/>
  <c r="K174" i="13" s="1"/>
  <c r="J173" i="13"/>
  <c r="K173" i="13" s="1"/>
  <c r="J172" i="13"/>
  <c r="K172" i="13" s="1"/>
  <c r="J171" i="13"/>
  <c r="K171" i="13" s="1"/>
  <c r="J170" i="13"/>
  <c r="K170" i="13" s="1"/>
  <c r="J169" i="13"/>
  <c r="K169" i="13" s="1"/>
  <c r="J168" i="13"/>
  <c r="K168" i="13" s="1"/>
  <c r="J167" i="13"/>
  <c r="K167" i="13" s="1"/>
  <c r="J166" i="13"/>
  <c r="K166" i="13" s="1"/>
  <c r="K165" i="13"/>
  <c r="J165" i="13"/>
  <c r="J164" i="13"/>
  <c r="K164" i="13" s="1"/>
  <c r="J163" i="13"/>
  <c r="K163" i="13" s="1"/>
  <c r="L162" i="13"/>
  <c r="M162" i="13" s="1"/>
  <c r="L163" i="13" s="1"/>
  <c r="M163" i="13" s="1"/>
  <c r="L164" i="13" s="1"/>
  <c r="M164" i="13" s="1"/>
  <c r="L165" i="13" s="1"/>
  <c r="M165" i="13" s="1"/>
  <c r="L166" i="13" s="1"/>
  <c r="M166" i="13" s="1"/>
  <c r="L167" i="13" s="1"/>
  <c r="M167" i="13" s="1"/>
  <c r="L168" i="13" s="1"/>
  <c r="M168" i="13" s="1"/>
  <c r="L169" i="13" s="1"/>
  <c r="K162" i="13"/>
  <c r="J162" i="13"/>
  <c r="J161" i="13"/>
  <c r="K161" i="13" s="1"/>
  <c r="J160" i="13"/>
  <c r="K160" i="13" s="1"/>
  <c r="J159" i="13"/>
  <c r="K159" i="13" s="1"/>
  <c r="J158" i="13"/>
  <c r="K158" i="13" s="1"/>
  <c r="K157" i="13"/>
  <c r="J157" i="13"/>
  <c r="J156" i="13"/>
  <c r="K156" i="13" s="1"/>
  <c r="J155" i="13"/>
  <c r="K155" i="13" s="1"/>
  <c r="J154" i="13"/>
  <c r="K154" i="13" s="1"/>
  <c r="J153" i="13"/>
  <c r="K153" i="13" s="1"/>
  <c r="J152" i="13"/>
  <c r="K152" i="13" s="1"/>
  <c r="J151" i="13"/>
  <c r="K151" i="13" s="1"/>
  <c r="J150" i="13"/>
  <c r="K150" i="13" s="1"/>
  <c r="K149" i="13"/>
  <c r="J149" i="13"/>
  <c r="J148" i="13"/>
  <c r="K148" i="13" s="1"/>
  <c r="J147" i="13"/>
  <c r="K147" i="13" s="1"/>
  <c r="K146" i="13"/>
  <c r="J146" i="13"/>
  <c r="K145" i="13"/>
  <c r="J145" i="13"/>
  <c r="J144" i="13"/>
  <c r="K144" i="13" s="1"/>
  <c r="J143" i="13"/>
  <c r="K143" i="13" s="1"/>
  <c r="J142" i="13"/>
  <c r="K142" i="13" s="1"/>
  <c r="J141" i="13"/>
  <c r="K141" i="13" s="1"/>
  <c r="J140" i="13"/>
  <c r="K140" i="13" s="1"/>
  <c r="J139" i="13"/>
  <c r="K139" i="13" s="1"/>
  <c r="J138" i="13"/>
  <c r="K138" i="13" s="1"/>
  <c r="J137" i="13"/>
  <c r="K137" i="13" s="1"/>
  <c r="J136" i="13"/>
  <c r="K136" i="13" s="1"/>
  <c r="J135" i="13"/>
  <c r="K135" i="13" s="1"/>
  <c r="J134" i="13"/>
  <c r="K134" i="13" s="1"/>
  <c r="J133" i="13"/>
  <c r="K133" i="13" s="1"/>
  <c r="J132" i="13"/>
  <c r="K132" i="13" s="1"/>
  <c r="J131" i="13"/>
  <c r="K131" i="13" s="1"/>
  <c r="K130" i="13"/>
  <c r="J130" i="13"/>
  <c r="J129" i="13"/>
  <c r="K129" i="13" s="1"/>
  <c r="J128" i="13"/>
  <c r="K128" i="13" s="1"/>
  <c r="J127" i="13"/>
  <c r="K127" i="13" s="1"/>
  <c r="J126" i="13"/>
  <c r="K126" i="13" s="1"/>
  <c r="K125" i="13"/>
  <c r="J125" i="13"/>
  <c r="K124" i="13"/>
  <c r="J124" i="13"/>
  <c r="J123" i="13"/>
  <c r="K123" i="13" s="1"/>
  <c r="L122" i="13"/>
  <c r="J122" i="13"/>
  <c r="K122" i="13" s="1"/>
  <c r="J121" i="13"/>
  <c r="K121" i="13" s="1"/>
  <c r="J120" i="13"/>
  <c r="K120" i="13" s="1"/>
  <c r="J119" i="13"/>
  <c r="K119" i="13" s="1"/>
  <c r="J118" i="13"/>
  <c r="K118" i="13" s="1"/>
  <c r="J117" i="13"/>
  <c r="K117" i="13" s="1"/>
  <c r="J116" i="13"/>
  <c r="K116" i="13" s="1"/>
  <c r="J115" i="13"/>
  <c r="K115" i="13" s="1"/>
  <c r="J114" i="13"/>
  <c r="K114" i="13" s="1"/>
  <c r="J113" i="13"/>
  <c r="K113" i="13" s="1"/>
  <c r="J112" i="13"/>
  <c r="K112" i="13" s="1"/>
  <c r="J111" i="13"/>
  <c r="K111" i="13" s="1"/>
  <c r="J110" i="13"/>
  <c r="K110" i="13" s="1"/>
  <c r="J109" i="13"/>
  <c r="K109" i="13" s="1"/>
  <c r="J108" i="13"/>
  <c r="K108" i="13" s="1"/>
  <c r="J107" i="13"/>
  <c r="K107" i="13" s="1"/>
  <c r="K106" i="13"/>
  <c r="J106" i="13"/>
  <c r="K105" i="13"/>
  <c r="J105" i="13"/>
  <c r="J104" i="13"/>
  <c r="K104" i="13" s="1"/>
  <c r="J103" i="13"/>
  <c r="K103" i="13" s="1"/>
  <c r="J102" i="13"/>
  <c r="K102" i="13" s="1"/>
  <c r="K101" i="13"/>
  <c r="J101" i="13"/>
  <c r="J100" i="13"/>
  <c r="K100" i="13" s="1"/>
  <c r="J99" i="13"/>
  <c r="K99" i="13" s="1"/>
  <c r="J98" i="13"/>
  <c r="K98" i="13" s="1"/>
  <c r="J97" i="13"/>
  <c r="K97" i="13" s="1"/>
  <c r="J96" i="13"/>
  <c r="K96" i="13" s="1"/>
  <c r="J95" i="13"/>
  <c r="K95" i="13" s="1"/>
  <c r="J94" i="13"/>
  <c r="K94" i="13" s="1"/>
  <c r="J93" i="13"/>
  <c r="K93" i="13" s="1"/>
  <c r="J92" i="13"/>
  <c r="K92" i="13" s="1"/>
  <c r="J91" i="13"/>
  <c r="K91" i="13" s="1"/>
  <c r="J90" i="13"/>
  <c r="K90" i="13" s="1"/>
  <c r="K89" i="13"/>
  <c r="J89" i="13"/>
  <c r="J88" i="13"/>
  <c r="K88" i="13" s="1"/>
  <c r="J87" i="13"/>
  <c r="K87" i="13" s="1"/>
  <c r="J86" i="13"/>
  <c r="K86" i="13" s="1"/>
  <c r="J85" i="13"/>
  <c r="K85" i="13" s="1"/>
  <c r="J84" i="13"/>
  <c r="K84" i="13" s="1"/>
  <c r="J83" i="13"/>
  <c r="K83" i="13" s="1"/>
  <c r="L82" i="13"/>
  <c r="J82" i="13"/>
  <c r="K82" i="13" s="1"/>
  <c r="M82" i="13" s="1"/>
  <c r="L83" i="13" s="1"/>
  <c r="M83" i="13" s="1"/>
  <c r="L84" i="13" s="1"/>
  <c r="M84" i="13" s="1"/>
  <c r="L85" i="13" s="1"/>
  <c r="J81" i="13"/>
  <c r="K81" i="13" s="1"/>
  <c r="J80" i="13"/>
  <c r="K80" i="13" s="1"/>
  <c r="J79" i="13"/>
  <c r="K79" i="13" s="1"/>
  <c r="J78" i="13"/>
  <c r="K78" i="13" s="1"/>
  <c r="K77" i="13"/>
  <c r="J77" i="13"/>
  <c r="J76" i="13"/>
  <c r="K76" i="13" s="1"/>
  <c r="J75" i="13"/>
  <c r="K75" i="13" s="1"/>
  <c r="J74" i="13"/>
  <c r="K74" i="13" s="1"/>
  <c r="J73" i="13"/>
  <c r="K73" i="13" s="1"/>
  <c r="K72" i="13"/>
  <c r="J72" i="13"/>
  <c r="J71" i="13"/>
  <c r="K71" i="13" s="1"/>
  <c r="J70" i="13"/>
  <c r="K70" i="13" s="1"/>
  <c r="J69" i="13"/>
  <c r="K69" i="13" s="1"/>
  <c r="J68" i="13"/>
  <c r="K68" i="13" s="1"/>
  <c r="J67" i="13"/>
  <c r="K67" i="13" s="1"/>
  <c r="J66" i="13"/>
  <c r="K66" i="13" s="1"/>
  <c r="K65" i="13"/>
  <c r="J65" i="13"/>
  <c r="J64" i="13"/>
  <c r="K64" i="13" s="1"/>
  <c r="J63" i="13"/>
  <c r="K63" i="13" s="1"/>
  <c r="J62" i="13"/>
  <c r="K62" i="13" s="1"/>
  <c r="J61" i="13"/>
  <c r="K61" i="13" s="1"/>
  <c r="J60" i="13"/>
  <c r="K60" i="13" s="1"/>
  <c r="J59" i="13"/>
  <c r="K59" i="13" s="1"/>
  <c r="J58" i="13"/>
  <c r="K58" i="13" s="1"/>
  <c r="K57" i="13"/>
  <c r="J57" i="13"/>
  <c r="K56" i="13"/>
  <c r="J56" i="13"/>
  <c r="J55" i="13"/>
  <c r="K55" i="13" s="1"/>
  <c r="J54" i="13"/>
  <c r="K54" i="13" s="1"/>
  <c r="J53" i="13"/>
  <c r="K53" i="13" s="1"/>
  <c r="K52" i="13"/>
  <c r="J52" i="13"/>
  <c r="J51" i="13"/>
  <c r="K51" i="13" s="1"/>
  <c r="J50" i="13"/>
  <c r="K50" i="13" s="1"/>
  <c r="J49" i="13"/>
  <c r="K49" i="13" s="1"/>
  <c r="J48" i="13"/>
  <c r="K48" i="13" s="1"/>
  <c r="J47" i="13"/>
  <c r="K47" i="13" s="1"/>
  <c r="J46" i="13"/>
  <c r="K46" i="13" s="1"/>
  <c r="K45" i="13"/>
  <c r="J45" i="13"/>
  <c r="J44" i="13"/>
  <c r="K44" i="13" s="1"/>
  <c r="J43" i="13"/>
  <c r="K43" i="13" s="1"/>
  <c r="L42" i="13"/>
  <c r="M42" i="13" s="1"/>
  <c r="L43" i="13" s="1"/>
  <c r="M43" i="13" s="1"/>
  <c r="L44" i="13" s="1"/>
  <c r="M44" i="13" s="1"/>
  <c r="L45" i="13" s="1"/>
  <c r="M45" i="13" s="1"/>
  <c r="L46" i="13" s="1"/>
  <c r="M46" i="13" s="1"/>
  <c r="L47" i="13" s="1"/>
  <c r="M47" i="13" s="1"/>
  <c r="L48" i="13" s="1"/>
  <c r="M48" i="13" s="1"/>
  <c r="L49" i="13" s="1"/>
  <c r="J42" i="13"/>
  <c r="K42" i="13" s="1"/>
  <c r="J41" i="13"/>
  <c r="K41" i="13" s="1"/>
  <c r="J40" i="13"/>
  <c r="K40" i="13" s="1"/>
  <c r="J39" i="13"/>
  <c r="K39" i="13" s="1"/>
  <c r="J38" i="13"/>
  <c r="K38" i="13" s="1"/>
  <c r="J37" i="13"/>
  <c r="K37" i="13" s="1"/>
  <c r="J36" i="13"/>
  <c r="K36" i="13" s="1"/>
  <c r="J35" i="13"/>
  <c r="K35" i="13" s="1"/>
  <c r="K34" i="13"/>
  <c r="J34" i="13"/>
  <c r="J33" i="13"/>
  <c r="K33" i="13" s="1"/>
  <c r="J32" i="13"/>
  <c r="K32" i="13" s="1"/>
  <c r="J31" i="13"/>
  <c r="K31" i="13" s="1"/>
  <c r="J30" i="13"/>
  <c r="K30" i="13" s="1"/>
  <c r="K29" i="13"/>
  <c r="J29" i="13"/>
  <c r="K28" i="13"/>
  <c r="J28" i="13"/>
  <c r="J27" i="13"/>
  <c r="K27" i="13" s="1"/>
  <c r="J26" i="13"/>
  <c r="K26" i="13" s="1"/>
  <c r="J25" i="13"/>
  <c r="K25" i="13" s="1"/>
  <c r="J24" i="13"/>
  <c r="K24" i="13" s="1"/>
  <c r="J23" i="13"/>
  <c r="K23" i="13" s="1"/>
  <c r="K22" i="13"/>
  <c r="J22" i="13"/>
  <c r="J21" i="13"/>
  <c r="K21" i="13" s="1"/>
  <c r="J20" i="13"/>
  <c r="K20" i="13" s="1"/>
  <c r="J19" i="13"/>
  <c r="K19" i="13" s="1"/>
  <c r="J18" i="13"/>
  <c r="K18" i="13" s="1"/>
  <c r="J17" i="13"/>
  <c r="K17" i="13" s="1"/>
  <c r="J16" i="13"/>
  <c r="K16" i="13" s="1"/>
  <c r="J15" i="13"/>
  <c r="K15" i="13" s="1"/>
  <c r="K14" i="13"/>
  <c r="J14" i="13"/>
  <c r="J13" i="13"/>
  <c r="K13" i="13" s="1"/>
  <c r="J12" i="13"/>
  <c r="K12" i="13" s="1"/>
  <c r="J11" i="13"/>
  <c r="K11" i="13" s="1"/>
  <c r="J10" i="13"/>
  <c r="K10" i="13" s="1"/>
  <c r="K9" i="13"/>
  <c r="J9" i="13"/>
  <c r="K8" i="13"/>
  <c r="J8" i="13"/>
  <c r="J7" i="13"/>
  <c r="K7" i="13" s="1"/>
  <c r="J6" i="13"/>
  <c r="K6" i="13" s="1"/>
  <c r="J5" i="13"/>
  <c r="K5" i="13" s="1"/>
  <c r="J4" i="13"/>
  <c r="K4" i="13" s="1"/>
  <c r="J3" i="13"/>
  <c r="K3" i="13" s="1"/>
  <c r="L2" i="13"/>
  <c r="J2" i="13"/>
  <c r="K2" i="13" s="1"/>
  <c r="M2" i="13" s="1"/>
  <c r="L3" i="13" s="1"/>
  <c r="M3" i="13" s="1"/>
  <c r="L4" i="13" s="1"/>
  <c r="M4" i="13" s="1"/>
  <c r="L5" i="13" s="1"/>
  <c r="R27" i="10"/>
  <c r="O27" i="10"/>
  <c r="L27" i="10"/>
  <c r="S27" i="10" s="1"/>
  <c r="I27" i="10"/>
  <c r="F27" i="10"/>
  <c r="R26" i="10"/>
  <c r="O26" i="10"/>
  <c r="L26" i="10"/>
  <c r="S26" i="10" s="1"/>
  <c r="I26" i="10"/>
  <c r="F26" i="10"/>
  <c r="S25" i="10"/>
  <c r="R25" i="10"/>
  <c r="O25" i="10"/>
  <c r="L25" i="10"/>
  <c r="I25" i="10"/>
  <c r="F25" i="10"/>
  <c r="R24" i="10"/>
  <c r="O24" i="10"/>
  <c r="L24" i="10"/>
  <c r="S24" i="10" s="1"/>
  <c r="I24" i="10"/>
  <c r="F24" i="10"/>
  <c r="R23" i="10"/>
  <c r="O23" i="10"/>
  <c r="L23" i="10"/>
  <c r="S23" i="10" s="1"/>
  <c r="I23" i="10"/>
  <c r="F23" i="10"/>
  <c r="R22" i="10"/>
  <c r="O22" i="10"/>
  <c r="L22" i="10"/>
  <c r="S22" i="10" s="1"/>
  <c r="I22" i="10"/>
  <c r="F22" i="10"/>
  <c r="R21" i="10"/>
  <c r="O21" i="10"/>
  <c r="L21" i="10"/>
  <c r="S21" i="10" s="1"/>
  <c r="I21" i="10"/>
  <c r="F21" i="10"/>
  <c r="S20" i="10"/>
  <c r="R20" i="10"/>
  <c r="O20" i="10"/>
  <c r="L20" i="10"/>
  <c r="I20" i="10"/>
  <c r="F20" i="10"/>
  <c r="R19" i="10"/>
  <c r="O19" i="10"/>
  <c r="L19" i="10"/>
  <c r="S19" i="10" s="1"/>
  <c r="I19" i="10"/>
  <c r="F19" i="10"/>
  <c r="R18" i="10"/>
  <c r="O18" i="10"/>
  <c r="L18" i="10"/>
  <c r="S18" i="10" s="1"/>
  <c r="I18" i="10"/>
  <c r="F18" i="10"/>
  <c r="S17" i="10"/>
  <c r="R17" i="10"/>
  <c r="O17" i="10"/>
  <c r="L17" i="10"/>
  <c r="I17" i="10"/>
  <c r="F17" i="10"/>
  <c r="S16" i="10"/>
  <c r="R16" i="10"/>
  <c r="O16" i="10"/>
  <c r="L16" i="10"/>
  <c r="I16" i="10"/>
  <c r="F16" i="10"/>
  <c r="R15" i="10"/>
  <c r="O15" i="10"/>
  <c r="L15" i="10"/>
  <c r="S15" i="10" s="1"/>
  <c r="I15" i="10"/>
  <c r="F15" i="10"/>
  <c r="R14" i="10"/>
  <c r="O14" i="10"/>
  <c r="L14" i="10"/>
  <c r="S14" i="10" s="1"/>
  <c r="I14" i="10"/>
  <c r="F14" i="10"/>
  <c r="R13" i="10"/>
  <c r="O13" i="10"/>
  <c r="L13" i="10"/>
  <c r="S13" i="10" s="1"/>
  <c r="I13" i="10"/>
  <c r="F13" i="10"/>
  <c r="R12" i="10"/>
  <c r="O12" i="10"/>
  <c r="L12" i="10"/>
  <c r="S12" i="10" s="1"/>
  <c r="I12" i="10"/>
  <c r="F12" i="10"/>
  <c r="R11" i="10"/>
  <c r="O11" i="10"/>
  <c r="L11" i="10"/>
  <c r="S11" i="10" s="1"/>
  <c r="I11" i="10"/>
  <c r="F11" i="10"/>
  <c r="R10" i="10"/>
  <c r="O10" i="10"/>
  <c r="L10" i="10"/>
  <c r="S10" i="10" s="1"/>
  <c r="I10" i="10"/>
  <c r="F10" i="10"/>
  <c r="R9" i="10"/>
  <c r="O9" i="10"/>
  <c r="L9" i="10"/>
  <c r="S9" i="10" s="1"/>
  <c r="I9" i="10"/>
  <c r="F9" i="10"/>
  <c r="R8" i="10"/>
  <c r="O8" i="10"/>
  <c r="L8" i="10"/>
  <c r="S8" i="10" s="1"/>
  <c r="I8" i="10"/>
  <c r="F8" i="10"/>
  <c r="R7" i="10"/>
  <c r="O7" i="10"/>
  <c r="L7" i="10"/>
  <c r="S7" i="10" s="1"/>
  <c r="I7" i="10"/>
  <c r="F7" i="10"/>
  <c r="R6" i="10"/>
  <c r="O6" i="10"/>
  <c r="L6" i="10"/>
  <c r="S6" i="10" s="1"/>
  <c r="I6" i="10"/>
  <c r="F6" i="10"/>
  <c r="R5" i="10"/>
  <c r="O5" i="10"/>
  <c r="L5" i="10"/>
  <c r="S5" i="10" s="1"/>
  <c r="I5" i="10"/>
  <c r="F5" i="10"/>
  <c r="R4" i="10"/>
  <c r="O4" i="10"/>
  <c r="L4" i="10"/>
  <c r="S4" i="10" s="1"/>
  <c r="I4" i="10"/>
  <c r="F4" i="10"/>
  <c r="R3" i="10"/>
  <c r="O3" i="10"/>
  <c r="L3" i="10"/>
  <c r="S3" i="10" s="1"/>
  <c r="I3" i="10"/>
  <c r="F3" i="10"/>
  <c r="R2" i="10"/>
  <c r="O2" i="10"/>
  <c r="L2" i="10"/>
  <c r="S2" i="10" s="1"/>
  <c r="I2" i="10"/>
  <c r="F2" i="10"/>
  <c r="J365" i="6"/>
  <c r="H365" i="6"/>
  <c r="J364" i="6"/>
  <c r="H364" i="6"/>
  <c r="J363" i="6"/>
  <c r="H363" i="6"/>
  <c r="J362" i="6"/>
  <c r="H362" i="6"/>
  <c r="J361" i="6"/>
  <c r="H361" i="6"/>
  <c r="J360" i="6"/>
  <c r="H360" i="6"/>
  <c r="J359" i="6"/>
  <c r="H359" i="6"/>
  <c r="J358" i="6"/>
  <c r="H358" i="6"/>
  <c r="J357" i="6"/>
  <c r="H357" i="6"/>
  <c r="J356" i="6"/>
  <c r="H356" i="6"/>
  <c r="J355" i="6"/>
  <c r="H355" i="6"/>
  <c r="J354" i="6"/>
  <c r="H354" i="6"/>
  <c r="J353" i="6"/>
  <c r="H353" i="6"/>
  <c r="J352" i="6"/>
  <c r="H352" i="6"/>
  <c r="J351" i="6"/>
  <c r="H351" i="6"/>
  <c r="J350" i="6"/>
  <c r="H350" i="6"/>
  <c r="J349" i="6"/>
  <c r="H349" i="6"/>
  <c r="J348" i="6"/>
  <c r="H348" i="6"/>
  <c r="J347" i="6"/>
  <c r="H347" i="6"/>
  <c r="J346" i="6"/>
  <c r="H346" i="6"/>
  <c r="J345" i="6"/>
  <c r="H345" i="6"/>
  <c r="J344" i="6"/>
  <c r="H344" i="6"/>
  <c r="J343" i="6"/>
  <c r="H343" i="6"/>
  <c r="J342" i="6"/>
  <c r="H342" i="6"/>
  <c r="J341" i="6"/>
  <c r="H341" i="6"/>
  <c r="J340" i="6"/>
  <c r="H340" i="6"/>
  <c r="J339" i="6"/>
  <c r="H339" i="6"/>
  <c r="J338" i="6"/>
  <c r="H338" i="6"/>
  <c r="J337" i="6"/>
  <c r="H337" i="6"/>
  <c r="J336" i="6"/>
  <c r="H336" i="6"/>
  <c r="J335" i="6"/>
  <c r="H335" i="6"/>
  <c r="J334" i="6"/>
  <c r="H334" i="6"/>
  <c r="J333" i="6"/>
  <c r="H333" i="6"/>
  <c r="J332" i="6"/>
  <c r="H332" i="6"/>
  <c r="J331" i="6"/>
  <c r="H331" i="6"/>
  <c r="J330" i="6"/>
  <c r="H330" i="6"/>
  <c r="J329" i="6"/>
  <c r="H329" i="6"/>
  <c r="J328" i="6"/>
  <c r="H328" i="6"/>
  <c r="J327" i="6"/>
  <c r="H327" i="6"/>
  <c r="J326" i="6"/>
  <c r="H326" i="6"/>
  <c r="J325" i="6"/>
  <c r="H325" i="6"/>
  <c r="J324" i="6"/>
  <c r="H324" i="6"/>
  <c r="J323" i="6"/>
  <c r="H323" i="6"/>
  <c r="J322" i="6"/>
  <c r="H322" i="6"/>
  <c r="J321" i="6"/>
  <c r="H321" i="6"/>
  <c r="J320" i="6"/>
  <c r="H320" i="6"/>
  <c r="J319" i="6"/>
  <c r="H319" i="6"/>
  <c r="J318" i="6"/>
  <c r="H318" i="6"/>
  <c r="J317" i="6"/>
  <c r="H317" i="6"/>
  <c r="J316" i="6"/>
  <c r="H316" i="6"/>
  <c r="J315" i="6"/>
  <c r="H315" i="6"/>
  <c r="J314" i="6"/>
  <c r="H314" i="6"/>
  <c r="J313" i="6"/>
  <c r="H313" i="6"/>
  <c r="J312" i="6"/>
  <c r="H312" i="6"/>
  <c r="J311" i="6"/>
  <c r="H311" i="6"/>
  <c r="J310" i="6"/>
  <c r="H310" i="6"/>
  <c r="J309" i="6"/>
  <c r="H309" i="6"/>
  <c r="J308" i="6"/>
  <c r="H308" i="6"/>
  <c r="J307" i="6"/>
  <c r="H307" i="6"/>
  <c r="J306" i="6"/>
  <c r="H306" i="6"/>
  <c r="J305" i="6"/>
  <c r="H305" i="6"/>
  <c r="J304" i="6"/>
  <c r="H304" i="6"/>
  <c r="J303" i="6"/>
  <c r="H303" i="6"/>
  <c r="J302" i="6"/>
  <c r="H302" i="6"/>
  <c r="J301" i="6"/>
  <c r="H301" i="6"/>
  <c r="J300" i="6"/>
  <c r="H300" i="6"/>
  <c r="J299" i="6"/>
  <c r="H299" i="6"/>
  <c r="J298" i="6"/>
  <c r="H298" i="6"/>
  <c r="J297" i="6"/>
  <c r="H297" i="6"/>
  <c r="J296" i="6"/>
  <c r="H296" i="6"/>
  <c r="J295" i="6"/>
  <c r="H295" i="6"/>
  <c r="J294" i="6"/>
  <c r="H294" i="6"/>
  <c r="J293" i="6"/>
  <c r="H293" i="6"/>
  <c r="J292" i="6"/>
  <c r="H292" i="6"/>
  <c r="J291" i="6"/>
  <c r="H291" i="6"/>
  <c r="J290" i="6"/>
  <c r="H290" i="6"/>
  <c r="J289" i="6"/>
  <c r="H289" i="6"/>
  <c r="J288" i="6"/>
  <c r="H288" i="6"/>
  <c r="J287" i="6"/>
  <c r="H287" i="6"/>
  <c r="J286" i="6"/>
  <c r="H286" i="6"/>
  <c r="J285" i="6"/>
  <c r="H285" i="6"/>
  <c r="J284" i="6"/>
  <c r="H284" i="6"/>
  <c r="J283" i="6"/>
  <c r="H283" i="6"/>
  <c r="J282" i="6"/>
  <c r="H282" i="6"/>
  <c r="J281" i="6"/>
  <c r="H281" i="6"/>
  <c r="J280" i="6"/>
  <c r="H280" i="6"/>
  <c r="J279" i="6"/>
  <c r="H279" i="6"/>
  <c r="J278" i="6"/>
  <c r="H278" i="6"/>
  <c r="J277" i="6"/>
  <c r="H277" i="6"/>
  <c r="J276" i="6"/>
  <c r="H276" i="6"/>
  <c r="J275" i="6"/>
  <c r="H275" i="6"/>
  <c r="J274" i="6"/>
  <c r="H274" i="6"/>
  <c r="J273" i="6"/>
  <c r="H273" i="6"/>
  <c r="J272" i="6"/>
  <c r="H272" i="6"/>
  <c r="J271" i="6"/>
  <c r="H271" i="6"/>
  <c r="J270" i="6"/>
  <c r="H270" i="6"/>
  <c r="J269" i="6"/>
  <c r="H269" i="6"/>
  <c r="J268" i="6"/>
  <c r="H268" i="6"/>
  <c r="J267" i="6"/>
  <c r="H267" i="6"/>
  <c r="J266" i="6"/>
  <c r="H266" i="6"/>
  <c r="J265" i="6"/>
  <c r="H265" i="6"/>
  <c r="J264" i="6"/>
  <c r="H264" i="6"/>
  <c r="J263" i="6"/>
  <c r="H263" i="6"/>
  <c r="J262" i="6"/>
  <c r="H262" i="6"/>
  <c r="J261" i="6"/>
  <c r="H261" i="6"/>
  <c r="J260" i="6"/>
  <c r="H260" i="6"/>
  <c r="J259" i="6"/>
  <c r="H259" i="6"/>
  <c r="J258" i="6"/>
  <c r="H258" i="6"/>
  <c r="J257" i="6"/>
  <c r="H257" i="6"/>
  <c r="J256" i="6"/>
  <c r="H256" i="6"/>
  <c r="J255" i="6"/>
  <c r="H255" i="6"/>
  <c r="J254" i="6"/>
  <c r="H254" i="6"/>
  <c r="J253" i="6"/>
  <c r="H253" i="6"/>
  <c r="J252" i="6"/>
  <c r="H252" i="6"/>
  <c r="J251" i="6"/>
  <c r="H251" i="6"/>
  <c r="J250" i="6"/>
  <c r="H250" i="6"/>
  <c r="J249" i="6"/>
  <c r="H249" i="6"/>
  <c r="J248" i="6"/>
  <c r="H248" i="6"/>
  <c r="J247" i="6"/>
  <c r="H247" i="6"/>
  <c r="J246" i="6"/>
  <c r="H246" i="6"/>
  <c r="J245" i="6"/>
  <c r="H245" i="6"/>
  <c r="J244" i="6"/>
  <c r="H244" i="6"/>
  <c r="J243" i="6"/>
  <c r="H243" i="6"/>
  <c r="J242" i="6"/>
  <c r="H242" i="6"/>
  <c r="J241" i="6"/>
  <c r="H241" i="6"/>
  <c r="J240" i="6"/>
  <c r="H240" i="6"/>
  <c r="J239" i="6"/>
  <c r="H239" i="6"/>
  <c r="J238" i="6"/>
  <c r="H238" i="6"/>
  <c r="J237" i="6"/>
  <c r="H237" i="6"/>
  <c r="J236" i="6"/>
  <c r="H236" i="6"/>
  <c r="J235" i="6"/>
  <c r="H235" i="6"/>
  <c r="J234" i="6"/>
  <c r="H234" i="6"/>
  <c r="J233" i="6"/>
  <c r="H233" i="6"/>
  <c r="J232" i="6"/>
  <c r="H232" i="6"/>
  <c r="J231" i="6"/>
  <c r="H231" i="6"/>
  <c r="J230" i="6"/>
  <c r="H230" i="6"/>
  <c r="J229" i="6"/>
  <c r="H229" i="6"/>
  <c r="J228" i="6"/>
  <c r="H228" i="6"/>
  <c r="J227" i="6"/>
  <c r="H227" i="6"/>
  <c r="J226" i="6"/>
  <c r="H226" i="6"/>
  <c r="J225" i="6"/>
  <c r="H225" i="6"/>
  <c r="J224" i="6"/>
  <c r="H224" i="6"/>
  <c r="J223" i="6"/>
  <c r="H223" i="6"/>
  <c r="J222" i="6"/>
  <c r="H222" i="6"/>
  <c r="J221" i="6"/>
  <c r="H221" i="6"/>
  <c r="J220" i="6"/>
  <c r="H220" i="6"/>
  <c r="J219" i="6"/>
  <c r="H219" i="6"/>
  <c r="J218" i="6"/>
  <c r="H218" i="6"/>
  <c r="J217" i="6"/>
  <c r="H217" i="6"/>
  <c r="J216" i="6"/>
  <c r="H216" i="6"/>
  <c r="J215" i="6"/>
  <c r="H215" i="6"/>
  <c r="J214" i="6"/>
  <c r="H214" i="6"/>
  <c r="J213" i="6"/>
  <c r="H213" i="6"/>
  <c r="J212" i="6"/>
  <c r="H212" i="6"/>
  <c r="J211" i="6"/>
  <c r="H211" i="6"/>
  <c r="J210" i="6"/>
  <c r="H210" i="6"/>
  <c r="J209" i="6"/>
  <c r="H209" i="6"/>
  <c r="J208" i="6"/>
  <c r="H208" i="6"/>
  <c r="J207" i="6"/>
  <c r="H207" i="6"/>
  <c r="J206" i="6"/>
  <c r="H206" i="6"/>
  <c r="J205" i="6"/>
  <c r="H205" i="6"/>
  <c r="J204" i="6"/>
  <c r="H204" i="6"/>
  <c r="J203" i="6"/>
  <c r="H203" i="6"/>
  <c r="J202" i="6"/>
  <c r="H202" i="6"/>
  <c r="J201" i="6"/>
  <c r="H201" i="6"/>
  <c r="J200" i="6"/>
  <c r="H200" i="6"/>
  <c r="J199" i="6"/>
  <c r="H199" i="6"/>
  <c r="J198" i="6"/>
  <c r="H198" i="6"/>
  <c r="J197" i="6"/>
  <c r="H197" i="6"/>
  <c r="J196" i="6"/>
  <c r="H196" i="6"/>
  <c r="J195" i="6"/>
  <c r="H195" i="6"/>
  <c r="J194" i="6"/>
  <c r="H194" i="6"/>
  <c r="J193" i="6"/>
  <c r="H193" i="6"/>
  <c r="J192" i="6"/>
  <c r="H192" i="6"/>
  <c r="J191" i="6"/>
  <c r="H191" i="6"/>
  <c r="J190" i="6"/>
  <c r="H190" i="6"/>
  <c r="J189" i="6"/>
  <c r="H189" i="6"/>
  <c r="J188" i="6"/>
  <c r="H188" i="6"/>
  <c r="J187" i="6"/>
  <c r="H187" i="6"/>
  <c r="J186" i="6"/>
  <c r="H186" i="6"/>
  <c r="J185" i="6"/>
  <c r="H185" i="6"/>
  <c r="J184" i="6"/>
  <c r="H184" i="6"/>
  <c r="J183" i="6"/>
  <c r="H183" i="6"/>
  <c r="J182" i="6"/>
  <c r="H182" i="6"/>
  <c r="J181" i="6"/>
  <c r="H181" i="6"/>
  <c r="J180" i="6"/>
  <c r="H180" i="6"/>
  <c r="J179" i="6"/>
  <c r="H179" i="6"/>
  <c r="J178" i="6"/>
  <c r="H178" i="6"/>
  <c r="J177" i="6"/>
  <c r="H177" i="6"/>
  <c r="J176" i="6"/>
  <c r="H176" i="6"/>
  <c r="J175" i="6"/>
  <c r="H175" i="6"/>
  <c r="J174" i="6"/>
  <c r="H174" i="6"/>
  <c r="J173" i="6"/>
  <c r="H173" i="6"/>
  <c r="J172" i="6"/>
  <c r="H172" i="6"/>
  <c r="J171" i="6"/>
  <c r="H171" i="6"/>
  <c r="J170" i="6"/>
  <c r="H170" i="6"/>
  <c r="J169" i="6"/>
  <c r="H169" i="6"/>
  <c r="J168" i="6"/>
  <c r="H168" i="6"/>
  <c r="J167" i="6"/>
  <c r="H167" i="6"/>
  <c r="J166" i="6"/>
  <c r="H166" i="6"/>
  <c r="J165" i="6"/>
  <c r="H165" i="6"/>
  <c r="J164" i="6"/>
  <c r="H164" i="6"/>
  <c r="J163" i="6"/>
  <c r="H163" i="6"/>
  <c r="J162" i="6"/>
  <c r="H162" i="6"/>
  <c r="J161" i="6"/>
  <c r="H161" i="6"/>
  <c r="J160" i="6"/>
  <c r="H160" i="6"/>
  <c r="J159" i="6"/>
  <c r="H159" i="6"/>
  <c r="J158" i="6"/>
  <c r="H158" i="6"/>
  <c r="J157" i="6"/>
  <c r="H157" i="6"/>
  <c r="J156" i="6"/>
  <c r="H156" i="6"/>
  <c r="J155" i="6"/>
  <c r="H155" i="6"/>
  <c r="J154" i="6"/>
  <c r="H154" i="6"/>
  <c r="J153" i="6"/>
  <c r="H153" i="6"/>
  <c r="J152" i="6"/>
  <c r="H152" i="6"/>
  <c r="J151" i="6"/>
  <c r="H151" i="6"/>
  <c r="J150" i="6"/>
  <c r="H150" i="6"/>
  <c r="J149" i="6"/>
  <c r="H149" i="6"/>
  <c r="J148" i="6"/>
  <c r="H148" i="6"/>
  <c r="J147" i="6"/>
  <c r="H147" i="6"/>
  <c r="J146" i="6"/>
  <c r="H146" i="6"/>
  <c r="J145" i="6"/>
  <c r="H145" i="6"/>
  <c r="J144" i="6"/>
  <c r="H144" i="6"/>
  <c r="J143" i="6"/>
  <c r="H143" i="6"/>
  <c r="J142" i="6"/>
  <c r="H142" i="6"/>
  <c r="J141" i="6"/>
  <c r="H141" i="6"/>
  <c r="J140" i="6"/>
  <c r="H140" i="6"/>
  <c r="J139" i="6"/>
  <c r="H139" i="6"/>
  <c r="J138" i="6"/>
  <c r="H138" i="6"/>
  <c r="J137" i="6"/>
  <c r="H137" i="6"/>
  <c r="J136" i="6"/>
  <c r="H136" i="6"/>
  <c r="J135" i="6"/>
  <c r="H135" i="6"/>
  <c r="J134" i="6"/>
  <c r="H134" i="6"/>
  <c r="J133" i="6"/>
  <c r="H133" i="6"/>
  <c r="J132" i="6"/>
  <c r="H132" i="6"/>
  <c r="J131" i="6"/>
  <c r="H131" i="6"/>
  <c r="J130" i="6"/>
  <c r="H130" i="6"/>
  <c r="J129" i="6"/>
  <c r="H129" i="6"/>
  <c r="J128" i="6"/>
  <c r="H128" i="6"/>
  <c r="J127" i="6"/>
  <c r="H127" i="6"/>
  <c r="J126" i="6"/>
  <c r="H126" i="6"/>
  <c r="J125" i="6"/>
  <c r="H125" i="6"/>
  <c r="J124" i="6"/>
  <c r="H124" i="6"/>
  <c r="J123" i="6"/>
  <c r="H123" i="6"/>
  <c r="J122" i="6"/>
  <c r="H122" i="6"/>
  <c r="J121" i="6"/>
  <c r="H121" i="6"/>
  <c r="J120" i="6"/>
  <c r="H120" i="6"/>
  <c r="J119" i="6"/>
  <c r="H119" i="6"/>
  <c r="J118" i="6"/>
  <c r="H118" i="6"/>
  <c r="J117" i="6"/>
  <c r="H117" i="6"/>
  <c r="J116" i="6"/>
  <c r="H116" i="6"/>
  <c r="J115" i="6"/>
  <c r="H115" i="6"/>
  <c r="J114" i="6"/>
  <c r="H114" i="6"/>
  <c r="J113" i="6"/>
  <c r="H113" i="6"/>
  <c r="J112" i="6"/>
  <c r="H112" i="6"/>
  <c r="J111" i="6"/>
  <c r="H111" i="6"/>
  <c r="J110" i="6"/>
  <c r="H110" i="6"/>
  <c r="J109" i="6"/>
  <c r="H109" i="6"/>
  <c r="J108" i="6"/>
  <c r="H108" i="6"/>
  <c r="J107" i="6"/>
  <c r="H107" i="6"/>
  <c r="J106" i="6"/>
  <c r="H106" i="6"/>
  <c r="J105" i="6"/>
  <c r="H105" i="6"/>
  <c r="J104" i="6"/>
  <c r="H104" i="6"/>
  <c r="J103" i="6"/>
  <c r="H103" i="6"/>
  <c r="J102" i="6"/>
  <c r="H102" i="6"/>
  <c r="J101" i="6"/>
  <c r="H101" i="6"/>
  <c r="J100" i="6"/>
  <c r="H100" i="6"/>
  <c r="J99" i="6"/>
  <c r="H99" i="6"/>
  <c r="J98" i="6"/>
  <c r="H98" i="6"/>
  <c r="J97" i="6"/>
  <c r="H97" i="6"/>
  <c r="J96" i="6"/>
  <c r="H96" i="6"/>
  <c r="J95" i="6"/>
  <c r="H95" i="6"/>
  <c r="J94" i="6"/>
  <c r="H94" i="6"/>
  <c r="J93" i="6"/>
  <c r="H93" i="6"/>
  <c r="J92" i="6"/>
  <c r="H92" i="6"/>
  <c r="J91" i="6"/>
  <c r="H91" i="6"/>
  <c r="J90" i="6"/>
  <c r="H90" i="6"/>
  <c r="J89" i="6"/>
  <c r="H89" i="6"/>
  <c r="J88" i="6"/>
  <c r="H88" i="6"/>
  <c r="J87" i="6"/>
  <c r="H87" i="6"/>
  <c r="J86" i="6"/>
  <c r="H86" i="6"/>
  <c r="J85" i="6"/>
  <c r="H85" i="6"/>
  <c r="J84" i="6"/>
  <c r="H84" i="6"/>
  <c r="J83" i="6"/>
  <c r="H83" i="6"/>
  <c r="J82" i="6"/>
  <c r="H82" i="6"/>
  <c r="J81" i="6"/>
  <c r="H81" i="6"/>
  <c r="J80" i="6"/>
  <c r="H80" i="6"/>
  <c r="J79" i="6"/>
  <c r="H79" i="6"/>
  <c r="J78" i="6"/>
  <c r="H78" i="6"/>
  <c r="J77" i="6"/>
  <c r="H77" i="6"/>
  <c r="J76" i="6"/>
  <c r="H76" i="6"/>
  <c r="J75" i="6"/>
  <c r="H75" i="6"/>
  <c r="J74" i="6"/>
  <c r="H74" i="6"/>
  <c r="J73" i="6"/>
  <c r="H73" i="6"/>
  <c r="J72" i="6"/>
  <c r="H72" i="6"/>
  <c r="J71" i="6"/>
  <c r="H71" i="6"/>
  <c r="J70" i="6"/>
  <c r="H70" i="6"/>
  <c r="J69" i="6"/>
  <c r="H69" i="6"/>
  <c r="J68" i="6"/>
  <c r="H68" i="6"/>
  <c r="J67" i="6"/>
  <c r="H67" i="6"/>
  <c r="J66" i="6"/>
  <c r="H66" i="6"/>
  <c r="J65" i="6"/>
  <c r="H65" i="6"/>
  <c r="J64" i="6"/>
  <c r="H64" i="6"/>
  <c r="J63" i="6"/>
  <c r="H63" i="6"/>
  <c r="J62" i="6"/>
  <c r="H62" i="6"/>
  <c r="J61" i="6"/>
  <c r="H61" i="6"/>
  <c r="J60" i="6"/>
  <c r="H60" i="6"/>
  <c r="J59" i="6"/>
  <c r="H59" i="6"/>
  <c r="J58" i="6"/>
  <c r="H58" i="6"/>
  <c r="J57" i="6"/>
  <c r="H57" i="6"/>
  <c r="J56" i="6"/>
  <c r="H56" i="6"/>
  <c r="J55" i="6"/>
  <c r="H55" i="6"/>
  <c r="J54" i="6"/>
  <c r="H54" i="6"/>
  <c r="J53" i="6"/>
  <c r="H53" i="6"/>
  <c r="J52" i="6"/>
  <c r="H52" i="6"/>
  <c r="J51" i="6"/>
  <c r="H51" i="6"/>
  <c r="J50" i="6"/>
  <c r="H50" i="6"/>
  <c r="J49" i="6"/>
  <c r="H49" i="6"/>
  <c r="J48" i="6"/>
  <c r="H48" i="6"/>
  <c r="J47" i="6"/>
  <c r="H47" i="6"/>
  <c r="J46" i="6"/>
  <c r="H46" i="6"/>
  <c r="J45" i="6"/>
  <c r="H45" i="6"/>
  <c r="J44" i="6"/>
  <c r="H44" i="6"/>
  <c r="J43" i="6"/>
  <c r="H43" i="6"/>
  <c r="J42" i="6"/>
  <c r="H42" i="6"/>
  <c r="J41" i="6"/>
  <c r="H41" i="6"/>
  <c r="J40" i="6"/>
  <c r="H40" i="6"/>
  <c r="J39" i="6"/>
  <c r="H39" i="6"/>
  <c r="J38" i="6"/>
  <c r="H38" i="6"/>
  <c r="J37" i="6"/>
  <c r="H37" i="6"/>
  <c r="J36" i="6"/>
  <c r="H36" i="6"/>
  <c r="J35" i="6"/>
  <c r="H35" i="6"/>
  <c r="J34" i="6"/>
  <c r="H34" i="6"/>
  <c r="J33" i="6"/>
  <c r="H33" i="6"/>
  <c r="J32" i="6"/>
  <c r="H32" i="6"/>
  <c r="J31" i="6"/>
  <c r="H31" i="6"/>
  <c r="J30" i="6"/>
  <c r="H30" i="6"/>
  <c r="J29" i="6"/>
  <c r="H29" i="6"/>
  <c r="J28" i="6"/>
  <c r="H28" i="6"/>
  <c r="J27" i="6"/>
  <c r="H27" i="6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J2" i="6"/>
  <c r="H2" i="6"/>
  <c r="V6" i="5"/>
  <c r="U6" i="5"/>
  <c r="T6" i="5"/>
  <c r="S6" i="5"/>
  <c r="X5" i="5"/>
  <c r="V5" i="5"/>
  <c r="U5" i="5"/>
  <c r="T5" i="5"/>
  <c r="S5" i="5"/>
  <c r="V4" i="5"/>
  <c r="U4" i="5"/>
  <c r="T4" i="5"/>
  <c r="S4" i="5"/>
  <c r="V3" i="5"/>
  <c r="U3" i="5"/>
  <c r="T3" i="5"/>
  <c r="S3" i="5"/>
  <c r="X2" i="5"/>
  <c r="V2" i="5"/>
  <c r="U2" i="5"/>
  <c r="T2" i="5"/>
  <c r="S2" i="5"/>
  <c r="U7" i="4"/>
  <c r="V7" i="4" s="1"/>
  <c r="P7" i="4"/>
  <c r="U6" i="4"/>
  <c r="V6" i="4" s="1"/>
  <c r="P6" i="4"/>
  <c r="U5" i="4"/>
  <c r="V5" i="4" s="1"/>
  <c r="P5" i="4"/>
  <c r="U4" i="4"/>
  <c r="V4" i="4" s="1"/>
  <c r="P4" i="4"/>
  <c r="U3" i="4"/>
  <c r="V3" i="4" s="1"/>
  <c r="P3" i="4"/>
  <c r="U2" i="4"/>
  <c r="P2" i="4"/>
  <c r="H6" i="22"/>
  <c r="H5" i="22"/>
  <c r="E3" i="22"/>
  <c r="H3" i="22" s="1"/>
  <c r="E2" i="22"/>
  <c r="H2" i="22" s="1"/>
  <c r="N105" i="21"/>
  <c r="N104" i="21"/>
  <c r="N103" i="21"/>
  <c r="N102" i="21"/>
  <c r="N101" i="21"/>
  <c r="N100" i="21"/>
  <c r="N99" i="21"/>
  <c r="N98" i="21"/>
  <c r="N97" i="21"/>
  <c r="N96" i="21"/>
  <c r="N95" i="21"/>
  <c r="M95" i="21"/>
  <c r="N94" i="21"/>
  <c r="N93" i="21"/>
  <c r="N92" i="21"/>
  <c r="N91" i="21"/>
  <c r="N90" i="21"/>
  <c r="N89" i="21"/>
  <c r="N88" i="21"/>
  <c r="N87" i="21"/>
  <c r="N86" i="21"/>
  <c r="N85" i="21"/>
  <c r="M85" i="21"/>
  <c r="N84" i="21"/>
  <c r="N83" i="21"/>
  <c r="N82" i="21"/>
  <c r="N81" i="21"/>
  <c r="N80" i="21"/>
  <c r="M80" i="21"/>
  <c r="N79" i="21"/>
  <c r="N78" i="21"/>
  <c r="N77" i="21"/>
  <c r="N76" i="21"/>
  <c r="N75" i="21"/>
  <c r="N74" i="21"/>
  <c r="N73" i="21"/>
  <c r="N72" i="21"/>
  <c r="N71" i="21"/>
  <c r="N70" i="21"/>
  <c r="N69" i="21"/>
  <c r="M69" i="21"/>
  <c r="N68" i="21"/>
  <c r="N67" i="21"/>
  <c r="N66" i="21"/>
  <c r="N65" i="21"/>
  <c r="N64" i="21"/>
  <c r="N63" i="21"/>
  <c r="N62" i="21"/>
  <c r="N61" i="21"/>
  <c r="N60" i="21"/>
  <c r="N59" i="21"/>
  <c r="M59" i="21"/>
  <c r="N58" i="21"/>
  <c r="N57" i="21"/>
  <c r="N56" i="21"/>
  <c r="N55" i="21"/>
  <c r="N54" i="21"/>
  <c r="M54" i="21"/>
  <c r="N53" i="21"/>
  <c r="N52" i="21"/>
  <c r="N51" i="21"/>
  <c r="N50" i="21"/>
  <c r="N49" i="21"/>
  <c r="N48" i="21"/>
  <c r="N47" i="21"/>
  <c r="N46" i="21"/>
  <c r="N45" i="21"/>
  <c r="N44" i="21"/>
  <c r="N43" i="21"/>
  <c r="M43" i="21"/>
  <c r="N42" i="21"/>
  <c r="N41" i="21"/>
  <c r="N40" i="21"/>
  <c r="N39" i="21"/>
  <c r="N38" i="21"/>
  <c r="N37" i="21"/>
  <c r="N36" i="21"/>
  <c r="N35" i="21"/>
  <c r="N34" i="21"/>
  <c r="N33" i="21"/>
  <c r="M33" i="21"/>
  <c r="N32" i="21"/>
  <c r="N31" i="21"/>
  <c r="N30" i="21"/>
  <c r="N29" i="21"/>
  <c r="N28" i="21"/>
  <c r="M28" i="21"/>
  <c r="N27" i="21"/>
  <c r="N26" i="21"/>
  <c r="N25" i="21"/>
  <c r="N24" i="21"/>
  <c r="N23" i="21"/>
  <c r="N22" i="21"/>
  <c r="N21" i="21"/>
  <c r="N20" i="21"/>
  <c r="N19" i="21"/>
  <c r="N18" i="21"/>
  <c r="N17" i="21"/>
  <c r="M17" i="21"/>
  <c r="N16" i="21"/>
  <c r="N15" i="21"/>
  <c r="N14" i="21"/>
  <c r="N13" i="21"/>
  <c r="N12" i="21"/>
  <c r="N11" i="21"/>
  <c r="N10" i="21"/>
  <c r="N9" i="21"/>
  <c r="N8" i="21"/>
  <c r="N7" i="21"/>
  <c r="M7" i="21"/>
  <c r="N6" i="21"/>
  <c r="N5" i="21"/>
  <c r="N4" i="21"/>
  <c r="N3" i="21"/>
  <c r="N2" i="21"/>
  <c r="M2" i="21"/>
  <c r="B16" i="3"/>
  <c r="B15" i="3"/>
  <c r="B14" i="3"/>
  <c r="B13" i="3"/>
  <c r="B12" i="3"/>
  <c r="B11" i="3"/>
  <c r="B9" i="3"/>
  <c r="B8" i="3"/>
  <c r="M242" i="13" l="1"/>
  <c r="L243" i="13" s="1"/>
  <c r="M122" i="13"/>
  <c r="L123" i="13" s="1"/>
  <c r="M123" i="13" s="1"/>
  <c r="L124" i="13" s="1"/>
  <c r="M124" i="13" s="1"/>
  <c r="L125" i="13" s="1"/>
  <c r="M125" i="13" s="1"/>
  <c r="L126" i="13" s="1"/>
  <c r="M126" i="13" s="1"/>
  <c r="L127" i="13" s="1"/>
  <c r="M127" i="13" s="1"/>
  <c r="L128" i="13" s="1"/>
  <c r="M128" i="13" s="1"/>
  <c r="L129" i="13" s="1"/>
  <c r="M129" i="13" s="1"/>
  <c r="L130" i="13" s="1"/>
  <c r="M130" i="13" s="1"/>
  <c r="L131" i="13" s="1"/>
  <c r="M131" i="13" s="1"/>
  <c r="L132" i="13" s="1"/>
  <c r="M132" i="13" s="1"/>
  <c r="L133" i="13" s="1"/>
  <c r="M133" i="13" s="1"/>
  <c r="L134" i="13" s="1"/>
  <c r="M134" i="13" s="1"/>
  <c r="L135" i="13" s="1"/>
  <c r="M135" i="13" s="1"/>
  <c r="L136" i="13" s="1"/>
  <c r="M136" i="13" s="1"/>
  <c r="L137" i="13" s="1"/>
  <c r="M137" i="13" s="1"/>
  <c r="L138" i="13" s="1"/>
  <c r="M138" i="13" s="1"/>
  <c r="L139" i="13" s="1"/>
  <c r="M139" i="13" s="1"/>
  <c r="L140" i="13" s="1"/>
  <c r="M140" i="13" s="1"/>
  <c r="L141" i="13" s="1"/>
  <c r="M141" i="13" s="1"/>
  <c r="L142" i="13" s="1"/>
  <c r="M142" i="13" s="1"/>
  <c r="L143" i="13" s="1"/>
  <c r="M143" i="13" s="1"/>
  <c r="L144" i="13" s="1"/>
  <c r="M144" i="13" s="1"/>
  <c r="L145" i="13" s="1"/>
  <c r="M145" i="13" s="1"/>
  <c r="L146" i="13" s="1"/>
  <c r="M146" i="13" s="1"/>
  <c r="L147" i="13" s="1"/>
  <c r="M147" i="13" s="1"/>
  <c r="L148" i="13" s="1"/>
  <c r="M148" i="13" s="1"/>
  <c r="L149" i="13" s="1"/>
  <c r="M149" i="13" s="1"/>
  <c r="L150" i="13" s="1"/>
  <c r="M150" i="13" s="1"/>
  <c r="L151" i="13" s="1"/>
  <c r="M151" i="13" s="1"/>
  <c r="L152" i="13" s="1"/>
  <c r="M152" i="13" s="1"/>
  <c r="L153" i="13" s="1"/>
  <c r="M153" i="13" s="1"/>
  <c r="L154" i="13" s="1"/>
  <c r="M154" i="13" s="1"/>
  <c r="L155" i="13" s="1"/>
  <c r="M155" i="13" s="1"/>
  <c r="L156" i="13" s="1"/>
  <c r="M156" i="13" s="1"/>
  <c r="L157" i="13" s="1"/>
  <c r="M157" i="13" s="1"/>
  <c r="L158" i="13" s="1"/>
  <c r="M158" i="13" s="1"/>
  <c r="L159" i="13" s="1"/>
  <c r="M159" i="13" s="1"/>
  <c r="L160" i="13" s="1"/>
  <c r="M160" i="13" s="1"/>
  <c r="L161" i="13" s="1"/>
  <c r="M161" i="13" s="1"/>
  <c r="I5" i="14" s="1"/>
  <c r="N5" i="14" s="1"/>
  <c r="M205" i="13"/>
  <c r="L206" i="13" s="1"/>
  <c r="M206" i="13" s="1"/>
  <c r="L207" i="13" s="1"/>
  <c r="M207" i="13" s="1"/>
  <c r="L208" i="13" s="1"/>
  <c r="M208" i="13" s="1"/>
  <c r="L209" i="13" s="1"/>
  <c r="M209" i="13" s="1"/>
  <c r="L210" i="13" s="1"/>
  <c r="M210" i="13" s="1"/>
  <c r="L211" i="13" s="1"/>
  <c r="M211" i="13" s="1"/>
  <c r="L212" i="13" s="1"/>
  <c r="M212" i="13" s="1"/>
  <c r="L213" i="13" s="1"/>
  <c r="M213" i="13" s="1"/>
  <c r="L214" i="13" s="1"/>
  <c r="M214" i="13" s="1"/>
  <c r="L215" i="13" s="1"/>
  <c r="M215" i="13" s="1"/>
  <c r="L216" i="13" s="1"/>
  <c r="M216" i="13" s="1"/>
  <c r="L217" i="13" s="1"/>
  <c r="M217" i="13" s="1"/>
  <c r="L218" i="13" s="1"/>
  <c r="M218" i="13" s="1"/>
  <c r="L219" i="13" s="1"/>
  <c r="M219" i="13" s="1"/>
  <c r="L220" i="13" s="1"/>
  <c r="M220" i="13" s="1"/>
  <c r="L221" i="13" s="1"/>
  <c r="M221" i="13" s="1"/>
  <c r="L222" i="13" s="1"/>
  <c r="M222" i="13" s="1"/>
  <c r="L223" i="13" s="1"/>
  <c r="M223" i="13" s="1"/>
  <c r="L224" i="13" s="1"/>
  <c r="M224" i="13" s="1"/>
  <c r="L225" i="13" s="1"/>
  <c r="M225" i="13" s="1"/>
  <c r="L226" i="13" s="1"/>
  <c r="M226" i="13" s="1"/>
  <c r="L227" i="13" s="1"/>
  <c r="M227" i="13" s="1"/>
  <c r="L228" i="13" s="1"/>
  <c r="M228" i="13" s="1"/>
  <c r="L229" i="13" s="1"/>
  <c r="M229" i="13" s="1"/>
  <c r="L230" i="13" s="1"/>
  <c r="M230" i="13" s="1"/>
  <c r="L231" i="13" s="1"/>
  <c r="M231" i="13" s="1"/>
  <c r="L232" i="13" s="1"/>
  <c r="M232" i="13" s="1"/>
  <c r="L233" i="13" s="1"/>
  <c r="M233" i="13" s="1"/>
  <c r="L234" i="13" s="1"/>
  <c r="M234" i="13" s="1"/>
  <c r="L235" i="13" s="1"/>
  <c r="M235" i="13" s="1"/>
  <c r="L236" i="13" s="1"/>
  <c r="M236" i="13" s="1"/>
  <c r="L237" i="13" s="1"/>
  <c r="M237" i="13" s="1"/>
  <c r="L238" i="13" s="1"/>
  <c r="M238" i="13" s="1"/>
  <c r="L239" i="13" s="1"/>
  <c r="M239" i="13" s="1"/>
  <c r="L240" i="13" s="1"/>
  <c r="M240" i="13" s="1"/>
  <c r="L241" i="13" s="1"/>
  <c r="M241" i="13" s="1"/>
  <c r="I7" i="14" s="1"/>
  <c r="N7" i="14" s="1"/>
  <c r="M169" i="13"/>
  <c r="L170" i="13" s="1"/>
  <c r="M170" i="13" s="1"/>
  <c r="L171" i="13" s="1"/>
  <c r="M171" i="13" s="1"/>
  <c r="L172" i="13" s="1"/>
  <c r="M172" i="13" s="1"/>
  <c r="L173" i="13" s="1"/>
  <c r="M173" i="13" s="1"/>
  <c r="L174" i="13" s="1"/>
  <c r="M174" i="13" s="1"/>
  <c r="L175" i="13" s="1"/>
  <c r="M175" i="13" s="1"/>
  <c r="L176" i="13" s="1"/>
  <c r="M176" i="13" s="1"/>
  <c r="L177" i="13" s="1"/>
  <c r="M177" i="13" s="1"/>
  <c r="L178" i="13" s="1"/>
  <c r="M178" i="13" s="1"/>
  <c r="L179" i="13" s="1"/>
  <c r="M179" i="13" s="1"/>
  <c r="L180" i="13" s="1"/>
  <c r="M180" i="13" s="1"/>
  <c r="L181" i="13" s="1"/>
  <c r="M181" i="13" s="1"/>
  <c r="L182" i="13" s="1"/>
  <c r="M182" i="13" s="1"/>
  <c r="L183" i="13" s="1"/>
  <c r="M183" i="13" s="1"/>
  <c r="L184" i="13" s="1"/>
  <c r="M184" i="13" s="1"/>
  <c r="L185" i="13" s="1"/>
  <c r="M185" i="13" s="1"/>
  <c r="L186" i="13" s="1"/>
  <c r="M186" i="13" s="1"/>
  <c r="L187" i="13" s="1"/>
  <c r="M187" i="13" s="1"/>
  <c r="L188" i="13" s="1"/>
  <c r="M188" i="13" s="1"/>
  <c r="L189" i="13" s="1"/>
  <c r="M189" i="13" s="1"/>
  <c r="L190" i="13" s="1"/>
  <c r="M190" i="13" s="1"/>
  <c r="L191" i="13" s="1"/>
  <c r="M191" i="13" s="1"/>
  <c r="L192" i="13" s="1"/>
  <c r="M192" i="13" s="1"/>
  <c r="L193" i="13" s="1"/>
  <c r="M193" i="13" s="1"/>
  <c r="L194" i="13" s="1"/>
  <c r="M194" i="13" s="1"/>
  <c r="L195" i="13" s="1"/>
  <c r="M195" i="13" s="1"/>
  <c r="L196" i="13" s="1"/>
  <c r="M196" i="13" s="1"/>
  <c r="L197" i="13" s="1"/>
  <c r="M197" i="13" s="1"/>
  <c r="L198" i="13" s="1"/>
  <c r="M198" i="13" s="1"/>
  <c r="L199" i="13" s="1"/>
  <c r="M199" i="13" s="1"/>
  <c r="L200" i="13" s="1"/>
  <c r="M200" i="13" s="1"/>
  <c r="L201" i="13" s="1"/>
  <c r="M201" i="13" s="1"/>
  <c r="I6" i="14" s="1"/>
  <c r="N6" i="14" s="1"/>
  <c r="M49" i="13"/>
  <c r="L50" i="13" s="1"/>
  <c r="M50" i="13" s="1"/>
  <c r="L51" i="13" s="1"/>
  <c r="M51" i="13" s="1"/>
  <c r="L52" i="13" s="1"/>
  <c r="M52" i="13" s="1"/>
  <c r="L53" i="13" s="1"/>
  <c r="M53" i="13" s="1"/>
  <c r="L54" i="13" s="1"/>
  <c r="M54" i="13" s="1"/>
  <c r="L55" i="13" s="1"/>
  <c r="M55" i="13" s="1"/>
  <c r="L56" i="13" s="1"/>
  <c r="M56" i="13" s="1"/>
  <c r="L57" i="13" s="1"/>
  <c r="M57" i="13" s="1"/>
  <c r="L58" i="13" s="1"/>
  <c r="M58" i="13" s="1"/>
  <c r="L59" i="13" s="1"/>
  <c r="M59" i="13" s="1"/>
  <c r="L60" i="13" s="1"/>
  <c r="M60" i="13" s="1"/>
  <c r="L61" i="13" s="1"/>
  <c r="M61" i="13" s="1"/>
  <c r="L62" i="13" s="1"/>
  <c r="M62" i="13" s="1"/>
  <c r="L63" i="13" s="1"/>
  <c r="M63" i="13" s="1"/>
  <c r="L64" i="13" s="1"/>
  <c r="M64" i="13" s="1"/>
  <c r="L65" i="13" s="1"/>
  <c r="M65" i="13" s="1"/>
  <c r="L66" i="13" s="1"/>
  <c r="M66" i="13" s="1"/>
  <c r="L67" i="13" s="1"/>
  <c r="M67" i="13" s="1"/>
  <c r="L68" i="13" s="1"/>
  <c r="M68" i="13" s="1"/>
  <c r="L69" i="13" s="1"/>
  <c r="M69" i="13" s="1"/>
  <c r="L70" i="13" s="1"/>
  <c r="M70" i="13" s="1"/>
  <c r="L71" i="13" s="1"/>
  <c r="M71" i="13" s="1"/>
  <c r="L72" i="13" s="1"/>
  <c r="M72" i="13" s="1"/>
  <c r="L73" i="13" s="1"/>
  <c r="M73" i="13" s="1"/>
  <c r="L74" i="13" s="1"/>
  <c r="M74" i="13" s="1"/>
  <c r="L75" i="13" s="1"/>
  <c r="M75" i="13" s="1"/>
  <c r="L76" i="13" s="1"/>
  <c r="M76" i="13" s="1"/>
  <c r="L77" i="13" s="1"/>
  <c r="M77" i="13" s="1"/>
  <c r="L78" i="13" s="1"/>
  <c r="M78" i="13" s="1"/>
  <c r="L79" i="13" s="1"/>
  <c r="M79" i="13" s="1"/>
  <c r="L80" i="13" s="1"/>
  <c r="M80" i="13" s="1"/>
  <c r="L81" i="13" s="1"/>
  <c r="M81" i="13" s="1"/>
  <c r="I3" i="14" s="1"/>
  <c r="N3" i="14" s="1"/>
  <c r="M488" i="13"/>
  <c r="L489" i="13" s="1"/>
  <c r="M489" i="13" s="1"/>
  <c r="L490" i="13" s="1"/>
  <c r="M490" i="13" s="1"/>
  <c r="L491" i="13" s="1"/>
  <c r="M491" i="13" s="1"/>
  <c r="L492" i="13" s="1"/>
  <c r="M492" i="13" s="1"/>
  <c r="L493" i="13" s="1"/>
  <c r="M493" i="13" s="1"/>
  <c r="L494" i="13" s="1"/>
  <c r="M494" i="13" s="1"/>
  <c r="L495" i="13" s="1"/>
  <c r="M495" i="13" s="1"/>
  <c r="L496" i="13" s="1"/>
  <c r="M496" i="13" s="1"/>
  <c r="L497" i="13" s="1"/>
  <c r="M497" i="13" s="1"/>
  <c r="L498" i="13" s="1"/>
  <c r="M498" i="13" s="1"/>
  <c r="L499" i="13" s="1"/>
  <c r="M499" i="13" s="1"/>
  <c r="L500" i="13" s="1"/>
  <c r="M500" i="13" s="1"/>
  <c r="L501" i="13" s="1"/>
  <c r="M501" i="13" s="1"/>
  <c r="L502" i="13" s="1"/>
  <c r="M502" i="13" s="1"/>
  <c r="L503" i="13" s="1"/>
  <c r="M503" i="13" s="1"/>
  <c r="L504" i="13" s="1"/>
  <c r="M504" i="13" s="1"/>
  <c r="L505" i="13" s="1"/>
  <c r="M505" i="13" s="1"/>
  <c r="L506" i="13" s="1"/>
  <c r="M506" i="13" s="1"/>
  <c r="L507" i="13" s="1"/>
  <c r="M507" i="13" s="1"/>
  <c r="L508" i="13" s="1"/>
  <c r="M508" i="13" s="1"/>
  <c r="L509" i="13" s="1"/>
  <c r="M509" i="13" s="1"/>
  <c r="L510" i="13" s="1"/>
  <c r="M510" i="13" s="1"/>
  <c r="L511" i="13" s="1"/>
  <c r="M511" i="13" s="1"/>
  <c r="L512" i="13" s="1"/>
  <c r="M512" i="13" s="1"/>
  <c r="L513" i="13" s="1"/>
  <c r="M513" i="13" s="1"/>
  <c r="L514" i="13" s="1"/>
  <c r="M643" i="13"/>
  <c r="L644" i="13" s="1"/>
  <c r="M644" i="13" s="1"/>
  <c r="L645" i="13" s="1"/>
  <c r="M645" i="13" s="1"/>
  <c r="L646" i="13" s="1"/>
  <c r="M646" i="13" s="1"/>
  <c r="L647" i="13" s="1"/>
  <c r="M647" i="13" s="1"/>
  <c r="L648" i="13" s="1"/>
  <c r="M648" i="13" s="1"/>
  <c r="L649" i="13" s="1"/>
  <c r="M649" i="13" s="1"/>
  <c r="L650" i="13" s="1"/>
  <c r="M650" i="13" s="1"/>
  <c r="L651" i="13" s="1"/>
  <c r="M651" i="13" s="1"/>
  <c r="L652" i="13" s="1"/>
  <c r="M652" i="13" s="1"/>
  <c r="L653" i="13" s="1"/>
  <c r="M653" i="13" s="1"/>
  <c r="L654" i="13" s="1"/>
  <c r="M654" i="13" s="1"/>
  <c r="L655" i="13" s="1"/>
  <c r="M655" i="13" s="1"/>
  <c r="L656" i="13" s="1"/>
  <c r="M656" i="13" s="1"/>
  <c r="L657" i="13" s="1"/>
  <c r="M657" i="13" s="1"/>
  <c r="L658" i="13" s="1"/>
  <c r="M658" i="13" s="1"/>
  <c r="L659" i="13" s="1"/>
  <c r="M659" i="13" s="1"/>
  <c r="L660" i="13" s="1"/>
  <c r="M660" i="13" s="1"/>
  <c r="L661" i="13" s="1"/>
  <c r="M661" i="13" s="1"/>
  <c r="L662" i="13" s="1"/>
  <c r="M662" i="13" s="1"/>
  <c r="L663" i="13" s="1"/>
  <c r="M663" i="13" s="1"/>
  <c r="L664" i="13" s="1"/>
  <c r="M664" i="13" s="1"/>
  <c r="L665" i="13" s="1"/>
  <c r="M665" i="13" s="1"/>
  <c r="L666" i="13" s="1"/>
  <c r="M666" i="13" s="1"/>
  <c r="L667" i="13" s="1"/>
  <c r="M667" i="13" s="1"/>
  <c r="L668" i="13" s="1"/>
  <c r="M668" i="13" s="1"/>
  <c r="L669" i="13" s="1"/>
  <c r="M669" i="13" s="1"/>
  <c r="L670" i="13" s="1"/>
  <c r="M670" i="13" s="1"/>
  <c r="L671" i="13" s="1"/>
  <c r="M671" i="13" s="1"/>
  <c r="L672" i="13" s="1"/>
  <c r="M672" i="13" s="1"/>
  <c r="L673" i="13" s="1"/>
  <c r="M673" i="13" s="1"/>
  <c r="L674" i="13" s="1"/>
  <c r="M674" i="13" s="1"/>
  <c r="L675" i="13" s="1"/>
  <c r="M675" i="13" s="1"/>
  <c r="L676" i="13" s="1"/>
  <c r="M676" i="13" s="1"/>
  <c r="L677" i="13" s="1"/>
  <c r="M677" i="13" s="1"/>
  <c r="L678" i="13" s="1"/>
  <c r="M678" i="13" s="1"/>
  <c r="L679" i="13" s="1"/>
  <c r="M679" i="13" s="1"/>
  <c r="L680" i="13" s="1"/>
  <c r="M680" i="13" s="1"/>
  <c r="L681" i="13" s="1"/>
  <c r="M681" i="13" s="1"/>
  <c r="I18" i="14" s="1"/>
  <c r="N18" i="14" s="1"/>
  <c r="P13" i="7"/>
  <c r="O13" i="7"/>
  <c r="R13" i="7" s="1"/>
  <c r="M282" i="13"/>
  <c r="L283" i="13" s="1"/>
  <c r="M283" i="13" s="1"/>
  <c r="L284" i="13" s="1"/>
  <c r="M284" i="13" s="1"/>
  <c r="L285" i="13" s="1"/>
  <c r="M285" i="13" s="1"/>
  <c r="L286" i="13" s="1"/>
  <c r="M286" i="13" s="1"/>
  <c r="L287" i="13" s="1"/>
  <c r="M287" i="13" s="1"/>
  <c r="L288" i="13" s="1"/>
  <c r="M288" i="13" s="1"/>
  <c r="L289" i="13" s="1"/>
  <c r="M289" i="13" s="1"/>
  <c r="L290" i="13" s="1"/>
  <c r="M290" i="13" s="1"/>
  <c r="L291" i="13" s="1"/>
  <c r="M291" i="13" s="1"/>
  <c r="L292" i="13" s="1"/>
  <c r="M292" i="13" s="1"/>
  <c r="L293" i="13" s="1"/>
  <c r="M293" i="13" s="1"/>
  <c r="L294" i="13" s="1"/>
  <c r="M294" i="13" s="1"/>
  <c r="L295" i="13" s="1"/>
  <c r="M295" i="13" s="1"/>
  <c r="L296" i="13" s="1"/>
  <c r="M296" i="13" s="1"/>
  <c r="L297" i="13" s="1"/>
  <c r="M297" i="13" s="1"/>
  <c r="L298" i="13" s="1"/>
  <c r="M298" i="13" s="1"/>
  <c r="L299" i="13" s="1"/>
  <c r="M299" i="13" s="1"/>
  <c r="L300" i="13" s="1"/>
  <c r="M300" i="13" s="1"/>
  <c r="L301" i="13" s="1"/>
  <c r="M301" i="13" s="1"/>
  <c r="L302" i="13" s="1"/>
  <c r="M302" i="13" s="1"/>
  <c r="L303" i="13" s="1"/>
  <c r="M303" i="13" s="1"/>
  <c r="L304" i="13" s="1"/>
  <c r="M304" i="13" s="1"/>
  <c r="L305" i="13" s="1"/>
  <c r="M305" i="13" s="1"/>
  <c r="L306" i="13" s="1"/>
  <c r="M306" i="13" s="1"/>
  <c r="L307" i="13" s="1"/>
  <c r="M307" i="13" s="1"/>
  <c r="L308" i="13" s="1"/>
  <c r="M308" i="13" s="1"/>
  <c r="L309" i="13" s="1"/>
  <c r="M309" i="13" s="1"/>
  <c r="L310" i="13" s="1"/>
  <c r="M310" i="13" s="1"/>
  <c r="L311" i="13" s="1"/>
  <c r="M311" i="13" s="1"/>
  <c r="L312" i="13" s="1"/>
  <c r="M312" i="13" s="1"/>
  <c r="L313" i="13" s="1"/>
  <c r="M313" i="13" s="1"/>
  <c r="L314" i="13" s="1"/>
  <c r="M314" i="13" s="1"/>
  <c r="L315" i="13" s="1"/>
  <c r="M315" i="13" s="1"/>
  <c r="L316" i="13" s="1"/>
  <c r="M316" i="13" s="1"/>
  <c r="L317" i="13" s="1"/>
  <c r="M317" i="13" s="1"/>
  <c r="L318" i="13" s="1"/>
  <c r="M318" i="13" s="1"/>
  <c r="L319" i="13" s="1"/>
  <c r="M319" i="13" s="1"/>
  <c r="L320" i="13" s="1"/>
  <c r="M320" i="13" s="1"/>
  <c r="L321" i="13" s="1"/>
  <c r="M321" i="13" s="1"/>
  <c r="I9" i="14" s="1"/>
  <c r="N9" i="14" s="1"/>
  <c r="M1084" i="13"/>
  <c r="L1085" i="13" s="1"/>
  <c r="M1163" i="13"/>
  <c r="L1164" i="13" s="1"/>
  <c r="M1164" i="13" s="1"/>
  <c r="L1165" i="13" s="1"/>
  <c r="M1165" i="13" s="1"/>
  <c r="L1166" i="13" s="1"/>
  <c r="M1166" i="13" s="1"/>
  <c r="L1167" i="13" s="1"/>
  <c r="M1167" i="13" s="1"/>
  <c r="L1168" i="13" s="1"/>
  <c r="M1168" i="13" s="1"/>
  <c r="L1169" i="13" s="1"/>
  <c r="M1169" i="13" s="1"/>
  <c r="L1170" i="13" s="1"/>
  <c r="M1170" i="13" s="1"/>
  <c r="L1171" i="13" s="1"/>
  <c r="M1171" i="13" s="1"/>
  <c r="L1172" i="13" s="1"/>
  <c r="M1172" i="13" s="1"/>
  <c r="L1173" i="13" s="1"/>
  <c r="M1173" i="13" s="1"/>
  <c r="L1174" i="13" s="1"/>
  <c r="M1174" i="13" s="1"/>
  <c r="L1175" i="13" s="1"/>
  <c r="M1175" i="13" s="1"/>
  <c r="L1176" i="13" s="1"/>
  <c r="M1176" i="13" s="1"/>
  <c r="L1177" i="13" s="1"/>
  <c r="M1177" i="13" s="1"/>
  <c r="L1178" i="13" s="1"/>
  <c r="M1178" i="13" s="1"/>
  <c r="L1179" i="13" s="1"/>
  <c r="M1179" i="13" s="1"/>
  <c r="L1180" i="13" s="1"/>
  <c r="M1180" i="13" s="1"/>
  <c r="L1181" i="13" s="1"/>
  <c r="M1181" i="13" s="1"/>
  <c r="L1182" i="13" s="1"/>
  <c r="M1182" i="13" s="1"/>
  <c r="L1183" i="13" s="1"/>
  <c r="M1183" i="13" s="1"/>
  <c r="L1184" i="13" s="1"/>
  <c r="M1184" i="13" s="1"/>
  <c r="L1185" i="13" s="1"/>
  <c r="M1185" i="13" s="1"/>
  <c r="L1186" i="13" s="1"/>
  <c r="M1186" i="13" s="1"/>
  <c r="L1187" i="13" s="1"/>
  <c r="M1187" i="13" s="1"/>
  <c r="L1188" i="13" s="1"/>
  <c r="M1188" i="13" s="1"/>
  <c r="L1189" i="13" s="1"/>
  <c r="M1189" i="13" s="1"/>
  <c r="L1190" i="13" s="1"/>
  <c r="M1190" i="13" s="1"/>
  <c r="L1191" i="13" s="1"/>
  <c r="M1191" i="13" s="1"/>
  <c r="L1192" i="13" s="1"/>
  <c r="M1192" i="13" s="1"/>
  <c r="L1193" i="13" s="1"/>
  <c r="M1193" i="13" s="1"/>
  <c r="L1194" i="13" s="1"/>
  <c r="M1194" i="13" s="1"/>
  <c r="L1195" i="13" s="1"/>
  <c r="M1195" i="13" s="1"/>
  <c r="L1196" i="13" s="1"/>
  <c r="M1196" i="13" s="1"/>
  <c r="L1197" i="13" s="1"/>
  <c r="M1197" i="13" s="1"/>
  <c r="L1198" i="13" s="1"/>
  <c r="M1198" i="13" s="1"/>
  <c r="L1199" i="13" s="1"/>
  <c r="M1199" i="13" s="1"/>
  <c r="L1200" i="13" s="1"/>
  <c r="M1200" i="13" s="1"/>
  <c r="L1201" i="13" s="1"/>
  <c r="M1201" i="13" s="1"/>
  <c r="I31" i="14" s="1"/>
  <c r="P2" i="11"/>
  <c r="R2" i="11" s="1"/>
  <c r="W2" i="11" s="1"/>
  <c r="Q2" i="11"/>
  <c r="M2" i="11"/>
  <c r="M85" i="13"/>
  <c r="L86" i="13" s="1"/>
  <c r="M86" i="13" s="1"/>
  <c r="L87" i="13" s="1"/>
  <c r="M87" i="13" s="1"/>
  <c r="L88" i="13" s="1"/>
  <c r="M88" i="13" s="1"/>
  <c r="L89" i="13" s="1"/>
  <c r="M89" i="13" s="1"/>
  <c r="L90" i="13" s="1"/>
  <c r="M90" i="13" s="1"/>
  <c r="L91" i="13" s="1"/>
  <c r="M91" i="13" s="1"/>
  <c r="L92" i="13" s="1"/>
  <c r="M92" i="13" s="1"/>
  <c r="L93" i="13" s="1"/>
  <c r="M93" i="13" s="1"/>
  <c r="L94" i="13" s="1"/>
  <c r="M94" i="13" s="1"/>
  <c r="L95" i="13" s="1"/>
  <c r="M95" i="13" s="1"/>
  <c r="L96" i="13" s="1"/>
  <c r="M96" i="13" s="1"/>
  <c r="L97" i="13" s="1"/>
  <c r="M97" i="13" s="1"/>
  <c r="L98" i="13" s="1"/>
  <c r="M98" i="13" s="1"/>
  <c r="L99" i="13" s="1"/>
  <c r="M99" i="13" s="1"/>
  <c r="L100" i="13" s="1"/>
  <c r="M100" i="13" s="1"/>
  <c r="L101" i="13" s="1"/>
  <c r="M101" i="13" s="1"/>
  <c r="L102" i="13" s="1"/>
  <c r="M102" i="13" s="1"/>
  <c r="L103" i="13" s="1"/>
  <c r="M103" i="13" s="1"/>
  <c r="L104" i="13" s="1"/>
  <c r="M104" i="13" s="1"/>
  <c r="L105" i="13" s="1"/>
  <c r="M105" i="13" s="1"/>
  <c r="L106" i="13" s="1"/>
  <c r="M106" i="13" s="1"/>
  <c r="L107" i="13" s="1"/>
  <c r="M107" i="13" s="1"/>
  <c r="L108" i="13" s="1"/>
  <c r="M108" i="13" s="1"/>
  <c r="L109" i="13" s="1"/>
  <c r="M109" i="13" s="1"/>
  <c r="L110" i="13" s="1"/>
  <c r="M110" i="13" s="1"/>
  <c r="L111" i="13" s="1"/>
  <c r="M111" i="13" s="1"/>
  <c r="L112" i="13" s="1"/>
  <c r="M112" i="13" s="1"/>
  <c r="L113" i="13" s="1"/>
  <c r="M113" i="13" s="1"/>
  <c r="L114" i="13" s="1"/>
  <c r="M114" i="13" s="1"/>
  <c r="L115" i="13" s="1"/>
  <c r="M115" i="13" s="1"/>
  <c r="L116" i="13" s="1"/>
  <c r="M116" i="13" s="1"/>
  <c r="L117" i="13" s="1"/>
  <c r="M117" i="13" s="1"/>
  <c r="L118" i="13" s="1"/>
  <c r="M118" i="13" s="1"/>
  <c r="L119" i="13" s="1"/>
  <c r="M119" i="13" s="1"/>
  <c r="L120" i="13" s="1"/>
  <c r="M120" i="13" s="1"/>
  <c r="L121" i="13" s="1"/>
  <c r="M121" i="13" s="1"/>
  <c r="I4" i="14" s="1"/>
  <c r="N4" i="14" s="1"/>
  <c r="M934" i="13"/>
  <c r="L935" i="13" s="1"/>
  <c r="M935" i="13" s="1"/>
  <c r="L936" i="13" s="1"/>
  <c r="M936" i="13" s="1"/>
  <c r="L937" i="13" s="1"/>
  <c r="M937" i="13" s="1"/>
  <c r="L938" i="13" s="1"/>
  <c r="M938" i="13" s="1"/>
  <c r="L939" i="13" s="1"/>
  <c r="M939" i="13" s="1"/>
  <c r="L940" i="13" s="1"/>
  <c r="M940" i="13" s="1"/>
  <c r="L941" i="13" s="1"/>
  <c r="M941" i="13" s="1"/>
  <c r="L942" i="13" s="1"/>
  <c r="M942" i="13" s="1"/>
  <c r="L943" i="13" s="1"/>
  <c r="M943" i="13" s="1"/>
  <c r="L944" i="13" s="1"/>
  <c r="M944" i="13" s="1"/>
  <c r="L945" i="13" s="1"/>
  <c r="M945" i="13" s="1"/>
  <c r="L946" i="13" s="1"/>
  <c r="M946" i="13" s="1"/>
  <c r="L947" i="13" s="1"/>
  <c r="M947" i="13" s="1"/>
  <c r="L948" i="13" s="1"/>
  <c r="M948" i="13" s="1"/>
  <c r="L949" i="13" s="1"/>
  <c r="M949" i="13" s="1"/>
  <c r="L950" i="13" s="1"/>
  <c r="M950" i="13" s="1"/>
  <c r="L951" i="13" s="1"/>
  <c r="M951" i="13" s="1"/>
  <c r="L952" i="13" s="1"/>
  <c r="M952" i="13" s="1"/>
  <c r="L953" i="13" s="1"/>
  <c r="M953" i="13" s="1"/>
  <c r="L954" i="13" s="1"/>
  <c r="M954" i="13" s="1"/>
  <c r="L955" i="13" s="1"/>
  <c r="M955" i="13" s="1"/>
  <c r="L956" i="13" s="1"/>
  <c r="M956" i="13" s="1"/>
  <c r="L957" i="13" s="1"/>
  <c r="M957" i="13" s="1"/>
  <c r="L958" i="13" s="1"/>
  <c r="M958" i="13" s="1"/>
  <c r="L959" i="13" s="1"/>
  <c r="M959" i="13" s="1"/>
  <c r="L960" i="13" s="1"/>
  <c r="M960" i="13" s="1"/>
  <c r="L961" i="13" s="1"/>
  <c r="M961" i="13" s="1"/>
  <c r="I25" i="14" s="1"/>
  <c r="N25" i="14" s="1"/>
  <c r="M1129" i="13"/>
  <c r="L1130" i="13" s="1"/>
  <c r="M1130" i="13" s="1"/>
  <c r="L1131" i="13" s="1"/>
  <c r="M1131" i="13" s="1"/>
  <c r="L1132" i="13" s="1"/>
  <c r="M1132" i="13" s="1"/>
  <c r="L1133" i="13" s="1"/>
  <c r="M1133" i="13" s="1"/>
  <c r="L1134" i="13" s="1"/>
  <c r="M1134" i="13" s="1"/>
  <c r="L1135" i="13" s="1"/>
  <c r="M1135" i="13" s="1"/>
  <c r="L1136" i="13" s="1"/>
  <c r="M1136" i="13" s="1"/>
  <c r="L1137" i="13" s="1"/>
  <c r="M1137" i="13" s="1"/>
  <c r="L1138" i="13" s="1"/>
  <c r="M1138" i="13" s="1"/>
  <c r="L1139" i="13" s="1"/>
  <c r="M1139" i="13" s="1"/>
  <c r="L1140" i="13" s="1"/>
  <c r="M1140" i="13" s="1"/>
  <c r="L1141" i="13" s="1"/>
  <c r="M1141" i="13" s="1"/>
  <c r="L1142" i="13" s="1"/>
  <c r="M1142" i="13" s="1"/>
  <c r="L1143" i="13" s="1"/>
  <c r="M1143" i="13" s="1"/>
  <c r="L1144" i="13" s="1"/>
  <c r="M1144" i="13" s="1"/>
  <c r="L1145" i="13" s="1"/>
  <c r="M1145" i="13" s="1"/>
  <c r="L1146" i="13" s="1"/>
  <c r="M1146" i="13" s="1"/>
  <c r="L1147" i="13" s="1"/>
  <c r="M1147" i="13" s="1"/>
  <c r="L1148" i="13" s="1"/>
  <c r="M1148" i="13" s="1"/>
  <c r="L1149" i="13" s="1"/>
  <c r="M1149" i="13" s="1"/>
  <c r="L1150" i="13" s="1"/>
  <c r="M1150" i="13" s="1"/>
  <c r="L1151" i="13" s="1"/>
  <c r="M1151" i="13" s="1"/>
  <c r="L1152" i="13" s="1"/>
  <c r="M1152" i="13" s="1"/>
  <c r="L1153" i="13" s="1"/>
  <c r="M1153" i="13" s="1"/>
  <c r="L1154" i="13" s="1"/>
  <c r="M1154" i="13" s="1"/>
  <c r="L1155" i="13" s="1"/>
  <c r="M1155" i="13" s="1"/>
  <c r="L1156" i="13" s="1"/>
  <c r="M1156" i="13" s="1"/>
  <c r="L1157" i="13" s="1"/>
  <c r="M1157" i="13" s="1"/>
  <c r="L1158" i="13" s="1"/>
  <c r="M1158" i="13" s="1"/>
  <c r="L1159" i="13" s="1"/>
  <c r="M1159" i="13" s="1"/>
  <c r="L1160" i="13" s="1"/>
  <c r="M1160" i="13" s="1"/>
  <c r="L1161" i="13" s="1"/>
  <c r="M1161" i="13" s="1"/>
  <c r="I30" i="14" s="1"/>
  <c r="N30" i="14" s="1"/>
  <c r="P3" i="7"/>
  <c r="O3" i="7"/>
  <c r="R3" i="7" s="1"/>
  <c r="M610" i="13"/>
  <c r="L611" i="13" s="1"/>
  <c r="M611" i="13" s="1"/>
  <c r="L612" i="13" s="1"/>
  <c r="M612" i="13" s="1"/>
  <c r="L613" i="13" s="1"/>
  <c r="M613" i="13" s="1"/>
  <c r="L614" i="13" s="1"/>
  <c r="M614" i="13" s="1"/>
  <c r="L615" i="13" s="1"/>
  <c r="M615" i="13" s="1"/>
  <c r="L616" i="13" s="1"/>
  <c r="M616" i="13" s="1"/>
  <c r="L617" i="13" s="1"/>
  <c r="M617" i="13" s="1"/>
  <c r="L618" i="13" s="1"/>
  <c r="M403" i="13"/>
  <c r="L404" i="13" s="1"/>
  <c r="M404" i="13" s="1"/>
  <c r="L405" i="13" s="1"/>
  <c r="M405" i="13" s="1"/>
  <c r="L406" i="13" s="1"/>
  <c r="M406" i="13" s="1"/>
  <c r="L407" i="13" s="1"/>
  <c r="M407" i="13" s="1"/>
  <c r="L408" i="13" s="1"/>
  <c r="M1085" i="13"/>
  <c r="L1086" i="13" s="1"/>
  <c r="M1086" i="13" s="1"/>
  <c r="L1087" i="13" s="1"/>
  <c r="M1087" i="13" s="1"/>
  <c r="L1088" i="13" s="1"/>
  <c r="M1088" i="13" s="1"/>
  <c r="L1089" i="13" s="1"/>
  <c r="M1089" i="13" s="1"/>
  <c r="L1090" i="13" s="1"/>
  <c r="M1090" i="13" s="1"/>
  <c r="L1091" i="13" s="1"/>
  <c r="M1091" i="13" s="1"/>
  <c r="L1092" i="13" s="1"/>
  <c r="M1092" i="13" s="1"/>
  <c r="L1093" i="13" s="1"/>
  <c r="M1093" i="13" s="1"/>
  <c r="L1094" i="13" s="1"/>
  <c r="M1094" i="13" s="1"/>
  <c r="L1095" i="13" s="1"/>
  <c r="M1095" i="13" s="1"/>
  <c r="L1096" i="13" s="1"/>
  <c r="M1096" i="13" s="1"/>
  <c r="L1097" i="13" s="1"/>
  <c r="M1097" i="13" s="1"/>
  <c r="L1098" i="13" s="1"/>
  <c r="M1098" i="13" s="1"/>
  <c r="L1099" i="13" s="1"/>
  <c r="M1099" i="13" s="1"/>
  <c r="L1100" i="13" s="1"/>
  <c r="M1100" i="13" s="1"/>
  <c r="L1101" i="13" s="1"/>
  <c r="M1101" i="13" s="1"/>
  <c r="L1102" i="13" s="1"/>
  <c r="M1102" i="13" s="1"/>
  <c r="L1103" i="13" s="1"/>
  <c r="M1103" i="13" s="1"/>
  <c r="L1104" i="13" s="1"/>
  <c r="M1104" i="13" s="1"/>
  <c r="L1105" i="13" s="1"/>
  <c r="M1105" i="13" s="1"/>
  <c r="L1106" i="13" s="1"/>
  <c r="M1106" i="13" s="1"/>
  <c r="L1107" i="13" s="1"/>
  <c r="M1107" i="13" s="1"/>
  <c r="L1108" i="13" s="1"/>
  <c r="M1108" i="13" s="1"/>
  <c r="L1109" i="13" s="1"/>
  <c r="M1109" i="13" s="1"/>
  <c r="L1110" i="13" s="1"/>
  <c r="M1110" i="13" s="1"/>
  <c r="L1111" i="13" s="1"/>
  <c r="M1111" i="13" s="1"/>
  <c r="L1112" i="13" s="1"/>
  <c r="M1112" i="13" s="1"/>
  <c r="L1113" i="13" s="1"/>
  <c r="M1113" i="13" s="1"/>
  <c r="L1114" i="13" s="1"/>
  <c r="M1114" i="13" s="1"/>
  <c r="L1115" i="13" s="1"/>
  <c r="M1115" i="13" s="1"/>
  <c r="L1116" i="13" s="1"/>
  <c r="M1116" i="13" s="1"/>
  <c r="L1117" i="13" s="1"/>
  <c r="M1117" i="13" s="1"/>
  <c r="L1118" i="13" s="1"/>
  <c r="M1118" i="13" s="1"/>
  <c r="L1119" i="13" s="1"/>
  <c r="M1119" i="13" s="1"/>
  <c r="L1120" i="13" s="1"/>
  <c r="M1120" i="13" s="1"/>
  <c r="L1121" i="13" s="1"/>
  <c r="M1121" i="13" s="1"/>
  <c r="I29" i="14" s="1"/>
  <c r="M1602" i="13"/>
  <c r="L1603" i="13" s="1"/>
  <c r="M1603" i="13" s="1"/>
  <c r="L1604" i="13" s="1"/>
  <c r="M1604" i="13" s="1"/>
  <c r="L1605" i="13" s="1"/>
  <c r="M1605" i="13" s="1"/>
  <c r="L1606" i="13" s="1"/>
  <c r="M1606" i="13" s="1"/>
  <c r="L1607" i="13" s="1"/>
  <c r="M1607" i="13" s="1"/>
  <c r="L1608" i="13" s="1"/>
  <c r="M1608" i="13" s="1"/>
  <c r="L1609" i="13" s="1"/>
  <c r="M1609" i="13" s="1"/>
  <c r="L1610" i="13" s="1"/>
  <c r="M1610" i="13" s="1"/>
  <c r="L1611" i="13" s="1"/>
  <c r="M1611" i="13" s="1"/>
  <c r="L1612" i="13" s="1"/>
  <c r="M1612" i="13" s="1"/>
  <c r="L1613" i="13" s="1"/>
  <c r="M1613" i="13" s="1"/>
  <c r="L1614" i="13" s="1"/>
  <c r="M1614" i="13" s="1"/>
  <c r="L1615" i="13" s="1"/>
  <c r="M1615" i="13" s="1"/>
  <c r="L1616" i="13" s="1"/>
  <c r="M1616" i="13" s="1"/>
  <c r="L1617" i="13" s="1"/>
  <c r="M1617" i="13" s="1"/>
  <c r="L1618" i="13" s="1"/>
  <c r="M1618" i="13" s="1"/>
  <c r="L1619" i="13" s="1"/>
  <c r="M1619" i="13" s="1"/>
  <c r="L1620" i="13" s="1"/>
  <c r="M1620" i="13" s="1"/>
  <c r="L1621" i="13" s="1"/>
  <c r="M1621" i="13" s="1"/>
  <c r="L1622" i="13" s="1"/>
  <c r="M1622" i="13" s="1"/>
  <c r="L1623" i="13" s="1"/>
  <c r="M1623" i="13" s="1"/>
  <c r="L1624" i="13" s="1"/>
  <c r="M1624" i="13" s="1"/>
  <c r="L1625" i="13" s="1"/>
  <c r="M1625" i="13" s="1"/>
  <c r="L1626" i="13" s="1"/>
  <c r="M1626" i="13" s="1"/>
  <c r="L1627" i="13" s="1"/>
  <c r="M1627" i="13" s="1"/>
  <c r="L1628" i="13" s="1"/>
  <c r="M1628" i="13" s="1"/>
  <c r="L1629" i="13" s="1"/>
  <c r="M1629" i="13" s="1"/>
  <c r="L1630" i="13" s="1"/>
  <c r="M1630" i="13" s="1"/>
  <c r="L1631" i="13" s="1"/>
  <c r="M1631" i="13" s="1"/>
  <c r="L1632" i="13" s="1"/>
  <c r="M1632" i="13" s="1"/>
  <c r="L1633" i="13" s="1"/>
  <c r="M1633" i="13" s="1"/>
  <c r="L1634" i="13" s="1"/>
  <c r="M1634" i="13" s="1"/>
  <c r="L1635" i="13" s="1"/>
  <c r="M1635" i="13" s="1"/>
  <c r="L1636" i="13" s="1"/>
  <c r="M1636" i="13" s="1"/>
  <c r="L1637" i="13" s="1"/>
  <c r="M1637" i="13" s="1"/>
  <c r="L1638" i="13" s="1"/>
  <c r="M1638" i="13" s="1"/>
  <c r="L1639" i="13" s="1"/>
  <c r="M1639" i="13" s="1"/>
  <c r="L1640" i="13" s="1"/>
  <c r="M1640" i="13" s="1"/>
  <c r="L1641" i="13" s="1"/>
  <c r="M1641" i="13" s="1"/>
  <c r="I42" i="14" s="1"/>
  <c r="N42" i="14" s="1"/>
  <c r="P53" i="7"/>
  <c r="O53" i="7"/>
  <c r="R53" i="7" s="1"/>
  <c r="X53" i="7" s="1"/>
  <c r="M1488" i="13"/>
  <c r="L1489" i="13" s="1"/>
  <c r="M1489" i="13" s="1"/>
  <c r="L1490" i="13" s="1"/>
  <c r="M1490" i="13" s="1"/>
  <c r="L1491" i="13" s="1"/>
  <c r="M1491" i="13" s="1"/>
  <c r="L1492" i="13" s="1"/>
  <c r="M1492" i="13" s="1"/>
  <c r="L1493" i="13" s="1"/>
  <c r="M1493" i="13" s="1"/>
  <c r="L1494" i="13" s="1"/>
  <c r="M1494" i="13" s="1"/>
  <c r="L1495" i="13" s="1"/>
  <c r="M1495" i="13" s="1"/>
  <c r="L1496" i="13" s="1"/>
  <c r="M1496" i="13" s="1"/>
  <c r="L1497" i="13" s="1"/>
  <c r="M1497" i="13" s="1"/>
  <c r="L1498" i="13" s="1"/>
  <c r="M1498" i="13" s="1"/>
  <c r="L1499" i="13" s="1"/>
  <c r="M1499" i="13" s="1"/>
  <c r="L1500" i="13" s="1"/>
  <c r="M1500" i="13" s="1"/>
  <c r="L1501" i="13" s="1"/>
  <c r="M1501" i="13" s="1"/>
  <c r="L1502" i="13" s="1"/>
  <c r="M1502" i="13" s="1"/>
  <c r="L1503" i="13" s="1"/>
  <c r="M1503" i="13" s="1"/>
  <c r="L1504" i="13" s="1"/>
  <c r="M1504" i="13" s="1"/>
  <c r="L1505" i="13" s="1"/>
  <c r="M1505" i="13" s="1"/>
  <c r="L1506" i="13" s="1"/>
  <c r="M1506" i="13" s="1"/>
  <c r="L1507" i="13" s="1"/>
  <c r="M1507" i="13" s="1"/>
  <c r="L1508" i="13" s="1"/>
  <c r="M1508" i="13" s="1"/>
  <c r="L1509" i="13" s="1"/>
  <c r="M1509" i="13" s="1"/>
  <c r="L1510" i="13" s="1"/>
  <c r="M1510" i="13" s="1"/>
  <c r="L1511" i="13" s="1"/>
  <c r="M1511" i="13" s="1"/>
  <c r="L1512" i="13" s="1"/>
  <c r="M1512" i="13" s="1"/>
  <c r="L1513" i="13" s="1"/>
  <c r="M1513" i="13" s="1"/>
  <c r="L1514" i="13" s="1"/>
  <c r="M1514" i="13" s="1"/>
  <c r="L1515" i="13" s="1"/>
  <c r="M1515" i="13" s="1"/>
  <c r="L1516" i="13" s="1"/>
  <c r="M1516" i="13" s="1"/>
  <c r="L1517" i="13" s="1"/>
  <c r="M1517" i="13" s="1"/>
  <c r="L1518" i="13" s="1"/>
  <c r="M1518" i="13" s="1"/>
  <c r="L1519" i="13" s="1"/>
  <c r="M1519" i="13" s="1"/>
  <c r="L1520" i="13" s="1"/>
  <c r="M1520" i="13" s="1"/>
  <c r="L1521" i="13" s="1"/>
  <c r="M1521" i="13" s="1"/>
  <c r="I39" i="14" s="1"/>
  <c r="P73" i="7"/>
  <c r="Q73" i="7" s="1"/>
  <c r="O73" i="7"/>
  <c r="R73" i="7" s="1"/>
  <c r="X73" i="7" s="1"/>
  <c r="M1122" i="13"/>
  <c r="L1123" i="13" s="1"/>
  <c r="M1123" i="13" s="1"/>
  <c r="L1124" i="13" s="1"/>
  <c r="M1124" i="13" s="1"/>
  <c r="L1125" i="13" s="1"/>
  <c r="M1125" i="13" s="1"/>
  <c r="L1126" i="13" s="1"/>
  <c r="M1126" i="13" s="1"/>
  <c r="L1127" i="13" s="1"/>
  <c r="M1127" i="13" s="1"/>
  <c r="L1128" i="13" s="1"/>
  <c r="M1128" i="13" s="1"/>
  <c r="L1129" i="13" s="1"/>
  <c r="P29" i="7"/>
  <c r="O29" i="7"/>
  <c r="R29" i="7" s="1"/>
  <c r="D2" i="9"/>
  <c r="M442" i="13"/>
  <c r="L443" i="13" s="1"/>
  <c r="M443" i="13" s="1"/>
  <c r="L444" i="13" s="1"/>
  <c r="M444" i="13" s="1"/>
  <c r="L445" i="13" s="1"/>
  <c r="M682" i="13"/>
  <c r="L683" i="13" s="1"/>
  <c r="M683" i="13" s="1"/>
  <c r="L684" i="13" s="1"/>
  <c r="M684" i="13" s="1"/>
  <c r="L685" i="13" s="1"/>
  <c r="M685" i="13" s="1"/>
  <c r="L686" i="13" s="1"/>
  <c r="M686" i="13" s="1"/>
  <c r="L687" i="13" s="1"/>
  <c r="M687" i="13" s="1"/>
  <c r="L688" i="13" s="1"/>
  <c r="M688" i="13" s="1"/>
  <c r="L689" i="13" s="1"/>
  <c r="M689" i="13" s="1"/>
  <c r="L690" i="13" s="1"/>
  <c r="M690" i="13" s="1"/>
  <c r="L691" i="13" s="1"/>
  <c r="M691" i="13" s="1"/>
  <c r="L692" i="13" s="1"/>
  <c r="M692" i="13" s="1"/>
  <c r="L693" i="13" s="1"/>
  <c r="M693" i="13" s="1"/>
  <c r="L694" i="13" s="1"/>
  <c r="M694" i="13" s="1"/>
  <c r="L695" i="13" s="1"/>
  <c r="M695" i="13" s="1"/>
  <c r="L696" i="13" s="1"/>
  <c r="M696" i="13" s="1"/>
  <c r="L697" i="13" s="1"/>
  <c r="M697" i="13" s="1"/>
  <c r="L698" i="13" s="1"/>
  <c r="M698" i="13" s="1"/>
  <c r="L699" i="13" s="1"/>
  <c r="M699" i="13" s="1"/>
  <c r="L700" i="13" s="1"/>
  <c r="M700" i="13" s="1"/>
  <c r="L701" i="13" s="1"/>
  <c r="M701" i="13" s="1"/>
  <c r="L702" i="13" s="1"/>
  <c r="M702" i="13" s="1"/>
  <c r="L703" i="13" s="1"/>
  <c r="M703" i="13" s="1"/>
  <c r="L704" i="13" s="1"/>
  <c r="M704" i="13" s="1"/>
  <c r="L705" i="13" s="1"/>
  <c r="M705" i="13" s="1"/>
  <c r="L706" i="13" s="1"/>
  <c r="M706" i="13" s="1"/>
  <c r="L707" i="13" s="1"/>
  <c r="M707" i="13" s="1"/>
  <c r="L708" i="13" s="1"/>
  <c r="M708" i="13" s="1"/>
  <c r="L709" i="13" s="1"/>
  <c r="M709" i="13" s="1"/>
  <c r="L710" i="13" s="1"/>
  <c r="M710" i="13" s="1"/>
  <c r="L711" i="13" s="1"/>
  <c r="M711" i="13" s="1"/>
  <c r="L712" i="13" s="1"/>
  <c r="M712" i="13" s="1"/>
  <c r="L713" i="13" s="1"/>
  <c r="M713" i="13" s="1"/>
  <c r="L714" i="13" s="1"/>
  <c r="M714" i="13" s="1"/>
  <c r="L715" i="13" s="1"/>
  <c r="M715" i="13" s="1"/>
  <c r="L716" i="13" s="1"/>
  <c r="M716" i="13" s="1"/>
  <c r="L717" i="13" s="1"/>
  <c r="M717" i="13" s="1"/>
  <c r="L718" i="13" s="1"/>
  <c r="M718" i="13" s="1"/>
  <c r="L719" i="13" s="1"/>
  <c r="M719" i="13" s="1"/>
  <c r="L720" i="13" s="1"/>
  <c r="M720" i="13" s="1"/>
  <c r="L721" i="13" s="1"/>
  <c r="M721" i="13" s="1"/>
  <c r="I19" i="14" s="1"/>
  <c r="N19" i="14" s="1"/>
  <c r="R37" i="7"/>
  <c r="X37" i="7" s="1"/>
  <c r="M5" i="13"/>
  <c r="L6" i="13" s="1"/>
  <c r="M6" i="13" s="1"/>
  <c r="L7" i="13" s="1"/>
  <c r="M7" i="13" s="1"/>
  <c r="L8" i="13" s="1"/>
  <c r="M8" i="13" s="1"/>
  <c r="L9" i="13" s="1"/>
  <c r="M9" i="13" s="1"/>
  <c r="L10" i="13" s="1"/>
  <c r="M10" i="13" s="1"/>
  <c r="L11" i="13" s="1"/>
  <c r="M11" i="13" s="1"/>
  <c r="L12" i="13" s="1"/>
  <c r="M12" i="13" s="1"/>
  <c r="L13" i="13" s="1"/>
  <c r="M13" i="13" s="1"/>
  <c r="L14" i="13" s="1"/>
  <c r="M14" i="13" s="1"/>
  <c r="L15" i="13" s="1"/>
  <c r="M15" i="13" s="1"/>
  <c r="L16" i="13" s="1"/>
  <c r="M16" i="13" s="1"/>
  <c r="L17" i="13" s="1"/>
  <c r="M17" i="13" s="1"/>
  <c r="L18" i="13" s="1"/>
  <c r="M18" i="13" s="1"/>
  <c r="L19" i="13" s="1"/>
  <c r="M19" i="13" s="1"/>
  <c r="L20" i="13" s="1"/>
  <c r="M20" i="13" s="1"/>
  <c r="L21" i="13" s="1"/>
  <c r="M21" i="13" s="1"/>
  <c r="L22" i="13" s="1"/>
  <c r="M22" i="13" s="1"/>
  <c r="L23" i="13" s="1"/>
  <c r="M23" i="13" s="1"/>
  <c r="L24" i="13" s="1"/>
  <c r="M24" i="13" s="1"/>
  <c r="L25" i="13" s="1"/>
  <c r="M25" i="13" s="1"/>
  <c r="L26" i="13" s="1"/>
  <c r="M26" i="13" s="1"/>
  <c r="L27" i="13" s="1"/>
  <c r="M27" i="13" s="1"/>
  <c r="L28" i="13" s="1"/>
  <c r="M28" i="13" s="1"/>
  <c r="L29" i="13" s="1"/>
  <c r="M29" i="13" s="1"/>
  <c r="L30" i="13" s="1"/>
  <c r="M30" i="13" s="1"/>
  <c r="L31" i="13" s="1"/>
  <c r="M31" i="13" s="1"/>
  <c r="L32" i="13" s="1"/>
  <c r="M32" i="13" s="1"/>
  <c r="L33" i="13" s="1"/>
  <c r="M33" i="13" s="1"/>
  <c r="L34" i="13" s="1"/>
  <c r="M34" i="13" s="1"/>
  <c r="L35" i="13" s="1"/>
  <c r="M35" i="13" s="1"/>
  <c r="L36" i="13" s="1"/>
  <c r="M36" i="13" s="1"/>
  <c r="L37" i="13" s="1"/>
  <c r="M37" i="13" s="1"/>
  <c r="L38" i="13" s="1"/>
  <c r="M38" i="13" s="1"/>
  <c r="L39" i="13" s="1"/>
  <c r="M39" i="13" s="1"/>
  <c r="L40" i="13" s="1"/>
  <c r="M40" i="13" s="1"/>
  <c r="L41" i="13" s="1"/>
  <c r="M41" i="13" s="1"/>
  <c r="I2" i="14" s="1"/>
  <c r="N2" i="14" s="1"/>
  <c r="P72" i="7"/>
  <c r="O72" i="7"/>
  <c r="R72" i="7" s="1"/>
  <c r="M762" i="13"/>
  <c r="L763" i="13" s="1"/>
  <c r="M763" i="13" s="1"/>
  <c r="L764" i="13" s="1"/>
  <c r="M764" i="13" s="1"/>
  <c r="L765" i="13" s="1"/>
  <c r="M765" i="13" s="1"/>
  <c r="L766" i="13" s="1"/>
  <c r="M766" i="13" s="1"/>
  <c r="L767" i="13" s="1"/>
  <c r="M767" i="13" s="1"/>
  <c r="L768" i="13" s="1"/>
  <c r="M768" i="13" s="1"/>
  <c r="L769" i="13" s="1"/>
  <c r="M769" i="13" s="1"/>
  <c r="L770" i="13" s="1"/>
  <c r="M770" i="13" s="1"/>
  <c r="L771" i="13" s="1"/>
  <c r="M771" i="13" s="1"/>
  <c r="L772" i="13" s="1"/>
  <c r="M772" i="13" s="1"/>
  <c r="L773" i="13" s="1"/>
  <c r="M773" i="13" s="1"/>
  <c r="L774" i="13" s="1"/>
  <c r="M774" i="13" s="1"/>
  <c r="L775" i="13" s="1"/>
  <c r="M775" i="13" s="1"/>
  <c r="L776" i="13" s="1"/>
  <c r="M776" i="13" s="1"/>
  <c r="L777" i="13" s="1"/>
  <c r="M777" i="13" s="1"/>
  <c r="L778" i="13" s="1"/>
  <c r="M778" i="13" s="1"/>
  <c r="L779" i="13" s="1"/>
  <c r="M779" i="13" s="1"/>
  <c r="L780" i="13" s="1"/>
  <c r="M780" i="13" s="1"/>
  <c r="L781" i="13" s="1"/>
  <c r="M781" i="13" s="1"/>
  <c r="L782" i="13" s="1"/>
  <c r="M782" i="13" s="1"/>
  <c r="L783" i="13" s="1"/>
  <c r="M783" i="13" s="1"/>
  <c r="L784" i="13" s="1"/>
  <c r="M784" i="13" s="1"/>
  <c r="L785" i="13" s="1"/>
  <c r="M785" i="13" s="1"/>
  <c r="L786" i="13" s="1"/>
  <c r="M786" i="13" s="1"/>
  <c r="L787" i="13" s="1"/>
  <c r="M787" i="13" s="1"/>
  <c r="L788" i="13" s="1"/>
  <c r="M788" i="13" s="1"/>
  <c r="L789" i="13" s="1"/>
  <c r="M789" i="13" s="1"/>
  <c r="L790" i="13" s="1"/>
  <c r="M790" i="13" s="1"/>
  <c r="L791" i="13" s="1"/>
  <c r="M791" i="13" s="1"/>
  <c r="L792" i="13" s="1"/>
  <c r="M792" i="13" s="1"/>
  <c r="L793" i="13" s="1"/>
  <c r="M793" i="13" s="1"/>
  <c r="L794" i="13" s="1"/>
  <c r="M794" i="13" s="1"/>
  <c r="L795" i="13" s="1"/>
  <c r="M795" i="13" s="1"/>
  <c r="L796" i="13" s="1"/>
  <c r="M796" i="13" s="1"/>
  <c r="L797" i="13" s="1"/>
  <c r="M797" i="13" s="1"/>
  <c r="L798" i="13" s="1"/>
  <c r="M798" i="13" s="1"/>
  <c r="L799" i="13" s="1"/>
  <c r="M799" i="13" s="1"/>
  <c r="L800" i="13" s="1"/>
  <c r="M800" i="13" s="1"/>
  <c r="L801" i="13" s="1"/>
  <c r="M801" i="13" s="1"/>
  <c r="I21" i="14" s="1"/>
  <c r="N21" i="14" s="1"/>
  <c r="M564" i="13"/>
  <c r="L565" i="13" s="1"/>
  <c r="M565" i="13" s="1"/>
  <c r="L566" i="13" s="1"/>
  <c r="M885" i="13"/>
  <c r="L886" i="13" s="1"/>
  <c r="M886" i="13" s="1"/>
  <c r="L887" i="13" s="1"/>
  <c r="M887" i="13" s="1"/>
  <c r="L888" i="13" s="1"/>
  <c r="M888" i="13" s="1"/>
  <c r="L889" i="13" s="1"/>
  <c r="M889" i="13" s="1"/>
  <c r="L890" i="13" s="1"/>
  <c r="M890" i="13" s="1"/>
  <c r="L891" i="13" s="1"/>
  <c r="M891" i="13" s="1"/>
  <c r="L892" i="13" s="1"/>
  <c r="M892" i="13" s="1"/>
  <c r="L893" i="13" s="1"/>
  <c r="M893" i="13" s="1"/>
  <c r="L894" i="13" s="1"/>
  <c r="M894" i="13" s="1"/>
  <c r="L895" i="13" s="1"/>
  <c r="M895" i="13" s="1"/>
  <c r="L896" i="13" s="1"/>
  <c r="M896" i="13" s="1"/>
  <c r="L897" i="13" s="1"/>
  <c r="M897" i="13" s="1"/>
  <c r="L898" i="13" s="1"/>
  <c r="M898" i="13" s="1"/>
  <c r="L899" i="13" s="1"/>
  <c r="M899" i="13" s="1"/>
  <c r="L900" i="13" s="1"/>
  <c r="M900" i="13" s="1"/>
  <c r="L901" i="13" s="1"/>
  <c r="M901" i="13" s="1"/>
  <c r="L902" i="13" s="1"/>
  <c r="M902" i="13" s="1"/>
  <c r="L903" i="13" s="1"/>
  <c r="M903" i="13" s="1"/>
  <c r="L904" i="13" s="1"/>
  <c r="M904" i="13" s="1"/>
  <c r="L905" i="13" s="1"/>
  <c r="M905" i="13" s="1"/>
  <c r="L906" i="13" s="1"/>
  <c r="M906" i="13" s="1"/>
  <c r="L907" i="13" s="1"/>
  <c r="M907" i="13" s="1"/>
  <c r="L908" i="13" s="1"/>
  <c r="M908" i="13" s="1"/>
  <c r="L909" i="13" s="1"/>
  <c r="M909" i="13" s="1"/>
  <c r="L910" i="13" s="1"/>
  <c r="M910" i="13" s="1"/>
  <c r="L911" i="13" s="1"/>
  <c r="M911" i="13" s="1"/>
  <c r="L912" i="13" s="1"/>
  <c r="M912" i="13" s="1"/>
  <c r="L913" i="13" s="1"/>
  <c r="M913" i="13" s="1"/>
  <c r="L914" i="13" s="1"/>
  <c r="M914" i="13" s="1"/>
  <c r="L915" i="13" s="1"/>
  <c r="M915" i="13" s="1"/>
  <c r="L916" i="13" s="1"/>
  <c r="M916" i="13" s="1"/>
  <c r="L917" i="13" s="1"/>
  <c r="M917" i="13" s="1"/>
  <c r="L918" i="13" s="1"/>
  <c r="M918" i="13" s="1"/>
  <c r="L919" i="13" s="1"/>
  <c r="M919" i="13" s="1"/>
  <c r="L920" i="13" s="1"/>
  <c r="M920" i="13" s="1"/>
  <c r="L921" i="13" s="1"/>
  <c r="M921" i="13" s="1"/>
  <c r="I24" i="14" s="1"/>
  <c r="N24" i="14" s="1"/>
  <c r="M1802" i="13"/>
  <c r="L1803" i="13" s="1"/>
  <c r="M1803" i="13" s="1"/>
  <c r="L1804" i="13" s="1"/>
  <c r="M1804" i="13" s="1"/>
  <c r="L1805" i="13" s="1"/>
  <c r="M1805" i="13" s="1"/>
  <c r="L1806" i="13" s="1"/>
  <c r="M1806" i="13" s="1"/>
  <c r="L1807" i="13" s="1"/>
  <c r="M1923" i="13"/>
  <c r="L1924" i="13" s="1"/>
  <c r="M1924" i="13" s="1"/>
  <c r="L1925" i="13" s="1"/>
  <c r="M1925" i="13" s="1"/>
  <c r="L1926" i="13" s="1"/>
  <c r="M1926" i="13" s="1"/>
  <c r="L1927" i="13" s="1"/>
  <c r="M1927" i="13" s="1"/>
  <c r="L1928" i="13" s="1"/>
  <c r="M1928" i="13" s="1"/>
  <c r="L1929" i="13" s="1"/>
  <c r="M1929" i="13" s="1"/>
  <c r="L1930" i="13" s="1"/>
  <c r="M1930" i="13" s="1"/>
  <c r="L1931" i="13" s="1"/>
  <c r="M1931" i="13" s="1"/>
  <c r="L1932" i="13" s="1"/>
  <c r="M1932" i="13" s="1"/>
  <c r="L1933" i="13" s="1"/>
  <c r="M1933" i="13" s="1"/>
  <c r="L1934" i="13" s="1"/>
  <c r="M1934" i="13" s="1"/>
  <c r="L1935" i="13" s="1"/>
  <c r="M1935" i="13" s="1"/>
  <c r="L1936" i="13" s="1"/>
  <c r="M1936" i="13" s="1"/>
  <c r="L1937" i="13" s="1"/>
  <c r="M1937" i="13" s="1"/>
  <c r="L1938" i="13" s="1"/>
  <c r="M1938" i="13" s="1"/>
  <c r="L1939" i="13" s="1"/>
  <c r="M1939" i="13" s="1"/>
  <c r="L1940" i="13" s="1"/>
  <c r="M1940" i="13" s="1"/>
  <c r="L1941" i="13" s="1"/>
  <c r="M1941" i="13" s="1"/>
  <c r="L1942" i="13" s="1"/>
  <c r="M1942" i="13" s="1"/>
  <c r="L1943" i="13" s="1"/>
  <c r="M1943" i="13" s="1"/>
  <c r="L1944" i="13" s="1"/>
  <c r="M1944" i="13" s="1"/>
  <c r="L1945" i="13" s="1"/>
  <c r="M1945" i="13" s="1"/>
  <c r="L1946" i="13" s="1"/>
  <c r="M1946" i="13" s="1"/>
  <c r="L1947" i="13" s="1"/>
  <c r="M1947" i="13" s="1"/>
  <c r="L1948" i="13" s="1"/>
  <c r="M1948" i="13" s="1"/>
  <c r="L1949" i="13" s="1"/>
  <c r="M1949" i="13" s="1"/>
  <c r="L1950" i="13" s="1"/>
  <c r="M1950" i="13" s="1"/>
  <c r="L1951" i="13" s="1"/>
  <c r="M1951" i="13" s="1"/>
  <c r="L1952" i="13" s="1"/>
  <c r="M1952" i="13" s="1"/>
  <c r="L1953" i="13" s="1"/>
  <c r="M1953" i="13" s="1"/>
  <c r="L1954" i="13" s="1"/>
  <c r="M1954" i="13" s="1"/>
  <c r="L1955" i="13" s="1"/>
  <c r="M1955" i="13" s="1"/>
  <c r="L1956" i="13" s="1"/>
  <c r="M1956" i="13" s="1"/>
  <c r="L1957" i="13" s="1"/>
  <c r="M1957" i="13" s="1"/>
  <c r="L1958" i="13" s="1"/>
  <c r="M1958" i="13" s="1"/>
  <c r="L1959" i="13" s="1"/>
  <c r="M1959" i="13" s="1"/>
  <c r="L1960" i="13" s="1"/>
  <c r="M1960" i="13" s="1"/>
  <c r="L1961" i="13" s="1"/>
  <c r="M1961" i="13" s="1"/>
  <c r="I50" i="14" s="1"/>
  <c r="P66" i="7"/>
  <c r="O66" i="7"/>
  <c r="R66" i="7" s="1"/>
  <c r="P7" i="7"/>
  <c r="O18" i="7"/>
  <c r="R18" i="7" s="1"/>
  <c r="X18" i="7" s="1"/>
  <c r="O38" i="7"/>
  <c r="R38" i="7" s="1"/>
  <c r="R47" i="7"/>
  <c r="X47" i="7" s="1"/>
  <c r="O71" i="7"/>
  <c r="R71" i="7" s="1"/>
  <c r="X84" i="7"/>
  <c r="P96" i="7"/>
  <c r="R102" i="7"/>
  <c r="P126" i="7"/>
  <c r="P13" i="11"/>
  <c r="R13" i="11" s="1"/>
  <c r="W13" i="11" s="1"/>
  <c r="AA21" i="11"/>
  <c r="M1002" i="13"/>
  <c r="L1003" i="13" s="1"/>
  <c r="M1003" i="13" s="1"/>
  <c r="L1004" i="13" s="1"/>
  <c r="M1004" i="13" s="1"/>
  <c r="L1005" i="13" s="1"/>
  <c r="M1005" i="13" s="1"/>
  <c r="L1006" i="13" s="1"/>
  <c r="M1006" i="13" s="1"/>
  <c r="L1007" i="13" s="1"/>
  <c r="M1007" i="13" s="1"/>
  <c r="L1008" i="13" s="1"/>
  <c r="M1008" i="13" s="1"/>
  <c r="L1009" i="13" s="1"/>
  <c r="M1009" i="13" s="1"/>
  <c r="L1010" i="13" s="1"/>
  <c r="M1010" i="13" s="1"/>
  <c r="L1011" i="13" s="1"/>
  <c r="M1011" i="13" s="1"/>
  <c r="L1012" i="13" s="1"/>
  <c r="M1012" i="13" s="1"/>
  <c r="L1013" i="13" s="1"/>
  <c r="M1013" i="13" s="1"/>
  <c r="L1014" i="13" s="1"/>
  <c r="M1014" i="13" s="1"/>
  <c r="L1015" i="13" s="1"/>
  <c r="M1015" i="13" s="1"/>
  <c r="L1016" i="13" s="1"/>
  <c r="M1016" i="13" s="1"/>
  <c r="L1017" i="13" s="1"/>
  <c r="M1017" i="13" s="1"/>
  <c r="L1018" i="13" s="1"/>
  <c r="M1018" i="13" s="1"/>
  <c r="L1019" i="13" s="1"/>
  <c r="M1019" i="13" s="1"/>
  <c r="L1020" i="13" s="1"/>
  <c r="M1020" i="13" s="1"/>
  <c r="L1021" i="13" s="1"/>
  <c r="M1021" i="13" s="1"/>
  <c r="L1022" i="13" s="1"/>
  <c r="M1022" i="13" s="1"/>
  <c r="L1023" i="13" s="1"/>
  <c r="M1023" i="13" s="1"/>
  <c r="L1024" i="13" s="1"/>
  <c r="M1024" i="13" s="1"/>
  <c r="L1025" i="13" s="1"/>
  <c r="M1025" i="13" s="1"/>
  <c r="L1026" i="13" s="1"/>
  <c r="M1026" i="13" s="1"/>
  <c r="L1027" i="13" s="1"/>
  <c r="M1027" i="13" s="1"/>
  <c r="L1028" i="13" s="1"/>
  <c r="M1028" i="13" s="1"/>
  <c r="L1029" i="13" s="1"/>
  <c r="M1029" i="13" s="1"/>
  <c r="L1030" i="13" s="1"/>
  <c r="M1030" i="13" s="1"/>
  <c r="L1031" i="13" s="1"/>
  <c r="M1031" i="13" s="1"/>
  <c r="L1032" i="13" s="1"/>
  <c r="M1032" i="13" s="1"/>
  <c r="L1033" i="13" s="1"/>
  <c r="M1033" i="13" s="1"/>
  <c r="L1034" i="13" s="1"/>
  <c r="M1034" i="13" s="1"/>
  <c r="L1035" i="13" s="1"/>
  <c r="M1035" i="13" s="1"/>
  <c r="L1036" i="13" s="1"/>
  <c r="M1036" i="13" s="1"/>
  <c r="L1037" i="13" s="1"/>
  <c r="M1037" i="13" s="1"/>
  <c r="L1038" i="13" s="1"/>
  <c r="M1038" i="13" s="1"/>
  <c r="L1039" i="13" s="1"/>
  <c r="M1039" i="13" s="1"/>
  <c r="L1040" i="13" s="1"/>
  <c r="M1040" i="13" s="1"/>
  <c r="L1041" i="13" s="1"/>
  <c r="M1041" i="13" s="1"/>
  <c r="I27" i="14" s="1"/>
  <c r="N27" i="14" s="1"/>
  <c r="M1522" i="13"/>
  <c r="L1523" i="13" s="1"/>
  <c r="M1523" i="13" s="1"/>
  <c r="L1524" i="13" s="1"/>
  <c r="M1524" i="13" s="1"/>
  <c r="L1525" i="13" s="1"/>
  <c r="M1525" i="13" s="1"/>
  <c r="L1526" i="13" s="1"/>
  <c r="M1526" i="13" s="1"/>
  <c r="L1527" i="13" s="1"/>
  <c r="M1527" i="13" s="1"/>
  <c r="L1528" i="13" s="1"/>
  <c r="M1528" i="13" s="1"/>
  <c r="L1529" i="13" s="1"/>
  <c r="M1529" i="13" s="1"/>
  <c r="L1530" i="13" s="1"/>
  <c r="M1530" i="13" s="1"/>
  <c r="L1531" i="13" s="1"/>
  <c r="M1531" i="13" s="1"/>
  <c r="L1532" i="13" s="1"/>
  <c r="M1532" i="13" s="1"/>
  <c r="L1533" i="13" s="1"/>
  <c r="M1533" i="13" s="1"/>
  <c r="L1534" i="13" s="1"/>
  <c r="M1534" i="13" s="1"/>
  <c r="L1535" i="13" s="1"/>
  <c r="M1535" i="13" s="1"/>
  <c r="L1536" i="13" s="1"/>
  <c r="M1536" i="13" s="1"/>
  <c r="L1537" i="13" s="1"/>
  <c r="M1537" i="13" s="1"/>
  <c r="L1538" i="13" s="1"/>
  <c r="M1538" i="13" s="1"/>
  <c r="L1539" i="13" s="1"/>
  <c r="M1539" i="13" s="1"/>
  <c r="L1540" i="13" s="1"/>
  <c r="M1540" i="13" s="1"/>
  <c r="L1541" i="13" s="1"/>
  <c r="M1541" i="13" s="1"/>
  <c r="L1542" i="13" s="1"/>
  <c r="M1542" i="13" s="1"/>
  <c r="L1543" i="13" s="1"/>
  <c r="M1543" i="13" s="1"/>
  <c r="L1544" i="13" s="1"/>
  <c r="M1544" i="13" s="1"/>
  <c r="L1545" i="13" s="1"/>
  <c r="M1545" i="13" s="1"/>
  <c r="L1546" i="13" s="1"/>
  <c r="M1546" i="13" s="1"/>
  <c r="L1547" i="13" s="1"/>
  <c r="M1547" i="13" s="1"/>
  <c r="L1548" i="13" s="1"/>
  <c r="M1548" i="13" s="1"/>
  <c r="L1549" i="13" s="1"/>
  <c r="M1549" i="13" s="1"/>
  <c r="L1550" i="13" s="1"/>
  <c r="M1550" i="13" s="1"/>
  <c r="L1551" i="13" s="1"/>
  <c r="M1551" i="13" s="1"/>
  <c r="L1552" i="13" s="1"/>
  <c r="M1552" i="13" s="1"/>
  <c r="L1553" i="13" s="1"/>
  <c r="M1553" i="13" s="1"/>
  <c r="L1554" i="13" s="1"/>
  <c r="M1554" i="13" s="1"/>
  <c r="L1555" i="13" s="1"/>
  <c r="M1555" i="13" s="1"/>
  <c r="L1556" i="13" s="1"/>
  <c r="M1556" i="13" s="1"/>
  <c r="L1557" i="13" s="1"/>
  <c r="M1557" i="13" s="1"/>
  <c r="L1558" i="13" s="1"/>
  <c r="M1558" i="13" s="1"/>
  <c r="L1559" i="13" s="1"/>
  <c r="M1559" i="13" s="1"/>
  <c r="L1560" i="13" s="1"/>
  <c r="M1560" i="13" s="1"/>
  <c r="L1561" i="13" s="1"/>
  <c r="M1561" i="13" s="1"/>
  <c r="I40" i="14" s="1"/>
  <c r="R24" i="7"/>
  <c r="R31" i="7"/>
  <c r="X31" i="7" s="1"/>
  <c r="O51" i="7"/>
  <c r="R51" i="7" s="1"/>
  <c r="L5" i="11"/>
  <c r="M5" i="11" s="1"/>
  <c r="Q18" i="11"/>
  <c r="L20" i="11"/>
  <c r="P20" i="11" s="1"/>
  <c r="R20" i="11" s="1"/>
  <c r="W20" i="11" s="1"/>
  <c r="O89" i="7"/>
  <c r="R89" i="7" s="1"/>
  <c r="X89" i="7" s="1"/>
  <c r="P102" i="7"/>
  <c r="Q102" i="7" s="1"/>
  <c r="W102" i="7" s="1"/>
  <c r="O129" i="7"/>
  <c r="M15" i="11"/>
  <c r="R2" i="7"/>
  <c r="X2" i="7" s="1"/>
  <c r="R27" i="7"/>
  <c r="O34" i="7"/>
  <c r="R34" i="7" s="1"/>
  <c r="X34" i="7" s="1"/>
  <c r="R82" i="7"/>
  <c r="R105" i="7"/>
  <c r="X105" i="7" s="1"/>
  <c r="X17" i="11"/>
  <c r="R50" i="7"/>
  <c r="O95" i="7"/>
  <c r="R95" i="7" s="1"/>
  <c r="R108" i="7"/>
  <c r="X108" i="7" s="1"/>
  <c r="O112" i="7"/>
  <c r="R112" i="7" s="1"/>
  <c r="X112" i="7" s="1"/>
  <c r="O122" i="7"/>
  <c r="R122" i="7" s="1"/>
  <c r="X122" i="7" s="1"/>
  <c r="X7" i="11"/>
  <c r="Y10" i="11"/>
  <c r="Y15" i="11"/>
  <c r="M1762" i="13"/>
  <c r="L1763" i="13" s="1"/>
  <c r="M1763" i="13" s="1"/>
  <c r="L1764" i="13" s="1"/>
  <c r="M1764" i="13" s="1"/>
  <c r="L1765" i="13" s="1"/>
  <c r="M1765" i="13" s="1"/>
  <c r="L1766" i="13" s="1"/>
  <c r="M1766" i="13" s="1"/>
  <c r="L1767" i="13" s="1"/>
  <c r="M1767" i="13" s="1"/>
  <c r="L1768" i="13" s="1"/>
  <c r="M1768" i="13" s="1"/>
  <c r="L1769" i="13" s="1"/>
  <c r="M1769" i="13" s="1"/>
  <c r="L1770" i="13" s="1"/>
  <c r="M1770" i="13" s="1"/>
  <c r="L1771" i="13" s="1"/>
  <c r="M1771" i="13" s="1"/>
  <c r="L1772" i="13" s="1"/>
  <c r="M1772" i="13" s="1"/>
  <c r="L1773" i="13" s="1"/>
  <c r="M1773" i="13" s="1"/>
  <c r="L1774" i="13" s="1"/>
  <c r="M1774" i="13" s="1"/>
  <c r="L1775" i="13" s="1"/>
  <c r="M1775" i="13" s="1"/>
  <c r="L1776" i="13" s="1"/>
  <c r="M1776" i="13" s="1"/>
  <c r="L1777" i="13" s="1"/>
  <c r="M1777" i="13" s="1"/>
  <c r="L1778" i="13" s="1"/>
  <c r="M1778" i="13" s="1"/>
  <c r="L1779" i="13" s="1"/>
  <c r="M1779" i="13" s="1"/>
  <c r="L1780" i="13" s="1"/>
  <c r="M1780" i="13" s="1"/>
  <c r="L1781" i="13" s="1"/>
  <c r="M1781" i="13" s="1"/>
  <c r="L1782" i="13" s="1"/>
  <c r="M1782" i="13" s="1"/>
  <c r="L1783" i="13" s="1"/>
  <c r="M1783" i="13" s="1"/>
  <c r="L1784" i="13" s="1"/>
  <c r="M1784" i="13" s="1"/>
  <c r="L1785" i="13" s="1"/>
  <c r="M1785" i="13" s="1"/>
  <c r="L1786" i="13" s="1"/>
  <c r="M1786" i="13" s="1"/>
  <c r="L1787" i="13" s="1"/>
  <c r="M1787" i="13" s="1"/>
  <c r="L1788" i="13" s="1"/>
  <c r="M1788" i="13" s="1"/>
  <c r="L1789" i="13" s="1"/>
  <c r="M1789" i="13" s="1"/>
  <c r="L1790" i="13" s="1"/>
  <c r="M1790" i="13" s="1"/>
  <c r="L1791" i="13" s="1"/>
  <c r="M1791" i="13" s="1"/>
  <c r="L1792" i="13" s="1"/>
  <c r="M1792" i="13" s="1"/>
  <c r="L1793" i="13" s="1"/>
  <c r="M1793" i="13" s="1"/>
  <c r="L1794" i="13" s="1"/>
  <c r="M1794" i="13" s="1"/>
  <c r="L1795" i="13" s="1"/>
  <c r="M1795" i="13" s="1"/>
  <c r="L1796" i="13" s="1"/>
  <c r="M1796" i="13" s="1"/>
  <c r="L1797" i="13" s="1"/>
  <c r="M1797" i="13" s="1"/>
  <c r="L1798" i="13" s="1"/>
  <c r="M1798" i="13" s="1"/>
  <c r="L1799" i="13" s="1"/>
  <c r="M1799" i="13" s="1"/>
  <c r="L1800" i="13" s="1"/>
  <c r="M1800" i="13" s="1"/>
  <c r="L1801" i="13" s="1"/>
  <c r="M1801" i="13" s="1"/>
  <c r="I46" i="14" s="1"/>
  <c r="R5" i="7"/>
  <c r="R33" i="7"/>
  <c r="R69" i="7"/>
  <c r="X69" i="7" s="1"/>
  <c r="R98" i="7"/>
  <c r="X98" i="7" s="1"/>
  <c r="Q15" i="11"/>
  <c r="AB15" i="11" s="1"/>
  <c r="X26" i="11"/>
  <c r="M1962" i="13"/>
  <c r="L1963" i="13" s="1"/>
  <c r="M1963" i="13" s="1"/>
  <c r="L1964" i="13" s="1"/>
  <c r="M1964" i="13" s="1"/>
  <c r="L1965" i="13" s="1"/>
  <c r="M1965" i="13" s="1"/>
  <c r="L1966" i="13" s="1"/>
  <c r="M1966" i="13" s="1"/>
  <c r="L1967" i="13" s="1"/>
  <c r="M1967" i="13" s="1"/>
  <c r="L1968" i="13" s="1"/>
  <c r="M1968" i="13" s="1"/>
  <c r="L1969" i="13" s="1"/>
  <c r="M1969" i="13" s="1"/>
  <c r="L1970" i="13" s="1"/>
  <c r="M1970" i="13" s="1"/>
  <c r="L1971" i="13" s="1"/>
  <c r="M1971" i="13" s="1"/>
  <c r="L1972" i="13" s="1"/>
  <c r="M1972" i="13" s="1"/>
  <c r="L1973" i="13" s="1"/>
  <c r="M1973" i="13" s="1"/>
  <c r="L1974" i="13" s="1"/>
  <c r="M1974" i="13" s="1"/>
  <c r="L1975" i="13" s="1"/>
  <c r="M1975" i="13" s="1"/>
  <c r="L1976" i="13" s="1"/>
  <c r="M1976" i="13" s="1"/>
  <c r="L1977" i="13" s="1"/>
  <c r="M1977" i="13" s="1"/>
  <c r="L1978" i="13" s="1"/>
  <c r="M1978" i="13" s="1"/>
  <c r="L1979" i="13" s="1"/>
  <c r="M1979" i="13" s="1"/>
  <c r="L1980" i="13" s="1"/>
  <c r="M1980" i="13" s="1"/>
  <c r="L1981" i="13" s="1"/>
  <c r="M1981" i="13" s="1"/>
  <c r="L1982" i="13" s="1"/>
  <c r="M1982" i="13" s="1"/>
  <c r="L1983" i="13" s="1"/>
  <c r="M1983" i="13" s="1"/>
  <c r="L1984" i="13" s="1"/>
  <c r="M1984" i="13" s="1"/>
  <c r="L1985" i="13" s="1"/>
  <c r="M1985" i="13" s="1"/>
  <c r="L1986" i="13" s="1"/>
  <c r="M1986" i="13" s="1"/>
  <c r="L1987" i="13" s="1"/>
  <c r="M1987" i="13" s="1"/>
  <c r="L1988" i="13" s="1"/>
  <c r="M1988" i="13" s="1"/>
  <c r="L1989" i="13" s="1"/>
  <c r="M1989" i="13" s="1"/>
  <c r="L1990" i="13" s="1"/>
  <c r="M1990" i="13" s="1"/>
  <c r="L1991" i="13" s="1"/>
  <c r="M1991" i="13" s="1"/>
  <c r="L1992" i="13" s="1"/>
  <c r="M1992" i="13" s="1"/>
  <c r="L1993" i="13" s="1"/>
  <c r="M1993" i="13" s="1"/>
  <c r="L1994" i="13" s="1"/>
  <c r="M1994" i="13" s="1"/>
  <c r="L1995" i="13" s="1"/>
  <c r="M1995" i="13" s="1"/>
  <c r="L1996" i="13" s="1"/>
  <c r="M1996" i="13" s="1"/>
  <c r="L1997" i="13" s="1"/>
  <c r="M1997" i="13" s="1"/>
  <c r="L1998" i="13" s="1"/>
  <c r="M1998" i="13" s="1"/>
  <c r="L1999" i="13" s="1"/>
  <c r="M1999" i="13" s="1"/>
  <c r="L2000" i="13" s="1"/>
  <c r="M2000" i="13" s="1"/>
  <c r="L2001" i="13" s="1"/>
  <c r="M2001" i="13" s="1"/>
  <c r="I51" i="14" s="1"/>
  <c r="J25" i="14" s="1"/>
  <c r="L25" i="14" s="1"/>
  <c r="O63" i="7"/>
  <c r="R63" i="7" s="1"/>
  <c r="O79" i="7"/>
  <c r="P82" i="7"/>
  <c r="R115" i="7"/>
  <c r="AB3" i="11"/>
  <c r="Y12" i="11"/>
  <c r="R131" i="7"/>
  <c r="X131" i="7" s="1"/>
  <c r="L11" i="11"/>
  <c r="M11" i="11" s="1"/>
  <c r="L19" i="11"/>
  <c r="Q19" i="11" s="1"/>
  <c r="V19" i="11" s="1"/>
  <c r="M722" i="13"/>
  <c r="L723" i="13" s="1"/>
  <c r="M723" i="13" s="1"/>
  <c r="L724" i="13" s="1"/>
  <c r="M1884" i="13"/>
  <c r="L1885" i="13" s="1"/>
  <c r="M1885" i="13" s="1"/>
  <c r="L1886" i="13" s="1"/>
  <c r="M1886" i="13" s="1"/>
  <c r="L1887" i="13" s="1"/>
  <c r="M1887" i="13" s="1"/>
  <c r="L1888" i="13" s="1"/>
  <c r="M1888" i="13" s="1"/>
  <c r="L1889" i="13" s="1"/>
  <c r="M1889" i="13" s="1"/>
  <c r="L1890" i="13" s="1"/>
  <c r="M1890" i="13" s="1"/>
  <c r="L1891" i="13" s="1"/>
  <c r="M1891" i="13" s="1"/>
  <c r="L1892" i="13" s="1"/>
  <c r="M1892" i="13" s="1"/>
  <c r="L1893" i="13" s="1"/>
  <c r="M1893" i="13" s="1"/>
  <c r="L1894" i="13" s="1"/>
  <c r="M1894" i="13" s="1"/>
  <c r="L1895" i="13" s="1"/>
  <c r="M1895" i="13" s="1"/>
  <c r="L1896" i="13" s="1"/>
  <c r="M1896" i="13" s="1"/>
  <c r="L1897" i="13" s="1"/>
  <c r="M1897" i="13" s="1"/>
  <c r="L1898" i="13" s="1"/>
  <c r="M1898" i="13" s="1"/>
  <c r="L1899" i="13" s="1"/>
  <c r="M1899" i="13" s="1"/>
  <c r="L1900" i="13" s="1"/>
  <c r="M1900" i="13" s="1"/>
  <c r="L1901" i="13" s="1"/>
  <c r="M1901" i="13" s="1"/>
  <c r="L1902" i="13" s="1"/>
  <c r="M1902" i="13" s="1"/>
  <c r="L1903" i="13" s="1"/>
  <c r="M1903" i="13" s="1"/>
  <c r="L1904" i="13" s="1"/>
  <c r="M1904" i="13" s="1"/>
  <c r="L1905" i="13" s="1"/>
  <c r="M1905" i="13" s="1"/>
  <c r="L1906" i="13" s="1"/>
  <c r="M1906" i="13" s="1"/>
  <c r="L1907" i="13" s="1"/>
  <c r="M1907" i="13" s="1"/>
  <c r="L1908" i="13" s="1"/>
  <c r="M1908" i="13" s="1"/>
  <c r="L1909" i="13" s="1"/>
  <c r="M1909" i="13" s="1"/>
  <c r="L1910" i="13" s="1"/>
  <c r="M1910" i="13" s="1"/>
  <c r="L1911" i="13" s="1"/>
  <c r="M1911" i="13" s="1"/>
  <c r="L1912" i="13" s="1"/>
  <c r="M1912" i="13" s="1"/>
  <c r="L1913" i="13" s="1"/>
  <c r="M1913" i="13" s="1"/>
  <c r="L1914" i="13" s="1"/>
  <c r="M1914" i="13" s="1"/>
  <c r="L1915" i="13" s="1"/>
  <c r="M1915" i="13" s="1"/>
  <c r="L1916" i="13" s="1"/>
  <c r="M1916" i="13" s="1"/>
  <c r="L1917" i="13" s="1"/>
  <c r="M1917" i="13" s="1"/>
  <c r="L1918" i="13" s="1"/>
  <c r="M1918" i="13" s="1"/>
  <c r="L1919" i="13" s="1"/>
  <c r="M1919" i="13" s="1"/>
  <c r="L1920" i="13" s="1"/>
  <c r="M1920" i="13" s="1"/>
  <c r="L1921" i="13" s="1"/>
  <c r="M1921" i="13" s="1"/>
  <c r="I49" i="14" s="1"/>
  <c r="N49" i="14" s="1"/>
  <c r="O16" i="7"/>
  <c r="R16" i="7" s="1"/>
  <c r="X16" i="7" s="1"/>
  <c r="P33" i="7"/>
  <c r="O59" i="7"/>
  <c r="R59" i="7" s="1"/>
  <c r="D7" i="8" s="1"/>
  <c r="P69" i="7"/>
  <c r="R97" i="7"/>
  <c r="P115" i="7"/>
  <c r="O121" i="7"/>
  <c r="X14" i="11"/>
  <c r="M1242" i="13"/>
  <c r="L1243" i="13" s="1"/>
  <c r="M1243" i="13" s="1"/>
  <c r="L1244" i="13" s="1"/>
  <c r="M1244" i="13" s="1"/>
  <c r="L1245" i="13" s="1"/>
  <c r="M1245" i="13" s="1"/>
  <c r="L1246" i="13" s="1"/>
  <c r="M1246" i="13" s="1"/>
  <c r="L1247" i="13" s="1"/>
  <c r="M1247" i="13" s="1"/>
  <c r="L1248" i="13" s="1"/>
  <c r="M1248" i="13" s="1"/>
  <c r="L1249" i="13" s="1"/>
  <c r="M1249" i="13" s="1"/>
  <c r="L1250" i="13" s="1"/>
  <c r="M1250" i="13" s="1"/>
  <c r="L1251" i="13" s="1"/>
  <c r="M1251" i="13" s="1"/>
  <c r="L1252" i="13" s="1"/>
  <c r="M1252" i="13" s="1"/>
  <c r="L1253" i="13" s="1"/>
  <c r="M1253" i="13" s="1"/>
  <c r="L1254" i="13" s="1"/>
  <c r="M1254" i="13" s="1"/>
  <c r="L1255" i="13" s="1"/>
  <c r="M1255" i="13" s="1"/>
  <c r="L1256" i="13" s="1"/>
  <c r="M1256" i="13" s="1"/>
  <c r="L1257" i="13" s="1"/>
  <c r="M1257" i="13" s="1"/>
  <c r="L1258" i="13" s="1"/>
  <c r="M1258" i="13" s="1"/>
  <c r="L1259" i="13" s="1"/>
  <c r="M1259" i="13" s="1"/>
  <c r="L1260" i="13" s="1"/>
  <c r="M1260" i="13" s="1"/>
  <c r="L1261" i="13" s="1"/>
  <c r="M1261" i="13" s="1"/>
  <c r="L1262" i="13" s="1"/>
  <c r="M1262" i="13" s="1"/>
  <c r="L1263" i="13" s="1"/>
  <c r="M1263" i="13" s="1"/>
  <c r="L1264" i="13" s="1"/>
  <c r="M1264" i="13" s="1"/>
  <c r="L1265" i="13" s="1"/>
  <c r="M1265" i="13" s="1"/>
  <c r="L1266" i="13" s="1"/>
  <c r="M1266" i="13" s="1"/>
  <c r="L1267" i="13" s="1"/>
  <c r="M1267" i="13" s="1"/>
  <c r="L1268" i="13" s="1"/>
  <c r="M1268" i="13" s="1"/>
  <c r="L1269" i="13" s="1"/>
  <c r="M1269" i="13" s="1"/>
  <c r="L1270" i="13" s="1"/>
  <c r="M1270" i="13" s="1"/>
  <c r="L1271" i="13" s="1"/>
  <c r="M1271" i="13" s="1"/>
  <c r="L1272" i="13" s="1"/>
  <c r="M1272" i="13" s="1"/>
  <c r="L1273" i="13" s="1"/>
  <c r="M1273" i="13" s="1"/>
  <c r="L1274" i="13" s="1"/>
  <c r="M1274" i="13" s="1"/>
  <c r="L1275" i="13" s="1"/>
  <c r="M1275" i="13" s="1"/>
  <c r="L1276" i="13" s="1"/>
  <c r="M1276" i="13" s="1"/>
  <c r="L1277" i="13" s="1"/>
  <c r="M1277" i="13" s="1"/>
  <c r="L1278" i="13" s="1"/>
  <c r="M1278" i="13" s="1"/>
  <c r="L1279" i="13" s="1"/>
  <c r="M1279" i="13" s="1"/>
  <c r="L1280" i="13" s="1"/>
  <c r="M1280" i="13" s="1"/>
  <c r="L1281" i="13" s="1"/>
  <c r="M1281" i="13" s="1"/>
  <c r="I33" i="14" s="1"/>
  <c r="X13" i="7"/>
  <c r="R26" i="7"/>
  <c r="P49" i="7"/>
  <c r="Q49" i="7" s="1"/>
  <c r="W49" i="7" s="1"/>
  <c r="R84" i="7"/>
  <c r="P91" i="7"/>
  <c r="P94" i="7"/>
  <c r="Q94" i="7" s="1"/>
  <c r="R107" i="7"/>
  <c r="O111" i="7"/>
  <c r="R111" i="7" s="1"/>
  <c r="X4" i="11"/>
  <c r="Q9" i="11"/>
  <c r="AB9" i="11" s="1"/>
  <c r="L23" i="11"/>
  <c r="M1722" i="13"/>
  <c r="L1723" i="13" s="1"/>
  <c r="O97" i="7"/>
  <c r="R100" i="7"/>
  <c r="X100" i="7" s="1"/>
  <c r="O127" i="7"/>
  <c r="R127" i="7" s="1"/>
  <c r="P131" i="7"/>
  <c r="Y19" i="11"/>
  <c r="Y21" i="11"/>
  <c r="O81" i="7"/>
  <c r="R81" i="7" s="1"/>
  <c r="X81" i="7" s="1"/>
  <c r="X16" i="11"/>
  <c r="W25" i="11"/>
  <c r="C10" i="16"/>
  <c r="D10" i="16" s="1"/>
  <c r="R48" i="7"/>
  <c r="O90" i="7"/>
  <c r="R103" i="7"/>
  <c r="R123" i="7"/>
  <c r="X123" i="7" s="1"/>
  <c r="Y6" i="11"/>
  <c r="M18" i="11"/>
  <c r="AA23" i="11"/>
  <c r="Y25" i="11"/>
  <c r="L27" i="11"/>
  <c r="M523" i="13"/>
  <c r="L524" i="13" s="1"/>
  <c r="M524" i="13" s="1"/>
  <c r="L525" i="13" s="1"/>
  <c r="M525" i="13" s="1"/>
  <c r="L526" i="13" s="1"/>
  <c r="M526" i="13" s="1"/>
  <c r="L527" i="13" s="1"/>
  <c r="M527" i="13" s="1"/>
  <c r="L528" i="13" s="1"/>
  <c r="M528" i="13" s="1"/>
  <c r="L529" i="13" s="1"/>
  <c r="M529" i="13" s="1"/>
  <c r="L530" i="13" s="1"/>
  <c r="M530" i="13" s="1"/>
  <c r="L531" i="13" s="1"/>
  <c r="M531" i="13" s="1"/>
  <c r="L532" i="13" s="1"/>
  <c r="M532" i="13" s="1"/>
  <c r="L533" i="13" s="1"/>
  <c r="M533" i="13" s="1"/>
  <c r="L534" i="13" s="1"/>
  <c r="M534" i="13" s="1"/>
  <c r="L535" i="13" s="1"/>
  <c r="M535" i="13" s="1"/>
  <c r="L536" i="13" s="1"/>
  <c r="M536" i="13" s="1"/>
  <c r="L537" i="13" s="1"/>
  <c r="M537" i="13" s="1"/>
  <c r="L538" i="13" s="1"/>
  <c r="M538" i="13" s="1"/>
  <c r="L539" i="13" s="1"/>
  <c r="M539" i="13" s="1"/>
  <c r="L540" i="13" s="1"/>
  <c r="M540" i="13" s="1"/>
  <c r="L541" i="13" s="1"/>
  <c r="M541" i="13" s="1"/>
  <c r="L542" i="13" s="1"/>
  <c r="M542" i="13" s="1"/>
  <c r="L543" i="13" s="1"/>
  <c r="M543" i="13" s="1"/>
  <c r="L544" i="13" s="1"/>
  <c r="M544" i="13" s="1"/>
  <c r="L545" i="13" s="1"/>
  <c r="M545" i="13" s="1"/>
  <c r="L546" i="13" s="1"/>
  <c r="M546" i="13" s="1"/>
  <c r="L547" i="13" s="1"/>
  <c r="M547" i="13" s="1"/>
  <c r="L548" i="13" s="1"/>
  <c r="M548" i="13" s="1"/>
  <c r="L549" i="13" s="1"/>
  <c r="M549" i="13" s="1"/>
  <c r="L550" i="13" s="1"/>
  <c r="M550" i="13" s="1"/>
  <c r="L551" i="13" s="1"/>
  <c r="M551" i="13" s="1"/>
  <c r="L552" i="13" s="1"/>
  <c r="M552" i="13" s="1"/>
  <c r="L553" i="13" s="1"/>
  <c r="M553" i="13" s="1"/>
  <c r="L554" i="13" s="1"/>
  <c r="M554" i="13" s="1"/>
  <c r="L555" i="13" s="1"/>
  <c r="M555" i="13" s="1"/>
  <c r="L556" i="13" s="1"/>
  <c r="M556" i="13" s="1"/>
  <c r="L557" i="13" s="1"/>
  <c r="M557" i="13" s="1"/>
  <c r="L558" i="13" s="1"/>
  <c r="M558" i="13" s="1"/>
  <c r="L559" i="13" s="1"/>
  <c r="M559" i="13" s="1"/>
  <c r="L560" i="13" s="1"/>
  <c r="M560" i="13" s="1"/>
  <c r="L561" i="13" s="1"/>
  <c r="M561" i="13" s="1"/>
  <c r="I15" i="14" s="1"/>
  <c r="N15" i="14" s="1"/>
  <c r="M962" i="13"/>
  <c r="L963" i="13" s="1"/>
  <c r="M963" i="13" s="1"/>
  <c r="L964" i="13" s="1"/>
  <c r="M964" i="13" s="1"/>
  <c r="L965" i="13" s="1"/>
  <c r="M965" i="13" s="1"/>
  <c r="L966" i="13" s="1"/>
  <c r="M966" i="13" s="1"/>
  <c r="L967" i="13" s="1"/>
  <c r="M967" i="13" s="1"/>
  <c r="L968" i="13" s="1"/>
  <c r="M968" i="13" s="1"/>
  <c r="L969" i="13" s="1"/>
  <c r="M969" i="13" s="1"/>
  <c r="L970" i="13" s="1"/>
  <c r="M970" i="13" s="1"/>
  <c r="L971" i="13" s="1"/>
  <c r="M971" i="13" s="1"/>
  <c r="L972" i="13" s="1"/>
  <c r="M972" i="13" s="1"/>
  <c r="L973" i="13" s="1"/>
  <c r="M973" i="13" s="1"/>
  <c r="L974" i="13" s="1"/>
  <c r="M974" i="13" s="1"/>
  <c r="L975" i="13" s="1"/>
  <c r="M975" i="13" s="1"/>
  <c r="L976" i="13" s="1"/>
  <c r="M976" i="13" s="1"/>
  <c r="L977" i="13" s="1"/>
  <c r="M977" i="13" s="1"/>
  <c r="L978" i="13" s="1"/>
  <c r="M978" i="13" s="1"/>
  <c r="L979" i="13" s="1"/>
  <c r="M979" i="13" s="1"/>
  <c r="L980" i="13" s="1"/>
  <c r="M980" i="13" s="1"/>
  <c r="L981" i="13" s="1"/>
  <c r="M981" i="13" s="1"/>
  <c r="L982" i="13" s="1"/>
  <c r="M982" i="13" s="1"/>
  <c r="L983" i="13" s="1"/>
  <c r="M983" i="13" s="1"/>
  <c r="L984" i="13" s="1"/>
  <c r="M984" i="13" s="1"/>
  <c r="L985" i="13" s="1"/>
  <c r="M985" i="13" s="1"/>
  <c r="L986" i="13" s="1"/>
  <c r="M986" i="13" s="1"/>
  <c r="L987" i="13" s="1"/>
  <c r="M987" i="13" s="1"/>
  <c r="L988" i="13" s="1"/>
  <c r="M988" i="13" s="1"/>
  <c r="L989" i="13" s="1"/>
  <c r="M989" i="13" s="1"/>
  <c r="L990" i="13" s="1"/>
  <c r="M990" i="13" s="1"/>
  <c r="L991" i="13" s="1"/>
  <c r="M991" i="13" s="1"/>
  <c r="L992" i="13" s="1"/>
  <c r="M992" i="13" s="1"/>
  <c r="L993" i="13" s="1"/>
  <c r="M993" i="13" s="1"/>
  <c r="L994" i="13" s="1"/>
  <c r="M994" i="13" s="1"/>
  <c r="L995" i="13" s="1"/>
  <c r="M995" i="13" s="1"/>
  <c r="L996" i="13" s="1"/>
  <c r="M996" i="13" s="1"/>
  <c r="L997" i="13" s="1"/>
  <c r="M997" i="13" s="1"/>
  <c r="L998" i="13" s="1"/>
  <c r="M998" i="13" s="1"/>
  <c r="L999" i="13" s="1"/>
  <c r="M999" i="13" s="1"/>
  <c r="L1000" i="13" s="1"/>
  <c r="M1000" i="13" s="1"/>
  <c r="L1001" i="13" s="1"/>
  <c r="M1001" i="13" s="1"/>
  <c r="I26" i="14" s="1"/>
  <c r="N26" i="14" s="1"/>
  <c r="M1402" i="13"/>
  <c r="L1403" i="13" s="1"/>
  <c r="M1403" i="13" s="1"/>
  <c r="L1404" i="13" s="1"/>
  <c r="M1404" i="13" s="1"/>
  <c r="L1405" i="13" s="1"/>
  <c r="M1405" i="13" s="1"/>
  <c r="L1406" i="13" s="1"/>
  <c r="M1406" i="13" s="1"/>
  <c r="L1407" i="13" s="1"/>
  <c r="M1407" i="13" s="1"/>
  <c r="L1408" i="13" s="1"/>
  <c r="M1408" i="13" s="1"/>
  <c r="L1409" i="13" s="1"/>
  <c r="M1409" i="13" s="1"/>
  <c r="L1410" i="13" s="1"/>
  <c r="M1410" i="13" s="1"/>
  <c r="L1411" i="13" s="1"/>
  <c r="M1411" i="13" s="1"/>
  <c r="L1412" i="13" s="1"/>
  <c r="M1412" i="13" s="1"/>
  <c r="L1413" i="13" s="1"/>
  <c r="M1413" i="13" s="1"/>
  <c r="L1414" i="13" s="1"/>
  <c r="M1414" i="13" s="1"/>
  <c r="L1415" i="13" s="1"/>
  <c r="M1415" i="13" s="1"/>
  <c r="L1416" i="13" s="1"/>
  <c r="M1416" i="13" s="1"/>
  <c r="L1417" i="13" s="1"/>
  <c r="M1417" i="13" s="1"/>
  <c r="L1418" i="13" s="1"/>
  <c r="M1418" i="13" s="1"/>
  <c r="L1419" i="13" s="1"/>
  <c r="M1419" i="13" s="1"/>
  <c r="L1420" i="13" s="1"/>
  <c r="M1420" i="13" s="1"/>
  <c r="L1421" i="13" s="1"/>
  <c r="M1421" i="13" s="1"/>
  <c r="L1422" i="13" s="1"/>
  <c r="M1422" i="13" s="1"/>
  <c r="L1423" i="13" s="1"/>
  <c r="M1423" i="13" s="1"/>
  <c r="L1424" i="13" s="1"/>
  <c r="M1424" i="13" s="1"/>
  <c r="L1425" i="13" s="1"/>
  <c r="M1425" i="13" s="1"/>
  <c r="L1426" i="13" s="1"/>
  <c r="M1426" i="13" s="1"/>
  <c r="L1427" i="13" s="1"/>
  <c r="M1427" i="13" s="1"/>
  <c r="L1428" i="13" s="1"/>
  <c r="M1428" i="13" s="1"/>
  <c r="L1429" i="13" s="1"/>
  <c r="M1429" i="13" s="1"/>
  <c r="L1430" i="13" s="1"/>
  <c r="M1430" i="13" s="1"/>
  <c r="L1431" i="13" s="1"/>
  <c r="M1431" i="13" s="1"/>
  <c r="L1432" i="13" s="1"/>
  <c r="M1432" i="13" s="1"/>
  <c r="L1433" i="13" s="1"/>
  <c r="M1433" i="13" s="1"/>
  <c r="L1434" i="13" s="1"/>
  <c r="M1434" i="13" s="1"/>
  <c r="L1435" i="13" s="1"/>
  <c r="M1435" i="13" s="1"/>
  <c r="L1436" i="13" s="1"/>
  <c r="M1436" i="13" s="1"/>
  <c r="L1437" i="13" s="1"/>
  <c r="M1437" i="13" s="1"/>
  <c r="L1438" i="13" s="1"/>
  <c r="M1438" i="13" s="1"/>
  <c r="L1439" i="13" s="1"/>
  <c r="M1439" i="13" s="1"/>
  <c r="L1440" i="13" s="1"/>
  <c r="M1440" i="13" s="1"/>
  <c r="L1441" i="13" s="1"/>
  <c r="M1441" i="13" s="1"/>
  <c r="I37" i="14" s="1"/>
  <c r="M1843" i="13"/>
  <c r="L1844" i="13" s="1"/>
  <c r="M1844" i="13" s="1"/>
  <c r="L1845" i="13" s="1"/>
  <c r="M1845" i="13" s="1"/>
  <c r="L1846" i="13" s="1"/>
  <c r="M1846" i="13" s="1"/>
  <c r="L1847" i="13" s="1"/>
  <c r="M1847" i="13" s="1"/>
  <c r="L1848" i="13" s="1"/>
  <c r="M1848" i="13" s="1"/>
  <c r="L1849" i="13" s="1"/>
  <c r="M1849" i="13" s="1"/>
  <c r="L1850" i="13" s="1"/>
  <c r="M1850" i="13" s="1"/>
  <c r="L1851" i="13" s="1"/>
  <c r="M1851" i="13" s="1"/>
  <c r="L1852" i="13" s="1"/>
  <c r="M1852" i="13" s="1"/>
  <c r="L1853" i="13" s="1"/>
  <c r="M1853" i="13" s="1"/>
  <c r="L1854" i="13" s="1"/>
  <c r="M1854" i="13" s="1"/>
  <c r="L1855" i="13" s="1"/>
  <c r="M1855" i="13" s="1"/>
  <c r="L1856" i="13" s="1"/>
  <c r="M1856" i="13" s="1"/>
  <c r="L1857" i="13" s="1"/>
  <c r="M1857" i="13" s="1"/>
  <c r="L1858" i="13" s="1"/>
  <c r="M1858" i="13" s="1"/>
  <c r="L1859" i="13" s="1"/>
  <c r="M1859" i="13" s="1"/>
  <c r="L1860" i="13" s="1"/>
  <c r="M1860" i="13" s="1"/>
  <c r="L1861" i="13" s="1"/>
  <c r="M1861" i="13" s="1"/>
  <c r="L1862" i="13" s="1"/>
  <c r="M1862" i="13" s="1"/>
  <c r="L1863" i="13" s="1"/>
  <c r="M1863" i="13" s="1"/>
  <c r="L1864" i="13" s="1"/>
  <c r="M1864" i="13" s="1"/>
  <c r="L1865" i="13" s="1"/>
  <c r="M1865" i="13" s="1"/>
  <c r="L1866" i="13" s="1"/>
  <c r="M1866" i="13" s="1"/>
  <c r="L1867" i="13" s="1"/>
  <c r="M1867" i="13" s="1"/>
  <c r="L1868" i="13" s="1"/>
  <c r="M1868" i="13" s="1"/>
  <c r="L1869" i="13" s="1"/>
  <c r="M1869" i="13" s="1"/>
  <c r="L1870" i="13" s="1"/>
  <c r="M1870" i="13" s="1"/>
  <c r="L1871" i="13" s="1"/>
  <c r="M1871" i="13" s="1"/>
  <c r="L1872" i="13" s="1"/>
  <c r="M1872" i="13" s="1"/>
  <c r="L1873" i="13" s="1"/>
  <c r="M1873" i="13" s="1"/>
  <c r="L1874" i="13" s="1"/>
  <c r="M1874" i="13" s="1"/>
  <c r="L1875" i="13" s="1"/>
  <c r="M1875" i="13" s="1"/>
  <c r="L1876" i="13" s="1"/>
  <c r="M1876" i="13" s="1"/>
  <c r="L1877" i="13" s="1"/>
  <c r="M1877" i="13" s="1"/>
  <c r="L1878" i="13" s="1"/>
  <c r="M1878" i="13" s="1"/>
  <c r="L1879" i="13" s="1"/>
  <c r="M1879" i="13" s="1"/>
  <c r="L1880" i="13" s="1"/>
  <c r="M1880" i="13" s="1"/>
  <c r="L1881" i="13" s="1"/>
  <c r="M1881" i="13" s="1"/>
  <c r="I48" i="14" s="1"/>
  <c r="P11" i="7"/>
  <c r="P35" i="7"/>
  <c r="R83" i="7"/>
  <c r="R113" i="7"/>
  <c r="R130" i="7"/>
  <c r="X130" i="7" s="1"/>
  <c r="AB25" i="11"/>
  <c r="AA105" i="7"/>
  <c r="AA97" i="7"/>
  <c r="AA89" i="7"/>
  <c r="AA81" i="7"/>
  <c r="AA99" i="7"/>
  <c r="AA91" i="7"/>
  <c r="AA83" i="7"/>
  <c r="AA104" i="7"/>
  <c r="AA98" i="7"/>
  <c r="AA90" i="7"/>
  <c r="AA103" i="7"/>
  <c r="AA95" i="7"/>
  <c r="AA87" i="7"/>
  <c r="AA86" i="7"/>
  <c r="AA85" i="7"/>
  <c r="AA82" i="7"/>
  <c r="AA100" i="7"/>
  <c r="AA96" i="7"/>
  <c r="AA92" i="7"/>
  <c r="AA101" i="7"/>
  <c r="AA94" i="7"/>
  <c r="AA93" i="7"/>
  <c r="AA102" i="7"/>
  <c r="AA80" i="7"/>
  <c r="AA84" i="7"/>
  <c r="AA88" i="7"/>
  <c r="AB105" i="7"/>
  <c r="AB97" i="7"/>
  <c r="AB99" i="7"/>
  <c r="AB91" i="7"/>
  <c r="AB101" i="7"/>
  <c r="AB93" i="7"/>
  <c r="AB85" i="7"/>
  <c r="AB103" i="7"/>
  <c r="AB95" i="7"/>
  <c r="AB87" i="7"/>
  <c r="AB84" i="7"/>
  <c r="AB82" i="7"/>
  <c r="AB100" i="7"/>
  <c r="AB98" i="7"/>
  <c r="AB96" i="7"/>
  <c r="AB92" i="7"/>
  <c r="AB94" i="7"/>
  <c r="AB102" i="7"/>
  <c r="AB104" i="7"/>
  <c r="AB90" i="7"/>
  <c r="AB89" i="7"/>
  <c r="AB88" i="7"/>
  <c r="AB80" i="7"/>
  <c r="AB86" i="7"/>
  <c r="AB81" i="7"/>
  <c r="AB83" i="7"/>
  <c r="M408" i="13"/>
  <c r="L409" i="13" s="1"/>
  <c r="M409" i="13" s="1"/>
  <c r="L410" i="13" s="1"/>
  <c r="M410" i="13" s="1"/>
  <c r="L411" i="13" s="1"/>
  <c r="M411" i="13" s="1"/>
  <c r="L412" i="13" s="1"/>
  <c r="M412" i="13" s="1"/>
  <c r="L413" i="13" s="1"/>
  <c r="M413" i="13" s="1"/>
  <c r="L414" i="13" s="1"/>
  <c r="M414" i="13" s="1"/>
  <c r="L415" i="13" s="1"/>
  <c r="M415" i="13" s="1"/>
  <c r="L416" i="13" s="1"/>
  <c r="M416" i="13" s="1"/>
  <c r="L417" i="13" s="1"/>
  <c r="M417" i="13" s="1"/>
  <c r="L418" i="13" s="1"/>
  <c r="M418" i="13" s="1"/>
  <c r="L419" i="13" s="1"/>
  <c r="M419" i="13" s="1"/>
  <c r="L420" i="13" s="1"/>
  <c r="M420" i="13" s="1"/>
  <c r="L421" i="13" s="1"/>
  <c r="M421" i="13" s="1"/>
  <c r="L422" i="13" s="1"/>
  <c r="M422" i="13" s="1"/>
  <c r="L423" i="13" s="1"/>
  <c r="M423" i="13" s="1"/>
  <c r="L424" i="13" s="1"/>
  <c r="M424" i="13" s="1"/>
  <c r="L425" i="13" s="1"/>
  <c r="M425" i="13" s="1"/>
  <c r="L426" i="13" s="1"/>
  <c r="M426" i="13" s="1"/>
  <c r="L427" i="13" s="1"/>
  <c r="M427" i="13" s="1"/>
  <c r="L428" i="13" s="1"/>
  <c r="M428" i="13" s="1"/>
  <c r="L429" i="13" s="1"/>
  <c r="M429" i="13" s="1"/>
  <c r="L430" i="13" s="1"/>
  <c r="M430" i="13" s="1"/>
  <c r="L431" i="13" s="1"/>
  <c r="M431" i="13" s="1"/>
  <c r="L432" i="13" s="1"/>
  <c r="M432" i="13" s="1"/>
  <c r="L433" i="13" s="1"/>
  <c r="M433" i="13" s="1"/>
  <c r="L434" i="13" s="1"/>
  <c r="M434" i="13" s="1"/>
  <c r="L435" i="13" s="1"/>
  <c r="M435" i="13" s="1"/>
  <c r="L436" i="13" s="1"/>
  <c r="M436" i="13" s="1"/>
  <c r="L437" i="13" s="1"/>
  <c r="M437" i="13" s="1"/>
  <c r="L438" i="13" s="1"/>
  <c r="M438" i="13" s="1"/>
  <c r="L439" i="13" s="1"/>
  <c r="M439" i="13" s="1"/>
  <c r="L440" i="13" s="1"/>
  <c r="M440" i="13" s="1"/>
  <c r="L441" i="13" s="1"/>
  <c r="M441" i="13" s="1"/>
  <c r="I12" i="14" s="1"/>
  <c r="N12" i="14" s="1"/>
  <c r="Z48" i="7"/>
  <c r="Z40" i="7"/>
  <c r="Z32" i="7"/>
  <c r="Z53" i="7"/>
  <c r="Z45" i="7"/>
  <c r="Z37" i="7"/>
  <c r="Z52" i="7"/>
  <c r="Z44" i="7"/>
  <c r="Z36" i="7"/>
  <c r="Z34" i="7"/>
  <c r="Z38" i="7"/>
  <c r="Z51" i="7"/>
  <c r="Z50" i="7"/>
  <c r="Z49" i="7"/>
  <c r="Z28" i="7"/>
  <c r="Z46" i="7"/>
  <c r="Z47" i="7"/>
  <c r="Z39" i="7"/>
  <c r="Z41" i="7"/>
  <c r="Z42" i="7"/>
  <c r="Z30" i="7"/>
  <c r="Z31" i="7"/>
  <c r="Z43" i="7"/>
  <c r="Z33" i="7"/>
  <c r="Z29" i="7"/>
  <c r="Z35" i="7"/>
  <c r="AA53" i="7"/>
  <c r="AA45" i="7"/>
  <c r="AA37" i="7"/>
  <c r="AA29" i="7"/>
  <c r="AA47" i="7"/>
  <c r="AA32" i="7"/>
  <c r="AA46" i="7"/>
  <c r="AA52" i="7"/>
  <c r="AA38" i="7"/>
  <c r="AA51" i="7"/>
  <c r="AA50" i="7"/>
  <c r="AA44" i="7"/>
  <c r="AA30" i="7"/>
  <c r="AA43" i="7"/>
  <c r="AA49" i="7"/>
  <c r="AA41" i="7"/>
  <c r="AA36" i="7"/>
  <c r="AA39" i="7"/>
  <c r="AA40" i="7"/>
  <c r="AA35" i="7"/>
  <c r="AA34" i="7"/>
  <c r="AA33" i="7"/>
  <c r="AA42" i="7"/>
  <c r="AA31" i="7"/>
  <c r="AA28" i="7"/>
  <c r="AA48" i="7"/>
  <c r="M370" i="13"/>
  <c r="L371" i="13" s="1"/>
  <c r="M371" i="13" s="1"/>
  <c r="L372" i="13" s="1"/>
  <c r="M372" i="13" s="1"/>
  <c r="L373" i="13" s="1"/>
  <c r="M373" i="13" s="1"/>
  <c r="L374" i="13" s="1"/>
  <c r="M374" i="13" s="1"/>
  <c r="L375" i="13" s="1"/>
  <c r="M375" i="13" s="1"/>
  <c r="L376" i="13" s="1"/>
  <c r="M376" i="13" s="1"/>
  <c r="L377" i="13" s="1"/>
  <c r="M377" i="13" s="1"/>
  <c r="L378" i="13" s="1"/>
  <c r="M378" i="13" s="1"/>
  <c r="L379" i="13" s="1"/>
  <c r="M379" i="13" s="1"/>
  <c r="L380" i="13" s="1"/>
  <c r="M380" i="13" s="1"/>
  <c r="L381" i="13" s="1"/>
  <c r="M381" i="13" s="1"/>
  <c r="L382" i="13" s="1"/>
  <c r="M382" i="13" s="1"/>
  <c r="L383" i="13" s="1"/>
  <c r="M383" i="13" s="1"/>
  <c r="L384" i="13" s="1"/>
  <c r="M384" i="13" s="1"/>
  <c r="L385" i="13" s="1"/>
  <c r="M385" i="13" s="1"/>
  <c r="L386" i="13" s="1"/>
  <c r="M386" i="13" s="1"/>
  <c r="L387" i="13" s="1"/>
  <c r="M387" i="13" s="1"/>
  <c r="L388" i="13" s="1"/>
  <c r="M388" i="13" s="1"/>
  <c r="L389" i="13" s="1"/>
  <c r="M389" i="13" s="1"/>
  <c r="L390" i="13" s="1"/>
  <c r="M390" i="13" s="1"/>
  <c r="L391" i="13" s="1"/>
  <c r="M391" i="13" s="1"/>
  <c r="L392" i="13" s="1"/>
  <c r="M392" i="13" s="1"/>
  <c r="L393" i="13" s="1"/>
  <c r="M393" i="13" s="1"/>
  <c r="L394" i="13" s="1"/>
  <c r="M394" i="13" s="1"/>
  <c r="L395" i="13" s="1"/>
  <c r="M395" i="13" s="1"/>
  <c r="L396" i="13" s="1"/>
  <c r="M396" i="13" s="1"/>
  <c r="L397" i="13" s="1"/>
  <c r="M397" i="13" s="1"/>
  <c r="L398" i="13" s="1"/>
  <c r="M398" i="13" s="1"/>
  <c r="L399" i="13" s="1"/>
  <c r="M399" i="13" s="1"/>
  <c r="L400" i="13" s="1"/>
  <c r="M400" i="13" s="1"/>
  <c r="L401" i="13" s="1"/>
  <c r="M401" i="13" s="1"/>
  <c r="I11" i="14" s="1"/>
  <c r="N11" i="14" s="1"/>
  <c r="L77" i="7"/>
  <c r="L69" i="7"/>
  <c r="L61" i="7"/>
  <c r="L79" i="7"/>
  <c r="L71" i="7"/>
  <c r="Q71" i="7" s="1"/>
  <c r="W71" i="7" s="1"/>
  <c r="L63" i="7"/>
  <c r="Q63" i="7" s="1"/>
  <c r="W63" i="7" s="1"/>
  <c r="L66" i="7"/>
  <c r="L62" i="7"/>
  <c r="L75" i="7"/>
  <c r="L70" i="7"/>
  <c r="L65" i="7"/>
  <c r="Q65" i="7" s="1"/>
  <c r="W65" i="7" s="1"/>
  <c r="L74" i="7"/>
  <c r="L57" i="7"/>
  <c r="Q57" i="7" s="1"/>
  <c r="W57" i="7" s="1"/>
  <c r="L73" i="7"/>
  <c r="L72" i="7"/>
  <c r="L67" i="7"/>
  <c r="Q67" i="7" s="1"/>
  <c r="W67" i="7" s="1"/>
  <c r="L68" i="7"/>
  <c r="L78" i="7"/>
  <c r="L64" i="7"/>
  <c r="L60" i="7"/>
  <c r="L59" i="7"/>
  <c r="Q59" i="7" s="1"/>
  <c r="W59" i="7" s="1"/>
  <c r="L58" i="7"/>
  <c r="Q58" i="7" s="1"/>
  <c r="W58" i="7" s="1"/>
  <c r="L56" i="7"/>
  <c r="L55" i="7"/>
  <c r="L76" i="7"/>
  <c r="L54" i="7"/>
  <c r="X6" i="5"/>
  <c r="M514" i="13"/>
  <c r="L515" i="13" s="1"/>
  <c r="M515" i="13" s="1"/>
  <c r="L516" i="13" s="1"/>
  <c r="M516" i="13" s="1"/>
  <c r="L517" i="13" s="1"/>
  <c r="M517" i="13" s="1"/>
  <c r="L518" i="13" s="1"/>
  <c r="M518" i="13" s="1"/>
  <c r="L519" i="13" s="1"/>
  <c r="M519" i="13" s="1"/>
  <c r="L520" i="13" s="1"/>
  <c r="M520" i="13" s="1"/>
  <c r="L521" i="13" s="1"/>
  <c r="M521" i="13" s="1"/>
  <c r="I14" i="14" s="1"/>
  <c r="N14" i="14" s="1"/>
  <c r="Z72" i="7"/>
  <c r="Z64" i="7"/>
  <c r="Z74" i="7"/>
  <c r="Z66" i="7"/>
  <c r="Z77" i="7"/>
  <c r="Z67" i="7"/>
  <c r="Z59" i="7"/>
  <c r="Z56" i="7"/>
  <c r="Z63" i="7"/>
  <c r="Z76" i="7"/>
  <c r="Z75" i="7"/>
  <c r="Z70" i="7"/>
  <c r="Z58" i="7"/>
  <c r="Z55" i="7"/>
  <c r="Z61" i="7"/>
  <c r="Z54" i="7"/>
  <c r="Z73" i="7"/>
  <c r="Z69" i="7"/>
  <c r="Z68" i="7"/>
  <c r="Z71" i="7"/>
  <c r="Z79" i="7"/>
  <c r="Z78" i="7"/>
  <c r="Z65" i="7"/>
  <c r="Z62" i="7"/>
  <c r="Z60" i="7"/>
  <c r="Z57" i="7"/>
  <c r="L7" i="7"/>
  <c r="L4" i="7"/>
  <c r="L15" i="7"/>
  <c r="Q15" i="7" s="1"/>
  <c r="L12" i="7"/>
  <c r="Q12" i="7" s="1"/>
  <c r="L9" i="7"/>
  <c r="L6" i="7"/>
  <c r="Q6" i="7" s="1"/>
  <c r="L21" i="7"/>
  <c r="Q21" i="7" s="1"/>
  <c r="L20" i="7"/>
  <c r="L10" i="7"/>
  <c r="Q10" i="7" s="1"/>
  <c r="L13" i="7"/>
  <c r="Q13" i="7" s="1"/>
  <c r="L8" i="7"/>
  <c r="L16" i="7"/>
  <c r="L19" i="7"/>
  <c r="L17" i="7"/>
  <c r="L14" i="7"/>
  <c r="Q14" i="7" s="1"/>
  <c r="L27" i="7"/>
  <c r="L26" i="7"/>
  <c r="Q26" i="7" s="1"/>
  <c r="S26" i="7" s="1"/>
  <c r="L18" i="7"/>
  <c r="Q18" i="7" s="1"/>
  <c r="S18" i="7" s="1"/>
  <c r="L5" i="7"/>
  <c r="Q5" i="7" s="1"/>
  <c r="L3" i="7"/>
  <c r="Q3" i="7" s="1"/>
  <c r="L2" i="7"/>
  <c r="L22" i="7"/>
  <c r="Q22" i="7" s="1"/>
  <c r="L23" i="7"/>
  <c r="L24" i="7"/>
  <c r="L25" i="7"/>
  <c r="Q25" i="7" s="1"/>
  <c r="L11" i="7"/>
  <c r="AB53" i="7"/>
  <c r="AB45" i="7"/>
  <c r="AB37" i="7"/>
  <c r="AB50" i="7"/>
  <c r="AB42" i="7"/>
  <c r="AB52" i="7"/>
  <c r="AB49" i="7"/>
  <c r="AB41" i="7"/>
  <c r="AB40" i="7"/>
  <c r="AB35" i="7"/>
  <c r="AB51" i="7"/>
  <c r="AB44" i="7"/>
  <c r="AB30" i="7"/>
  <c r="AB43" i="7"/>
  <c r="AB48" i="7"/>
  <c r="AB47" i="7"/>
  <c r="AB29" i="7"/>
  <c r="AB46" i="7"/>
  <c r="AB39" i="7"/>
  <c r="AB38" i="7"/>
  <c r="AB34" i="7"/>
  <c r="AB33" i="7"/>
  <c r="AB31" i="7"/>
  <c r="AB36" i="7"/>
  <c r="AB28" i="7"/>
  <c r="AB32" i="7"/>
  <c r="X3" i="5"/>
  <c r="M618" i="13"/>
  <c r="L619" i="13" s="1"/>
  <c r="M619" i="13" s="1"/>
  <c r="L620" i="13" s="1"/>
  <c r="M620" i="13" s="1"/>
  <c r="L621" i="13" s="1"/>
  <c r="M621" i="13" s="1"/>
  <c r="L622" i="13" s="1"/>
  <c r="M622" i="13" s="1"/>
  <c r="L623" i="13" s="1"/>
  <c r="M623" i="13" s="1"/>
  <c r="L624" i="13" s="1"/>
  <c r="M624" i="13" s="1"/>
  <c r="L625" i="13" s="1"/>
  <c r="M625" i="13" s="1"/>
  <c r="L626" i="13" s="1"/>
  <c r="M626" i="13" s="1"/>
  <c r="L627" i="13" s="1"/>
  <c r="M627" i="13" s="1"/>
  <c r="L628" i="13" s="1"/>
  <c r="M628" i="13" s="1"/>
  <c r="L629" i="13" s="1"/>
  <c r="M629" i="13" s="1"/>
  <c r="L630" i="13" s="1"/>
  <c r="M630" i="13" s="1"/>
  <c r="L631" i="13" s="1"/>
  <c r="M631" i="13" s="1"/>
  <c r="L632" i="13" s="1"/>
  <c r="M632" i="13" s="1"/>
  <c r="L633" i="13" s="1"/>
  <c r="M633" i="13" s="1"/>
  <c r="L634" i="13" s="1"/>
  <c r="M634" i="13" s="1"/>
  <c r="L635" i="13" s="1"/>
  <c r="M635" i="13" s="1"/>
  <c r="L636" i="13" s="1"/>
  <c r="M636" i="13" s="1"/>
  <c r="L637" i="13" s="1"/>
  <c r="M637" i="13" s="1"/>
  <c r="L638" i="13" s="1"/>
  <c r="M638" i="13" s="1"/>
  <c r="L639" i="13" s="1"/>
  <c r="M639" i="13" s="1"/>
  <c r="L640" i="13" s="1"/>
  <c r="M640" i="13" s="1"/>
  <c r="L641" i="13" s="1"/>
  <c r="M641" i="13" s="1"/>
  <c r="I17" i="14" s="1"/>
  <c r="N17" i="14" s="1"/>
  <c r="L129" i="7"/>
  <c r="Q129" i="7" s="1"/>
  <c r="W129" i="7" s="1"/>
  <c r="L121" i="7"/>
  <c r="Q121" i="7" s="1"/>
  <c r="W121" i="7" s="1"/>
  <c r="L113" i="7"/>
  <c r="Q113" i="7" s="1"/>
  <c r="L131" i="7"/>
  <c r="L123" i="7"/>
  <c r="Q123" i="7" s="1"/>
  <c r="W123" i="7" s="1"/>
  <c r="L115" i="7"/>
  <c r="Q115" i="7" s="1"/>
  <c r="W115" i="7" s="1"/>
  <c r="L107" i="7"/>
  <c r="Q107" i="7" s="1"/>
  <c r="W107" i="7" s="1"/>
  <c r="L125" i="7"/>
  <c r="Q125" i="7" s="1"/>
  <c r="W125" i="7" s="1"/>
  <c r="L117" i="7"/>
  <c r="L109" i="7"/>
  <c r="L130" i="7"/>
  <c r="L122" i="7"/>
  <c r="Q122" i="7" s="1"/>
  <c r="L114" i="7"/>
  <c r="L127" i="7"/>
  <c r="Q127" i="7" s="1"/>
  <c r="L119" i="7"/>
  <c r="L111" i="7"/>
  <c r="Q111" i="7" s="1"/>
  <c r="L120" i="7"/>
  <c r="L124" i="7"/>
  <c r="L108" i="7"/>
  <c r="Q108" i="7" s="1"/>
  <c r="W108" i="7" s="1"/>
  <c r="L106" i="7"/>
  <c r="L110" i="7"/>
  <c r="L112" i="7"/>
  <c r="Q112" i="7" s="1"/>
  <c r="W112" i="7" s="1"/>
  <c r="L126" i="7"/>
  <c r="L128" i="7"/>
  <c r="Q128" i="7" s="1"/>
  <c r="L116" i="7"/>
  <c r="L118" i="7"/>
  <c r="X4" i="5"/>
  <c r="Z124" i="7"/>
  <c r="Z116" i="7"/>
  <c r="Z108" i="7"/>
  <c r="Z126" i="7"/>
  <c r="Z118" i="7"/>
  <c r="Z110" i="7"/>
  <c r="Z131" i="7"/>
  <c r="Z128" i="7"/>
  <c r="Z120" i="7"/>
  <c r="Z112" i="7"/>
  <c r="Z125" i="7"/>
  <c r="Z117" i="7"/>
  <c r="Z130" i="7"/>
  <c r="Z122" i="7"/>
  <c r="Z114" i="7"/>
  <c r="Z106" i="7"/>
  <c r="Z127" i="7"/>
  <c r="Z115" i="7"/>
  <c r="Z129" i="7"/>
  <c r="Z119" i="7"/>
  <c r="Z121" i="7"/>
  <c r="Z123" i="7"/>
  <c r="Z107" i="7"/>
  <c r="Z111" i="7"/>
  <c r="Z113" i="7"/>
  <c r="Z109" i="7"/>
  <c r="C2" i="16"/>
  <c r="D2" i="16" s="1"/>
  <c r="L105" i="7"/>
  <c r="Q105" i="7" s="1"/>
  <c r="W105" i="7" s="1"/>
  <c r="L97" i="7"/>
  <c r="L99" i="7"/>
  <c r="Q99" i="7" s="1"/>
  <c r="W99" i="7" s="1"/>
  <c r="L91" i="7"/>
  <c r="Q91" i="7" s="1"/>
  <c r="W91" i="7" s="1"/>
  <c r="L101" i="7"/>
  <c r="L93" i="7"/>
  <c r="L85" i="7"/>
  <c r="Q85" i="7" s="1"/>
  <c r="W85" i="7" s="1"/>
  <c r="L103" i="7"/>
  <c r="L95" i="7"/>
  <c r="L87" i="7"/>
  <c r="L83" i="7"/>
  <c r="L100" i="7"/>
  <c r="L98" i="7"/>
  <c r="L102" i="7"/>
  <c r="L96" i="7"/>
  <c r="Q96" i="7" s="1"/>
  <c r="W96" i="7" s="1"/>
  <c r="L94" i="7"/>
  <c r="L92" i="7"/>
  <c r="L104" i="7"/>
  <c r="L90" i="7"/>
  <c r="Q90" i="7" s="1"/>
  <c r="W90" i="7" s="1"/>
  <c r="L89" i="7"/>
  <c r="Q89" i="7" s="1"/>
  <c r="W89" i="7" s="1"/>
  <c r="L81" i="7"/>
  <c r="Q81" i="7" s="1"/>
  <c r="W81" i="7" s="1"/>
  <c r="L86" i="7"/>
  <c r="Q86" i="7" s="1"/>
  <c r="W86" i="7" s="1"/>
  <c r="L84" i="7"/>
  <c r="Q84" i="7" s="1"/>
  <c r="W84" i="7" s="1"/>
  <c r="L82" i="7"/>
  <c r="Q82" i="7" s="1"/>
  <c r="W82" i="7" s="1"/>
  <c r="L80" i="7"/>
  <c r="L88" i="7"/>
  <c r="V2" i="4"/>
  <c r="L53" i="7"/>
  <c r="L45" i="7"/>
  <c r="Q45" i="7" s="1"/>
  <c r="L37" i="7"/>
  <c r="Q37" i="7" s="1"/>
  <c r="W37" i="7" s="1"/>
  <c r="L50" i="7"/>
  <c r="Q50" i="7" s="1"/>
  <c r="W50" i="7" s="1"/>
  <c r="L42" i="7"/>
  <c r="L52" i="7"/>
  <c r="L49" i="7"/>
  <c r="L41" i="7"/>
  <c r="L46" i="7"/>
  <c r="L51" i="7"/>
  <c r="L48" i="7"/>
  <c r="Q48" i="7" s="1"/>
  <c r="W48" i="7" s="1"/>
  <c r="L30" i="7"/>
  <c r="Q30" i="7" s="1"/>
  <c r="L33" i="7"/>
  <c r="Q33" i="7" s="1"/>
  <c r="L35" i="7"/>
  <c r="L40" i="7"/>
  <c r="L39" i="7"/>
  <c r="L43" i="7"/>
  <c r="Q43" i="7" s="1"/>
  <c r="W43" i="7" s="1"/>
  <c r="L29" i="7"/>
  <c r="Q29" i="7" s="1"/>
  <c r="W29" i="7" s="1"/>
  <c r="L47" i="7"/>
  <c r="Q47" i="7" s="1"/>
  <c r="W47" i="7" s="1"/>
  <c r="L32" i="7"/>
  <c r="L44" i="7"/>
  <c r="L34" i="7"/>
  <c r="Q34" i="7" s="1"/>
  <c r="W34" i="7" s="1"/>
  <c r="L36" i="7"/>
  <c r="L38" i="7"/>
  <c r="Q38" i="7" s="1"/>
  <c r="L31" i="7"/>
  <c r="L28" i="7"/>
  <c r="Z100" i="7"/>
  <c r="Z102" i="7"/>
  <c r="Z94" i="7"/>
  <c r="Z104" i="7"/>
  <c r="Z96" i="7"/>
  <c r="Z88" i="7"/>
  <c r="Z80" i="7"/>
  <c r="Z98" i="7"/>
  <c r="Z90" i="7"/>
  <c r="Z82" i="7"/>
  <c r="Z86" i="7"/>
  <c r="Z85" i="7"/>
  <c r="Z84" i="7"/>
  <c r="Z99" i="7"/>
  <c r="Z97" i="7"/>
  <c r="Z95" i="7"/>
  <c r="Z92" i="7"/>
  <c r="Z101" i="7"/>
  <c r="Z93" i="7"/>
  <c r="Z91" i="7"/>
  <c r="Z105" i="7"/>
  <c r="Z103" i="7"/>
  <c r="Z89" i="7"/>
  <c r="Z87" i="7"/>
  <c r="Z81" i="7"/>
  <c r="Z83" i="7"/>
  <c r="M322" i="13"/>
  <c r="L323" i="13" s="1"/>
  <c r="M323" i="13" s="1"/>
  <c r="L324" i="13" s="1"/>
  <c r="M324" i="13" s="1"/>
  <c r="L325" i="13" s="1"/>
  <c r="M325" i="13" s="1"/>
  <c r="L326" i="13" s="1"/>
  <c r="M326" i="13" s="1"/>
  <c r="L327" i="13" s="1"/>
  <c r="M327" i="13" s="1"/>
  <c r="L328" i="13" s="1"/>
  <c r="M328" i="13" s="1"/>
  <c r="L329" i="13" s="1"/>
  <c r="M329" i="13" s="1"/>
  <c r="L330" i="13" s="1"/>
  <c r="M330" i="13" s="1"/>
  <c r="L331" i="13" s="1"/>
  <c r="M331" i="13" s="1"/>
  <c r="L332" i="13" s="1"/>
  <c r="M332" i="13" s="1"/>
  <c r="L333" i="13" s="1"/>
  <c r="M333" i="13" s="1"/>
  <c r="L334" i="13" s="1"/>
  <c r="M334" i="13" s="1"/>
  <c r="L335" i="13" s="1"/>
  <c r="M335" i="13" s="1"/>
  <c r="L336" i="13" s="1"/>
  <c r="M336" i="13" s="1"/>
  <c r="L337" i="13" s="1"/>
  <c r="M337" i="13" s="1"/>
  <c r="L338" i="13" s="1"/>
  <c r="M338" i="13" s="1"/>
  <c r="L339" i="13" s="1"/>
  <c r="M339" i="13" s="1"/>
  <c r="L340" i="13" s="1"/>
  <c r="M340" i="13" s="1"/>
  <c r="L341" i="13" s="1"/>
  <c r="M341" i="13" s="1"/>
  <c r="L342" i="13" s="1"/>
  <c r="M342" i="13" s="1"/>
  <c r="L343" i="13" s="1"/>
  <c r="M343" i="13" s="1"/>
  <c r="L344" i="13" s="1"/>
  <c r="M344" i="13" s="1"/>
  <c r="L345" i="13" s="1"/>
  <c r="M345" i="13" s="1"/>
  <c r="L346" i="13" s="1"/>
  <c r="M346" i="13" s="1"/>
  <c r="L347" i="13" s="1"/>
  <c r="M347" i="13" s="1"/>
  <c r="L348" i="13" s="1"/>
  <c r="M348" i="13" s="1"/>
  <c r="L349" i="13" s="1"/>
  <c r="M349" i="13" s="1"/>
  <c r="L350" i="13" s="1"/>
  <c r="M350" i="13" s="1"/>
  <c r="L351" i="13" s="1"/>
  <c r="M351" i="13" s="1"/>
  <c r="L352" i="13" s="1"/>
  <c r="M352" i="13" s="1"/>
  <c r="L353" i="13" s="1"/>
  <c r="M353" i="13" s="1"/>
  <c r="L354" i="13" s="1"/>
  <c r="M354" i="13" s="1"/>
  <c r="L355" i="13" s="1"/>
  <c r="M355" i="13" s="1"/>
  <c r="L356" i="13" s="1"/>
  <c r="M356" i="13" s="1"/>
  <c r="L357" i="13" s="1"/>
  <c r="M357" i="13" s="1"/>
  <c r="L358" i="13" s="1"/>
  <c r="M358" i="13" s="1"/>
  <c r="L359" i="13" s="1"/>
  <c r="M359" i="13" s="1"/>
  <c r="L360" i="13" s="1"/>
  <c r="M360" i="13" s="1"/>
  <c r="L361" i="13" s="1"/>
  <c r="M361" i="13" s="1"/>
  <c r="I10" i="14" s="1"/>
  <c r="N10" i="14" s="1"/>
  <c r="M566" i="13"/>
  <c r="L567" i="13" s="1"/>
  <c r="M567" i="13" s="1"/>
  <c r="L568" i="13" s="1"/>
  <c r="M568" i="13" s="1"/>
  <c r="L569" i="13" s="1"/>
  <c r="M569" i="13" s="1"/>
  <c r="L570" i="13" s="1"/>
  <c r="M570" i="13" s="1"/>
  <c r="L571" i="13" s="1"/>
  <c r="M571" i="13" s="1"/>
  <c r="L572" i="13" s="1"/>
  <c r="M572" i="13" s="1"/>
  <c r="L573" i="13" s="1"/>
  <c r="M573" i="13" s="1"/>
  <c r="L574" i="13" s="1"/>
  <c r="M574" i="13" s="1"/>
  <c r="L575" i="13" s="1"/>
  <c r="M575" i="13" s="1"/>
  <c r="L576" i="13" s="1"/>
  <c r="M576" i="13" s="1"/>
  <c r="L577" i="13" s="1"/>
  <c r="M577" i="13" s="1"/>
  <c r="L578" i="13" s="1"/>
  <c r="M578" i="13" s="1"/>
  <c r="L579" i="13" s="1"/>
  <c r="M579" i="13" s="1"/>
  <c r="L580" i="13" s="1"/>
  <c r="M580" i="13" s="1"/>
  <c r="L581" i="13" s="1"/>
  <c r="M581" i="13" s="1"/>
  <c r="L582" i="13" s="1"/>
  <c r="M582" i="13" s="1"/>
  <c r="L583" i="13" s="1"/>
  <c r="M583" i="13" s="1"/>
  <c r="L584" i="13" s="1"/>
  <c r="M584" i="13" s="1"/>
  <c r="L585" i="13" s="1"/>
  <c r="M585" i="13" s="1"/>
  <c r="L586" i="13" s="1"/>
  <c r="M586" i="13" s="1"/>
  <c r="L587" i="13" s="1"/>
  <c r="M587" i="13" s="1"/>
  <c r="L588" i="13" s="1"/>
  <c r="M588" i="13" s="1"/>
  <c r="L589" i="13" s="1"/>
  <c r="M589" i="13" s="1"/>
  <c r="L590" i="13" s="1"/>
  <c r="M590" i="13" s="1"/>
  <c r="L591" i="13" s="1"/>
  <c r="M591" i="13" s="1"/>
  <c r="L592" i="13" s="1"/>
  <c r="M592" i="13" s="1"/>
  <c r="L593" i="13" s="1"/>
  <c r="M593" i="13" s="1"/>
  <c r="L594" i="13" s="1"/>
  <c r="M594" i="13" s="1"/>
  <c r="L595" i="13" s="1"/>
  <c r="M595" i="13" s="1"/>
  <c r="L596" i="13" s="1"/>
  <c r="M596" i="13" s="1"/>
  <c r="L597" i="13" s="1"/>
  <c r="M597" i="13" s="1"/>
  <c r="L598" i="13" s="1"/>
  <c r="M598" i="13" s="1"/>
  <c r="L599" i="13" s="1"/>
  <c r="M599" i="13" s="1"/>
  <c r="L600" i="13" s="1"/>
  <c r="M600" i="13" s="1"/>
  <c r="L601" i="13" s="1"/>
  <c r="M601" i="13" s="1"/>
  <c r="I16" i="14" s="1"/>
  <c r="N16" i="14" s="1"/>
  <c r="Z21" i="7"/>
  <c r="Z27" i="7"/>
  <c r="Z9" i="7"/>
  <c r="Z7" i="7"/>
  <c r="Z17" i="7"/>
  <c r="Z23" i="7"/>
  <c r="Z11" i="7"/>
  <c r="Z6" i="7"/>
  <c r="Z22" i="7"/>
  <c r="Z16" i="7"/>
  <c r="Z20" i="7"/>
  <c r="Z25" i="7"/>
  <c r="Z10" i="7"/>
  <c r="Z15" i="7"/>
  <c r="Z13" i="7"/>
  <c r="Z5" i="7"/>
  <c r="Z24" i="7"/>
  <c r="Z18" i="7"/>
  <c r="Z3" i="7"/>
  <c r="Z4" i="7"/>
  <c r="Z19" i="7"/>
  <c r="Z8" i="7"/>
  <c r="Z2" i="7"/>
  <c r="Z26" i="7"/>
  <c r="Z12" i="7"/>
  <c r="Z14" i="7"/>
  <c r="AA73" i="7"/>
  <c r="AA75" i="7"/>
  <c r="AA67" i="7"/>
  <c r="AA59" i="7"/>
  <c r="AA72" i="7"/>
  <c r="AA63" i="7"/>
  <c r="AA76" i="7"/>
  <c r="AA70" i="7"/>
  <c r="AA58" i="7"/>
  <c r="AA55" i="7"/>
  <c r="AA69" i="7"/>
  <c r="AA65" i="7"/>
  <c r="AA54" i="7"/>
  <c r="AA74" i="7"/>
  <c r="AA68" i="7"/>
  <c r="AA71" i="7"/>
  <c r="AA79" i="7"/>
  <c r="AA78" i="7"/>
  <c r="AA66" i="7"/>
  <c r="AA64" i="7"/>
  <c r="AA62" i="7"/>
  <c r="AA77" i="7"/>
  <c r="AA61" i="7"/>
  <c r="AA60" i="7"/>
  <c r="AA57" i="7"/>
  <c r="AA56" i="7"/>
  <c r="AA21" i="7"/>
  <c r="AA13" i="7"/>
  <c r="AA5" i="7"/>
  <c r="AA18" i="7"/>
  <c r="AA15" i="7"/>
  <c r="AA12" i="7"/>
  <c r="AA27" i="7"/>
  <c r="AA24" i="7"/>
  <c r="AA26" i="7"/>
  <c r="AA23" i="7"/>
  <c r="AA20" i="7"/>
  <c r="AA17" i="7"/>
  <c r="AA22" i="7"/>
  <c r="AA16" i="7"/>
  <c r="AA19" i="7"/>
  <c r="AA14" i="7"/>
  <c r="AA4" i="7"/>
  <c r="AA9" i="7"/>
  <c r="AA8" i="7"/>
  <c r="AA7" i="7"/>
  <c r="AA6" i="7"/>
  <c r="AA3" i="7"/>
  <c r="AA25" i="7"/>
  <c r="AA2" i="7"/>
  <c r="AA10" i="7"/>
  <c r="AA11" i="7"/>
  <c r="J39" i="14"/>
  <c r="M243" i="13"/>
  <c r="L244" i="13" s="1"/>
  <c r="M244" i="13" s="1"/>
  <c r="L245" i="13" s="1"/>
  <c r="M245" i="13" s="1"/>
  <c r="L246" i="13" s="1"/>
  <c r="M246" i="13" s="1"/>
  <c r="L247" i="13" s="1"/>
  <c r="M247" i="13" s="1"/>
  <c r="L248" i="13" s="1"/>
  <c r="M248" i="13" s="1"/>
  <c r="L249" i="13" s="1"/>
  <c r="M249" i="13" s="1"/>
  <c r="L250" i="13" s="1"/>
  <c r="M250" i="13" s="1"/>
  <c r="L251" i="13" s="1"/>
  <c r="M251" i="13" s="1"/>
  <c r="L252" i="13" s="1"/>
  <c r="M252" i="13" s="1"/>
  <c r="L253" i="13" s="1"/>
  <c r="M253" i="13" s="1"/>
  <c r="L254" i="13" s="1"/>
  <c r="M254" i="13" s="1"/>
  <c r="L255" i="13" s="1"/>
  <c r="M255" i="13" s="1"/>
  <c r="L256" i="13" s="1"/>
  <c r="M256" i="13" s="1"/>
  <c r="L257" i="13" s="1"/>
  <c r="M257" i="13" s="1"/>
  <c r="L258" i="13" s="1"/>
  <c r="M258" i="13" s="1"/>
  <c r="L259" i="13" s="1"/>
  <c r="M259" i="13" s="1"/>
  <c r="L260" i="13" s="1"/>
  <c r="M260" i="13" s="1"/>
  <c r="L261" i="13" s="1"/>
  <c r="M261" i="13" s="1"/>
  <c r="L262" i="13" s="1"/>
  <c r="M262" i="13" s="1"/>
  <c r="L263" i="13" s="1"/>
  <c r="M263" i="13" s="1"/>
  <c r="L264" i="13" s="1"/>
  <c r="M264" i="13" s="1"/>
  <c r="L265" i="13" s="1"/>
  <c r="M265" i="13" s="1"/>
  <c r="L266" i="13" s="1"/>
  <c r="M266" i="13" s="1"/>
  <c r="L267" i="13" s="1"/>
  <c r="M267" i="13" s="1"/>
  <c r="L268" i="13" s="1"/>
  <c r="M268" i="13" s="1"/>
  <c r="L269" i="13" s="1"/>
  <c r="M269" i="13" s="1"/>
  <c r="L270" i="13" s="1"/>
  <c r="M270" i="13" s="1"/>
  <c r="L271" i="13" s="1"/>
  <c r="M271" i="13" s="1"/>
  <c r="L272" i="13" s="1"/>
  <c r="M272" i="13" s="1"/>
  <c r="L273" i="13" s="1"/>
  <c r="M273" i="13" s="1"/>
  <c r="L274" i="13" s="1"/>
  <c r="M274" i="13" s="1"/>
  <c r="L275" i="13" s="1"/>
  <c r="M275" i="13" s="1"/>
  <c r="L276" i="13" s="1"/>
  <c r="M276" i="13" s="1"/>
  <c r="L277" i="13" s="1"/>
  <c r="M277" i="13" s="1"/>
  <c r="L278" i="13" s="1"/>
  <c r="M278" i="13" s="1"/>
  <c r="L279" i="13" s="1"/>
  <c r="M279" i="13" s="1"/>
  <c r="L280" i="13" s="1"/>
  <c r="M280" i="13" s="1"/>
  <c r="L281" i="13" s="1"/>
  <c r="M281" i="13" s="1"/>
  <c r="I8" i="14" s="1"/>
  <c r="N8" i="14" s="1"/>
  <c r="J29" i="14"/>
  <c r="AB77" i="7"/>
  <c r="AB69" i="7"/>
  <c r="AB61" i="7"/>
  <c r="AB79" i="7"/>
  <c r="AB71" i="7"/>
  <c r="AB63" i="7"/>
  <c r="AB76" i="7"/>
  <c r="AB62" i="7"/>
  <c r="AB74" i="7"/>
  <c r="AB55" i="7"/>
  <c r="AB54" i="7"/>
  <c r="AB75" i="7"/>
  <c r="AB73" i="7"/>
  <c r="AB68" i="7"/>
  <c r="AB70" i="7"/>
  <c r="AB78" i="7"/>
  <c r="AB72" i="7"/>
  <c r="AB66" i="7"/>
  <c r="AB64" i="7"/>
  <c r="AB67" i="7"/>
  <c r="AB65" i="7"/>
  <c r="AB60" i="7"/>
  <c r="AB59" i="7"/>
  <c r="AB58" i="7"/>
  <c r="AB56" i="7"/>
  <c r="AB57" i="7"/>
  <c r="AB6" i="7"/>
  <c r="AB3" i="7"/>
  <c r="AB27" i="7"/>
  <c r="AB24" i="7"/>
  <c r="AB21" i="7"/>
  <c r="AB13" i="7"/>
  <c r="AB11" i="7"/>
  <c r="AB23" i="7"/>
  <c r="AB22" i="7"/>
  <c r="AB16" i="7"/>
  <c r="AB10" i="7"/>
  <c r="AB9" i="7"/>
  <c r="AB26" i="7"/>
  <c r="AB25" i="7"/>
  <c r="AB18" i="7"/>
  <c r="AB14" i="7"/>
  <c r="AB12" i="7"/>
  <c r="AB5" i="7"/>
  <c r="AB17" i="7"/>
  <c r="AB7" i="7"/>
  <c r="AB4" i="7"/>
  <c r="AB2" i="7"/>
  <c r="AB19" i="7"/>
  <c r="AB8" i="7"/>
  <c r="AB20" i="7"/>
  <c r="AB15" i="7"/>
  <c r="C2" i="9"/>
  <c r="AA129" i="7"/>
  <c r="AA121" i="7"/>
  <c r="AA113" i="7"/>
  <c r="AA131" i="7"/>
  <c r="AA123" i="7"/>
  <c r="AA115" i="7"/>
  <c r="AA107" i="7"/>
  <c r="AA128" i="7"/>
  <c r="AA120" i="7"/>
  <c r="AA112" i="7"/>
  <c r="AA125" i="7"/>
  <c r="AA130" i="7"/>
  <c r="AA122" i="7"/>
  <c r="AA114" i="7"/>
  <c r="AA106" i="7"/>
  <c r="AA127" i="7"/>
  <c r="AA119" i="7"/>
  <c r="AA111" i="7"/>
  <c r="AA126" i="7"/>
  <c r="AA116" i="7"/>
  <c r="AA117" i="7"/>
  <c r="AA118" i="7"/>
  <c r="AA108" i="7"/>
  <c r="AA124" i="7"/>
  <c r="AA109" i="7"/>
  <c r="AA110" i="7"/>
  <c r="AB129" i="7"/>
  <c r="AB121" i="7"/>
  <c r="AB113" i="7"/>
  <c r="AB131" i="7"/>
  <c r="AB123" i="7"/>
  <c r="AB115" i="7"/>
  <c r="AB107" i="7"/>
  <c r="AB125" i="7"/>
  <c r="AB117" i="7"/>
  <c r="AB109" i="7"/>
  <c r="AB130" i="7"/>
  <c r="AB122" i="7"/>
  <c r="AB114" i="7"/>
  <c r="AB127" i="7"/>
  <c r="AB119" i="7"/>
  <c r="AB111" i="7"/>
  <c r="AB116" i="7"/>
  <c r="AB128" i="7"/>
  <c r="AB118" i="7"/>
  <c r="AB120" i="7"/>
  <c r="AB108" i="7"/>
  <c r="AB106" i="7"/>
  <c r="AB124" i="7"/>
  <c r="AB110" i="7"/>
  <c r="AB112" i="7"/>
  <c r="AB126" i="7"/>
  <c r="M445" i="13"/>
  <c r="L446" i="13" s="1"/>
  <c r="M446" i="13" s="1"/>
  <c r="L447" i="13" s="1"/>
  <c r="M447" i="13" s="1"/>
  <c r="L448" i="13" s="1"/>
  <c r="M448" i="13" s="1"/>
  <c r="L449" i="13" s="1"/>
  <c r="M449" i="13" s="1"/>
  <c r="L450" i="13" s="1"/>
  <c r="M450" i="13" s="1"/>
  <c r="L451" i="13" s="1"/>
  <c r="M451" i="13" s="1"/>
  <c r="L452" i="13" s="1"/>
  <c r="M452" i="13" s="1"/>
  <c r="L453" i="13" s="1"/>
  <c r="M453" i="13" s="1"/>
  <c r="L454" i="13" s="1"/>
  <c r="M454" i="13" s="1"/>
  <c r="L455" i="13" s="1"/>
  <c r="M455" i="13" s="1"/>
  <c r="L456" i="13" s="1"/>
  <c r="M456" i="13" s="1"/>
  <c r="L457" i="13" s="1"/>
  <c r="M457" i="13" s="1"/>
  <c r="L458" i="13" s="1"/>
  <c r="M458" i="13" s="1"/>
  <c r="L459" i="13" s="1"/>
  <c r="M459" i="13" s="1"/>
  <c r="L460" i="13" s="1"/>
  <c r="M460" i="13" s="1"/>
  <c r="L461" i="13" s="1"/>
  <c r="M461" i="13" s="1"/>
  <c r="L462" i="13" s="1"/>
  <c r="M462" i="13" s="1"/>
  <c r="L463" i="13" s="1"/>
  <c r="M463" i="13" s="1"/>
  <c r="L464" i="13" s="1"/>
  <c r="M464" i="13" s="1"/>
  <c r="L465" i="13" s="1"/>
  <c r="M465" i="13" s="1"/>
  <c r="L466" i="13" s="1"/>
  <c r="M466" i="13" s="1"/>
  <c r="L467" i="13" s="1"/>
  <c r="M467" i="13" s="1"/>
  <c r="L468" i="13" s="1"/>
  <c r="M468" i="13" s="1"/>
  <c r="L469" i="13" s="1"/>
  <c r="M469" i="13" s="1"/>
  <c r="L470" i="13" s="1"/>
  <c r="M470" i="13" s="1"/>
  <c r="L471" i="13" s="1"/>
  <c r="M471" i="13" s="1"/>
  <c r="L472" i="13" s="1"/>
  <c r="M472" i="13" s="1"/>
  <c r="L473" i="13" s="1"/>
  <c r="M473" i="13" s="1"/>
  <c r="L474" i="13" s="1"/>
  <c r="M474" i="13" s="1"/>
  <c r="L475" i="13" s="1"/>
  <c r="M475" i="13" s="1"/>
  <c r="L476" i="13" s="1"/>
  <c r="M476" i="13" s="1"/>
  <c r="L477" i="13" s="1"/>
  <c r="M477" i="13" s="1"/>
  <c r="L478" i="13" s="1"/>
  <c r="M478" i="13" s="1"/>
  <c r="L479" i="13" s="1"/>
  <c r="M479" i="13" s="1"/>
  <c r="L480" i="13" s="1"/>
  <c r="M480" i="13" s="1"/>
  <c r="L481" i="13" s="1"/>
  <c r="M481" i="13" s="1"/>
  <c r="I13" i="14" s="1"/>
  <c r="N13" i="14" s="1"/>
  <c r="M724" i="13"/>
  <c r="L725" i="13" s="1"/>
  <c r="M725" i="13" s="1"/>
  <c r="L726" i="13" s="1"/>
  <c r="M726" i="13" s="1"/>
  <c r="L727" i="13" s="1"/>
  <c r="M727" i="13" s="1"/>
  <c r="L728" i="13" s="1"/>
  <c r="M728" i="13" s="1"/>
  <c r="L729" i="13" s="1"/>
  <c r="M729" i="13" s="1"/>
  <c r="L730" i="13" s="1"/>
  <c r="M730" i="13" s="1"/>
  <c r="L731" i="13" s="1"/>
  <c r="M731" i="13" s="1"/>
  <c r="L732" i="13" s="1"/>
  <c r="M732" i="13" s="1"/>
  <c r="L733" i="13" s="1"/>
  <c r="M733" i="13" s="1"/>
  <c r="L734" i="13" s="1"/>
  <c r="M734" i="13" s="1"/>
  <c r="L735" i="13" s="1"/>
  <c r="M735" i="13" s="1"/>
  <c r="L736" i="13" s="1"/>
  <c r="M736" i="13" s="1"/>
  <c r="L737" i="13" s="1"/>
  <c r="M737" i="13" s="1"/>
  <c r="L738" i="13" s="1"/>
  <c r="M738" i="13" s="1"/>
  <c r="L739" i="13" s="1"/>
  <c r="M739" i="13" s="1"/>
  <c r="L740" i="13" s="1"/>
  <c r="M740" i="13" s="1"/>
  <c r="L741" i="13" s="1"/>
  <c r="M741" i="13" s="1"/>
  <c r="L742" i="13" s="1"/>
  <c r="M742" i="13" s="1"/>
  <c r="L743" i="13" s="1"/>
  <c r="M743" i="13" s="1"/>
  <c r="L744" i="13" s="1"/>
  <c r="M744" i="13" s="1"/>
  <c r="L745" i="13" s="1"/>
  <c r="M745" i="13" s="1"/>
  <c r="L746" i="13" s="1"/>
  <c r="M746" i="13" s="1"/>
  <c r="L747" i="13" s="1"/>
  <c r="M747" i="13" s="1"/>
  <c r="L748" i="13" s="1"/>
  <c r="M748" i="13" s="1"/>
  <c r="L749" i="13" s="1"/>
  <c r="M749" i="13" s="1"/>
  <c r="L750" i="13" s="1"/>
  <c r="M750" i="13" s="1"/>
  <c r="L751" i="13" s="1"/>
  <c r="M751" i="13" s="1"/>
  <c r="L752" i="13" s="1"/>
  <c r="M752" i="13" s="1"/>
  <c r="L753" i="13" s="1"/>
  <c r="M753" i="13" s="1"/>
  <c r="L754" i="13" s="1"/>
  <c r="M754" i="13" s="1"/>
  <c r="L755" i="13" s="1"/>
  <c r="M755" i="13" s="1"/>
  <c r="L756" i="13" s="1"/>
  <c r="M756" i="13" s="1"/>
  <c r="L757" i="13" s="1"/>
  <c r="M757" i="13" s="1"/>
  <c r="L758" i="13" s="1"/>
  <c r="M758" i="13" s="1"/>
  <c r="L759" i="13" s="1"/>
  <c r="M759" i="13" s="1"/>
  <c r="L760" i="13" s="1"/>
  <c r="M760" i="13" s="1"/>
  <c r="L761" i="13" s="1"/>
  <c r="M761" i="13" s="1"/>
  <c r="I20" i="14" s="1"/>
  <c r="N20" i="14" s="1"/>
  <c r="X51" i="7"/>
  <c r="M842" i="13"/>
  <c r="L843" i="13" s="1"/>
  <c r="M843" i="13" s="1"/>
  <c r="L844" i="13" s="1"/>
  <c r="M844" i="13" s="1"/>
  <c r="L845" i="13" s="1"/>
  <c r="M845" i="13" s="1"/>
  <c r="L846" i="13" s="1"/>
  <c r="M846" i="13" s="1"/>
  <c r="L847" i="13" s="1"/>
  <c r="M847" i="13" s="1"/>
  <c r="L848" i="13" s="1"/>
  <c r="M848" i="13" s="1"/>
  <c r="L849" i="13" s="1"/>
  <c r="M849" i="13" s="1"/>
  <c r="L850" i="13" s="1"/>
  <c r="M850" i="13" s="1"/>
  <c r="L851" i="13" s="1"/>
  <c r="M851" i="13" s="1"/>
  <c r="L852" i="13" s="1"/>
  <c r="M852" i="13" s="1"/>
  <c r="L853" i="13" s="1"/>
  <c r="M853" i="13" s="1"/>
  <c r="L854" i="13" s="1"/>
  <c r="M854" i="13" s="1"/>
  <c r="L855" i="13" s="1"/>
  <c r="M855" i="13" s="1"/>
  <c r="L856" i="13" s="1"/>
  <c r="M856" i="13" s="1"/>
  <c r="L857" i="13" s="1"/>
  <c r="M857" i="13" s="1"/>
  <c r="L858" i="13" s="1"/>
  <c r="M858" i="13" s="1"/>
  <c r="L859" i="13" s="1"/>
  <c r="M859" i="13" s="1"/>
  <c r="L860" i="13" s="1"/>
  <c r="M860" i="13" s="1"/>
  <c r="L861" i="13" s="1"/>
  <c r="M861" i="13" s="1"/>
  <c r="L862" i="13" s="1"/>
  <c r="M862" i="13" s="1"/>
  <c r="L863" i="13" s="1"/>
  <c r="M863" i="13" s="1"/>
  <c r="L864" i="13" s="1"/>
  <c r="M864" i="13" s="1"/>
  <c r="L865" i="13" s="1"/>
  <c r="M865" i="13" s="1"/>
  <c r="L866" i="13" s="1"/>
  <c r="M866" i="13" s="1"/>
  <c r="L867" i="13" s="1"/>
  <c r="M867" i="13" s="1"/>
  <c r="L868" i="13" s="1"/>
  <c r="M868" i="13" s="1"/>
  <c r="L869" i="13" s="1"/>
  <c r="M869" i="13" s="1"/>
  <c r="L870" i="13" s="1"/>
  <c r="M870" i="13" s="1"/>
  <c r="L871" i="13" s="1"/>
  <c r="M871" i="13" s="1"/>
  <c r="L872" i="13" s="1"/>
  <c r="M872" i="13" s="1"/>
  <c r="L873" i="13" s="1"/>
  <c r="M873" i="13" s="1"/>
  <c r="L874" i="13" s="1"/>
  <c r="M874" i="13" s="1"/>
  <c r="L875" i="13" s="1"/>
  <c r="M875" i="13" s="1"/>
  <c r="L876" i="13" s="1"/>
  <c r="M876" i="13" s="1"/>
  <c r="L877" i="13" s="1"/>
  <c r="M877" i="13" s="1"/>
  <c r="L878" i="13" s="1"/>
  <c r="M878" i="13" s="1"/>
  <c r="L879" i="13" s="1"/>
  <c r="M879" i="13" s="1"/>
  <c r="L880" i="13" s="1"/>
  <c r="M880" i="13" s="1"/>
  <c r="L881" i="13" s="1"/>
  <c r="M881" i="13" s="1"/>
  <c r="I23" i="14" s="1"/>
  <c r="N23" i="14" s="1"/>
  <c r="M802" i="13"/>
  <c r="L803" i="13" s="1"/>
  <c r="M803" i="13" s="1"/>
  <c r="L804" i="13" s="1"/>
  <c r="M804" i="13" s="1"/>
  <c r="L805" i="13" s="1"/>
  <c r="M805" i="13" s="1"/>
  <c r="L806" i="13" s="1"/>
  <c r="M806" i="13" s="1"/>
  <c r="L807" i="13" s="1"/>
  <c r="M807" i="13" s="1"/>
  <c r="L808" i="13" s="1"/>
  <c r="M808" i="13" s="1"/>
  <c r="L809" i="13" s="1"/>
  <c r="M809" i="13" s="1"/>
  <c r="L810" i="13" s="1"/>
  <c r="M810" i="13" s="1"/>
  <c r="L811" i="13" s="1"/>
  <c r="M811" i="13" s="1"/>
  <c r="L812" i="13" s="1"/>
  <c r="M812" i="13" s="1"/>
  <c r="L813" i="13" s="1"/>
  <c r="M813" i="13" s="1"/>
  <c r="L814" i="13" s="1"/>
  <c r="M814" i="13" s="1"/>
  <c r="L815" i="13" s="1"/>
  <c r="M815" i="13" s="1"/>
  <c r="L816" i="13" s="1"/>
  <c r="M816" i="13" s="1"/>
  <c r="L817" i="13" s="1"/>
  <c r="M817" i="13" s="1"/>
  <c r="L818" i="13" s="1"/>
  <c r="M818" i="13" s="1"/>
  <c r="L819" i="13" s="1"/>
  <c r="M819" i="13" s="1"/>
  <c r="L820" i="13" s="1"/>
  <c r="M820" i="13" s="1"/>
  <c r="L821" i="13" s="1"/>
  <c r="M821" i="13" s="1"/>
  <c r="L822" i="13" s="1"/>
  <c r="M822" i="13" s="1"/>
  <c r="L823" i="13" s="1"/>
  <c r="M823" i="13" s="1"/>
  <c r="L824" i="13" s="1"/>
  <c r="M824" i="13" s="1"/>
  <c r="L825" i="13" s="1"/>
  <c r="M825" i="13" s="1"/>
  <c r="L826" i="13" s="1"/>
  <c r="M826" i="13" s="1"/>
  <c r="L827" i="13" s="1"/>
  <c r="M827" i="13" s="1"/>
  <c r="L828" i="13" s="1"/>
  <c r="M828" i="13" s="1"/>
  <c r="L829" i="13" s="1"/>
  <c r="M829" i="13" s="1"/>
  <c r="L830" i="13" s="1"/>
  <c r="M830" i="13" s="1"/>
  <c r="L831" i="13" s="1"/>
  <c r="M831" i="13" s="1"/>
  <c r="L832" i="13" s="1"/>
  <c r="M832" i="13" s="1"/>
  <c r="L833" i="13" s="1"/>
  <c r="M833" i="13" s="1"/>
  <c r="L834" i="13" s="1"/>
  <c r="M834" i="13" s="1"/>
  <c r="L835" i="13" s="1"/>
  <c r="M835" i="13" s="1"/>
  <c r="L836" i="13" s="1"/>
  <c r="M836" i="13" s="1"/>
  <c r="L837" i="13" s="1"/>
  <c r="M837" i="13" s="1"/>
  <c r="L838" i="13" s="1"/>
  <c r="M838" i="13" s="1"/>
  <c r="L839" i="13" s="1"/>
  <c r="M839" i="13" s="1"/>
  <c r="L840" i="13" s="1"/>
  <c r="M840" i="13" s="1"/>
  <c r="L841" i="13" s="1"/>
  <c r="M841" i="13" s="1"/>
  <c r="I22" i="14" s="1"/>
  <c r="M1044" i="13"/>
  <c r="L1045" i="13" s="1"/>
  <c r="M1045" i="13" s="1"/>
  <c r="L1046" i="13" s="1"/>
  <c r="M1046" i="13" s="1"/>
  <c r="L1047" i="13" s="1"/>
  <c r="M1047" i="13" s="1"/>
  <c r="L1048" i="13" s="1"/>
  <c r="M1048" i="13" s="1"/>
  <c r="L1049" i="13" s="1"/>
  <c r="M1049" i="13" s="1"/>
  <c r="L1050" i="13" s="1"/>
  <c r="M1050" i="13" s="1"/>
  <c r="L1051" i="13" s="1"/>
  <c r="M1051" i="13" s="1"/>
  <c r="L1052" i="13" s="1"/>
  <c r="M1052" i="13" s="1"/>
  <c r="L1053" i="13" s="1"/>
  <c r="M1053" i="13" s="1"/>
  <c r="L1054" i="13" s="1"/>
  <c r="M1054" i="13" s="1"/>
  <c r="L1055" i="13" s="1"/>
  <c r="M1055" i="13" s="1"/>
  <c r="L1056" i="13" s="1"/>
  <c r="M1056" i="13" s="1"/>
  <c r="L1057" i="13" s="1"/>
  <c r="M1057" i="13" s="1"/>
  <c r="L1058" i="13" s="1"/>
  <c r="M1058" i="13" s="1"/>
  <c r="L1059" i="13" s="1"/>
  <c r="M1059" i="13" s="1"/>
  <c r="L1060" i="13" s="1"/>
  <c r="M1060" i="13" s="1"/>
  <c r="L1061" i="13" s="1"/>
  <c r="M1061" i="13" s="1"/>
  <c r="L1062" i="13" s="1"/>
  <c r="M1062" i="13" s="1"/>
  <c r="L1063" i="13" s="1"/>
  <c r="M1063" i="13" s="1"/>
  <c r="L1064" i="13" s="1"/>
  <c r="M1064" i="13" s="1"/>
  <c r="L1065" i="13" s="1"/>
  <c r="M1065" i="13" s="1"/>
  <c r="L1066" i="13" s="1"/>
  <c r="M1066" i="13" s="1"/>
  <c r="L1067" i="13" s="1"/>
  <c r="M1067" i="13" s="1"/>
  <c r="L1068" i="13" s="1"/>
  <c r="M1068" i="13" s="1"/>
  <c r="L1069" i="13" s="1"/>
  <c r="M1069" i="13" s="1"/>
  <c r="L1070" i="13" s="1"/>
  <c r="M1070" i="13" s="1"/>
  <c r="L1071" i="13" s="1"/>
  <c r="M1071" i="13" s="1"/>
  <c r="L1072" i="13" s="1"/>
  <c r="M1072" i="13" s="1"/>
  <c r="L1073" i="13" s="1"/>
  <c r="M1073" i="13" s="1"/>
  <c r="L1074" i="13" s="1"/>
  <c r="M1074" i="13" s="1"/>
  <c r="L1075" i="13" s="1"/>
  <c r="M1075" i="13" s="1"/>
  <c r="L1076" i="13" s="1"/>
  <c r="M1076" i="13" s="1"/>
  <c r="L1077" i="13" s="1"/>
  <c r="M1077" i="13" s="1"/>
  <c r="L1078" i="13" s="1"/>
  <c r="M1078" i="13" s="1"/>
  <c r="L1079" i="13" s="1"/>
  <c r="M1079" i="13" s="1"/>
  <c r="L1080" i="13" s="1"/>
  <c r="M1080" i="13" s="1"/>
  <c r="L1081" i="13" s="1"/>
  <c r="M1081" i="13" s="1"/>
  <c r="I28" i="14" s="1"/>
  <c r="M1203" i="13"/>
  <c r="L1204" i="13" s="1"/>
  <c r="M1204" i="13" s="1"/>
  <c r="L1205" i="13" s="1"/>
  <c r="M1205" i="13" s="1"/>
  <c r="L1206" i="13" s="1"/>
  <c r="M1206" i="13" s="1"/>
  <c r="L1207" i="13" s="1"/>
  <c r="M1207" i="13" s="1"/>
  <c r="L1208" i="13" s="1"/>
  <c r="M1208" i="13" s="1"/>
  <c r="L1209" i="13" s="1"/>
  <c r="M1209" i="13" s="1"/>
  <c r="L1210" i="13" s="1"/>
  <c r="M1210" i="13" s="1"/>
  <c r="L1211" i="13" s="1"/>
  <c r="M1211" i="13" s="1"/>
  <c r="L1212" i="13" s="1"/>
  <c r="M1212" i="13" s="1"/>
  <c r="L1213" i="13" s="1"/>
  <c r="M1213" i="13" s="1"/>
  <c r="L1214" i="13" s="1"/>
  <c r="M1214" i="13" s="1"/>
  <c r="L1215" i="13" s="1"/>
  <c r="M1215" i="13" s="1"/>
  <c r="L1216" i="13" s="1"/>
  <c r="M1216" i="13" s="1"/>
  <c r="L1217" i="13" s="1"/>
  <c r="M1217" i="13" s="1"/>
  <c r="L1218" i="13" s="1"/>
  <c r="M1218" i="13" s="1"/>
  <c r="L1219" i="13" s="1"/>
  <c r="M1219" i="13" s="1"/>
  <c r="L1220" i="13" s="1"/>
  <c r="M1220" i="13" s="1"/>
  <c r="L1221" i="13" s="1"/>
  <c r="M1221" i="13" s="1"/>
  <c r="L1222" i="13" s="1"/>
  <c r="M1222" i="13" s="1"/>
  <c r="L1223" i="13" s="1"/>
  <c r="M1223" i="13" s="1"/>
  <c r="L1224" i="13" s="1"/>
  <c r="M1224" i="13" s="1"/>
  <c r="L1225" i="13" s="1"/>
  <c r="M1225" i="13" s="1"/>
  <c r="L1226" i="13" s="1"/>
  <c r="M1226" i="13" s="1"/>
  <c r="L1227" i="13" s="1"/>
  <c r="M1227" i="13" s="1"/>
  <c r="L1228" i="13" s="1"/>
  <c r="M1228" i="13" s="1"/>
  <c r="L1229" i="13" s="1"/>
  <c r="M1229" i="13" s="1"/>
  <c r="L1230" i="13" s="1"/>
  <c r="M1230" i="13" s="1"/>
  <c r="L1231" i="13" s="1"/>
  <c r="M1231" i="13" s="1"/>
  <c r="L1232" i="13" s="1"/>
  <c r="M1232" i="13" s="1"/>
  <c r="L1233" i="13" s="1"/>
  <c r="M1233" i="13" s="1"/>
  <c r="L1234" i="13" s="1"/>
  <c r="M1234" i="13" s="1"/>
  <c r="L1235" i="13" s="1"/>
  <c r="M1235" i="13" s="1"/>
  <c r="L1236" i="13" s="1"/>
  <c r="M1236" i="13" s="1"/>
  <c r="L1237" i="13" s="1"/>
  <c r="M1237" i="13" s="1"/>
  <c r="L1238" i="13" s="1"/>
  <c r="M1238" i="13" s="1"/>
  <c r="L1239" i="13" s="1"/>
  <c r="M1239" i="13" s="1"/>
  <c r="L1240" i="13" s="1"/>
  <c r="M1240" i="13" s="1"/>
  <c r="L1241" i="13" s="1"/>
  <c r="M1241" i="13" s="1"/>
  <c r="I32" i="14" s="1"/>
  <c r="M1322" i="13"/>
  <c r="L1323" i="13" s="1"/>
  <c r="M1323" i="13" s="1"/>
  <c r="L1324" i="13" s="1"/>
  <c r="M1324" i="13" s="1"/>
  <c r="L1325" i="13" s="1"/>
  <c r="M1325" i="13" s="1"/>
  <c r="L1326" i="13" s="1"/>
  <c r="M1326" i="13" s="1"/>
  <c r="L1327" i="13" s="1"/>
  <c r="M1327" i="13" s="1"/>
  <c r="L1328" i="13" s="1"/>
  <c r="M1328" i="13" s="1"/>
  <c r="L1329" i="13" s="1"/>
  <c r="M1329" i="13" s="1"/>
  <c r="L1330" i="13" s="1"/>
  <c r="M1330" i="13" s="1"/>
  <c r="L1331" i="13" s="1"/>
  <c r="M1331" i="13" s="1"/>
  <c r="L1332" i="13" s="1"/>
  <c r="M1332" i="13" s="1"/>
  <c r="L1333" i="13" s="1"/>
  <c r="M1333" i="13" s="1"/>
  <c r="L1334" i="13" s="1"/>
  <c r="M1334" i="13" s="1"/>
  <c r="L1335" i="13" s="1"/>
  <c r="M1335" i="13" s="1"/>
  <c r="L1336" i="13" s="1"/>
  <c r="M1336" i="13" s="1"/>
  <c r="L1337" i="13" s="1"/>
  <c r="M1337" i="13" s="1"/>
  <c r="L1338" i="13" s="1"/>
  <c r="M1338" i="13" s="1"/>
  <c r="L1339" i="13" s="1"/>
  <c r="M1339" i="13" s="1"/>
  <c r="L1340" i="13" s="1"/>
  <c r="M1340" i="13" s="1"/>
  <c r="L1341" i="13" s="1"/>
  <c r="M1341" i="13" s="1"/>
  <c r="L1342" i="13" s="1"/>
  <c r="M1342" i="13" s="1"/>
  <c r="L1343" i="13" s="1"/>
  <c r="M1343" i="13" s="1"/>
  <c r="L1344" i="13" s="1"/>
  <c r="M1344" i="13" s="1"/>
  <c r="L1345" i="13" s="1"/>
  <c r="M1345" i="13" s="1"/>
  <c r="L1346" i="13" s="1"/>
  <c r="M1346" i="13" s="1"/>
  <c r="L1347" i="13" s="1"/>
  <c r="M1347" i="13" s="1"/>
  <c r="L1348" i="13" s="1"/>
  <c r="M1348" i="13" s="1"/>
  <c r="L1349" i="13" s="1"/>
  <c r="M1349" i="13" s="1"/>
  <c r="L1350" i="13" s="1"/>
  <c r="M1350" i="13" s="1"/>
  <c r="L1351" i="13" s="1"/>
  <c r="M1351" i="13" s="1"/>
  <c r="L1352" i="13" s="1"/>
  <c r="M1352" i="13" s="1"/>
  <c r="L1353" i="13" s="1"/>
  <c r="M1353" i="13" s="1"/>
  <c r="L1354" i="13" s="1"/>
  <c r="M1354" i="13" s="1"/>
  <c r="L1355" i="13" s="1"/>
  <c r="M1355" i="13" s="1"/>
  <c r="L1356" i="13" s="1"/>
  <c r="M1356" i="13" s="1"/>
  <c r="L1357" i="13" s="1"/>
  <c r="M1357" i="13" s="1"/>
  <c r="L1358" i="13" s="1"/>
  <c r="M1358" i="13" s="1"/>
  <c r="L1359" i="13" s="1"/>
  <c r="M1359" i="13" s="1"/>
  <c r="L1360" i="13" s="1"/>
  <c r="M1360" i="13" s="1"/>
  <c r="L1361" i="13" s="1"/>
  <c r="M1361" i="13" s="1"/>
  <c r="I35" i="14" s="1"/>
  <c r="M1362" i="13"/>
  <c r="L1363" i="13" s="1"/>
  <c r="M1363" i="13" s="1"/>
  <c r="L1364" i="13" s="1"/>
  <c r="M1364" i="13" s="1"/>
  <c r="L1365" i="13" s="1"/>
  <c r="M1365" i="13" s="1"/>
  <c r="L1366" i="13" s="1"/>
  <c r="M1366" i="13" s="1"/>
  <c r="L1367" i="13" s="1"/>
  <c r="M1367" i="13" s="1"/>
  <c r="L1368" i="13" s="1"/>
  <c r="M1368" i="13" s="1"/>
  <c r="L1369" i="13" s="1"/>
  <c r="M1369" i="13" s="1"/>
  <c r="L1370" i="13" s="1"/>
  <c r="M1370" i="13" s="1"/>
  <c r="L1371" i="13" s="1"/>
  <c r="M1371" i="13" s="1"/>
  <c r="L1372" i="13" s="1"/>
  <c r="M1372" i="13" s="1"/>
  <c r="L1373" i="13" s="1"/>
  <c r="M1373" i="13" s="1"/>
  <c r="L1374" i="13" s="1"/>
  <c r="M1374" i="13" s="1"/>
  <c r="L1375" i="13" s="1"/>
  <c r="M1375" i="13" s="1"/>
  <c r="L1376" i="13" s="1"/>
  <c r="M1376" i="13" s="1"/>
  <c r="L1377" i="13" s="1"/>
  <c r="M1377" i="13" s="1"/>
  <c r="L1378" i="13" s="1"/>
  <c r="M1378" i="13" s="1"/>
  <c r="L1379" i="13" s="1"/>
  <c r="M1379" i="13" s="1"/>
  <c r="L1380" i="13" s="1"/>
  <c r="M1380" i="13" s="1"/>
  <c r="L1381" i="13" s="1"/>
  <c r="M1381" i="13" s="1"/>
  <c r="L1382" i="13" s="1"/>
  <c r="M1382" i="13" s="1"/>
  <c r="L1383" i="13" s="1"/>
  <c r="M1383" i="13" s="1"/>
  <c r="L1384" i="13" s="1"/>
  <c r="M1384" i="13" s="1"/>
  <c r="L1385" i="13" s="1"/>
  <c r="M1385" i="13" s="1"/>
  <c r="L1386" i="13" s="1"/>
  <c r="M1386" i="13" s="1"/>
  <c r="L1387" i="13" s="1"/>
  <c r="M1387" i="13" s="1"/>
  <c r="L1388" i="13" s="1"/>
  <c r="M1388" i="13" s="1"/>
  <c r="L1389" i="13" s="1"/>
  <c r="M1389" i="13" s="1"/>
  <c r="L1390" i="13" s="1"/>
  <c r="M1390" i="13" s="1"/>
  <c r="L1391" i="13" s="1"/>
  <c r="M1391" i="13" s="1"/>
  <c r="L1392" i="13" s="1"/>
  <c r="M1392" i="13" s="1"/>
  <c r="L1393" i="13" s="1"/>
  <c r="M1393" i="13" s="1"/>
  <c r="L1394" i="13" s="1"/>
  <c r="M1394" i="13" s="1"/>
  <c r="L1395" i="13" s="1"/>
  <c r="M1395" i="13" s="1"/>
  <c r="L1396" i="13" s="1"/>
  <c r="M1396" i="13" s="1"/>
  <c r="L1397" i="13" s="1"/>
  <c r="M1397" i="13" s="1"/>
  <c r="L1398" i="13" s="1"/>
  <c r="M1398" i="13" s="1"/>
  <c r="L1399" i="13" s="1"/>
  <c r="M1399" i="13" s="1"/>
  <c r="L1400" i="13" s="1"/>
  <c r="M1400" i="13" s="1"/>
  <c r="L1401" i="13" s="1"/>
  <c r="M1401" i="13" s="1"/>
  <c r="I36" i="14" s="1"/>
  <c r="M1723" i="13"/>
  <c r="L1724" i="13" s="1"/>
  <c r="M1724" i="13" s="1"/>
  <c r="L1725" i="13" s="1"/>
  <c r="M1725" i="13" s="1"/>
  <c r="L1726" i="13" s="1"/>
  <c r="M1726" i="13" s="1"/>
  <c r="L1727" i="13" s="1"/>
  <c r="M1727" i="13" s="1"/>
  <c r="L1728" i="13" s="1"/>
  <c r="M1728" i="13" s="1"/>
  <c r="L1729" i="13" s="1"/>
  <c r="M1729" i="13" s="1"/>
  <c r="L1730" i="13" s="1"/>
  <c r="M1730" i="13" s="1"/>
  <c r="L1731" i="13" s="1"/>
  <c r="M1731" i="13" s="1"/>
  <c r="L1732" i="13" s="1"/>
  <c r="M1732" i="13" s="1"/>
  <c r="L1733" i="13" s="1"/>
  <c r="M1733" i="13" s="1"/>
  <c r="L1734" i="13" s="1"/>
  <c r="M1734" i="13" s="1"/>
  <c r="L1735" i="13" s="1"/>
  <c r="M1735" i="13" s="1"/>
  <c r="L1736" i="13" s="1"/>
  <c r="M1736" i="13" s="1"/>
  <c r="L1737" i="13" s="1"/>
  <c r="M1737" i="13" s="1"/>
  <c r="L1738" i="13" s="1"/>
  <c r="M1738" i="13" s="1"/>
  <c r="L1739" i="13" s="1"/>
  <c r="M1739" i="13" s="1"/>
  <c r="L1740" i="13" s="1"/>
  <c r="M1740" i="13" s="1"/>
  <c r="L1741" i="13" s="1"/>
  <c r="M1741" i="13" s="1"/>
  <c r="L1742" i="13" s="1"/>
  <c r="M1742" i="13" s="1"/>
  <c r="L1743" i="13" s="1"/>
  <c r="M1743" i="13" s="1"/>
  <c r="L1744" i="13" s="1"/>
  <c r="M1744" i="13" s="1"/>
  <c r="L1745" i="13" s="1"/>
  <c r="M1745" i="13" s="1"/>
  <c r="L1746" i="13" s="1"/>
  <c r="M1746" i="13" s="1"/>
  <c r="L1747" i="13" s="1"/>
  <c r="M1747" i="13" s="1"/>
  <c r="L1748" i="13" s="1"/>
  <c r="M1748" i="13" s="1"/>
  <c r="L1749" i="13" s="1"/>
  <c r="M1749" i="13" s="1"/>
  <c r="L1750" i="13" s="1"/>
  <c r="M1750" i="13" s="1"/>
  <c r="L1751" i="13" s="1"/>
  <c r="M1751" i="13" s="1"/>
  <c r="L1752" i="13" s="1"/>
  <c r="M1752" i="13" s="1"/>
  <c r="L1753" i="13" s="1"/>
  <c r="M1753" i="13" s="1"/>
  <c r="L1754" i="13" s="1"/>
  <c r="M1754" i="13" s="1"/>
  <c r="L1755" i="13" s="1"/>
  <c r="M1755" i="13" s="1"/>
  <c r="L1756" i="13" s="1"/>
  <c r="M1756" i="13" s="1"/>
  <c r="L1757" i="13" s="1"/>
  <c r="M1757" i="13" s="1"/>
  <c r="L1758" i="13" s="1"/>
  <c r="M1758" i="13" s="1"/>
  <c r="L1759" i="13" s="1"/>
  <c r="M1759" i="13" s="1"/>
  <c r="L1760" i="13" s="1"/>
  <c r="M1760" i="13" s="1"/>
  <c r="L1761" i="13" s="1"/>
  <c r="M1761" i="13" s="1"/>
  <c r="I45" i="14" s="1"/>
  <c r="X12" i="7"/>
  <c r="M1807" i="13"/>
  <c r="L1808" i="13" s="1"/>
  <c r="M1808" i="13" s="1"/>
  <c r="L1809" i="13" s="1"/>
  <c r="M1809" i="13" s="1"/>
  <c r="L1810" i="13" s="1"/>
  <c r="M1810" i="13" s="1"/>
  <c r="L1811" i="13" s="1"/>
  <c r="M1811" i="13" s="1"/>
  <c r="L1812" i="13" s="1"/>
  <c r="M1812" i="13" s="1"/>
  <c r="L1813" i="13" s="1"/>
  <c r="M1813" i="13" s="1"/>
  <c r="L1814" i="13" s="1"/>
  <c r="M1814" i="13" s="1"/>
  <c r="L1815" i="13" s="1"/>
  <c r="M1815" i="13" s="1"/>
  <c r="L1816" i="13" s="1"/>
  <c r="M1816" i="13" s="1"/>
  <c r="L1817" i="13" s="1"/>
  <c r="M1817" i="13" s="1"/>
  <c r="L1818" i="13" s="1"/>
  <c r="M1818" i="13" s="1"/>
  <c r="L1819" i="13" s="1"/>
  <c r="M1819" i="13" s="1"/>
  <c r="L1820" i="13" s="1"/>
  <c r="M1820" i="13" s="1"/>
  <c r="L1821" i="13" s="1"/>
  <c r="M1821" i="13" s="1"/>
  <c r="L1822" i="13" s="1"/>
  <c r="M1822" i="13" s="1"/>
  <c r="L1823" i="13" s="1"/>
  <c r="M1823" i="13" s="1"/>
  <c r="L1824" i="13" s="1"/>
  <c r="M1824" i="13" s="1"/>
  <c r="L1825" i="13" s="1"/>
  <c r="M1825" i="13" s="1"/>
  <c r="L1826" i="13" s="1"/>
  <c r="M1826" i="13" s="1"/>
  <c r="L1827" i="13" s="1"/>
  <c r="M1827" i="13" s="1"/>
  <c r="L1828" i="13" s="1"/>
  <c r="M1828" i="13" s="1"/>
  <c r="L1829" i="13" s="1"/>
  <c r="M1829" i="13" s="1"/>
  <c r="L1830" i="13" s="1"/>
  <c r="M1830" i="13" s="1"/>
  <c r="L1831" i="13" s="1"/>
  <c r="M1831" i="13" s="1"/>
  <c r="L1832" i="13" s="1"/>
  <c r="M1832" i="13" s="1"/>
  <c r="L1833" i="13" s="1"/>
  <c r="M1833" i="13" s="1"/>
  <c r="L1834" i="13" s="1"/>
  <c r="M1834" i="13" s="1"/>
  <c r="L1835" i="13" s="1"/>
  <c r="M1835" i="13" s="1"/>
  <c r="L1836" i="13" s="1"/>
  <c r="M1836" i="13" s="1"/>
  <c r="L1837" i="13" s="1"/>
  <c r="M1837" i="13" s="1"/>
  <c r="L1838" i="13" s="1"/>
  <c r="M1838" i="13" s="1"/>
  <c r="L1839" i="13" s="1"/>
  <c r="M1839" i="13" s="1"/>
  <c r="L1840" i="13" s="1"/>
  <c r="M1840" i="13" s="1"/>
  <c r="L1841" i="13" s="1"/>
  <c r="M1841" i="13" s="1"/>
  <c r="I47" i="14" s="1"/>
  <c r="X3" i="7"/>
  <c r="M1642" i="13"/>
  <c r="L1643" i="13" s="1"/>
  <c r="M1643" i="13" s="1"/>
  <c r="L1644" i="13" s="1"/>
  <c r="M1644" i="13" s="1"/>
  <c r="L1645" i="13" s="1"/>
  <c r="M1645" i="13" s="1"/>
  <c r="L1646" i="13" s="1"/>
  <c r="M1646" i="13" s="1"/>
  <c r="L1647" i="13" s="1"/>
  <c r="M1647" i="13" s="1"/>
  <c r="L1648" i="13" s="1"/>
  <c r="M1648" i="13" s="1"/>
  <c r="L1649" i="13" s="1"/>
  <c r="M1649" i="13" s="1"/>
  <c r="L1650" i="13" s="1"/>
  <c r="M1650" i="13" s="1"/>
  <c r="L1651" i="13" s="1"/>
  <c r="M1651" i="13" s="1"/>
  <c r="L1652" i="13" s="1"/>
  <c r="M1652" i="13" s="1"/>
  <c r="L1653" i="13" s="1"/>
  <c r="M1653" i="13" s="1"/>
  <c r="L1654" i="13" s="1"/>
  <c r="M1654" i="13" s="1"/>
  <c r="L1655" i="13" s="1"/>
  <c r="M1655" i="13" s="1"/>
  <c r="L1656" i="13" s="1"/>
  <c r="M1656" i="13" s="1"/>
  <c r="L1657" i="13" s="1"/>
  <c r="M1657" i="13" s="1"/>
  <c r="L1658" i="13" s="1"/>
  <c r="M1658" i="13" s="1"/>
  <c r="L1659" i="13" s="1"/>
  <c r="M1659" i="13" s="1"/>
  <c r="L1660" i="13" s="1"/>
  <c r="M1660" i="13" s="1"/>
  <c r="L1661" i="13" s="1"/>
  <c r="M1661" i="13" s="1"/>
  <c r="L1662" i="13" s="1"/>
  <c r="M1662" i="13" s="1"/>
  <c r="L1663" i="13" s="1"/>
  <c r="M1663" i="13" s="1"/>
  <c r="L1664" i="13" s="1"/>
  <c r="M1664" i="13" s="1"/>
  <c r="L1665" i="13" s="1"/>
  <c r="M1665" i="13" s="1"/>
  <c r="L1666" i="13" s="1"/>
  <c r="M1666" i="13" s="1"/>
  <c r="L1667" i="13" s="1"/>
  <c r="M1667" i="13" s="1"/>
  <c r="L1668" i="13" s="1"/>
  <c r="M1668" i="13" s="1"/>
  <c r="L1669" i="13" s="1"/>
  <c r="M1669" i="13" s="1"/>
  <c r="L1670" i="13" s="1"/>
  <c r="M1670" i="13" s="1"/>
  <c r="L1671" i="13" s="1"/>
  <c r="M1671" i="13" s="1"/>
  <c r="L1672" i="13" s="1"/>
  <c r="M1672" i="13" s="1"/>
  <c r="L1673" i="13" s="1"/>
  <c r="M1673" i="13" s="1"/>
  <c r="L1674" i="13" s="1"/>
  <c r="M1674" i="13" s="1"/>
  <c r="L1675" i="13" s="1"/>
  <c r="M1675" i="13" s="1"/>
  <c r="L1676" i="13" s="1"/>
  <c r="M1676" i="13" s="1"/>
  <c r="L1677" i="13" s="1"/>
  <c r="M1677" i="13" s="1"/>
  <c r="L1678" i="13" s="1"/>
  <c r="M1678" i="13" s="1"/>
  <c r="L1679" i="13" s="1"/>
  <c r="M1679" i="13" s="1"/>
  <c r="L1680" i="13" s="1"/>
  <c r="M1680" i="13" s="1"/>
  <c r="L1681" i="13" s="1"/>
  <c r="M1681" i="13" s="1"/>
  <c r="I43" i="14" s="1"/>
  <c r="M1682" i="13"/>
  <c r="L1683" i="13" s="1"/>
  <c r="M1683" i="13" s="1"/>
  <c r="L1684" i="13" s="1"/>
  <c r="M1684" i="13" s="1"/>
  <c r="L1685" i="13" s="1"/>
  <c r="M1685" i="13" s="1"/>
  <c r="L1686" i="13" s="1"/>
  <c r="M1686" i="13" s="1"/>
  <c r="L1687" i="13" s="1"/>
  <c r="M1687" i="13" s="1"/>
  <c r="L1688" i="13" s="1"/>
  <c r="M1688" i="13" s="1"/>
  <c r="L1689" i="13" s="1"/>
  <c r="M1689" i="13" s="1"/>
  <c r="L1690" i="13" s="1"/>
  <c r="M1690" i="13" s="1"/>
  <c r="L1691" i="13" s="1"/>
  <c r="M1691" i="13" s="1"/>
  <c r="L1692" i="13" s="1"/>
  <c r="M1692" i="13" s="1"/>
  <c r="L1693" i="13" s="1"/>
  <c r="M1693" i="13" s="1"/>
  <c r="L1694" i="13" s="1"/>
  <c r="M1694" i="13" s="1"/>
  <c r="L1695" i="13" s="1"/>
  <c r="M1695" i="13" s="1"/>
  <c r="L1696" i="13" s="1"/>
  <c r="M1696" i="13" s="1"/>
  <c r="L1697" i="13" s="1"/>
  <c r="M1697" i="13" s="1"/>
  <c r="L1698" i="13" s="1"/>
  <c r="M1698" i="13" s="1"/>
  <c r="L1699" i="13" s="1"/>
  <c r="M1699" i="13" s="1"/>
  <c r="L1700" i="13" s="1"/>
  <c r="M1700" i="13" s="1"/>
  <c r="L1701" i="13" s="1"/>
  <c r="M1701" i="13" s="1"/>
  <c r="L1702" i="13" s="1"/>
  <c r="M1702" i="13" s="1"/>
  <c r="L1703" i="13" s="1"/>
  <c r="M1703" i="13" s="1"/>
  <c r="L1704" i="13" s="1"/>
  <c r="M1704" i="13" s="1"/>
  <c r="L1705" i="13" s="1"/>
  <c r="M1705" i="13" s="1"/>
  <c r="L1706" i="13" s="1"/>
  <c r="M1706" i="13" s="1"/>
  <c r="L1707" i="13" s="1"/>
  <c r="M1707" i="13" s="1"/>
  <c r="L1708" i="13" s="1"/>
  <c r="M1708" i="13" s="1"/>
  <c r="L1709" i="13" s="1"/>
  <c r="M1709" i="13" s="1"/>
  <c r="L1710" i="13" s="1"/>
  <c r="M1710" i="13" s="1"/>
  <c r="L1711" i="13" s="1"/>
  <c r="M1711" i="13" s="1"/>
  <c r="L1712" i="13" s="1"/>
  <c r="M1712" i="13" s="1"/>
  <c r="L1713" i="13" s="1"/>
  <c r="M1713" i="13" s="1"/>
  <c r="L1714" i="13" s="1"/>
  <c r="M1714" i="13" s="1"/>
  <c r="L1715" i="13" s="1"/>
  <c r="M1715" i="13" s="1"/>
  <c r="L1716" i="13" s="1"/>
  <c r="M1716" i="13" s="1"/>
  <c r="L1717" i="13" s="1"/>
  <c r="M1717" i="13" s="1"/>
  <c r="L1718" i="13" s="1"/>
  <c r="M1718" i="13" s="1"/>
  <c r="L1719" i="13" s="1"/>
  <c r="M1719" i="13" s="1"/>
  <c r="L1720" i="13" s="1"/>
  <c r="M1720" i="13" s="1"/>
  <c r="L1721" i="13" s="1"/>
  <c r="M1721" i="13" s="1"/>
  <c r="I44" i="14" s="1"/>
  <c r="Q7" i="7"/>
  <c r="Q11" i="7"/>
  <c r="M1282" i="13"/>
  <c r="L1283" i="13" s="1"/>
  <c r="M1283" i="13" s="1"/>
  <c r="L1284" i="13" s="1"/>
  <c r="M1284" i="13" s="1"/>
  <c r="L1285" i="13" s="1"/>
  <c r="M1285" i="13" s="1"/>
  <c r="L1286" i="13" s="1"/>
  <c r="M1286" i="13" s="1"/>
  <c r="L1287" i="13" s="1"/>
  <c r="M1287" i="13" s="1"/>
  <c r="L1288" i="13" s="1"/>
  <c r="M1288" i="13" s="1"/>
  <c r="L1289" i="13" s="1"/>
  <c r="M1289" i="13" s="1"/>
  <c r="L1290" i="13" s="1"/>
  <c r="M1290" i="13" s="1"/>
  <c r="L1291" i="13" s="1"/>
  <c r="M1291" i="13" s="1"/>
  <c r="L1292" i="13" s="1"/>
  <c r="M1292" i="13" s="1"/>
  <c r="L1293" i="13" s="1"/>
  <c r="M1293" i="13" s="1"/>
  <c r="L1294" i="13" s="1"/>
  <c r="M1294" i="13" s="1"/>
  <c r="L1295" i="13" s="1"/>
  <c r="M1295" i="13" s="1"/>
  <c r="L1296" i="13" s="1"/>
  <c r="M1296" i="13" s="1"/>
  <c r="L1297" i="13" s="1"/>
  <c r="M1297" i="13" s="1"/>
  <c r="L1298" i="13" s="1"/>
  <c r="M1298" i="13" s="1"/>
  <c r="L1299" i="13" s="1"/>
  <c r="M1299" i="13" s="1"/>
  <c r="L1300" i="13" s="1"/>
  <c r="M1300" i="13" s="1"/>
  <c r="L1301" i="13" s="1"/>
  <c r="M1301" i="13" s="1"/>
  <c r="L1302" i="13" s="1"/>
  <c r="M1302" i="13" s="1"/>
  <c r="L1303" i="13" s="1"/>
  <c r="M1303" i="13" s="1"/>
  <c r="L1304" i="13" s="1"/>
  <c r="M1304" i="13" s="1"/>
  <c r="L1305" i="13" s="1"/>
  <c r="M1305" i="13" s="1"/>
  <c r="L1306" i="13" s="1"/>
  <c r="M1306" i="13" s="1"/>
  <c r="L1307" i="13" s="1"/>
  <c r="M1307" i="13" s="1"/>
  <c r="L1308" i="13" s="1"/>
  <c r="M1308" i="13" s="1"/>
  <c r="L1309" i="13" s="1"/>
  <c r="M1309" i="13" s="1"/>
  <c r="L1310" i="13" s="1"/>
  <c r="M1310" i="13" s="1"/>
  <c r="L1311" i="13" s="1"/>
  <c r="M1311" i="13" s="1"/>
  <c r="L1312" i="13" s="1"/>
  <c r="M1312" i="13" s="1"/>
  <c r="L1313" i="13" s="1"/>
  <c r="M1313" i="13" s="1"/>
  <c r="L1314" i="13" s="1"/>
  <c r="M1314" i="13" s="1"/>
  <c r="L1315" i="13" s="1"/>
  <c r="M1315" i="13" s="1"/>
  <c r="L1316" i="13" s="1"/>
  <c r="M1316" i="13" s="1"/>
  <c r="L1317" i="13" s="1"/>
  <c r="M1317" i="13" s="1"/>
  <c r="L1318" i="13" s="1"/>
  <c r="M1318" i="13" s="1"/>
  <c r="L1319" i="13" s="1"/>
  <c r="M1319" i="13" s="1"/>
  <c r="L1320" i="13" s="1"/>
  <c r="M1320" i="13" s="1"/>
  <c r="L1321" i="13" s="1"/>
  <c r="M1321" i="13" s="1"/>
  <c r="I34" i="14" s="1"/>
  <c r="M1442" i="13"/>
  <c r="L1443" i="13" s="1"/>
  <c r="M1443" i="13" s="1"/>
  <c r="L1444" i="13" s="1"/>
  <c r="M1444" i="13" s="1"/>
  <c r="L1445" i="13" s="1"/>
  <c r="M1445" i="13" s="1"/>
  <c r="L1446" i="13" s="1"/>
  <c r="M1446" i="13" s="1"/>
  <c r="L1447" i="13" s="1"/>
  <c r="M1447" i="13" s="1"/>
  <c r="L1448" i="13" s="1"/>
  <c r="M1448" i="13" s="1"/>
  <c r="L1449" i="13" s="1"/>
  <c r="M1449" i="13" s="1"/>
  <c r="L1450" i="13" s="1"/>
  <c r="M1450" i="13" s="1"/>
  <c r="L1451" i="13" s="1"/>
  <c r="M1451" i="13" s="1"/>
  <c r="L1452" i="13" s="1"/>
  <c r="M1452" i="13" s="1"/>
  <c r="L1453" i="13" s="1"/>
  <c r="M1453" i="13" s="1"/>
  <c r="L1454" i="13" s="1"/>
  <c r="M1454" i="13" s="1"/>
  <c r="L1455" i="13" s="1"/>
  <c r="M1455" i="13" s="1"/>
  <c r="L1456" i="13" s="1"/>
  <c r="M1456" i="13" s="1"/>
  <c r="L1457" i="13" s="1"/>
  <c r="M1457" i="13" s="1"/>
  <c r="L1458" i="13" s="1"/>
  <c r="M1458" i="13" s="1"/>
  <c r="L1459" i="13" s="1"/>
  <c r="M1459" i="13" s="1"/>
  <c r="L1460" i="13" s="1"/>
  <c r="M1460" i="13" s="1"/>
  <c r="L1461" i="13" s="1"/>
  <c r="M1461" i="13" s="1"/>
  <c r="L1462" i="13" s="1"/>
  <c r="M1462" i="13" s="1"/>
  <c r="L1463" i="13" s="1"/>
  <c r="M1463" i="13" s="1"/>
  <c r="L1464" i="13" s="1"/>
  <c r="M1464" i="13" s="1"/>
  <c r="L1465" i="13" s="1"/>
  <c r="M1465" i="13" s="1"/>
  <c r="L1466" i="13" s="1"/>
  <c r="M1466" i="13" s="1"/>
  <c r="L1467" i="13" s="1"/>
  <c r="M1467" i="13" s="1"/>
  <c r="L1468" i="13" s="1"/>
  <c r="M1468" i="13" s="1"/>
  <c r="L1469" i="13" s="1"/>
  <c r="M1469" i="13" s="1"/>
  <c r="L1470" i="13" s="1"/>
  <c r="M1470" i="13" s="1"/>
  <c r="L1471" i="13" s="1"/>
  <c r="M1471" i="13" s="1"/>
  <c r="L1472" i="13" s="1"/>
  <c r="M1472" i="13" s="1"/>
  <c r="L1473" i="13" s="1"/>
  <c r="M1473" i="13" s="1"/>
  <c r="L1474" i="13" s="1"/>
  <c r="M1474" i="13" s="1"/>
  <c r="L1475" i="13" s="1"/>
  <c r="M1475" i="13" s="1"/>
  <c r="L1476" i="13" s="1"/>
  <c r="M1476" i="13" s="1"/>
  <c r="L1477" i="13" s="1"/>
  <c r="M1477" i="13" s="1"/>
  <c r="L1478" i="13" s="1"/>
  <c r="M1478" i="13" s="1"/>
  <c r="L1479" i="13" s="1"/>
  <c r="M1479" i="13" s="1"/>
  <c r="L1480" i="13" s="1"/>
  <c r="M1480" i="13" s="1"/>
  <c r="L1481" i="13" s="1"/>
  <c r="M1481" i="13" s="1"/>
  <c r="I38" i="14" s="1"/>
  <c r="P2" i="7"/>
  <c r="Q2" i="7" s="1"/>
  <c r="X5" i="7"/>
  <c r="X29" i="7"/>
  <c r="M2002" i="13"/>
  <c r="L2003" i="13" s="1"/>
  <c r="M2003" i="13" s="1"/>
  <c r="L2004" i="13" s="1"/>
  <c r="M2004" i="13" s="1"/>
  <c r="L2005" i="13" s="1"/>
  <c r="M2005" i="13" s="1"/>
  <c r="L2006" i="13" s="1"/>
  <c r="M2006" i="13" s="1"/>
  <c r="L2007" i="13" s="1"/>
  <c r="M2007" i="13" s="1"/>
  <c r="L2008" i="13" s="1"/>
  <c r="M2008" i="13" s="1"/>
  <c r="L2009" i="13" s="1"/>
  <c r="M2009" i="13" s="1"/>
  <c r="L2010" i="13" s="1"/>
  <c r="M2010" i="13" s="1"/>
  <c r="L2011" i="13" s="1"/>
  <c r="M2011" i="13" s="1"/>
  <c r="L2012" i="13" s="1"/>
  <c r="M2012" i="13" s="1"/>
  <c r="L2013" i="13" s="1"/>
  <c r="M2013" i="13" s="1"/>
  <c r="L2014" i="13" s="1"/>
  <c r="M2014" i="13" s="1"/>
  <c r="L2015" i="13" s="1"/>
  <c r="M2015" i="13" s="1"/>
  <c r="L2016" i="13" s="1"/>
  <c r="M2016" i="13" s="1"/>
  <c r="L2017" i="13" s="1"/>
  <c r="M2017" i="13" s="1"/>
  <c r="L2018" i="13" s="1"/>
  <c r="M2018" i="13" s="1"/>
  <c r="L2019" i="13" s="1"/>
  <c r="M2019" i="13" s="1"/>
  <c r="L2020" i="13" s="1"/>
  <c r="M2020" i="13" s="1"/>
  <c r="L2021" i="13" s="1"/>
  <c r="M2021" i="13" s="1"/>
  <c r="L2022" i="13" s="1"/>
  <c r="M2022" i="13" s="1"/>
  <c r="L2023" i="13" s="1"/>
  <c r="M2023" i="13" s="1"/>
  <c r="L2024" i="13" s="1"/>
  <c r="M2024" i="13" s="1"/>
  <c r="L2025" i="13" s="1"/>
  <c r="M2025" i="13" s="1"/>
  <c r="L2026" i="13" s="1"/>
  <c r="M2026" i="13" s="1"/>
  <c r="L2027" i="13" s="1"/>
  <c r="M2027" i="13" s="1"/>
  <c r="L2028" i="13" s="1"/>
  <c r="M2028" i="13" s="1"/>
  <c r="L2029" i="13" s="1"/>
  <c r="M2029" i="13" s="1"/>
  <c r="L2030" i="13" s="1"/>
  <c r="M2030" i="13" s="1"/>
  <c r="L2031" i="13" s="1"/>
  <c r="M2031" i="13" s="1"/>
  <c r="L2032" i="13" s="1"/>
  <c r="M2032" i="13" s="1"/>
  <c r="L2033" i="13" s="1"/>
  <c r="M2033" i="13" s="1"/>
  <c r="L2034" i="13" s="1"/>
  <c r="M2034" i="13" s="1"/>
  <c r="L2035" i="13" s="1"/>
  <c r="M2035" i="13" s="1"/>
  <c r="L2036" i="13" s="1"/>
  <c r="M2036" i="13" s="1"/>
  <c r="L2037" i="13" s="1"/>
  <c r="M2037" i="13" s="1"/>
  <c r="L2038" i="13" s="1"/>
  <c r="M2038" i="13" s="1"/>
  <c r="L2039" i="13" s="1"/>
  <c r="M2039" i="13" s="1"/>
  <c r="L2040" i="13" s="1"/>
  <c r="M2040" i="13" s="1"/>
  <c r="L2041" i="13" s="1"/>
  <c r="M2041" i="13" s="1"/>
  <c r="I52" i="14" s="1"/>
  <c r="Q4" i="7"/>
  <c r="Q8" i="7"/>
  <c r="M1562" i="13"/>
  <c r="L1563" i="13" s="1"/>
  <c r="M1563" i="13" s="1"/>
  <c r="L1564" i="13" s="1"/>
  <c r="M1564" i="13" s="1"/>
  <c r="L1565" i="13" s="1"/>
  <c r="M1565" i="13" s="1"/>
  <c r="L1566" i="13" s="1"/>
  <c r="M1566" i="13" s="1"/>
  <c r="L1567" i="13" s="1"/>
  <c r="M1567" i="13" s="1"/>
  <c r="L1568" i="13" s="1"/>
  <c r="M1568" i="13" s="1"/>
  <c r="L1569" i="13" s="1"/>
  <c r="M1569" i="13" s="1"/>
  <c r="L1570" i="13" s="1"/>
  <c r="M1570" i="13" s="1"/>
  <c r="L1571" i="13" s="1"/>
  <c r="M1571" i="13" s="1"/>
  <c r="L1572" i="13" s="1"/>
  <c r="M1572" i="13" s="1"/>
  <c r="L1573" i="13" s="1"/>
  <c r="M1573" i="13" s="1"/>
  <c r="L1574" i="13" s="1"/>
  <c r="M1574" i="13" s="1"/>
  <c r="L1575" i="13" s="1"/>
  <c r="M1575" i="13" s="1"/>
  <c r="L1576" i="13" s="1"/>
  <c r="M1576" i="13" s="1"/>
  <c r="L1577" i="13" s="1"/>
  <c r="M1577" i="13" s="1"/>
  <c r="L1578" i="13" s="1"/>
  <c r="M1578" i="13" s="1"/>
  <c r="L1579" i="13" s="1"/>
  <c r="M1579" i="13" s="1"/>
  <c r="L1580" i="13" s="1"/>
  <c r="M1580" i="13" s="1"/>
  <c r="L1581" i="13" s="1"/>
  <c r="M1581" i="13" s="1"/>
  <c r="L1582" i="13" s="1"/>
  <c r="M1582" i="13" s="1"/>
  <c r="L1583" i="13" s="1"/>
  <c r="M1583" i="13" s="1"/>
  <c r="L1584" i="13" s="1"/>
  <c r="M1584" i="13" s="1"/>
  <c r="L1585" i="13" s="1"/>
  <c r="M1585" i="13" s="1"/>
  <c r="L1586" i="13" s="1"/>
  <c r="M1586" i="13" s="1"/>
  <c r="L1587" i="13" s="1"/>
  <c r="M1587" i="13" s="1"/>
  <c r="L1588" i="13" s="1"/>
  <c r="M1588" i="13" s="1"/>
  <c r="L1589" i="13" s="1"/>
  <c r="M1589" i="13" s="1"/>
  <c r="L1590" i="13" s="1"/>
  <c r="M1590" i="13" s="1"/>
  <c r="L1591" i="13" s="1"/>
  <c r="M1591" i="13" s="1"/>
  <c r="L1592" i="13" s="1"/>
  <c r="M1592" i="13" s="1"/>
  <c r="L1593" i="13" s="1"/>
  <c r="M1593" i="13" s="1"/>
  <c r="L1594" i="13" s="1"/>
  <c r="M1594" i="13" s="1"/>
  <c r="L1595" i="13" s="1"/>
  <c r="M1595" i="13" s="1"/>
  <c r="L1596" i="13" s="1"/>
  <c r="M1596" i="13" s="1"/>
  <c r="L1597" i="13" s="1"/>
  <c r="M1597" i="13" s="1"/>
  <c r="L1598" i="13" s="1"/>
  <c r="M1598" i="13" s="1"/>
  <c r="L1599" i="13" s="1"/>
  <c r="M1599" i="13" s="1"/>
  <c r="L1600" i="13" s="1"/>
  <c r="M1600" i="13" s="1"/>
  <c r="L1601" i="13" s="1"/>
  <c r="M1601" i="13" s="1"/>
  <c r="I41" i="14" s="1"/>
  <c r="D8" i="8"/>
  <c r="X10" i="7"/>
  <c r="X6" i="7"/>
  <c r="X7" i="7"/>
  <c r="X30" i="7"/>
  <c r="X24" i="7"/>
  <c r="X8" i="7"/>
  <c r="Q24" i="7"/>
  <c r="S24" i="7" s="1"/>
  <c r="Q16" i="7"/>
  <c r="S16" i="7" s="1"/>
  <c r="X14" i="7"/>
  <c r="S15" i="7"/>
  <c r="X15" i="7"/>
  <c r="D16" i="8"/>
  <c r="Q35" i="7"/>
  <c r="W35" i="7" s="1"/>
  <c r="R21" i="7"/>
  <c r="X38" i="7"/>
  <c r="R4" i="7"/>
  <c r="M2042" i="13"/>
  <c r="L2043" i="13" s="1"/>
  <c r="M2043" i="13" s="1"/>
  <c r="L2044" i="13" s="1"/>
  <c r="M2044" i="13" s="1"/>
  <c r="L2045" i="13" s="1"/>
  <c r="M2045" i="13" s="1"/>
  <c r="L2046" i="13" s="1"/>
  <c r="M2046" i="13" s="1"/>
  <c r="L2047" i="13" s="1"/>
  <c r="M2047" i="13" s="1"/>
  <c r="L2048" i="13" s="1"/>
  <c r="M2048" i="13" s="1"/>
  <c r="L2049" i="13" s="1"/>
  <c r="M2049" i="13" s="1"/>
  <c r="L2050" i="13" s="1"/>
  <c r="M2050" i="13" s="1"/>
  <c r="L2051" i="13" s="1"/>
  <c r="M2051" i="13" s="1"/>
  <c r="L2052" i="13" s="1"/>
  <c r="M2052" i="13" s="1"/>
  <c r="L2053" i="13" s="1"/>
  <c r="M2053" i="13" s="1"/>
  <c r="L2054" i="13" s="1"/>
  <c r="M2054" i="13" s="1"/>
  <c r="L2055" i="13" s="1"/>
  <c r="M2055" i="13" s="1"/>
  <c r="L2056" i="13" s="1"/>
  <c r="M2056" i="13" s="1"/>
  <c r="L2057" i="13" s="1"/>
  <c r="M2057" i="13" s="1"/>
  <c r="L2058" i="13" s="1"/>
  <c r="M2058" i="13" s="1"/>
  <c r="L2059" i="13" s="1"/>
  <c r="M2059" i="13" s="1"/>
  <c r="L2060" i="13" s="1"/>
  <c r="M2060" i="13" s="1"/>
  <c r="L2061" i="13" s="1"/>
  <c r="M2061" i="13" s="1"/>
  <c r="L2062" i="13" s="1"/>
  <c r="M2062" i="13" s="1"/>
  <c r="L2063" i="13" s="1"/>
  <c r="M2063" i="13" s="1"/>
  <c r="L2064" i="13" s="1"/>
  <c r="M2064" i="13" s="1"/>
  <c r="L2065" i="13" s="1"/>
  <c r="M2065" i="13" s="1"/>
  <c r="L2066" i="13" s="1"/>
  <c r="M2066" i="13" s="1"/>
  <c r="L2067" i="13" s="1"/>
  <c r="M2067" i="13" s="1"/>
  <c r="L2068" i="13" s="1"/>
  <c r="M2068" i="13" s="1"/>
  <c r="L2069" i="13" s="1"/>
  <c r="M2069" i="13" s="1"/>
  <c r="L2070" i="13" s="1"/>
  <c r="M2070" i="13" s="1"/>
  <c r="L2071" i="13" s="1"/>
  <c r="M2071" i="13" s="1"/>
  <c r="L2072" i="13" s="1"/>
  <c r="M2072" i="13" s="1"/>
  <c r="L2073" i="13" s="1"/>
  <c r="M2073" i="13" s="1"/>
  <c r="L2074" i="13" s="1"/>
  <c r="M2074" i="13" s="1"/>
  <c r="L2075" i="13" s="1"/>
  <c r="M2075" i="13" s="1"/>
  <c r="L2076" i="13" s="1"/>
  <c r="M2076" i="13" s="1"/>
  <c r="L2077" i="13" s="1"/>
  <c r="M2077" i="13" s="1"/>
  <c r="L2078" i="13" s="1"/>
  <c r="M2078" i="13" s="1"/>
  <c r="L2079" i="13" s="1"/>
  <c r="M2079" i="13" s="1"/>
  <c r="L2080" i="13" s="1"/>
  <c r="M2080" i="13" s="1"/>
  <c r="L2081" i="13" s="1"/>
  <c r="M2081" i="13" s="1"/>
  <c r="I53" i="14" s="1"/>
  <c r="O23" i="7"/>
  <c r="R23" i="7" s="1"/>
  <c r="P23" i="7"/>
  <c r="Q23" i="7" s="1"/>
  <c r="P31" i="7"/>
  <c r="Q31" i="7" s="1"/>
  <c r="W31" i="7" s="1"/>
  <c r="X50" i="7"/>
  <c r="S50" i="7"/>
  <c r="Y50" i="7" s="1"/>
  <c r="S31" i="7"/>
  <c r="Y31" i="7" s="1"/>
  <c r="Q42" i="7"/>
  <c r="W42" i="7" s="1"/>
  <c r="D25" i="8"/>
  <c r="S25" i="7"/>
  <c r="X25" i="7"/>
  <c r="Q27" i="7"/>
  <c r="S27" i="7" s="1"/>
  <c r="P76" i="7"/>
  <c r="Q76" i="7" s="1"/>
  <c r="W76" i="7" s="1"/>
  <c r="O76" i="7"/>
  <c r="R76" i="7" s="1"/>
  <c r="D24" i="8" s="1"/>
  <c r="P17" i="7"/>
  <c r="Q17" i="7" s="1"/>
  <c r="O17" i="7"/>
  <c r="R17" i="7" s="1"/>
  <c r="P19" i="7"/>
  <c r="Q19" i="7" s="1"/>
  <c r="O19" i="7"/>
  <c r="R19" i="7" s="1"/>
  <c r="P36" i="7"/>
  <c r="Q36" i="7" s="1"/>
  <c r="W36" i="7" s="1"/>
  <c r="O36" i="7"/>
  <c r="R36" i="7" s="1"/>
  <c r="P9" i="7"/>
  <c r="Q9" i="7" s="1"/>
  <c r="O9" i="7"/>
  <c r="R9" i="7" s="1"/>
  <c r="R22" i="7"/>
  <c r="Q72" i="7"/>
  <c r="W72" i="7" s="1"/>
  <c r="R11" i="7"/>
  <c r="X26" i="7"/>
  <c r="X27" i="7"/>
  <c r="R35" i="7"/>
  <c r="S81" i="7"/>
  <c r="Y81" i="7" s="1"/>
  <c r="X33" i="7"/>
  <c r="Q32" i="7"/>
  <c r="W32" i="7" s="1"/>
  <c r="P28" i="7"/>
  <c r="O28" i="7"/>
  <c r="R28" i="7" s="1"/>
  <c r="X66" i="7"/>
  <c r="X82" i="7"/>
  <c r="S47" i="7"/>
  <c r="Y47" i="7" s="1"/>
  <c r="Q62" i="7"/>
  <c r="W62" i="7" s="1"/>
  <c r="Q46" i="7"/>
  <c r="W46" i="7" s="1"/>
  <c r="X62" i="7"/>
  <c r="X72" i="7"/>
  <c r="S72" i="7"/>
  <c r="Y72" i="7" s="1"/>
  <c r="Q53" i="7"/>
  <c r="W53" i="7" s="1"/>
  <c r="Q56" i="7"/>
  <c r="W56" i="7" s="1"/>
  <c r="P20" i="7"/>
  <c r="O20" i="7"/>
  <c r="R20" i="7" s="1"/>
  <c r="O46" i="7"/>
  <c r="R46" i="7" s="1"/>
  <c r="P52" i="7"/>
  <c r="O52" i="7"/>
  <c r="R52" i="7" s="1"/>
  <c r="Q75" i="7"/>
  <c r="W75" i="7" s="1"/>
  <c r="X97" i="7"/>
  <c r="P44" i="7"/>
  <c r="Q44" i="7" s="1"/>
  <c r="W44" i="7" s="1"/>
  <c r="O44" i="7"/>
  <c r="R44" i="7" s="1"/>
  <c r="P74" i="7"/>
  <c r="O74" i="7"/>
  <c r="R74" i="7" s="1"/>
  <c r="S71" i="7"/>
  <c r="Y71" i="7" s="1"/>
  <c r="X71" i="7"/>
  <c r="O77" i="7"/>
  <c r="R77" i="7" s="1"/>
  <c r="P77" i="7"/>
  <c r="Q77" i="7" s="1"/>
  <c r="W77" i="7" s="1"/>
  <c r="P41" i="7"/>
  <c r="O41" i="7"/>
  <c r="R41" i="7" s="1"/>
  <c r="Q51" i="7"/>
  <c r="W51" i="7" s="1"/>
  <c r="Q55" i="7"/>
  <c r="W55" i="7" s="1"/>
  <c r="R67" i="7"/>
  <c r="P40" i="7"/>
  <c r="O40" i="7"/>
  <c r="R40" i="7" s="1"/>
  <c r="D14" i="8" s="1"/>
  <c r="R43" i="7"/>
  <c r="X70" i="7"/>
  <c r="R32" i="7"/>
  <c r="D6" i="8" s="1"/>
  <c r="X63" i="7"/>
  <c r="Q70" i="7"/>
  <c r="W70" i="7" s="1"/>
  <c r="Q66" i="7"/>
  <c r="W66" i="7" s="1"/>
  <c r="R79" i="7"/>
  <c r="Q118" i="7"/>
  <c r="W118" i="7" s="1"/>
  <c r="Q69" i="7"/>
  <c r="W69" i="7" s="1"/>
  <c r="X107" i="7"/>
  <c r="X115" i="7"/>
  <c r="S115" i="7"/>
  <c r="Y115" i="7" s="1"/>
  <c r="X96" i="7"/>
  <c r="Q7" i="11"/>
  <c r="P7" i="11"/>
  <c r="R7" i="11" s="1"/>
  <c r="W7" i="11" s="1"/>
  <c r="M7" i="11"/>
  <c r="R57" i="7"/>
  <c r="S75" i="7"/>
  <c r="Y75" i="7" s="1"/>
  <c r="X111" i="7"/>
  <c r="Q100" i="7"/>
  <c r="W100" i="7" s="1"/>
  <c r="X103" i="7"/>
  <c r="R49" i="7"/>
  <c r="O56" i="7"/>
  <c r="R56" i="7" s="1"/>
  <c r="R85" i="7"/>
  <c r="P60" i="7"/>
  <c r="Q60" i="7" s="1"/>
  <c r="W60" i="7" s="1"/>
  <c r="O60" i="7"/>
  <c r="R60" i="7" s="1"/>
  <c r="S84" i="7"/>
  <c r="Y84" i="7" s="1"/>
  <c r="Q95" i="7"/>
  <c r="W95" i="7" s="1"/>
  <c r="X102" i="7"/>
  <c r="X120" i="7"/>
  <c r="X48" i="7"/>
  <c r="Q88" i="7"/>
  <c r="W88" i="7" s="1"/>
  <c r="Q64" i="7"/>
  <c r="W64" i="7" s="1"/>
  <c r="X126" i="7"/>
  <c r="X58" i="7"/>
  <c r="R61" i="7"/>
  <c r="P78" i="7"/>
  <c r="Q78" i="7" s="1"/>
  <c r="W78" i="7" s="1"/>
  <c r="O78" i="7"/>
  <c r="R78" i="7" s="1"/>
  <c r="X83" i="7"/>
  <c r="S83" i="7"/>
  <c r="Y83" i="7" s="1"/>
  <c r="Q92" i="7"/>
  <c r="X95" i="7"/>
  <c r="X99" i="7"/>
  <c r="P68" i="7"/>
  <c r="Q68" i="7" s="1"/>
  <c r="W68" i="7" s="1"/>
  <c r="O68" i="7"/>
  <c r="R68" i="7" s="1"/>
  <c r="Q80" i="7"/>
  <c r="W80" i="7" s="1"/>
  <c r="Q79" i="7"/>
  <c r="W79" i="7" s="1"/>
  <c r="Q87" i="7"/>
  <c r="W87" i="7" s="1"/>
  <c r="X91" i="7"/>
  <c r="X94" i="7"/>
  <c r="X119" i="7"/>
  <c r="P39" i="7"/>
  <c r="Q39" i="7" s="1"/>
  <c r="W39" i="7" s="1"/>
  <c r="O39" i="7"/>
  <c r="R39" i="7" s="1"/>
  <c r="Q54" i="7"/>
  <c r="W54" i="7" s="1"/>
  <c r="Q61" i="7"/>
  <c r="W61" i="7" s="1"/>
  <c r="O64" i="7"/>
  <c r="R64" i="7" s="1"/>
  <c r="Q83" i="7"/>
  <c r="W83" i="7" s="1"/>
  <c r="Q119" i="7"/>
  <c r="W119" i="7" s="1"/>
  <c r="V3" i="11"/>
  <c r="M10" i="11"/>
  <c r="Q10" i="11"/>
  <c r="AB14" i="11"/>
  <c r="X23" i="11"/>
  <c r="AB24" i="11"/>
  <c r="Q98" i="7"/>
  <c r="X3" i="11"/>
  <c r="G4" i="12" s="1"/>
  <c r="P116" i="7"/>
  <c r="Q116" i="7" s="1"/>
  <c r="W116" i="7" s="1"/>
  <c r="O116" i="7"/>
  <c r="R116" i="7" s="1"/>
  <c r="P117" i="7"/>
  <c r="O117" i="7"/>
  <c r="R117" i="7" s="1"/>
  <c r="Q120" i="7"/>
  <c r="W120" i="7" s="1"/>
  <c r="AA16" i="11"/>
  <c r="O118" i="7"/>
  <c r="R118" i="7" s="1"/>
  <c r="Q130" i="7"/>
  <c r="W130" i="7" s="1"/>
  <c r="L17" i="11"/>
  <c r="Q20" i="11"/>
  <c r="M20" i="11"/>
  <c r="Y23" i="11"/>
  <c r="R129" i="7"/>
  <c r="S130" i="7"/>
  <c r="Y130" i="7" s="1"/>
  <c r="Q4" i="11"/>
  <c r="P4" i="11"/>
  <c r="R4" i="11" s="1"/>
  <c r="W4" i="11" s="1"/>
  <c r="M4" i="11"/>
  <c r="Q12" i="11"/>
  <c r="V12" i="11" s="1"/>
  <c r="P12" i="11"/>
  <c r="R12" i="11" s="1"/>
  <c r="W12" i="11" s="1"/>
  <c r="M12" i="11"/>
  <c r="Q24" i="11"/>
  <c r="V24" i="11" s="1"/>
  <c r="P24" i="11"/>
  <c r="R24" i="11" s="1"/>
  <c r="W24" i="11" s="1"/>
  <c r="M24" i="11"/>
  <c r="O65" i="7"/>
  <c r="R65" i="7" s="1"/>
  <c r="O86" i="7"/>
  <c r="R86" i="7" s="1"/>
  <c r="X113" i="7"/>
  <c r="Q22" i="11"/>
  <c r="P22" i="11"/>
  <c r="R22" i="11" s="1"/>
  <c r="W22" i="11" s="1"/>
  <c r="M22" i="11"/>
  <c r="Q27" i="11"/>
  <c r="V27" i="11" s="1"/>
  <c r="P27" i="11"/>
  <c r="R27" i="11" s="1"/>
  <c r="W27" i="11" s="1"/>
  <c r="O55" i="7"/>
  <c r="R55" i="7" s="1"/>
  <c r="O80" i="7"/>
  <c r="R80" i="7" s="1"/>
  <c r="R114" i="7"/>
  <c r="O88" i="7"/>
  <c r="R88" i="7" s="1"/>
  <c r="Q114" i="7"/>
  <c r="W114" i="7" s="1"/>
  <c r="X127" i="7"/>
  <c r="Q6" i="11"/>
  <c r="P6" i="11"/>
  <c r="R6" i="11" s="1"/>
  <c r="W6" i="11" s="1"/>
  <c r="M6" i="11"/>
  <c r="Q8" i="11"/>
  <c r="V8" i="11" s="1"/>
  <c r="P8" i="11"/>
  <c r="R8" i="11" s="1"/>
  <c r="W8" i="11" s="1"/>
  <c r="M8" i="11"/>
  <c r="Q11" i="11"/>
  <c r="V11" i="11" s="1"/>
  <c r="P11" i="11"/>
  <c r="R11" i="11" s="1"/>
  <c r="W11" i="11" s="1"/>
  <c r="Q14" i="11"/>
  <c r="V14" i="11" s="1"/>
  <c r="M14" i="11"/>
  <c r="M27" i="11"/>
  <c r="P109" i="7"/>
  <c r="Q109" i="7" s="1"/>
  <c r="W109" i="7" s="1"/>
  <c r="R109" i="7"/>
  <c r="P124" i="7"/>
  <c r="Q124" i="7" s="1"/>
  <c r="W124" i="7" s="1"/>
  <c r="O124" i="7"/>
  <c r="R124" i="7" s="1"/>
  <c r="Q126" i="7"/>
  <c r="W126" i="7" s="1"/>
  <c r="Q103" i="7"/>
  <c r="W103" i="7" s="1"/>
  <c r="P19" i="11"/>
  <c r="R19" i="11" s="1"/>
  <c r="W19" i="11" s="1"/>
  <c r="S100" i="7"/>
  <c r="Y100" i="7" s="1"/>
  <c r="P3" i="11"/>
  <c r="R3" i="11" s="1"/>
  <c r="W3" i="11" s="1"/>
  <c r="M3" i="11"/>
  <c r="AA12" i="11"/>
  <c r="M16" i="11"/>
  <c r="Q16" i="11"/>
  <c r="V16" i="11" s="1"/>
  <c r="P16" i="11"/>
  <c r="R16" i="11" s="1"/>
  <c r="W16" i="11" s="1"/>
  <c r="L21" i="11"/>
  <c r="R90" i="7"/>
  <c r="P93" i="7"/>
  <c r="Q93" i="7" s="1"/>
  <c r="W93" i="7" s="1"/>
  <c r="O93" i="7"/>
  <c r="R93" i="7" s="1"/>
  <c r="Q97" i="7"/>
  <c r="W97" i="7" s="1"/>
  <c r="P101" i="7"/>
  <c r="O101" i="7"/>
  <c r="R101" i="7" s="1"/>
  <c r="R106" i="7"/>
  <c r="Q110" i="7"/>
  <c r="W110" i="7" s="1"/>
  <c r="M26" i="11"/>
  <c r="Q26" i="11"/>
  <c r="X87" i="7"/>
  <c r="Q104" i="7"/>
  <c r="W104" i="7" s="1"/>
  <c r="Q106" i="7"/>
  <c r="W106" i="7" s="1"/>
  <c r="Q5" i="11"/>
  <c r="V5" i="11" s="1"/>
  <c r="P5" i="11"/>
  <c r="R5" i="11" s="1"/>
  <c r="W5" i="11" s="1"/>
  <c r="R121" i="7"/>
  <c r="Y3" i="11"/>
  <c r="G5" i="12" s="1"/>
  <c r="V13" i="11"/>
  <c r="AB13" i="11"/>
  <c r="Q23" i="11"/>
  <c r="P23" i="11"/>
  <c r="R23" i="11" s="1"/>
  <c r="W23" i="11" s="1"/>
  <c r="M23" i="11"/>
  <c r="Y13" i="11"/>
  <c r="V25" i="11"/>
  <c r="AA3" i="11"/>
  <c r="M13" i="11"/>
  <c r="AA19" i="11"/>
  <c r="O125" i="7"/>
  <c r="R125" i="7" s="1"/>
  <c r="M9" i="11"/>
  <c r="M25" i="11"/>
  <c r="W73" i="7" l="1"/>
  <c r="S73" i="7"/>
  <c r="Y73" i="7" s="1"/>
  <c r="W127" i="7"/>
  <c r="S127" i="7"/>
  <c r="Y127" i="7" s="1"/>
  <c r="W128" i="7"/>
  <c r="S128" i="7"/>
  <c r="Y128" i="7" s="1"/>
  <c r="W33" i="7"/>
  <c r="S33" i="7"/>
  <c r="Y33" i="7" s="1"/>
  <c r="W94" i="7"/>
  <c r="S94" i="7"/>
  <c r="Y94" i="7" s="1"/>
  <c r="J37" i="14"/>
  <c r="N37" i="14"/>
  <c r="J11" i="14"/>
  <c r="S54" i="7"/>
  <c r="Y54" i="7" s="1"/>
  <c r="Q40" i="7"/>
  <c r="W40" i="7" s="1"/>
  <c r="K3" i="12"/>
  <c r="J30" i="14"/>
  <c r="V9" i="11"/>
  <c r="S112" i="7"/>
  <c r="Y112" i="7" s="1"/>
  <c r="S126" i="7"/>
  <c r="Y126" i="7" s="1"/>
  <c r="S107" i="7"/>
  <c r="Y107" i="7" s="1"/>
  <c r="S123" i="7"/>
  <c r="Y123" i="7" s="1"/>
  <c r="Q52" i="7"/>
  <c r="W52" i="7" s="1"/>
  <c r="S42" i="7"/>
  <c r="Y42" i="7" s="1"/>
  <c r="S2" i="7"/>
  <c r="Q131" i="7"/>
  <c r="W131" i="7" s="1"/>
  <c r="N51" i="14"/>
  <c r="M19" i="11"/>
  <c r="D2" i="8"/>
  <c r="AB5" i="11"/>
  <c r="K25" i="14"/>
  <c r="D3" i="8"/>
  <c r="Q117" i="7"/>
  <c r="W117" i="7" s="1"/>
  <c r="J4" i="14"/>
  <c r="AB2" i="11"/>
  <c r="V2" i="11"/>
  <c r="Q101" i="7"/>
  <c r="W101" i="7" s="1"/>
  <c r="Q20" i="7"/>
  <c r="Q28" i="7"/>
  <c r="W28" i="7" s="1"/>
  <c r="J31" i="14"/>
  <c r="N31" i="14"/>
  <c r="AB19" i="11"/>
  <c r="N39" i="14"/>
  <c r="J13" i="14"/>
  <c r="L13" i="14" s="1"/>
  <c r="J42" i="14"/>
  <c r="J16" i="14"/>
  <c r="J5" i="14"/>
  <c r="L5" i="14" s="1"/>
  <c r="N29" i="14"/>
  <c r="J3" i="14"/>
  <c r="C15" i="16"/>
  <c r="D15" i="16" s="1"/>
  <c r="S108" i="7"/>
  <c r="Y108" i="7" s="1"/>
  <c r="D13" i="8"/>
  <c r="S91" i="7"/>
  <c r="Y91" i="7" s="1"/>
  <c r="S70" i="7"/>
  <c r="Y70" i="7" s="1"/>
  <c r="S29" i="7"/>
  <c r="Y29" i="7" s="1"/>
  <c r="J23" i="14"/>
  <c r="J49" i="14"/>
  <c r="K49" i="14" s="1"/>
  <c r="N48" i="14"/>
  <c r="J48" i="14"/>
  <c r="J22" i="14"/>
  <c r="L22" i="14" s="1"/>
  <c r="V15" i="11"/>
  <c r="AB18" i="11"/>
  <c r="V18" i="11"/>
  <c r="D26" i="8"/>
  <c r="J51" i="14"/>
  <c r="W30" i="7"/>
  <c r="S30" i="7"/>
  <c r="Y30" i="7" s="1"/>
  <c r="C3" i="8"/>
  <c r="W3" i="7"/>
  <c r="S3" i="7"/>
  <c r="C12" i="8"/>
  <c r="W12" i="7"/>
  <c r="S12" i="7"/>
  <c r="W111" i="7"/>
  <c r="S111" i="7"/>
  <c r="Y111" i="7" s="1"/>
  <c r="W122" i="7"/>
  <c r="S122" i="7"/>
  <c r="Y122" i="7" s="1"/>
  <c r="Y24" i="7"/>
  <c r="W38" i="7"/>
  <c r="S38" i="7"/>
  <c r="Y38" i="7" s="1"/>
  <c r="Y16" i="7"/>
  <c r="Y26" i="7"/>
  <c r="Y27" i="7"/>
  <c r="S109" i="7"/>
  <c r="Y109" i="7" s="1"/>
  <c r="X109" i="7"/>
  <c r="S117" i="7"/>
  <c r="Y117" i="7" s="1"/>
  <c r="X117" i="7"/>
  <c r="X36" i="7"/>
  <c r="S36" i="7"/>
  <c r="Y36" i="7" s="1"/>
  <c r="D21" i="8"/>
  <c r="S21" i="7"/>
  <c r="X21" i="7"/>
  <c r="N36" i="14"/>
  <c r="J36" i="14"/>
  <c r="J10" i="14"/>
  <c r="L49" i="14"/>
  <c r="W15" i="7"/>
  <c r="S106" i="7"/>
  <c r="Y106" i="7" s="1"/>
  <c r="X106" i="7"/>
  <c r="C18" i="8"/>
  <c r="W18" i="7"/>
  <c r="N35" i="14"/>
  <c r="J35" i="14"/>
  <c r="J9" i="14"/>
  <c r="V23" i="11"/>
  <c r="AB23" i="11"/>
  <c r="S101" i="7"/>
  <c r="Y101" i="7" s="1"/>
  <c r="X101" i="7"/>
  <c r="S110" i="7"/>
  <c r="Y110" i="7" s="1"/>
  <c r="S116" i="7"/>
  <c r="Y116" i="7" s="1"/>
  <c r="X116" i="7"/>
  <c r="S102" i="7"/>
  <c r="Y102" i="7" s="1"/>
  <c r="X35" i="7"/>
  <c r="S35" i="7"/>
  <c r="Y35" i="7" s="1"/>
  <c r="D19" i="8"/>
  <c r="X19" i="7"/>
  <c r="S19" i="7"/>
  <c r="C8" i="8"/>
  <c r="W8" i="7"/>
  <c r="N32" i="14"/>
  <c r="J32" i="14"/>
  <c r="J6" i="14"/>
  <c r="L11" i="14"/>
  <c r="K11" i="14"/>
  <c r="J15" i="14"/>
  <c r="N41" i="14"/>
  <c r="J41" i="14"/>
  <c r="S34" i="7"/>
  <c r="Y34" i="7" s="1"/>
  <c r="S87" i="7"/>
  <c r="Y87" i="7" s="1"/>
  <c r="S105" i="7"/>
  <c r="Y105" i="7" s="1"/>
  <c r="X61" i="7"/>
  <c r="S61" i="7"/>
  <c r="Y61" i="7" s="1"/>
  <c r="X41" i="7"/>
  <c r="X46" i="7"/>
  <c r="S46" i="7"/>
  <c r="Y46" i="7" s="1"/>
  <c r="C19" i="8"/>
  <c r="W19" i="7"/>
  <c r="C4" i="8"/>
  <c r="W4" i="7"/>
  <c r="C7" i="8"/>
  <c r="W7" i="7"/>
  <c r="S7" i="7"/>
  <c r="N33" i="14"/>
  <c r="J33" i="14"/>
  <c r="J7" i="14"/>
  <c r="L30" i="14"/>
  <c r="K30" i="14"/>
  <c r="J44" i="14"/>
  <c r="J18" i="14"/>
  <c r="N44" i="14"/>
  <c r="N28" i="14"/>
  <c r="J28" i="14"/>
  <c r="J2" i="14"/>
  <c r="C12" i="16"/>
  <c r="D12" i="16" s="1"/>
  <c r="W45" i="7"/>
  <c r="S45" i="7"/>
  <c r="Y45" i="7" s="1"/>
  <c r="S120" i="7"/>
  <c r="Y120" i="7" s="1"/>
  <c r="X67" i="7"/>
  <c r="S67" i="7"/>
  <c r="Y67" i="7" s="1"/>
  <c r="C9" i="8"/>
  <c r="W9" i="7"/>
  <c r="N43" i="14"/>
  <c r="J43" i="14"/>
  <c r="J17" i="14"/>
  <c r="X121" i="7"/>
  <c r="S121" i="7"/>
  <c r="Y121" i="7" s="1"/>
  <c r="K4" i="12"/>
  <c r="L4" i="12" s="1"/>
  <c r="AB20" i="11"/>
  <c r="V20" i="11"/>
  <c r="X68" i="7"/>
  <c r="S68" i="7"/>
  <c r="Y68" i="7" s="1"/>
  <c r="S77" i="7"/>
  <c r="Y77" i="7" s="1"/>
  <c r="X77" i="7"/>
  <c r="S66" i="7"/>
  <c r="Y66" i="7" s="1"/>
  <c r="D11" i="8"/>
  <c r="X11" i="7"/>
  <c r="S11" i="7"/>
  <c r="C14" i="8"/>
  <c r="W14" i="7"/>
  <c r="S14" i="7"/>
  <c r="N40" i="14"/>
  <c r="J40" i="14"/>
  <c r="J14" i="14"/>
  <c r="N45" i="14"/>
  <c r="J45" i="14"/>
  <c r="J19" i="14"/>
  <c r="X78" i="7"/>
  <c r="S78" i="7"/>
  <c r="Y78" i="7" s="1"/>
  <c r="C13" i="8"/>
  <c r="W13" i="7"/>
  <c r="S13" i="7"/>
  <c r="S79" i="7"/>
  <c r="Y79" i="7" s="1"/>
  <c r="X79" i="7"/>
  <c r="K2" i="12"/>
  <c r="Q17" i="11"/>
  <c r="P17" i="11"/>
  <c r="R17" i="11" s="1"/>
  <c r="W17" i="11" s="1"/>
  <c r="M17" i="11"/>
  <c r="W98" i="7"/>
  <c r="S98" i="7"/>
  <c r="Y98" i="7" s="1"/>
  <c r="X39" i="7"/>
  <c r="S39" i="7"/>
  <c r="Y39" i="7" s="1"/>
  <c r="S85" i="7"/>
  <c r="Y85" i="7" s="1"/>
  <c r="X85" i="7"/>
  <c r="C5" i="8"/>
  <c r="W5" i="7"/>
  <c r="S76" i="7"/>
  <c r="Y76" i="7" s="1"/>
  <c r="X76" i="7"/>
  <c r="Y15" i="7"/>
  <c r="S5" i="7"/>
  <c r="N22" i="14"/>
  <c r="K4" i="14"/>
  <c r="L4" i="14"/>
  <c r="S88" i="7"/>
  <c r="Y88" i="7" s="1"/>
  <c r="X88" i="7"/>
  <c r="Q41" i="7"/>
  <c r="W41" i="7" s="1"/>
  <c r="S82" i="7"/>
  <c r="Y82" i="7" s="1"/>
  <c r="S93" i="7"/>
  <c r="Y93" i="7" s="1"/>
  <c r="X93" i="7"/>
  <c r="S125" i="7"/>
  <c r="Y125" i="7" s="1"/>
  <c r="X125" i="7"/>
  <c r="M21" i="11"/>
  <c r="Q21" i="11"/>
  <c r="P21" i="11"/>
  <c r="R21" i="11" s="1"/>
  <c r="W21" i="11" s="1"/>
  <c r="K5" i="12"/>
  <c r="L5" i="12" s="1"/>
  <c r="X114" i="7"/>
  <c r="S114" i="7"/>
  <c r="Y114" i="7" s="1"/>
  <c r="AB27" i="11"/>
  <c r="S58" i="7"/>
  <c r="Y58" i="7" s="1"/>
  <c r="X56" i="7"/>
  <c r="S56" i="7"/>
  <c r="Y56" i="7" s="1"/>
  <c r="V7" i="11"/>
  <c r="AB7" i="11"/>
  <c r="S63" i="7"/>
  <c r="Y63" i="7" s="1"/>
  <c r="D27" i="8"/>
  <c r="D15" i="8"/>
  <c r="W113" i="7"/>
  <c r="S113" i="7"/>
  <c r="Y113" i="7" s="1"/>
  <c r="X80" i="7"/>
  <c r="S80" i="7"/>
  <c r="Y80" i="7" s="1"/>
  <c r="X44" i="7"/>
  <c r="S44" i="7"/>
  <c r="Y44" i="7" s="1"/>
  <c r="D22" i="8"/>
  <c r="X22" i="7"/>
  <c r="S22" i="7"/>
  <c r="AB4" i="11"/>
  <c r="V4" i="11"/>
  <c r="L23" i="14"/>
  <c r="K23" i="14"/>
  <c r="V22" i="11"/>
  <c r="AB22" i="11"/>
  <c r="X129" i="7"/>
  <c r="S129" i="7"/>
  <c r="Y129" i="7" s="1"/>
  <c r="X52" i="7"/>
  <c r="S52" i="7"/>
  <c r="Y52" i="7" s="1"/>
  <c r="S86" i="7"/>
  <c r="Y86" i="7" s="1"/>
  <c r="X86" i="7"/>
  <c r="X64" i="7"/>
  <c r="S64" i="7"/>
  <c r="Y64" i="7" s="1"/>
  <c r="X59" i="7"/>
  <c r="S59" i="7"/>
  <c r="Y59" i="7" s="1"/>
  <c r="S57" i="7"/>
  <c r="Y57" i="7" s="1"/>
  <c r="X57" i="7"/>
  <c r="D20" i="8"/>
  <c r="S20" i="7"/>
  <c r="X20" i="7"/>
  <c r="D17" i="8"/>
  <c r="S17" i="7"/>
  <c r="X17" i="7"/>
  <c r="C6" i="8"/>
  <c r="W6" i="7"/>
  <c r="S6" i="7"/>
  <c r="X65" i="7"/>
  <c r="S65" i="7"/>
  <c r="Y65" i="7" s="1"/>
  <c r="S118" i="7"/>
  <c r="Y118" i="7" s="1"/>
  <c r="X118" i="7"/>
  <c r="S96" i="7"/>
  <c r="Y96" i="7" s="1"/>
  <c r="X74" i="7"/>
  <c r="S69" i="7"/>
  <c r="Y69" i="7" s="1"/>
  <c r="C23" i="8"/>
  <c r="W23" i="7"/>
  <c r="D5" i="8"/>
  <c r="J47" i="14"/>
  <c r="J21" i="14"/>
  <c r="N47" i="14"/>
  <c r="S51" i="7"/>
  <c r="Y51" i="7" s="1"/>
  <c r="K51" i="14"/>
  <c r="L51" i="14"/>
  <c r="N52" i="14"/>
  <c r="J26" i="14"/>
  <c r="J52" i="14"/>
  <c r="S60" i="7"/>
  <c r="Y60" i="7" s="1"/>
  <c r="X60" i="7"/>
  <c r="C20" i="8"/>
  <c r="W20" i="7"/>
  <c r="C17" i="8"/>
  <c r="W17" i="7"/>
  <c r="S90" i="7"/>
  <c r="Y90" i="7" s="1"/>
  <c r="X90" i="7"/>
  <c r="S119" i="7"/>
  <c r="Y119" i="7" s="1"/>
  <c r="S48" i="7"/>
  <c r="Y48" i="7" s="1"/>
  <c r="S49" i="7"/>
  <c r="Y49" i="7" s="1"/>
  <c r="X49" i="7"/>
  <c r="S32" i="7"/>
  <c r="Y32" i="7" s="1"/>
  <c r="X32" i="7"/>
  <c r="C26" i="8"/>
  <c r="W26" i="7"/>
  <c r="S99" i="7"/>
  <c r="Y99" i="7" s="1"/>
  <c r="S103" i="7"/>
  <c r="Y103" i="7" s="1"/>
  <c r="Q74" i="7"/>
  <c r="W74" i="7" s="1"/>
  <c r="X28" i="7"/>
  <c r="S28" i="7"/>
  <c r="Y28" i="7" s="1"/>
  <c r="D23" i="8"/>
  <c r="S23" i="7"/>
  <c r="X23" i="7"/>
  <c r="S37" i="7"/>
  <c r="Y37" i="7" s="1"/>
  <c r="C2" i="8"/>
  <c r="W2" i="7"/>
  <c r="N50" i="14"/>
  <c r="J24" i="14"/>
  <c r="J50" i="14"/>
  <c r="C25" i="8"/>
  <c r="W25" i="7"/>
  <c r="C10" i="8"/>
  <c r="W10" i="7"/>
  <c r="S10" i="7"/>
  <c r="N53" i="14"/>
  <c r="J27" i="14"/>
  <c r="J53" i="14"/>
  <c r="C16" i="8"/>
  <c r="W16" i="7"/>
  <c r="J34" i="14"/>
  <c r="J8" i="14"/>
  <c r="N34" i="14"/>
  <c r="L29" i="14"/>
  <c r="K29" i="14"/>
  <c r="C21" i="8"/>
  <c r="W21" i="7"/>
  <c r="K13" i="14"/>
  <c r="X55" i="7"/>
  <c r="S55" i="7"/>
  <c r="Y55" i="7" s="1"/>
  <c r="V10" i="11"/>
  <c r="AB10" i="11"/>
  <c r="S95" i="7"/>
  <c r="Y95" i="7" s="1"/>
  <c r="Y18" i="7"/>
  <c r="F18" i="8" s="1"/>
  <c r="C27" i="8"/>
  <c r="W27" i="7"/>
  <c r="D4" i="8"/>
  <c r="S4" i="7"/>
  <c r="X4" i="7"/>
  <c r="AB11" i="11"/>
  <c r="S89" i="7"/>
  <c r="Y89" i="7" s="1"/>
  <c r="X40" i="7"/>
  <c r="S40" i="7"/>
  <c r="Y40" i="7" s="1"/>
  <c r="S104" i="7"/>
  <c r="Y104" i="7" s="1"/>
  <c r="D18" i="8"/>
  <c r="D10" i="8"/>
  <c r="C11" i="8"/>
  <c r="W11" i="7"/>
  <c r="D12" i="8"/>
  <c r="K22" i="14"/>
  <c r="K16" i="14"/>
  <c r="C22" i="8"/>
  <c r="W22" i="7"/>
  <c r="N38" i="14"/>
  <c r="J12" i="14"/>
  <c r="J38" i="14"/>
  <c r="AB16" i="11"/>
  <c r="X43" i="7"/>
  <c r="S43" i="7"/>
  <c r="Y43" i="7" s="1"/>
  <c r="S62" i="7"/>
  <c r="Y62" i="7" s="1"/>
  <c r="C24" i="8"/>
  <c r="W24" i="7"/>
  <c r="V26" i="11"/>
  <c r="AB26" i="11"/>
  <c r="AB12" i="11"/>
  <c r="S124" i="7"/>
  <c r="Y124" i="7" s="1"/>
  <c r="X124" i="7"/>
  <c r="V6" i="11"/>
  <c r="AB6" i="11"/>
  <c r="AB8" i="11"/>
  <c r="W92" i="7"/>
  <c r="S92" i="7"/>
  <c r="Y92" i="7" s="1"/>
  <c r="S97" i="7"/>
  <c r="Y97" i="7" s="1"/>
  <c r="S53" i="7"/>
  <c r="Y53" i="7" s="1"/>
  <c r="D9" i="8"/>
  <c r="S9" i="7"/>
  <c r="X9" i="7"/>
  <c r="E25" i="8"/>
  <c r="Y25" i="7"/>
  <c r="F25" i="8" s="1"/>
  <c r="S8" i="7"/>
  <c r="Y2" i="7"/>
  <c r="F2" i="8" s="1"/>
  <c r="N46" i="14"/>
  <c r="J46" i="14"/>
  <c r="J20" i="14"/>
  <c r="L39" i="14"/>
  <c r="K39" i="14"/>
  <c r="L16" i="14"/>
  <c r="E24" i="8" l="1"/>
  <c r="K48" i="14"/>
  <c r="L48" i="14"/>
  <c r="L37" i="14"/>
  <c r="K37" i="14"/>
  <c r="L42" i="14"/>
  <c r="K42" i="14"/>
  <c r="S41" i="7"/>
  <c r="Y41" i="7" s="1"/>
  <c r="F15" i="8" s="1"/>
  <c r="K31" i="14"/>
  <c r="L31" i="14"/>
  <c r="C19" i="16"/>
  <c r="D19" i="16" s="1"/>
  <c r="K5" i="14"/>
  <c r="F16" i="8"/>
  <c r="L3" i="14"/>
  <c r="K3" i="14"/>
  <c r="S131" i="7"/>
  <c r="Y131" i="7" s="1"/>
  <c r="K44" i="14"/>
  <c r="L44" i="14"/>
  <c r="L46" i="14"/>
  <c r="K46" i="14"/>
  <c r="E6" i="8"/>
  <c r="Y6" i="7"/>
  <c r="F6" i="8" s="1"/>
  <c r="E11" i="8"/>
  <c r="Y11" i="7"/>
  <c r="F11" i="8" s="1"/>
  <c r="E19" i="8"/>
  <c r="Y19" i="7"/>
  <c r="F19" i="8" s="1"/>
  <c r="E4" i="8"/>
  <c r="Y4" i="7"/>
  <c r="F4" i="8" s="1"/>
  <c r="V21" i="11"/>
  <c r="AB21" i="11"/>
  <c r="E15" i="8"/>
  <c r="H2" i="8"/>
  <c r="K8" i="14"/>
  <c r="L8" i="14"/>
  <c r="E13" i="8"/>
  <c r="Y13" i="7"/>
  <c r="F13" i="8" s="1"/>
  <c r="L7" i="14"/>
  <c r="K7" i="14"/>
  <c r="K24" i="14"/>
  <c r="L24" i="14"/>
  <c r="E2" i="8"/>
  <c r="K34" i="14"/>
  <c r="L34" i="14"/>
  <c r="L21" i="14"/>
  <c r="K21" i="14"/>
  <c r="L33" i="14"/>
  <c r="K33" i="14"/>
  <c r="K20" i="14"/>
  <c r="L20" i="14"/>
  <c r="E5" i="8"/>
  <c r="Y5" i="7"/>
  <c r="F5" i="8" s="1"/>
  <c r="E8" i="8"/>
  <c r="Y8" i="7"/>
  <c r="F8" i="8" s="1"/>
  <c r="L47" i="14"/>
  <c r="K47" i="14"/>
  <c r="E17" i="8"/>
  <c r="Y17" i="7"/>
  <c r="F17" i="8" s="1"/>
  <c r="C15" i="8"/>
  <c r="C9" i="16" s="1"/>
  <c r="D9" i="16" s="1"/>
  <c r="F27" i="8"/>
  <c r="E23" i="8"/>
  <c r="Y23" i="7"/>
  <c r="F23" i="8" s="1"/>
  <c r="E7" i="8"/>
  <c r="Y7" i="7"/>
  <c r="F7" i="8" s="1"/>
  <c r="L41" i="14"/>
  <c r="K41" i="14"/>
  <c r="E12" i="8"/>
  <c r="Y12" i="7"/>
  <c r="F12" i="8" s="1"/>
  <c r="E18" i="8"/>
  <c r="L53" i="14"/>
  <c r="K53" i="14"/>
  <c r="F26" i="8"/>
  <c r="E20" i="8"/>
  <c r="Y20" i="7"/>
  <c r="F20" i="8" s="1"/>
  <c r="L19" i="14"/>
  <c r="K19" i="14"/>
  <c r="K15" i="14"/>
  <c r="L15" i="14"/>
  <c r="E26" i="8"/>
  <c r="L27" i="14"/>
  <c r="K27" i="14"/>
  <c r="E9" i="8"/>
  <c r="Y9" i="7"/>
  <c r="F9" i="8" s="1"/>
  <c r="K45" i="14"/>
  <c r="L45" i="14"/>
  <c r="L10" i="14"/>
  <c r="K10" i="14"/>
  <c r="E3" i="8"/>
  <c r="Y3" i="7"/>
  <c r="F3" i="8" s="1"/>
  <c r="L36" i="14"/>
  <c r="K36" i="14"/>
  <c r="S74" i="7"/>
  <c r="Y74" i="7" s="1"/>
  <c r="L14" i="14"/>
  <c r="K14" i="14"/>
  <c r="L2" i="14"/>
  <c r="K2" i="14"/>
  <c r="L6" i="14"/>
  <c r="K6" i="14"/>
  <c r="E16" i="8"/>
  <c r="Y22" i="7"/>
  <c r="L28" i="14"/>
  <c r="K28" i="14"/>
  <c r="K32" i="14"/>
  <c r="L32" i="14"/>
  <c r="E10" i="8"/>
  <c r="Y10" i="7"/>
  <c r="F10" i="8" s="1"/>
  <c r="L40" i="14"/>
  <c r="K40" i="14"/>
  <c r="L52" i="14"/>
  <c r="K52" i="14"/>
  <c r="L9" i="14"/>
  <c r="K9" i="14"/>
  <c r="E21" i="8"/>
  <c r="Y21" i="7"/>
  <c r="F21" i="8" s="1"/>
  <c r="L26" i="14"/>
  <c r="K26" i="14"/>
  <c r="G3" i="12"/>
  <c r="E14" i="8"/>
  <c r="Y14" i="7"/>
  <c r="F14" i="8" s="1"/>
  <c r="L17" i="14"/>
  <c r="K17" i="14"/>
  <c r="L35" i="14"/>
  <c r="K35" i="14"/>
  <c r="L38" i="14"/>
  <c r="K38" i="14"/>
  <c r="L12" i="14"/>
  <c r="K12" i="14"/>
  <c r="L50" i="14"/>
  <c r="K50" i="14"/>
  <c r="V17" i="11"/>
  <c r="AB17" i="11"/>
  <c r="L43" i="14"/>
  <c r="K43" i="14"/>
  <c r="K18" i="14"/>
  <c r="L18" i="14"/>
  <c r="F24" i="8"/>
  <c r="H18" i="8" l="1"/>
  <c r="E27" i="8"/>
  <c r="E22" i="8"/>
  <c r="H5" i="12" s="1"/>
  <c r="G2" i="12"/>
  <c r="L2" i="12" s="1"/>
  <c r="H5" i="8"/>
  <c r="H13" i="8"/>
  <c r="H21" i="8"/>
  <c r="H4" i="8"/>
  <c r="H8" i="8"/>
  <c r="H6" i="8"/>
  <c r="H16" i="8"/>
  <c r="H20" i="8"/>
  <c r="H3" i="8"/>
  <c r="H12" i="8"/>
  <c r="H11" i="8"/>
  <c r="H14" i="8"/>
  <c r="H19" i="8"/>
  <c r="H7" i="8"/>
  <c r="H4" i="12"/>
  <c r="G17" i="8"/>
  <c r="G9" i="8"/>
  <c r="G19" i="8"/>
  <c r="G11" i="8"/>
  <c r="G3" i="8"/>
  <c r="H3" i="12"/>
  <c r="I3" i="12" s="1"/>
  <c r="G24" i="8"/>
  <c r="G16" i="8"/>
  <c r="G8" i="8"/>
  <c r="G21" i="8"/>
  <c r="G13" i="8"/>
  <c r="G5" i="8"/>
  <c r="G18" i="8"/>
  <c r="G10" i="8"/>
  <c r="G2" i="8"/>
  <c r="H2" i="12"/>
  <c r="G15" i="8"/>
  <c r="G7" i="8"/>
  <c r="G14" i="8"/>
  <c r="G12" i="8"/>
  <c r="G20" i="8"/>
  <c r="G4" i="8"/>
  <c r="G6" i="8"/>
  <c r="H15" i="8"/>
  <c r="H9" i="8"/>
  <c r="H17" i="8"/>
  <c r="L3" i="12"/>
  <c r="F22" i="8"/>
  <c r="H27" i="8" s="1"/>
  <c r="H10" i="8"/>
  <c r="G27" i="8" l="1"/>
  <c r="G23" i="8"/>
  <c r="G22" i="8"/>
  <c r="G26" i="8"/>
  <c r="G25" i="8"/>
  <c r="E2" i="9"/>
  <c r="H22" i="8"/>
  <c r="F2" i="9"/>
  <c r="H24" i="8"/>
  <c r="J2" i="12"/>
  <c r="M2" i="12" s="1"/>
  <c r="H26" i="8"/>
  <c r="H25" i="8"/>
  <c r="J3" i="12"/>
  <c r="M3" i="12" s="1"/>
  <c r="H23" i="8"/>
  <c r="J4" i="12"/>
  <c r="M4" i="12" s="1"/>
  <c r="I4" i="12"/>
  <c r="I2" i="12"/>
  <c r="J5" i="12"/>
  <c r="M5" i="12" s="1"/>
  <c r="I5" i="12"/>
  <c r="C13" i="16" l="1"/>
  <c r="D13" i="16" s="1"/>
  <c r="I2" i="9"/>
  <c r="C11" i="16" s="1"/>
  <c r="D11" i="16" s="1"/>
  <c r="G2" i="9"/>
  <c r="C14" i="16" s="1"/>
  <c r="D14" i="16" s="1"/>
  <c r="H2" i="9"/>
</calcChain>
</file>

<file path=xl/sharedStrings.xml><?xml version="1.0" encoding="utf-8"?>
<sst xmlns="http://schemas.openxmlformats.org/spreadsheetml/2006/main" count="14342" uniqueCount="696">
  <si>
    <t>parameter_id</t>
  </si>
  <si>
    <t>value</t>
  </si>
  <si>
    <t>unit</t>
  </si>
  <si>
    <t>role</t>
  </si>
  <si>
    <t>description</t>
  </si>
  <si>
    <t>source</t>
  </si>
  <si>
    <t>analysis_start_year</t>
  </si>
  <si>
    <t>analysis_end_year</t>
  </si>
  <si>
    <t>baseline_scenario_id</t>
  </si>
  <si>
    <t>cost_discount_rate</t>
  </si>
  <si>
    <t>cost_price_year</t>
  </si>
  <si>
    <t>currency</t>
  </si>
  <si>
    <t>economic_perspective</t>
  </si>
  <si>
    <t>scale_up_shape</t>
  </si>
  <si>
    <t>downstream_cost_offsets</t>
  </si>
  <si>
    <t>formula_tolerance</t>
  </si>
  <si>
    <t>stock_flow_residual_limit</t>
  </si>
  <si>
    <t>trace_precision</t>
  </si>
  <si>
    <t>r_stock_flow_max_residual</t>
  </si>
  <si>
    <t>r_background_distinct_count</t>
  </si>
  <si>
    <t>r_negative_state_count</t>
  </si>
  <si>
    <t>r_deaths_averted_anchor</t>
  </si>
  <si>
    <t>r_disc_incremental_cost_anchor</t>
  </si>
  <si>
    <t>r_cost_per_death_anchor</t>
  </si>
  <si>
    <t>qa_anchor_scenario</t>
  </si>
  <si>
    <t>bca_base_year</t>
  </si>
  <si>
    <t>bca_discount_rate_primary</t>
  </si>
  <si>
    <t>bca_discount_rate_sensitivity_3pct</t>
  </si>
  <si>
    <t>bca_discount_rate_sensitivity_2x_gdp_pc_growth</t>
  </si>
  <si>
    <t>vsl_us_gni_ratio</t>
  </si>
  <si>
    <t>vsl_income_elasticity_preferred</t>
  </si>
  <si>
    <t>vsl_floor_gni_multiple</t>
  </si>
  <si>
    <t>vsl_sensitivity_gni_multiple_100</t>
  </si>
  <si>
    <t>vsl_sensitivity_gni_multiple_160</t>
  </si>
  <si>
    <t>vsly_adult_min_age</t>
  </si>
  <si>
    <t>vsly_adult_max_age</t>
  </si>
  <si>
    <t>bca_currency_basis</t>
  </si>
  <si>
    <t>bca_price_year</t>
  </si>
  <si>
    <t>cost_to_bca_currency_factor</t>
  </si>
  <si>
    <t>bca_standing</t>
  </si>
  <si>
    <t>bca_scope</t>
  </si>
  <si>
    <t>bca_discount_rate_sensitivity_2x_gdp_pc_growth_computed</t>
  </si>
  <si>
    <t>year</t>
  </si>
  <si>
    <t>formula control</t>
  </si>
  <si>
    <t>First model and discount year</t>
  </si>
  <si>
    <t>indonesia_model_inputs.xlsx / Model 09</t>
  </si>
  <si>
    <t>Last model year</t>
  </si>
  <si>
    <t>scenario id</t>
  </si>
  <si>
    <t>Comparator used for health and cost calculations</t>
  </si>
  <si>
    <t>Model 04 / Model 09</t>
  </si>
  <si>
    <t>proportion/year</t>
  </si>
  <si>
    <t>Annual discount rate applied to costs only</t>
  </si>
  <si>
    <t>USD year</t>
  </si>
  <si>
    <t>metadata</t>
  </si>
  <si>
    <t>Reporting price year</t>
  </si>
  <si>
    <t>indonesia_model_inputs.xlsx</t>
  </si>
  <si>
    <t>Workbook reporting currency</t>
  </si>
  <si>
    <t>text</t>
  </si>
  <si>
    <t>Economic evaluation perspective</t>
  </si>
  <si>
    <t>Coverage increases linearly from start to target year</t>
  </si>
  <si>
    <t>0/1 flag</t>
  </si>
  <si>
    <t>scope</t>
  </si>
  <si>
    <t>Downstream disease-cost offsets excluded at this stage</t>
  </si>
  <si>
    <t>USD/count</t>
  </si>
  <si>
    <t>QA control</t>
  </si>
  <si>
    <t>Absolute reconciliation tolerance (internal Excel checks)</t>
  </si>
  <si>
    <t>Workbook QA rule</t>
  </si>
  <si>
    <t>persons</t>
  </si>
  <si>
    <t>Review threshold used by the R stock/flow check</t>
  </si>
  <si>
    <t>Model 09</t>
  </si>
  <si>
    <t>decimal places</t>
  </si>
  <si>
    <t>audit note</t>
  </si>
  <si>
    <t>Exported model traces are rounded; R quantity helpers keep full precision</t>
  </si>
  <si>
    <t>Model 09 export rule</t>
  </si>
  <si>
    <t>R QA source</t>
  </si>
  <si>
    <t>Maximum stock/flow residual computed in R before export</t>
  </si>
  <si>
    <t>Model 09 current run</t>
  </si>
  <si>
    <t>count</t>
  </si>
  <si>
    <t>Max distinct all-cause mortality values across causes (R)</t>
  </si>
  <si>
    <t>Count of impossible negative state/flow values (R)</t>
  </si>
  <si>
    <t>deaths</t>
  </si>
  <si>
    <t>R reconciliation source</t>
  </si>
  <si>
    <t>R engine deaths averted for the anchor scenario</t>
  </si>
  <si>
    <t>Model 09 current run (R CEA)</t>
  </si>
  <si>
    <t>USD</t>
  </si>
  <si>
    <t>R engine discounted incremental cost for the anchor scenario</t>
  </si>
  <si>
    <t>USD/death</t>
  </si>
  <si>
    <t>R engine USD per death averted for the anchor scenario</t>
  </si>
  <si>
    <t>Scenario used for the Excel-vs-R reconciliation checks</t>
  </si>
  <si>
    <t>BCA control</t>
  </si>
  <si>
    <t>BCA base year (benefits and costs discounted to this year)</t>
  </si>
  <si>
    <t>Robinson et al. 2019 Reference Case Guidelines (via input workbook / Model 08)</t>
  </si>
  <si>
    <t>Primary real discount rate for BOTH benefits and costs</t>
  </si>
  <si>
    <t>Standardized sensitivity discount rate (3%)</t>
  </si>
  <si>
    <t>Standardized sensitivity: 2x near-term real GDP-pc growth (workbook default)</t>
  </si>
  <si>
    <t>ratio (VSL/GNIpc)</t>
  </si>
  <si>
    <t>US reference VSL-to-GNI-per-capita ratio</t>
  </si>
  <si>
    <t>elasticity</t>
  </si>
  <si>
    <t>Income elasticity of VSL (preferred)</t>
  </si>
  <si>
    <t>Floor: VSL not below this multiple of GNI per capita</t>
  </si>
  <si>
    <t>Sensitivity: VSL = 100x GNI per capita</t>
  </si>
  <si>
    <t>Sensitivity: VSL = 160x GNI per capita</t>
  </si>
  <si>
    <t>age (years)</t>
  </si>
  <si>
    <t>Working-age lower bound (VSLY avg-adult-age)</t>
  </si>
  <si>
    <t>Working-age upper bound (VSLY avg-adult-age)</t>
  </si>
  <si>
    <t>Common monetary basis for benefits and costs</t>
  </si>
  <si>
    <t>Real price year for benefits and costs</t>
  </si>
  <si>
    <t>int$ per market US$</t>
  </si>
  <si>
    <t>Market-USD cost -&gt; PPP int$ multiplier</t>
  </si>
  <si>
    <t>BCA standing / perspective</t>
  </si>
  <si>
    <t>BCA scope (partial mortality-benefit vs full societal)</t>
  </si>
  <si>
    <t>2x near-term real GDP-pc growth recomputed from SSP2 by Model 08</t>
  </si>
  <si>
    <t>baseline</t>
  </si>
  <si>
    <t>health_system</t>
  </si>
  <si>
    <t>piecewise_linear</t>
  </si>
  <si>
    <t>S_70_30_30_TO_70_70_70</t>
  </si>
  <si>
    <t>PPP_international_dollars</t>
  </si>
  <si>
    <t>societal</t>
  </si>
  <si>
    <t>partial_mortality_benefit</t>
  </si>
  <si>
    <t>Indonesia NCD FAIR Choices - cost &amp; value workbook (formula edition)</t>
  </si>
  <si>
    <t>section</t>
  </si>
  <si>
    <t>detail</t>
  </si>
  <si>
    <t>Purpose</t>
  </si>
  <si>
    <t>Costing, budget impact and mortality-based cost-effectiveness for the FAIR Choices CVD interventions selected in indonesia_model_inputs.xlsx.</t>
  </si>
  <si>
    <t>How to read</t>
  </si>
  <si>
    <t>Grey cells are R-generated source values; light-blue cells are LIVE Excel formulas; pale-yellow cells on Calculation_Assumptions are editable controls. Change a yellow control and the blue results recompute. Calculation_Map lists every dependency.</t>
  </si>
  <si>
    <t>Scenarios</t>
  </si>
  <si>
    <t>Baseline + one scenario per selected valid intervention + a combined 'all' scenario. Membership derives only from the workbook selections (Model 04).</t>
  </si>
  <si>
    <t>Baseline pairing</t>
  </si>
  <si>
    <t>Deaths averted = baseline deaths - scenario deaths, matched at location x year x age x sex x cause (aggregated to year x cause here).</t>
  </si>
  <si>
    <t>CVD 40q30</t>
  </si>
  <si>
    <t>CVD_40q30 / CVD_40q30_Age give the period probability of dying from the six CVD causes (ihd, istroke, hstroke, hhd, rhd, cmd) between exact ages 30 and 70, per scenario/HTN-target/year. The life table (m_x, q_x, l_x, l_{x+1}) is live Excel formula off grey CVD deaths and de-duplicated population; cvd_40q30 = 100*(1-l_70/l_30) reconciles to the Model 07 value. cvd_40q30 and the absolute reduction are PERCENT on a 0-100 scale (format 0.000), NOT Excel's fractional %.</t>
  </si>
  <si>
    <t>Model aggregates</t>
  </si>
  <si>
    <t>Annual_Mortality carries the R health aggregates (cases, deaths, baseline); Annual_Cost carries the full-precision R population quantity before the PIN fraction. The 157k-row state trace stays in the companion R workbook.</t>
  </si>
  <si>
    <t>Costing</t>
  </si>
  <si>
    <t>annual_cost = population_in_need x coverage(t) x frequency x unit_cost. PIN measure maps 'all'-&gt;eligible population, 'prevalence'-&gt;sick stock, 'incidence'-&gt;new cases.</t>
  </si>
  <si>
    <t>Shared costs</t>
  </si>
  <si>
    <t>Components flagged 'shared-count-once' (cost_join_key ...__C_SHARED) are counted once at intervention level, never once per affected cause (see Annual_Cost shared_duplicate_count and QA).</t>
  </si>
  <si>
    <t>Budget impact</t>
  </si>
  <si>
    <t>Budget impact reports UNDISCOUNTED baseline, scenario, incremental and cumulative incremental cost. Discounted costs are separate columns.</t>
  </si>
  <si>
    <t>Cost-effectiveness</t>
  </si>
  <si>
    <t>USD per death averted = cumulative discounted incremental cost / cumulative (undiscounted) deaths averted over the horizon. Not a DALY-based ICER.</t>
  </si>
  <si>
    <t>Economic value</t>
  </si>
  <si>
    <t>Reference-Case benefit-cost analysis (2019 Robinson et al. Guidelines): Health_Outcomes (Model 07 averted deaths/YLL/YLD/DALY &amp; life-years gained), Economic_Value (Model 08 VSL/VSLY source with LIVE VSL-transfer, floor, VSLY, discount and PV-benefit formulas) and Benefit_Cost (PV benefits, PV costs converted to the benefit basis, net benefit and BCR). Preferred VSL = MAX(160xGNIpc_US x (GNIpc_IDN/GNIpc_US)^1.5, 20xGNIpc_IDN); 100x/160x GNI sensitivities. PARTIAL mortality-benefit BCA -- not a full societal BCA, and distinct from Cost_Effectiveness (USD per death averted).</t>
  </si>
  <si>
    <t>QA &amp; reconciliation</t>
  </si>
  <si>
    <t>QA_Checks recomputes each invariant in Excel and reconciles the Excel cost-effectiveness headline against the R engine values stored on Calculation_Assumptions; BCA checks cover the VSL floor, reference-case parameters, price-year basis and Benefit_Cost scenario coverage. PASS/FAIL/REVIEW are conditionally formatted.</t>
  </si>
  <si>
    <t>Colour legend</t>
  </si>
  <si>
    <t>Header dark-blue; formula-derived light-blue; R source/helper grey; editable controls pale-yellow; PASS green; FAIL/REVIEW red/orange.</t>
  </si>
  <si>
    <t>Companion workbook</t>
  </si>
  <si>
    <t>The full R-value workbook (indonesia_model_cost_value.xlsx) keeps the detailed Model_State_Trace and Background_Mortality tables for independent review.</t>
  </si>
  <si>
    <t>Deferred</t>
  </si>
  <si>
    <t>Health outcomes (deaths averted, YLL/YLD/DALY averted, life-years gained) now come from Model 07 (Health_Outcomes); life-expectancy and disability-weight sources are documented via Model 07.</t>
  </si>
  <si>
    <t>item</t>
  </si>
  <si>
    <t>Workbook title</t>
  </si>
  <si>
    <t>Indonesia NCD FAIR Choices - cost &amp; value</t>
  </si>
  <si>
    <t>Run date</t>
  </si>
  <si>
    <t>2026-08-27</t>
  </si>
  <si>
    <t>Model / pipeline</t>
  </si>
  <si>
    <t>CVD FAIR Choices (Models 00-06 -&gt; 09)</t>
  </si>
  <si>
    <t>Input workbook</t>
  </si>
  <si>
    <t>C:/Users/wrgar/OneDrive - UW/02Work/WorldBank-Indonesia/uw-wb-indonesia-ncd//data/indonesia_70_30_30_to_70_70_70_inputs.xlsx</t>
  </si>
  <si>
    <t>Model output source</t>
  </si>
  <si>
    <t>output/out_model/model_output_*.rds (Model 06)</t>
  </si>
  <si>
    <t>Location</t>
  </si>
  <si>
    <t>Indonesia</t>
  </si>
  <si>
    <t>Analysis years</t>
  </si>
  <si>
    <t>Baseline scenario</t>
  </si>
  <si>
    <t>Scenarios costed</t>
  </si>
  <si>
    <t>Cost discount rate</t>
  </si>
  <si>
    <t>Cost price year</t>
  </si>
  <si>
    <t>2023</t>
  </si>
  <si>
    <t>Currency</t>
  </si>
  <si>
    <t>Economic perspective</t>
  </si>
  <si>
    <t>Coverage scale-up shape</t>
  </si>
  <si>
    <t>Downstream cost offsets</t>
  </si>
  <si>
    <t>0</t>
  </si>
  <si>
    <t>Health outcomes (DALYs/YLL/YLD)</t>
  </si>
  <si>
    <t>Out of scope in this stage (deferred)</t>
  </si>
  <si>
    <t>R version</t>
  </si>
  <si>
    <t>R version 4.5.1 (2025-06-13 ucrt)</t>
  </si>
  <si>
    <t>openxlsx / data.table</t>
  </si>
  <si>
    <t>4.2.8 / 1.17.8</t>
  </si>
  <si>
    <t>intervention_id</t>
  </si>
  <si>
    <t>intervention_cause_key</t>
  </si>
  <si>
    <t>intervention_name</t>
  </si>
  <si>
    <t>cause_id</t>
  </si>
  <si>
    <t>cause_code</t>
  </si>
  <si>
    <t>model_name</t>
  </si>
  <si>
    <t>transition_from</t>
  </si>
  <si>
    <t>transition_to</t>
  </si>
  <si>
    <t>model_transition</t>
  </si>
  <si>
    <t>effect_value</t>
  </si>
  <si>
    <t>affected_fraction</t>
  </si>
  <si>
    <t>baseline_coverage</t>
  </si>
  <si>
    <t>target_coverage</t>
  </si>
  <si>
    <t>start_year</t>
  </si>
  <si>
    <t>target_year</t>
  </si>
  <si>
    <t>adjusted_effect_at_target</t>
  </si>
  <si>
    <t>cost_join_key</t>
  </si>
  <si>
    <t>cost_scope</t>
  </si>
  <si>
    <t>effect_review</t>
  </si>
  <si>
    <t>coverage_review</t>
  </si>
  <si>
    <t>key_count</t>
  </si>
  <si>
    <t>formula_status</t>
  </si>
  <si>
    <t>I_CVD_PRIMARY</t>
  </si>
  <si>
    <t>I_CVD_PRIMARY__C_HHD</t>
  </si>
  <si>
    <t>Primary prevention of CVD</t>
  </si>
  <si>
    <t>C_HHD</t>
  </si>
  <si>
    <t>hhd</t>
  </si>
  <si>
    <t>Hypertensive heart disease</t>
  </si>
  <si>
    <t>well</t>
  </si>
  <si>
    <t>sick</t>
  </si>
  <si>
    <t>incidence</t>
  </si>
  <si>
    <t>I_CVD_PRIMARY__C_SHARED</t>
  </si>
  <si>
    <t>shared-count-once</t>
  </si>
  <si>
    <t>Provisional</t>
  </si>
  <si>
    <t>OK (cascade trajectory)</t>
  </si>
  <si>
    <t>I_CVD_PRIMARY__C_ICH</t>
  </si>
  <si>
    <t>C_ICH</t>
  </si>
  <si>
    <t>hstroke</t>
  </si>
  <si>
    <t>Intracerebral hemorrhage</t>
  </si>
  <si>
    <t>I_CVD_PRIMARY__C_IHD</t>
  </si>
  <si>
    <t>C_IHD</t>
  </si>
  <si>
    <t>ihd</t>
  </si>
  <si>
    <t>Ischemic heart disease</t>
  </si>
  <si>
    <t>I_CVD_PRIMARY__C_IS</t>
  </si>
  <si>
    <t>C_IS</t>
  </si>
  <si>
    <t>istroke</t>
  </si>
  <si>
    <t>Ischemic stroke</t>
  </si>
  <si>
    <t>I_T2D_TREATMENT</t>
  </si>
  <si>
    <t>I_T2D_TREATMENT__C_T2D</t>
  </si>
  <si>
    <t>Longitudinal treatment of type 2 diabetes</t>
  </si>
  <si>
    <t>C_T2D</t>
  </si>
  <si>
    <t>dm2</t>
  </si>
  <si>
    <t>Type 2 diabetes</t>
  </si>
  <si>
    <t>dead_t2d</t>
  </si>
  <si>
    <t>case_fatality</t>
  </si>
  <si>
    <t>cause-specific</t>
  </si>
  <si>
    <t>I_T2D_TREATMENT__C_IHD</t>
  </si>
  <si>
    <t>dead_ihd</t>
  </si>
  <si>
    <t>Review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</si>
  <si>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</si>
  <si>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</si>
  <si>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</si>
  <si>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</si>
  <si>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</si>
  <si>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</si>
  <si>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frequency_per_year</t>
  </si>
  <si>
    <t>c_age_start</t>
  </si>
  <si>
    <t>c_age_stop</t>
  </si>
  <si>
    <t>c_sex</t>
  </si>
  <si>
    <t>unit_cost_usd</t>
  </si>
  <si>
    <t>price_year</t>
  </si>
  <si>
    <t>indonesia_adjusted_flag</t>
  </si>
  <si>
    <t>cov_baseline</t>
  </si>
  <si>
    <t>cov_target</t>
  </si>
  <si>
    <t>cov_start_year</t>
  </si>
  <si>
    <t>cov_target_year</t>
  </si>
  <si>
    <t>cost_review</t>
  </si>
  <si>
    <t>cost_ready</t>
  </si>
  <si>
    <t>COST_PRIMARY_TX_A</t>
  </si>
  <si>
    <t>CC_PRIMARY_HTN_STATIN</t>
  </si>
  <si>
    <t>Option A (selected)</t>
  </si>
  <si>
    <t>C_SHARED</t>
  </si>
  <si>
    <t>Antihypertensives and statins for absolute CVD risk &gt;20%</t>
  </si>
  <si>
    <t>all</t>
  </si>
  <si>
    <t>Both</t>
  </si>
  <si>
    <t>COST_PRIMARY_SCREEN_A</t>
  </si>
  <si>
    <t>CC_PRIMARY_SCREENING</t>
  </si>
  <si>
    <t>CVD targeted screening</t>
  </si>
  <si>
    <t>COST_T2D_INSULIN</t>
  </si>
  <si>
    <t>CC_T2D_INSULIN</t>
  </si>
  <si>
    <t>Base</t>
  </si>
  <si>
    <t>Diabetes management, insulin dependent</t>
  </si>
  <si>
    <t>prevalence</t>
  </si>
  <si>
    <t>Ready</t>
  </si>
  <si>
    <t>COST_T2D_NONINSULIN</t>
  </si>
  <si>
    <t>CC_T2D_NONINSULIN</t>
  </si>
  <si>
    <t>Diabetes management, non insulin dependent</t>
  </si>
  <si>
    <t>COST_T2D_SCREEN</t>
  </si>
  <si>
    <t>CC_T2D_SCREENING</t>
  </si>
  <si>
    <t>Diabetes opportunistic screening</t>
  </si>
  <si>
    <t>scenario</t>
  </si>
  <si>
    <t>scenario_label</t>
  </si>
  <si>
    <t>cause</t>
  </si>
  <si>
    <t>cases</t>
  </si>
  <si>
    <t>cause_deaths</t>
  </si>
  <si>
    <t>base_deaths</t>
  </si>
  <si>
    <t>deaths_averted</t>
  </si>
  <si>
    <t>base_cases</t>
  </si>
  <si>
    <t>cases_averted</t>
  </si>
  <si>
    <t>70-30-30 -&gt; 70-70-70 hypertension/cholesterol + diabetes cascade</t>
  </si>
  <si>
    <t>cmd</t>
  </si>
  <si>
    <t>rhd</t>
  </si>
  <si>
    <t>Baseline (no new intervention)</t>
  </si>
  <si>
    <t>coverage_scenario</t>
  </si>
  <si>
    <t>coverage_baseline</t>
  </si>
  <si>
    <t>pin_scenario</t>
  </si>
  <si>
    <t>pin_baseline</t>
  </si>
  <si>
    <t>annual_cost_baseline</t>
  </si>
  <si>
    <t>annual_cost_scenario</t>
  </si>
  <si>
    <t>annual_cost_incremental</t>
  </si>
  <si>
    <t>discount_factor</t>
  </si>
  <si>
    <t>disc_cost_baseline</t>
  </si>
  <si>
    <t>disc_cost_scenario</t>
  </si>
  <si>
    <t>disc_cost_incremental</t>
  </si>
  <si>
    <t>r_quantity_scenario</t>
  </si>
  <si>
    <t>r_quantity_baseline</t>
  </si>
  <si>
    <t>shared_duplicate_count</t>
  </si>
  <si>
    <t>baseline_cost</t>
  </si>
  <si>
    <t>scenario_cost</t>
  </si>
  <si>
    <t>incremental_cost</t>
  </si>
  <si>
    <t>disc_incremental_cost</t>
  </si>
  <si>
    <t>cumulative_incremental_cost</t>
  </si>
  <si>
    <t>cumulative_disc_incremental_cost</t>
  </si>
  <si>
    <t>cost_per_death_averted</t>
  </si>
  <si>
    <t>dominance</t>
  </si>
  <si>
    <t>reconciliation_status</t>
  </si>
  <si>
    <t>modeled_deaths</t>
  </si>
  <si>
    <t>baseline_deaths</t>
  </si>
  <si>
    <t>modeled_cases</t>
  </si>
  <si>
    <t>baseline_cases</t>
  </si>
  <si>
    <t>yll</t>
  </si>
  <si>
    <t>base_yll</t>
  </si>
  <si>
    <t>yll_averted</t>
  </si>
  <si>
    <t>yld</t>
  </si>
  <si>
    <t>base_yld</t>
  </si>
  <si>
    <t>yld_averted</t>
  </si>
  <si>
    <t>daly</t>
  </si>
  <si>
    <t>base_daly</t>
  </si>
  <si>
    <t>dalys_averted</t>
  </si>
  <si>
    <t>life_years_gained</t>
  </si>
  <si>
    <t>gni_pc_idn</t>
  </si>
  <si>
    <t>gni_pc_usa</t>
  </si>
  <si>
    <t>population</t>
  </si>
  <si>
    <t>le_avg_adult</t>
  </si>
  <si>
    <t>vsl_transfer_prefloor</t>
  </si>
  <si>
    <t>vsl_floor</t>
  </si>
  <si>
    <t>vsl_preferred</t>
  </si>
  <si>
    <t>vsl_over_gnipc</t>
  </si>
  <si>
    <t>vsl_gni100</t>
  </si>
  <si>
    <t>vsl_gni160</t>
  </si>
  <si>
    <t>vsly_preferred</t>
  </si>
  <si>
    <t>econ_value_vsl_undisc</t>
  </si>
  <si>
    <t>econ_value_vsly_undisc</t>
  </si>
  <si>
    <t>econ_value_vsl100_undisc</t>
  </si>
  <si>
    <t>econ_value_vsl160_undisc</t>
  </si>
  <si>
    <t>disc_factor</t>
  </si>
  <si>
    <t>pv_vsl_pref</t>
  </si>
  <si>
    <t>pv_vsly_pref</t>
  </si>
  <si>
    <t>pv_vsl100</t>
  </si>
  <si>
    <t>pv_vsl160</t>
  </si>
  <si>
    <t>total_national_gni</t>
  </si>
  <si>
    <t>pv_national_gni</t>
  </si>
  <si>
    <t>annual_benefit_share_gni</t>
  </si>
  <si>
    <t>intervention_family</t>
  </si>
  <si>
    <t>scenario_level</t>
  </si>
  <si>
    <t>valuation_method</t>
  </si>
  <si>
    <t>valuation_case</t>
  </si>
  <si>
    <t>pv_benefits</t>
  </si>
  <si>
    <t>pv_costs</t>
  </si>
  <si>
    <t>pv_net_benefit</t>
  </si>
  <si>
    <t>benefit_cost_ratio</t>
  </si>
  <si>
    <t>benefit_gni_share</t>
  </si>
  <si>
    <t>decision</t>
  </si>
  <si>
    <t>scope_note</t>
  </si>
  <si>
    <t>cascade_70_30_30_to_70_70_70</t>
  </si>
  <si>
    <t>combined</t>
  </si>
  <si>
    <t>VSL</t>
  </si>
  <si>
    <t>preferred (elasticity 1.5, 20x floor)</t>
  </si>
  <si>
    <t>VSLY</t>
  </si>
  <si>
    <t>preferred (VSLY from preferred VSL)</t>
  </si>
  <si>
    <t>sensitivity: 100x GNI per capita</t>
  </si>
  <si>
    <t>sensitivity: 160x GNI per capita</t>
  </si>
  <si>
    <t>Partial mortality-benefit BCA (preferred (elasticity 1.5, 20x floor)). Benefits = averted-mortality VSL/VSLY in PPP int$; costs = implementation/health-system converted to PPP int$ (market USD x cost_to_bca_currency_factor). Omits morbidity, productivity and downstream cost offsets.</t>
  </si>
  <si>
    <t>location</t>
  </si>
  <si>
    <t>htn_target_scenario</t>
  </si>
  <si>
    <t>age</t>
  </si>
  <si>
    <t>cvd_deaths</t>
  </si>
  <si>
    <t>m_x</t>
  </si>
  <si>
    <t>q_x</t>
  </si>
  <si>
    <t>l_x</t>
  </si>
  <si>
    <t>l_x_next</t>
  </si>
  <si>
    <t>htncov2_aspirational</t>
  </si>
  <si>
    <t>scenario_role</t>
  </si>
  <si>
    <t>parent_package_id</t>
  </si>
  <si>
    <t>cvd_40q30</t>
  </si>
  <si>
    <t>baseline_cvd_40q30</t>
  </si>
  <si>
    <t>absolute_reduction_pp</t>
  </si>
  <si>
    <t>percent_reduction</t>
  </si>
  <si>
    <t>cvd_40q30_r</t>
  </si>
  <si>
    <t>recon_status</t>
  </si>
  <si>
    <t>item_key</t>
  </si>
  <si>
    <t>field</t>
  </si>
  <si>
    <t>problem</t>
  </si>
  <si>
    <t>severity</t>
  </si>
  <si>
    <t>check</t>
  </si>
  <si>
    <t>expected</t>
  </si>
  <si>
    <t>actual</t>
  </si>
  <si>
    <t>status</t>
  </si>
  <si>
    <t>note</t>
  </si>
  <si>
    <t>Intervention-cause key uniqueness</t>
  </si>
  <si>
    <t>Each selected link key appears once</t>
  </si>
  <si>
    <t>Workbook FAIL-level issues</t>
  </si>
  <si>
    <t>Blocked links/scenarios excluded (see Selected_Interventions / Input_Diagnostic)</t>
  </si>
  <si>
    <t>Workbook REVIEW-level issues</t>
  </si>
  <si>
    <t>Flagged but usable (e.g. cost not Indonesia-adjusted, missing optional component)</t>
  </si>
  <si>
    <t>Every scenario paired to baseline</t>
  </si>
  <si>
    <t>TRUE</t>
  </si>
  <si>
    <t>Deaths averted = baseline - scenario at matched location/year/cause</t>
  </si>
  <si>
    <t>No impossible negative states</t>
  </si>
  <si>
    <t>well/sick/new_cases/cause_deaths/population &gt;= 0</t>
  </si>
  <si>
    <t>Stock/flow identity pop = well + sick + all-cause deaths</t>
  </si>
  <si>
    <t>&lt;= limit</t>
  </si>
  <si>
    <t>Per cause row; small residual from 95+ pooling / rounding</t>
  </si>
  <si>
    <t>Background mortality constant across cause (not duplicated)</t>
  </si>
  <si>
    <t>1</t>
  </si>
  <si>
    <t>all.mx taken once per stratum in the R Background sheet</t>
  </si>
  <si>
    <t>Cost reconciliation (components -&gt; budget impact)</t>
  </si>
  <si>
    <t>&lt;= tol</t>
  </si>
  <si>
    <t>Excel component rows sum to Excel annual totals within tolerance</t>
  </si>
  <si>
    <t>Shared cost counted once per stratum/year</t>
  </si>
  <si>
    <t>shared-count-once components appear once per scenario-year</t>
  </si>
  <si>
    <t>CEA reconciliation (detail -&gt; summary ratio)</t>
  </si>
  <si>
    <t>consistent</t>
  </si>
  <si>
    <t>Every Cost_Effectiveness row's internal reconciliation is consistent</t>
  </si>
  <si>
    <t>Excel vs R: deaths averted (anchor scenario)</t>
  </si>
  <si>
    <t>match R</t>
  </si>
  <si>
    <t>Excel CEA deaths averted reconciles to the R engine value</t>
  </si>
  <si>
    <t>Excel vs R: discounted incremental cost (anchor scenario)</t>
  </si>
  <si>
    <t>Excel CEA discounted incremental cost reconciles to the R engine value</t>
  </si>
  <si>
    <t>Excel vs R: cost per death averted (anchor scenario)</t>
  </si>
  <si>
    <t>Excel CEA USD per death averted reconciles to the R engine value</t>
  </si>
  <si>
    <t>VSL floor applied (preferred VSL &gt;= 20x GNI floor)</t>
  </si>
  <si>
    <t>No Economic_Value row has preferred VSL below the 20x GNI-per-capita floor</t>
  </si>
  <si>
    <t>Reference-case VSL parameters (elasticity 1.5, US ratio 160, 20x floor)</t>
  </si>
  <si>
    <t>as_specified</t>
  </si>
  <si>
    <t>Reference case = elasticity 1.5 transfer, 160x US ratio, 20x GNI floor (Robinson et al. 2019)</t>
  </si>
  <si>
    <t>Benefit and cost on the same price year (BCA basis)</t>
  </si>
  <si>
    <t>match</t>
  </si>
  <si>
    <t>bca_price_year equals the cost price year, so benefits and costs share a real price basis</t>
  </si>
  <si>
    <t>Benefit_Cost scenarios all present in Health_Outcomes</t>
  </si>
  <si>
    <t>Every scenario x valuation-case row in Benefit_Cost has a matching Health_Outcomes scenario</t>
  </si>
  <si>
    <t>CVD 40q30 Excel vs R (all rows match)</t>
  </si>
  <si>
    <t>CVD_40q30 recon_status has no 'mismatch' (life-table formula reconciles to Model 07)</t>
  </si>
  <si>
    <t>method_id</t>
  </si>
  <si>
    <t>concept</t>
  </si>
  <si>
    <t>formula_or_rule</t>
  </si>
  <si>
    <t>M01</t>
  </si>
  <si>
    <t>Incremental coverage</t>
  </si>
  <si>
    <t>delta_cov(t) = coverage(t) - baseline_coverage</t>
  </si>
  <si>
    <t>FairChoices_Methods sheet + https://fairchoices.w.uib.no/documentation/fairchoices-methods/</t>
  </si>
  <si>
    <t>M02</t>
  </si>
  <si>
    <t>FAIR adjusted effect</t>
  </si>
  <si>
    <t>e_adj(t) = effect_value * delta_cov(t) / (1 - effect_value * baseline_coverage)</t>
  </si>
  <si>
    <t>M03</t>
  </si>
  <si>
    <t>Affected fraction</t>
  </si>
  <si>
    <t>transition_effect(t) = e_adj(t) * affected_fraction</t>
  </si>
  <si>
    <t>M04</t>
  </si>
  <si>
    <t>Adjusted transition</t>
  </si>
  <si>
    <t>p_scenario(t) = p_baseline(t) * (1 - transition_effect(t)); prevention-&gt;incidence (IR/eff_ir), management-&gt;case fatality (CF/eff_cf)</t>
  </si>
  <si>
    <t>M05</t>
  </si>
  <si>
    <t>HF/severe mapping</t>
  </si>
  <si>
    <t>workbook sick_hf / sick_severe collapse onto the single 'sick' state via affected_fraction; NO new Markov states</t>
  </si>
  <si>
    <t>Model 04 translation table (Indonesia Markov adaptation)</t>
  </si>
  <si>
    <t>M06</t>
  </si>
  <si>
    <t>Annual component cost</t>
  </si>
  <si>
    <t>annual_cost = population_in_need * coverage(t) * frequency_per_year * unit_cost_usd</t>
  </si>
  <si>
    <t>FairChoices_Methods sheet / input workbook</t>
  </si>
  <si>
    <t>M07</t>
  </si>
  <si>
    <t>Shared cost</t>
  </si>
  <si>
    <t>shared-count-once components counted once per intervention &amp; eligible stratum, not once per affected cause</t>
  </si>
  <si>
    <t>M08</t>
  </si>
  <si>
    <t>Discounting</t>
  </si>
  <si>
    <t>discount_factor(t) = 1 / (1 + cost_discount_rate)^(t - analysis_start_year); costs discounted, death counts undiscounted</t>
  </si>
  <si>
    <t>M09</t>
  </si>
  <si>
    <t>incremental = scenario_cost - baseline_cost (undiscounted headline; discounted reported separately)</t>
  </si>
  <si>
    <t>M10</t>
  </si>
  <si>
    <t>USD per death averted = cumulative discounted incremental cost / cumulative deaths averted</t>
  </si>
  <si>
    <t>M11</t>
  </si>
  <si>
    <t>FAIR unit-cost markups</t>
  </si>
  <si>
    <t>not re-applied where indonesia_adjusted_flag = 1 (supplied adjusted costs already include them)</t>
  </si>
  <si>
    <t>FairChoices_Methods M08</t>
  </si>
  <si>
    <t>M12</t>
  </si>
  <si>
    <t>Excel formula lineage</t>
  </si>
  <si>
    <t>Formula-derived cells are light blue and depend on visible grey R source/helper cells; Calculation_Map lists the dependency chain.</t>
  </si>
  <si>
    <t>This workbook</t>
  </si>
  <si>
    <t>M13</t>
  </si>
  <si>
    <t>PIN audit quantities</t>
  </si>
  <si>
    <t>r_quantity_scenario/baseline (Annual_Cost AF:AG) retain the full-precision R population quantity used before the PIN fraction.</t>
  </si>
  <si>
    <t>Model 09 and this workbook</t>
  </si>
  <si>
    <t>M14</t>
  </si>
  <si>
    <t>Reference-Case VSL transfer</t>
  </si>
  <si>
    <t>Preferred VSL = MAX(vsl_us_gni_ratio*GNIpc_US*(GNIpc_IDN/GNIpc_US)^income_elasticity, vsl_floor_gni_multiple*GNIpc_IDN); standardized sensitivities VSL = 100x and 160x GNIpc (Economic_Value J:P,N,O).</t>
  </si>
  <si>
    <t>Robinson et al. 2019 Reference Case Guidelines / Model 08</t>
  </si>
  <si>
    <t>M15</t>
  </si>
  <si>
    <t>Constant VSLY</t>
  </si>
  <si>
    <t>VSLY = preferred VSL / undiscounted remaining LE at the average age of the working-age (vsly_adult_min_age..max_age) population; applied to Model 07 age-specific life-years gained (not an algebraic identity with VSL).</t>
  </si>
  <si>
    <t>M16</t>
  </si>
  <si>
    <t>BCA discounting &amp; monetary basis</t>
  </si>
  <si>
    <t>Benefits and costs are discounted to bca_base_year at bca_discount_rate_primary; VSL benefits are PPP international dollars; market-USD costs are converted to that basis via cost_to_bca_currency_factor (never assumed 1).</t>
  </si>
  <si>
    <t>M17</t>
  </si>
  <si>
    <t>Benefit-cost ratio &amp; net benefit</t>
  </si>
  <si>
    <t>BCR = PV benefits / PV costs and net benefit = PV benefits - PV costs, on ONE base year, rate, price year and currency basis (Benefit_Cost). This is a PARTIAL mortality-benefit BCA, not cost-effectiveness (USD per death averted).</t>
  </si>
  <si>
    <t>M18</t>
  </si>
  <si>
    <t>CVD 40q30 (period life table)</t>
  </si>
  <si>
    <t>Period CVD 40q30 over the six CVD causes (ihd, istroke, hstroke, hhd, rhd, cmd), exact ages 30-69: sexes combined before the rate, m_x=(D_F+D_M)/(N_F+N_M), q_x=1-EXP(-m_x), l_30=1, l_{x+1}=l_x(1-q_x), 40q30=100*(1-l_70/l_30). CVD_40q30_Age carries the live life-table formulas; CVD_40q30 has the metric, shared-baseline pairing, absolute (pp) and relative (%) reduction, all reconciled to the Model 07 R value. cvd_40q30 is a PERCENT on a 0-100 scale (format 0.000, not Excel %). Population is de-duplicated across causes (never summed over the six causes).</t>
  </si>
  <si>
    <t>Model 07 (07_cvd_40q30.rds) / Model 09</t>
  </si>
  <si>
    <t>output_sheet</t>
  </si>
  <si>
    <t>formula_columns</t>
  </si>
  <si>
    <t>depends_on</t>
  </si>
  <si>
    <t>calculation</t>
  </si>
  <si>
    <t>source_role</t>
  </si>
  <si>
    <t>Selected_Interventions</t>
  </si>
  <si>
    <t>P, U:V</t>
  </si>
  <si>
    <t>selected health links (J:M)</t>
  </si>
  <si>
    <t>Adjusted effect at target; key uniqueness/status</t>
  </si>
  <si>
    <t>Workbook formula</t>
  </si>
  <si>
    <t>Cost_Components</t>
  </si>
  <si>
    <t>S:V, X</t>
  </si>
  <si>
    <t>Coverage link (INDEX/MATCH) and cost-readiness rule</t>
  </si>
  <si>
    <t>Annual_Mortality</t>
  </si>
  <si>
    <t>H, J</t>
  </si>
  <si>
    <t>R aggregates E:G, I</t>
  </si>
  <si>
    <t>Deaths averted and cases averted</t>
  </si>
  <si>
    <t>Health_Outcomes</t>
  </si>
  <si>
    <t>F,I,L,O,R,S</t>
  </si>
  <si>
    <t>Model 07 modeled/baseline health (grey D:E,G:H,J:K,M:N,P:Q)</t>
  </si>
  <si>
    <t>Deaths/cases/YLL/YLD/DALY averted and life-years gained (baseline - intervention)</t>
  </si>
  <si>
    <t>CVD_40q30_Age</t>
  </si>
  <si>
    <t>J:M</t>
  </si>
  <si>
    <t>CVD deaths + de-duplicated population (grey H:I)</t>
  </si>
  <si>
    <t>m_x=deaths/pop, q_x=1-EXP(-m_x), recursive l_x, l_{x+1} (period life table, ages 30-69)</t>
  </si>
  <si>
    <t>CVD_40q30</t>
  </si>
  <si>
    <t>I,J,K,L,N</t>
  </si>
  <si>
    <t>CVD_40q30_Age life table; baseline SUMIFS; R anchor (M)</t>
  </si>
  <si>
    <t>CVD 40q30 = 100*(1-l_70/l_30); baseline-paired absolute (pp) &amp; relative (%) reduction; R reconciliation</t>
  </si>
  <si>
    <t>Annual_Cost</t>
  </si>
  <si>
    <t>J:AE, AH</t>
  </si>
  <si>
    <t>Cost_Components; Calculation_Assumptions; R quantity AF:AG</t>
  </si>
  <si>
    <t>Coverage path, PIN, annual + discounted cost, shared-cost QA</t>
  </si>
  <si>
    <t>AF:AG</t>
  </si>
  <si>
    <t>full-precision Model 06 output</t>
  </si>
  <si>
    <t>Scenario/baseline quantity before the PIN fraction</t>
  </si>
  <si>
    <t>Budget_Impact</t>
  </si>
  <si>
    <t>C:H</t>
  </si>
  <si>
    <t>Annual and cumulative cost by scenario</t>
  </si>
  <si>
    <t>Cost_Effectiveness</t>
  </si>
  <si>
    <t>C:I</t>
  </si>
  <si>
    <t>Annual_Mortality; Budget_Impact; Calculation_Assumptions</t>
  </si>
  <si>
    <t>Cumulative health, cost, cost/death, dominance, reconciliation</t>
  </si>
  <si>
    <t>Economic_Value</t>
  </si>
  <si>
    <t>J:AB</t>
  </si>
  <si>
    <t>Model 08 source (grey D:I); Calculation_Assumptions BCA controls</t>
  </si>
  <si>
    <t>Reference-Case VSL (elast 1.5 + 20x floor) &amp; 100x/160x, VSLY, undisc &amp; PV benefits, GNI shares</t>
  </si>
  <si>
    <t>Benefit_Cost</t>
  </si>
  <si>
    <t>G:M</t>
  </si>
  <si>
    <t>Economic_Value PV benefits; Budget_Impact costs; Calculation_Assumptions</t>
  </si>
  <si>
    <t>PV benefits, PV costs (to PPP int$), net benefit, BCR, benefit/GNI, decision (partial BCA)</t>
  </si>
  <si>
    <t>QA_Checks</t>
  </si>
  <si>
    <t>C:D</t>
  </si>
  <si>
    <t>calculation + diagnostic sheets</t>
  </si>
  <si>
    <t>Invariant recomputation and Excel-vs-R reconciliation status</t>
  </si>
  <si>
    <t>Run_Metadata</t>
  </si>
  <si>
    <t>B8:B16 (subset)</t>
  </si>
  <si>
    <t>Calculation_Assumptions</t>
  </si>
  <si>
    <t>Metadata pulled from the assumptions controls</t>
  </si>
  <si>
    <t>Companion R workbook</t>
  </si>
  <si>
    <t>none</t>
  </si>
  <si>
    <t>Model 06 / Model 09</t>
  </si>
  <si>
    <t>Detailed Model_State_Trace and Background_Mortality</t>
  </si>
  <si>
    <t>R source data</t>
  </si>
  <si>
    <t>intervention_ids</t>
  </si>
  <si>
    <t>n_interventions</t>
  </si>
  <si>
    <t/>
  </si>
  <si>
    <t>I_CVD_PRIMARY; I_T2D_TREATMENT</t>
  </si>
  <si>
    <t>source_workbook_cell</t>
  </si>
  <si>
    <t>2025</t>
  </si>
  <si>
    <t>First modeled year</t>
  </si>
  <si>
    <t>Agreed analysis horizon</t>
  </si>
  <si>
    <t>Assumptions![parameter_id=analysis_start_year]</t>
  </si>
  <si>
    <t>2050</t>
  </si>
  <si>
    <t>Last modeled year</t>
  </si>
  <si>
    <t>Assumptions![parameter_id=analysis_end_year]</t>
  </si>
  <si>
    <t>first_target_year</t>
  </si>
  <si>
    <t>2030</t>
  </si>
  <si>
    <t>Year to achieve 70-30-30</t>
  </si>
  <si>
    <t>World Bank/UW request, 27 Aug 2026</t>
  </si>
  <si>
    <t>Assumptions![parameter_id=first_target_year]</t>
  </si>
  <si>
    <t>final_target_year</t>
  </si>
  <si>
    <t>2040</t>
  </si>
  <si>
    <t>Year to achieve 70-70-70</t>
  </si>
  <si>
    <t>Assumptions![parameter_id=final_target_year]</t>
  </si>
  <si>
    <t>target_diagnosis_share</t>
  </si>
  <si>
    <t>0.7</t>
  </si>
  <si>
    <t>proportion</t>
  </si>
  <si>
    <t>Diagnosis step for both targets</t>
  </si>
  <si>
    <t>World Bank/UW request</t>
  </si>
  <si>
    <t>Assumptions![parameter_id=target_diagnosis_share]</t>
  </si>
  <si>
    <t>first_target_treatment_conditional</t>
  </si>
  <si>
    <t>0.3</t>
  </si>
  <si>
    <t>Treated among diagnosed in 2030</t>
  </si>
  <si>
    <t>70-30-30 definition</t>
  </si>
  <si>
    <t>Assumptions![parameter_id=first_target_treatment_conditional]</t>
  </si>
  <si>
    <t>first_target_control_conditional</t>
  </si>
  <si>
    <t>Controlled among treated in 2030</t>
  </si>
  <si>
    <t>Assumptions![parameter_id=first_target_control_conditional]</t>
  </si>
  <si>
    <t>final_target_treatment_conditional</t>
  </si>
  <si>
    <t>Treated among diagnosed in 2040</t>
  </si>
  <si>
    <t>70-70-70 definition</t>
  </si>
  <si>
    <t>Assumptions![parameter_id=final_target_treatment_conditional]</t>
  </si>
  <si>
    <t>final_target_control_conditional</t>
  </si>
  <si>
    <t>Controlled among treated in 2040</t>
  </si>
  <si>
    <t>Assumptions![parameter_id=final_target_control_conditional]</t>
  </si>
  <si>
    <t>treated_uncontrolled_effect_fraction</t>
  </si>
  <si>
    <t>share of full effect</t>
  </si>
  <si>
    <t>Effect received when treated but uncontrolled</t>
  </si>
  <si>
    <t>Assumptions![parameter_id=treated_uncontrolled_effect_fraction]</t>
  </si>
  <si>
    <t>first_target_effective_coverage_exact</t>
  </si>
  <si>
    <t>Exact 70-30-30 effective coverage; no rounding override</t>
  </si>
  <si>
    <t>World Bank/UW cascade specification</t>
  </si>
  <si>
    <t>Assumptions![parameter_id=first_target_effective_coverage_exact]</t>
  </si>
  <si>
    <t>final_target_effective_coverage_exact</t>
  </si>
  <si>
    <t>Exact 70-70-70 effective coverage; no rounding override</t>
  </si>
  <si>
    <t>Assumptions![parameter_id=final_target_effective_coverage_exact]</t>
  </si>
  <si>
    <t>diabetes_baseline_control_among_treated</t>
  </si>
  <si>
    <t>Derived as 6.5% controlled / 19.0% treated in the 2023 national diabetes cascade; editable</t>
  </si>
  <si>
    <t>Muharram et al. medRxiv 2026; peer-reviewed national estimate 32.0% HbA1c&lt;7%</t>
  </si>
  <si>
    <t>Assumptions![parameter_id=diabetes_baseline_control_among_treated]</t>
  </si>
  <si>
    <t>diabetes_baseline_diagnosis_conditioning</t>
  </si>
  <si>
    <t>Conditions directly on all people with diabetes so reported treatment is reproduced</t>
  </si>
  <si>
    <t>Explicit modeling assumption</t>
  </si>
  <si>
    <t>Assumptions![parameter_id=diabetes_baseline_diagnosis_conditioning]</t>
  </si>
  <si>
    <t>cholesterol_coverage_proxy</t>
  </si>
  <si>
    <t>hypertension</t>
  </si>
  <si>
    <t>Cholesterol coverage follows hypertension coverage</t>
  </si>
  <si>
    <t>Assumptions![parameter_id=cholesterol_coverage_proxy]</t>
  </si>
  <si>
    <t>Linear to 2030, then linear to 2040</t>
  </si>
  <si>
    <t>Assumptions![parameter_id=scale_up_shape]</t>
  </si>
  <si>
    <t>post_target_rule</t>
  </si>
  <si>
    <t>hold</t>
  </si>
  <si>
    <t>Maintain achieved level after 2040</t>
  </si>
  <si>
    <t>Assumptions![parameter_id=post_target_rule]</t>
  </si>
  <si>
    <t>prevent_coverage_backsliding</t>
  </si>
  <si>
    <t>0/1</t>
  </si>
  <si>
    <t>When a measured baseline already exceeds a milestone, retain baseline rather than scale down</t>
  </si>
  <si>
    <t>Scale-up interpretation</t>
  </si>
  <si>
    <t>Assumptions![parameter_id=prevent_coverage_backsliding]</t>
  </si>
  <si>
    <t>scenario_id</t>
  </si>
  <si>
    <t>Stable scenario identifier</t>
  </si>
  <si>
    <t>This analysis</t>
  </si>
  <si>
    <t>Assumptions![parameter_id=scenario_id]</t>
  </si>
  <si>
    <t>0.03</t>
  </si>
  <si>
    <t>Annual cost discount rate</t>
  </si>
  <si>
    <t>Supplied Indonesia input workbook</t>
  </si>
  <si>
    <t>Assumptions![parameter_id=cost_discount_rate]</t>
  </si>
  <si>
    <t>health_discount_rate</t>
  </si>
  <si>
    <t>Annual health discount rate</t>
  </si>
  <si>
    <t>Assumptions![parameter_id=health_discount_rate]</t>
  </si>
  <si>
    <t>Assumptions![parameter_id=cost_price_year]</t>
  </si>
  <si>
    <t>Reporting currency</t>
  </si>
  <si>
    <t>Assumptions![parameter_id=currency]</t>
  </si>
  <si>
    <t>risk_factor_id</t>
  </si>
  <si>
    <t>sex</t>
  </si>
  <si>
    <t>phase</t>
  </si>
  <si>
    <t>baseline_effective_coverage</t>
  </si>
  <si>
    <t>target_2030_effective</t>
  </si>
  <si>
    <t>target_2040_effective</t>
  </si>
  <si>
    <t>controlled_share</t>
  </si>
  <si>
    <t>treated_uncontrolled_share</t>
  </si>
  <si>
    <t>half_effect_fraction</t>
  </si>
  <si>
    <t>scenario_effective_coverage</t>
  </si>
  <si>
    <t>effective_from_components</t>
  </si>
  <si>
    <t>model_effective_coverage_used</t>
  </si>
  <si>
    <t>RF_HTN</t>
  </si>
  <si>
    <t>Men</t>
  </si>
  <si>
    <t>Scale to 70-30-30</t>
  </si>
  <si>
    <t>Scale to 70-70-70</t>
  </si>
  <si>
    <t>Maintain 70-70-70</t>
  </si>
  <si>
    <t>Women</t>
  </si>
  <si>
    <t>RF_T2D</t>
  </si>
  <si>
    <t>check_id</t>
  </si>
  <si>
    <t>excel_effective</t>
  </si>
  <si>
    <t>expected_effective</t>
  </si>
  <si>
    <t>r_value</t>
  </si>
  <si>
    <t>QAC01</t>
  </si>
  <si>
    <t>2030 effective coverage reconstructs to 0.1365</t>
  </si>
  <si>
    <t>QAC02</t>
  </si>
  <si>
    <t>2040 effective coverage reconstructs to 0.4165</t>
  </si>
  <si>
    <t>QAC03</t>
  </si>
  <si>
    <t>Excel model_effective_coverage_used ties to R (by construction)</t>
  </si>
  <si>
    <t>QAC04</t>
  </si>
  <si>
    <t>R adapter vs workbook Model_Input_View multipliers</t>
  </si>
  <si>
    <t>QAC05</t>
  </si>
  <si>
    <t>Effective coverage is monotonic (no backsliding)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</si>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</sst>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"/>
    <numFmt numFmtId="166" formatCode="#,##0.0"/>
    <numFmt numFmtId="167" formatCode="0.0"/>
    <numFmt numFmtId="168" formatCode="0.0000"/>
    <numFmt numFmtId="169" formatCode="0.0000%"/>
    <numFmt numFmtId="170" formatCode="0.000000"/>
    <numFmt numFmtId="171" formatCode="0.0000000000"/>
  </numFmts>
  <fonts count="3">
    <font>
      <sz val="11"/>
      <color rgb="FF000000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1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3" fontId="0" fillId="3" borderId="0" xfId="0" applyNumberFormat="1" applyFill="1"/>
    <xf numFmtId="166" fontId="0" fillId="4" borderId="0" xfId="0" applyNumberFormat="1" applyFill="1"/>
    <xf numFmtId="1" fontId="0" fillId="4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167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168" fontId="0" fillId="5" borderId="0" xfId="0" applyNumberFormat="1" applyFill="1"/>
    <xf numFmtId="3" fontId="0" fillId="0" borderId="0" xfId="0" applyNumberFormat="1"/>
    <xf numFmtId="3" fontId="0" fillId="5" borderId="0" xfId="0" applyNumberFormat="1" applyFill="1"/>
    <xf numFmtId="2" fontId="0" fillId="0" borderId="0" xfId="0" applyNumberFormat="1"/>
    <xf numFmtId="4" fontId="0" fillId="0" borderId="0" xfId="0" applyNumberFormat="1"/>
    <xf numFmtId="1" fontId="0" fillId="5" borderId="0" xfId="0" applyNumberFormat="1" applyFill="1"/>
    <xf numFmtId="3" fontId="0" fillId="0" borderId="0" xfId="0" applyNumberFormat="1" applyAlignment="1">
      <alignment vertical="top" wrapText="1"/>
    </xf>
    <xf numFmtId="2" fontId="0" fillId="5" borderId="0" xfId="0" applyNumberFormat="1" applyFill="1"/>
    <xf numFmtId="4" fontId="0" fillId="5" borderId="0" xfId="0" applyNumberFormat="1" applyFill="1"/>
    <xf numFmtId="165" fontId="0" fillId="5" borderId="0" xfId="0" applyNumberFormat="1" applyFill="1"/>
    <xf numFmtId="169" fontId="0" fillId="4" borderId="0" xfId="0" applyNumberFormat="1" applyFill="1"/>
    <xf numFmtId="0" fontId="0" fillId="5" borderId="0" xfId="0" applyFill="1" applyAlignment="1">
      <alignment vertical="top" wrapText="1"/>
    </xf>
    <xf numFmtId="169" fontId="0" fillId="5" borderId="0" xfId="0" applyNumberFormat="1" applyFill="1"/>
    <xf numFmtId="170" fontId="0" fillId="5" borderId="0" xfId="0" applyNumberFormat="1" applyFill="1"/>
    <xf numFmtId="165" fontId="0" fillId="4" borderId="0" xfId="0" applyNumberFormat="1" applyFill="1"/>
    <xf numFmtId="0" fontId="0" fillId="4" borderId="0" xfId="0" applyFill="1" applyAlignment="1">
      <alignment vertical="top" wrapText="1"/>
    </xf>
    <xf numFmtId="171" fontId="0" fillId="3" borderId="0" xfId="0" applyNumberFormat="1" applyFill="1"/>
    <xf numFmtId="164" fontId="0" fillId="4" borderId="0" xfId="0" applyNumberFormat="1" applyFill="1"/>
    <xf numFmtId="170" fontId="0" fillId="4" borderId="0" xfId="0" applyNumberFormat="1" applyFill="1"/>
    <xf numFmtId="171" fontId="0" fillId="4" borderId="0" xfId="0" applyNumberFormat="1" applyFill="1"/>
    <xf numFmtId="171" fontId="0" fillId="5" borderId="0" xfId="0" applyNumberFormat="1" applyFill="1"/>
  </cellXfs>
  <cellStyles count="1">
    <cellStyle name="Normal" xfId="0" builtinId="0"/>
  </cellStyles>
  <dxfs count="1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ColWidth="11.19921875" defaultRowHeight="13.8"/>
  <cols>
    <col min="1" max="1" width="22.69921875" customWidth="1"/>
    <col min="2" max="2" width="118.69921875" customWidth="1"/>
  </cols>
  <sheetData>
    <row r="1" spans="1:2" ht="22.05" customHeight="1">
      <c r="A1" s="15" t="s">
        <v>119</v>
      </c>
    </row>
    <row r="3" spans="1:2">
      <c r="A3" s="1" t="s">
        <v>120</v>
      </c>
      <c r="B3" s="1" t="s">
        <v>121</v>
      </c>
    </row>
    <row r="4" spans="1:2">
      <c r="A4" t="s">
        <v>122</v>
      </c>
      <c r="B4" s="14" t="s">
        <v>123</v>
      </c>
    </row>
    <row r="5" spans="1:2" ht="27.6">
      <c r="A5" t="s">
        <v>124</v>
      </c>
      <c r="B5" s="14" t="s">
        <v>125</v>
      </c>
    </row>
    <row r="6" spans="1:2" ht="27.6">
      <c r="A6" t="s">
        <v>126</v>
      </c>
      <c r="B6" s="14" t="s">
        <v>127</v>
      </c>
    </row>
    <row r="7" spans="1:2">
      <c r="A7" t="s">
        <v>128</v>
      </c>
      <c r="B7" s="14" t="s">
        <v>129</v>
      </c>
    </row>
    <row r="8" spans="1:2" ht="55.2">
      <c r="A8" t="s">
        <v>130</v>
      </c>
      <c r="B8" s="14" t="s">
        <v>131</v>
      </c>
    </row>
    <row r="9" spans="1:2" ht="27.6">
      <c r="A9" t="s">
        <v>132</v>
      </c>
      <c r="B9" s="14" t="s">
        <v>133</v>
      </c>
    </row>
    <row r="10" spans="1:2" ht="27.6">
      <c r="A10" t="s">
        <v>134</v>
      </c>
      <c r="B10" s="14" t="s">
        <v>135</v>
      </c>
    </row>
    <row r="11" spans="1:2" ht="27.6">
      <c r="A11" t="s">
        <v>136</v>
      </c>
      <c r="B11" s="14" t="s">
        <v>137</v>
      </c>
    </row>
    <row r="12" spans="1:2" ht="27.6">
      <c r="A12" t="s">
        <v>138</v>
      </c>
      <c r="B12" s="14" t="s">
        <v>139</v>
      </c>
    </row>
    <row r="13" spans="1:2" ht="27.6">
      <c r="A13" t="s">
        <v>140</v>
      </c>
      <c r="B13" s="14" t="s">
        <v>141</v>
      </c>
    </row>
    <row r="14" spans="1:2" ht="69">
      <c r="A14" t="s">
        <v>142</v>
      </c>
      <c r="B14" s="14" t="s">
        <v>143</v>
      </c>
    </row>
    <row r="15" spans="1:2" ht="41.4">
      <c r="A15" t="s">
        <v>144</v>
      </c>
      <c r="B15" s="14" t="s">
        <v>145</v>
      </c>
    </row>
    <row r="16" spans="1:2">
      <c r="A16" t="s">
        <v>146</v>
      </c>
      <c r="B16" s="14" t="s">
        <v>147</v>
      </c>
    </row>
    <row r="17" spans="1:2" ht="27.6">
      <c r="A17" t="s">
        <v>148</v>
      </c>
      <c r="B17" s="14" t="s">
        <v>149</v>
      </c>
    </row>
    <row r="18" spans="1:2" ht="27.6">
      <c r="A18" t="s">
        <v>150</v>
      </c>
      <c r="B18" s="14" t="s">
        <v>151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30.69921875" customWidth="1"/>
    <col min="2" max="2" width="74.69921875" customWidth="1"/>
  </cols>
  <sheetData>
    <row r="1" spans="1:2" ht="28.05" customHeight="1">
      <c r="A1" s="1" t="s">
        <v>152</v>
      </c>
      <c r="B1" s="1" t="s">
        <v>1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156</v>
      </c>
    </row>
    <row r="4" spans="1:2">
      <c r="A4" t="s">
        <v>157</v>
      </c>
      <c r="B4" t="s">
        <v>158</v>
      </c>
    </row>
    <row r="5" spans="1:2">
      <c r="A5" t="s">
        <v>159</v>
      </c>
      <c r="B5" t="s">
        <v>160</v>
      </c>
    </row>
    <row r="6" spans="1:2">
      <c r="A6" t="s">
        <v>161</v>
      </c>
      <c r="B6" t="s">
        <v>162</v>
      </c>
    </row>
    <row r="7" spans="1:2">
      <c r="A7" t="s">
        <v>163</v>
      </c>
      <c r="B7" t="s">
        <v>164</v>
      </c>
    </row>
    <row r="8" spans="1:2">
      <c r="A8" t="s">
        <v>165</v>
      </c>
      <c r="B8" s="16" t="str">
        <f>Calculation_Assumptions!B2&amp;"-"&amp;Calculation_Assumptions!B3</f>
        <v>2025-2050</v>
      </c>
    </row>
    <row r="9" spans="1:2">
      <c r="A9" t="s">
        <v>166</v>
      </c>
      <c r="B9" s="16" t="str">
        <f>Calculation_Assumptions!B4</f>
        <v>baseline</v>
      </c>
    </row>
    <row r="10" spans="1:2">
      <c r="A10" t="s">
        <v>167</v>
      </c>
      <c r="B10" t="s">
        <v>115</v>
      </c>
    </row>
    <row r="11" spans="1:2">
      <c r="A11" t="s">
        <v>168</v>
      </c>
      <c r="B11" s="17">
        <f>Calculation_Assumptions!B5</f>
        <v>0.03</v>
      </c>
    </row>
    <row r="12" spans="1:2">
      <c r="A12" t="s">
        <v>169</v>
      </c>
      <c r="B12" s="16">
        <f>Calculation_Assumptions!B6</f>
        <v>2023</v>
      </c>
    </row>
    <row r="13" spans="1:2">
      <c r="A13" t="s">
        <v>171</v>
      </c>
      <c r="B13" s="16" t="str">
        <f>Calculation_Assumptions!B7</f>
        <v>USD</v>
      </c>
    </row>
    <row r="14" spans="1:2">
      <c r="A14" t="s">
        <v>172</v>
      </c>
      <c r="B14" s="16" t="str">
        <f>Calculation_Assumptions!B8</f>
        <v>health_system</v>
      </c>
    </row>
    <row r="15" spans="1:2">
      <c r="A15" t="s">
        <v>173</v>
      </c>
      <c r="B15" s="16" t="str">
        <f>Calculation_Assumptions!B9</f>
        <v>piecewise_linear</v>
      </c>
    </row>
    <row r="16" spans="1:2">
      <c r="A16" t="s">
        <v>174</v>
      </c>
      <c r="B16" s="16">
        <f>Calculation_Assumptions!B10</f>
        <v>0</v>
      </c>
    </row>
    <row r="17" spans="1:2">
      <c r="A17" t="s">
        <v>176</v>
      </c>
      <c r="B17" t="s">
        <v>177</v>
      </c>
    </row>
    <row r="18" spans="1:2">
      <c r="A18" t="s">
        <v>178</v>
      </c>
      <c r="B18" t="s">
        <v>179</v>
      </c>
    </row>
    <row r="19" spans="1:2">
      <c r="A19" t="s">
        <v>180</v>
      </c>
      <c r="B19" t="s">
        <v>181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1.69921875" customWidth="1"/>
    <col min="2" max="2" width="16.69921875" customWidth="1"/>
    <col min="3" max="3" width="21.69921875" customWidth="1"/>
    <col min="4" max="4" width="16.69921875" customWidth="1"/>
    <col min="5" max="5" width="15.69921875" customWidth="1"/>
    <col min="6" max="6" width="19.69921875" customWidth="1"/>
    <col min="7" max="7" width="18.69921875" customWidth="1"/>
    <col min="8" max="8" width="17.69921875" customWidth="1"/>
  </cols>
  <sheetData>
    <row r="1" spans="1:8" ht="28.05" customHeight="1">
      <c r="A1" s="1" t="s">
        <v>282</v>
      </c>
      <c r="B1" s="1" t="s">
        <v>283</v>
      </c>
      <c r="C1" s="1" t="s">
        <v>355</v>
      </c>
      <c r="D1" s="1" t="s">
        <v>356</v>
      </c>
      <c r="E1" s="1" t="s">
        <v>384</v>
      </c>
      <c r="F1" s="1" t="s">
        <v>385</v>
      </c>
      <c r="G1" s="1" t="s">
        <v>572</v>
      </c>
      <c r="H1" s="1" t="s">
        <v>573</v>
      </c>
    </row>
    <row r="2" spans="1:8" ht="27.6">
      <c r="A2" s="3" t="s">
        <v>112</v>
      </c>
      <c r="B2" s="36" t="s">
        <v>294</v>
      </c>
      <c r="C2" s="3" t="s">
        <v>112</v>
      </c>
      <c r="D2" s="3" t="s">
        <v>112</v>
      </c>
      <c r="E2" s="3"/>
      <c r="F2" s="3"/>
      <c r="G2" s="36" t="s">
        <v>574</v>
      </c>
      <c r="H2" s="3">
        <v>0</v>
      </c>
    </row>
    <row r="3" spans="1:8" ht="69">
      <c r="A3" s="3" t="s">
        <v>115</v>
      </c>
      <c r="B3" s="36" t="s">
        <v>291</v>
      </c>
      <c r="C3" s="3" t="s">
        <v>366</v>
      </c>
      <c r="D3" s="3" t="s">
        <v>367</v>
      </c>
      <c r="E3" s="3" t="s">
        <v>367</v>
      </c>
      <c r="F3" s="3"/>
      <c r="G3" s="36" t="s">
        <v>575</v>
      </c>
      <c r="H3" s="3">
        <v>2</v>
      </c>
    </row>
  </sheetData>
  <autoFilter ref="A1:H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4.69921875" customWidth="1"/>
    <col min="2" max="2" width="24" bestFit="1" customWidth="1"/>
    <col min="3" max="3" width="11.69921875" customWidth="1"/>
    <col min="4" max="4" width="13.69921875" customWidth="1"/>
    <col min="5" max="5" width="11.69921875" customWidth="1"/>
    <col min="6" max="6" width="22.69921875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576</v>
      </c>
    </row>
    <row r="2" spans="1:6" ht="41.4">
      <c r="A2" s="3" t="s">
        <v>6</v>
      </c>
      <c r="B2" s="7" t="s">
        <v>577</v>
      </c>
      <c r="C2" s="3" t="s">
        <v>42</v>
      </c>
      <c r="D2" s="36" t="s">
        <v>578</v>
      </c>
      <c r="E2" s="36" t="s">
        <v>579</v>
      </c>
      <c r="F2" s="36" t="s">
        <v>580</v>
      </c>
    </row>
    <row r="3" spans="1:6" ht="41.4">
      <c r="A3" s="3" t="s">
        <v>7</v>
      </c>
      <c r="B3" s="7" t="s">
        <v>581</v>
      </c>
      <c r="C3" s="3" t="s">
        <v>42</v>
      </c>
      <c r="D3" s="36" t="s">
        <v>582</v>
      </c>
      <c r="E3" s="36" t="s">
        <v>579</v>
      </c>
      <c r="F3" s="36" t="s">
        <v>583</v>
      </c>
    </row>
    <row r="4" spans="1:6" ht="55.2">
      <c r="A4" s="3" t="s">
        <v>584</v>
      </c>
      <c r="B4" s="7" t="s">
        <v>585</v>
      </c>
      <c r="C4" s="3" t="s">
        <v>42</v>
      </c>
      <c r="D4" s="36" t="s">
        <v>586</v>
      </c>
      <c r="E4" s="36" t="s">
        <v>587</v>
      </c>
      <c r="F4" s="36" t="s">
        <v>588</v>
      </c>
    </row>
    <row r="5" spans="1:6" ht="55.2">
      <c r="A5" s="3" t="s">
        <v>589</v>
      </c>
      <c r="B5" s="7" t="s">
        <v>590</v>
      </c>
      <c r="C5" s="3" t="s">
        <v>42</v>
      </c>
      <c r="D5" s="36" t="s">
        <v>591</v>
      </c>
      <c r="E5" s="36" t="s">
        <v>587</v>
      </c>
      <c r="F5" s="36" t="s">
        <v>592</v>
      </c>
    </row>
    <row r="6" spans="1:6" ht="41.4">
      <c r="A6" s="3" t="s">
        <v>593</v>
      </c>
      <c r="B6" s="7" t="s">
        <v>594</v>
      </c>
      <c r="C6" s="3" t="s">
        <v>595</v>
      </c>
      <c r="D6" s="36" t="s">
        <v>596</v>
      </c>
      <c r="E6" s="36" t="s">
        <v>597</v>
      </c>
      <c r="F6" s="36" t="s">
        <v>598</v>
      </c>
    </row>
    <row r="7" spans="1:6" ht="41.4">
      <c r="A7" s="3" t="s">
        <v>599</v>
      </c>
      <c r="B7" s="7" t="s">
        <v>600</v>
      </c>
      <c r="C7" s="3" t="s">
        <v>595</v>
      </c>
      <c r="D7" s="36" t="s">
        <v>601</v>
      </c>
      <c r="E7" s="36" t="s">
        <v>602</v>
      </c>
      <c r="F7" s="36" t="s">
        <v>603</v>
      </c>
    </row>
    <row r="8" spans="1:6" ht="41.4">
      <c r="A8" s="3" t="s">
        <v>604</v>
      </c>
      <c r="B8" s="7" t="s">
        <v>600</v>
      </c>
      <c r="C8" s="3" t="s">
        <v>595</v>
      </c>
      <c r="D8" s="36" t="s">
        <v>605</v>
      </c>
      <c r="E8" s="36" t="s">
        <v>602</v>
      </c>
      <c r="F8" s="36" t="s">
        <v>606</v>
      </c>
    </row>
    <row r="9" spans="1:6" ht="41.4">
      <c r="A9" s="3" t="s">
        <v>607</v>
      </c>
      <c r="B9" s="7" t="s">
        <v>594</v>
      </c>
      <c r="C9" s="3" t="s">
        <v>595</v>
      </c>
      <c r="D9" s="36" t="s">
        <v>608</v>
      </c>
      <c r="E9" s="36" t="s">
        <v>609</v>
      </c>
      <c r="F9" s="36" t="s">
        <v>610</v>
      </c>
    </row>
    <row r="10" spans="1:6" ht="41.4">
      <c r="A10" s="3" t="s">
        <v>611</v>
      </c>
      <c r="B10" s="7" t="s">
        <v>594</v>
      </c>
      <c r="C10" s="3" t="s">
        <v>595</v>
      </c>
      <c r="D10" s="36" t="s">
        <v>612</v>
      </c>
      <c r="E10" s="36" t="s">
        <v>609</v>
      </c>
      <c r="F10" s="36" t="s">
        <v>613</v>
      </c>
    </row>
    <row r="11" spans="1:6" ht="55.2">
      <c r="A11" s="3" t="s">
        <v>614</v>
      </c>
      <c r="B11" s="37">
        <v>0.5</v>
      </c>
      <c r="C11" s="3" t="s">
        <v>615</v>
      </c>
      <c r="D11" s="36" t="s">
        <v>616</v>
      </c>
      <c r="E11" s="36" t="s">
        <v>597</v>
      </c>
      <c r="F11" s="36" t="s">
        <v>617</v>
      </c>
    </row>
    <row r="12" spans="1:6" ht="69">
      <c r="A12" s="3" t="s">
        <v>618</v>
      </c>
      <c r="B12" s="37">
        <v>0.13650000000000001</v>
      </c>
      <c r="C12" s="3" t="s">
        <v>595</v>
      </c>
      <c r="D12" s="36" t="s">
        <v>619</v>
      </c>
      <c r="E12" s="36" t="s">
        <v>620</v>
      </c>
      <c r="F12" s="36" t="s">
        <v>621</v>
      </c>
    </row>
    <row r="13" spans="1:6" ht="69">
      <c r="A13" s="3" t="s">
        <v>622</v>
      </c>
      <c r="B13" s="37">
        <v>0.41649999999999998</v>
      </c>
      <c r="C13" s="3" t="s">
        <v>595</v>
      </c>
      <c r="D13" s="36" t="s">
        <v>623</v>
      </c>
      <c r="E13" s="36" t="s">
        <v>620</v>
      </c>
      <c r="F13" s="36" t="s">
        <v>624</v>
      </c>
    </row>
    <row r="14" spans="1:6" ht="110.4">
      <c r="A14" s="3" t="s">
        <v>625</v>
      </c>
      <c r="B14" s="37">
        <v>0.34210526315789502</v>
      </c>
      <c r="C14" s="3" t="s">
        <v>595</v>
      </c>
      <c r="D14" s="36" t="s">
        <v>626</v>
      </c>
      <c r="E14" s="36" t="s">
        <v>627</v>
      </c>
      <c r="F14" s="36" t="s">
        <v>628</v>
      </c>
    </row>
    <row r="15" spans="1:6" ht="96.6">
      <c r="A15" s="3" t="s">
        <v>629</v>
      </c>
      <c r="B15" s="7" t="s">
        <v>416</v>
      </c>
      <c r="C15" s="3" t="s">
        <v>595</v>
      </c>
      <c r="D15" s="36" t="s">
        <v>630</v>
      </c>
      <c r="E15" s="36" t="s">
        <v>631</v>
      </c>
      <c r="F15" s="36" t="s">
        <v>632</v>
      </c>
    </row>
    <row r="16" spans="1:6" ht="69">
      <c r="A16" s="3" t="s">
        <v>633</v>
      </c>
      <c r="B16" s="7" t="s">
        <v>634</v>
      </c>
      <c r="C16" s="3" t="s">
        <v>57</v>
      </c>
      <c r="D16" s="36" t="s">
        <v>635</v>
      </c>
      <c r="E16" s="36" t="s">
        <v>597</v>
      </c>
      <c r="F16" s="36" t="s">
        <v>636</v>
      </c>
    </row>
    <row r="17" spans="1:6" ht="41.4">
      <c r="A17" s="3" t="s">
        <v>13</v>
      </c>
      <c r="B17" s="7" t="s">
        <v>114</v>
      </c>
      <c r="C17" s="3" t="s">
        <v>57</v>
      </c>
      <c r="D17" s="36" t="s">
        <v>637</v>
      </c>
      <c r="E17" s="36" t="s">
        <v>597</v>
      </c>
      <c r="F17" s="36" t="s">
        <v>638</v>
      </c>
    </row>
    <row r="18" spans="1:6" ht="41.4">
      <c r="A18" s="3" t="s">
        <v>639</v>
      </c>
      <c r="B18" s="7" t="s">
        <v>640</v>
      </c>
      <c r="C18" s="3" t="s">
        <v>57</v>
      </c>
      <c r="D18" s="36" t="s">
        <v>641</v>
      </c>
      <c r="E18" s="36" t="s">
        <v>597</v>
      </c>
      <c r="F18" s="36" t="s">
        <v>642</v>
      </c>
    </row>
    <row r="19" spans="1:6" ht="124.2">
      <c r="A19" s="3" t="s">
        <v>643</v>
      </c>
      <c r="B19" s="7" t="s">
        <v>416</v>
      </c>
      <c r="C19" s="3" t="s">
        <v>644</v>
      </c>
      <c r="D19" s="36" t="s">
        <v>645</v>
      </c>
      <c r="E19" s="36" t="s">
        <v>646</v>
      </c>
      <c r="F19" s="36" t="s">
        <v>647</v>
      </c>
    </row>
    <row r="20" spans="1:6" ht="27.6">
      <c r="A20" s="3" t="s">
        <v>648</v>
      </c>
      <c r="B20" s="7" t="s">
        <v>115</v>
      </c>
      <c r="C20" s="3" t="s">
        <v>57</v>
      </c>
      <c r="D20" s="36" t="s">
        <v>649</v>
      </c>
      <c r="E20" s="36" t="s">
        <v>650</v>
      </c>
      <c r="F20" s="36" t="s">
        <v>651</v>
      </c>
    </row>
    <row r="21" spans="1:6" ht="55.2">
      <c r="A21" s="3" t="s">
        <v>9</v>
      </c>
      <c r="B21" s="7" t="s">
        <v>652</v>
      </c>
      <c r="C21" s="3" t="s">
        <v>50</v>
      </c>
      <c r="D21" s="36" t="s">
        <v>653</v>
      </c>
      <c r="E21" s="36" t="s">
        <v>654</v>
      </c>
      <c r="F21" s="36" t="s">
        <v>655</v>
      </c>
    </row>
    <row r="22" spans="1:6" ht="55.2">
      <c r="A22" s="3" t="s">
        <v>656</v>
      </c>
      <c r="B22" s="7" t="s">
        <v>652</v>
      </c>
      <c r="C22" s="3" t="s">
        <v>50</v>
      </c>
      <c r="D22" s="36" t="s">
        <v>657</v>
      </c>
      <c r="E22" s="36" t="s">
        <v>654</v>
      </c>
      <c r="F22" s="36" t="s">
        <v>658</v>
      </c>
    </row>
    <row r="23" spans="1:6" ht="55.2">
      <c r="A23" s="3" t="s">
        <v>10</v>
      </c>
      <c r="B23" s="7" t="s">
        <v>170</v>
      </c>
      <c r="C23" s="3" t="s">
        <v>52</v>
      </c>
      <c r="D23" s="36" t="s">
        <v>54</v>
      </c>
      <c r="E23" s="36" t="s">
        <v>654</v>
      </c>
      <c r="F23" s="36" t="s">
        <v>659</v>
      </c>
    </row>
    <row r="24" spans="1:6" ht="55.2">
      <c r="A24" s="3" t="s">
        <v>11</v>
      </c>
      <c r="B24" s="7" t="s">
        <v>84</v>
      </c>
      <c r="C24" s="3" t="s">
        <v>11</v>
      </c>
      <c r="D24" s="36" t="s">
        <v>660</v>
      </c>
      <c r="E24" s="36" t="s">
        <v>654</v>
      </c>
      <c r="F24" s="36" t="s">
        <v>661</v>
      </c>
    </row>
  </sheetData>
  <autoFilter ref="A1:F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5"/>
  <sheetViews>
    <sheetView topLeftCell="J1" workbookViewId="0">
      <pane ySplit="1" topLeftCell="A98" activePane="bottomLeft" state="frozen"/>
      <selection pane="bottomLeft" activeCell="N15" sqref="N15"/>
    </sheetView>
  </sheetViews>
  <sheetFormatPr defaultColWidth="11.19921875" defaultRowHeight="13.8"/>
  <cols>
    <col min="1" max="1" width="17.69921875" customWidth="1"/>
    <col min="2" max="2" width="16.69921875" customWidth="1"/>
    <col min="3" max="5" width="11.69921875" customWidth="1"/>
    <col min="6" max="6" width="29.69921875" customWidth="1"/>
    <col min="7" max="8" width="23.69921875" customWidth="1"/>
    <col min="9" max="9" width="18.69921875" customWidth="1"/>
    <col min="10" max="10" width="28.69921875" customWidth="1"/>
    <col min="11" max="11" width="22.69921875" customWidth="1"/>
    <col min="12" max="12" width="29.69921875" customWidth="1"/>
    <col min="13" max="13" width="27.69921875" customWidth="1"/>
    <col min="14" max="14" width="31.69921875" customWidth="1"/>
  </cols>
  <sheetData>
    <row r="1" spans="1:14" ht="28.05" customHeight="1">
      <c r="A1" s="1" t="s">
        <v>182</v>
      </c>
      <c r="B1" s="1" t="s">
        <v>662</v>
      </c>
      <c r="C1" s="1" t="s">
        <v>663</v>
      </c>
      <c r="D1" s="1" t="s">
        <v>42</v>
      </c>
      <c r="E1" s="1" t="s">
        <v>664</v>
      </c>
      <c r="F1" s="1" t="s">
        <v>665</v>
      </c>
      <c r="G1" s="1" t="s">
        <v>666</v>
      </c>
      <c r="H1" s="1" t="s">
        <v>667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672</v>
      </c>
      <c r="N1" s="1" t="s">
        <v>673</v>
      </c>
    </row>
    <row r="2" spans="1:14">
      <c r="A2" s="3" t="s">
        <v>204</v>
      </c>
      <c r="B2" s="3" t="s">
        <v>674</v>
      </c>
      <c r="C2" s="3" t="s">
        <v>675</v>
      </c>
      <c r="D2" s="9">
        <v>2025</v>
      </c>
      <c r="E2" s="3" t="s">
        <v>676</v>
      </c>
      <c r="F2" s="39">
        <v>9.4852976806097097E-2</v>
      </c>
      <c r="G2" s="39">
        <v>0.13650000000000001</v>
      </c>
      <c r="H2" s="39">
        <v>0.41649999999999998</v>
      </c>
      <c r="I2" s="39">
        <v>3.5834750636932297E-2</v>
      </c>
      <c r="J2" s="39">
        <v>0.11803645233833</v>
      </c>
      <c r="K2" s="38">
        <v>0.5</v>
      </c>
      <c r="L2" s="39">
        <v>9.4852976806097097E-2</v>
      </c>
      <c r="M2" s="34">
        <f>I2+Cascade_Assumptions!$B$11*J2</f>
        <v>9.4852976806097306E-2</v>
      </c>
      <c r="N2" s="34">
        <f t="shared" ref="N2:N33" si="0">L2</f>
        <v>9.4852976806097097E-2</v>
      </c>
    </row>
    <row r="3" spans="1:14">
      <c r="A3" s="3" t="s">
        <v>204</v>
      </c>
      <c r="B3" s="3" t="s">
        <v>674</v>
      </c>
      <c r="C3" s="3" t="s">
        <v>675</v>
      </c>
      <c r="D3" s="9">
        <v>2026</v>
      </c>
      <c r="E3" s="3" t="s">
        <v>676</v>
      </c>
      <c r="F3" s="39">
        <v>9.4852976806097097E-2</v>
      </c>
      <c r="G3" s="39">
        <v>0.13650000000000001</v>
      </c>
      <c r="H3" s="39">
        <v>0.41649999999999998</v>
      </c>
      <c r="I3" s="39"/>
      <c r="J3" s="39"/>
      <c r="K3" s="38"/>
      <c r="L3" s="39">
        <v>0.103182381444878</v>
      </c>
      <c r="M3" s="34"/>
      <c r="N3" s="34">
        <f t="shared" si="0"/>
        <v>0.103182381444878</v>
      </c>
    </row>
    <row r="4" spans="1:14">
      <c r="A4" s="3" t="s">
        <v>204</v>
      </c>
      <c r="B4" s="3" t="s">
        <v>674</v>
      </c>
      <c r="C4" s="3" t="s">
        <v>675</v>
      </c>
      <c r="D4" s="9">
        <v>2027</v>
      </c>
      <c r="E4" s="3" t="s">
        <v>676</v>
      </c>
      <c r="F4" s="39">
        <v>9.4852976806097097E-2</v>
      </c>
      <c r="G4" s="39">
        <v>0.13650000000000001</v>
      </c>
      <c r="H4" s="39">
        <v>0.41649999999999998</v>
      </c>
      <c r="I4" s="39"/>
      <c r="J4" s="39"/>
      <c r="K4" s="38"/>
      <c r="L4" s="39">
        <v>0.111511786083658</v>
      </c>
      <c r="M4" s="34"/>
      <c r="N4" s="34">
        <f t="shared" si="0"/>
        <v>0.111511786083658</v>
      </c>
    </row>
    <row r="5" spans="1:14">
      <c r="A5" s="3" t="s">
        <v>204</v>
      </c>
      <c r="B5" s="3" t="s">
        <v>674</v>
      </c>
      <c r="C5" s="3" t="s">
        <v>675</v>
      </c>
      <c r="D5" s="9">
        <v>2028</v>
      </c>
      <c r="E5" s="3" t="s">
        <v>676</v>
      </c>
      <c r="F5" s="39">
        <v>9.4852976806097097E-2</v>
      </c>
      <c r="G5" s="39">
        <v>0.13650000000000001</v>
      </c>
      <c r="H5" s="39">
        <v>0.41649999999999998</v>
      </c>
      <c r="I5" s="39"/>
      <c r="J5" s="39"/>
      <c r="K5" s="38"/>
      <c r="L5" s="39">
        <v>0.119841190722439</v>
      </c>
      <c r="M5" s="34"/>
      <c r="N5" s="34">
        <f t="shared" si="0"/>
        <v>0.119841190722439</v>
      </c>
    </row>
    <row r="6" spans="1:14">
      <c r="A6" s="3" t="s">
        <v>204</v>
      </c>
      <c r="B6" s="3" t="s">
        <v>674</v>
      </c>
      <c r="C6" s="3" t="s">
        <v>675</v>
      </c>
      <c r="D6" s="9">
        <v>2029</v>
      </c>
      <c r="E6" s="3" t="s">
        <v>676</v>
      </c>
      <c r="F6" s="39">
        <v>9.4852976806097097E-2</v>
      </c>
      <c r="G6" s="39">
        <v>0.13650000000000001</v>
      </c>
      <c r="H6" s="39">
        <v>0.41649999999999998</v>
      </c>
      <c r="I6" s="39"/>
      <c r="J6" s="39"/>
      <c r="K6" s="38"/>
      <c r="L6" s="39">
        <v>0.128170595361219</v>
      </c>
      <c r="M6" s="34"/>
      <c r="N6" s="34">
        <f t="shared" si="0"/>
        <v>0.128170595361219</v>
      </c>
    </row>
    <row r="7" spans="1:14">
      <c r="A7" s="3" t="s">
        <v>204</v>
      </c>
      <c r="B7" s="3" t="s">
        <v>674</v>
      </c>
      <c r="C7" s="3" t="s">
        <v>675</v>
      </c>
      <c r="D7" s="9">
        <v>2030</v>
      </c>
      <c r="E7" s="3" t="s">
        <v>676</v>
      </c>
      <c r="F7" s="39">
        <v>9.4852976806097097E-2</v>
      </c>
      <c r="G7" s="39">
        <v>0.13650000000000001</v>
      </c>
      <c r="H7" s="39">
        <v>0.41649999999999998</v>
      </c>
      <c r="I7" s="39">
        <v>6.3E-2</v>
      </c>
      <c r="J7" s="39">
        <v>0.14699999999999999</v>
      </c>
      <c r="K7" s="38">
        <v>0.5</v>
      </c>
      <c r="L7" s="39">
        <v>0.13650000000000001</v>
      </c>
      <c r="M7" s="34">
        <f>I7+Cascade_Assumptions!$B$11*J7</f>
        <v>0.13650000000000001</v>
      </c>
      <c r="N7" s="34">
        <f t="shared" si="0"/>
        <v>0.13650000000000001</v>
      </c>
    </row>
    <row r="8" spans="1:14">
      <c r="A8" s="3" t="s">
        <v>204</v>
      </c>
      <c r="B8" s="3" t="s">
        <v>674</v>
      </c>
      <c r="C8" s="3" t="s">
        <v>675</v>
      </c>
      <c r="D8" s="9">
        <v>2031</v>
      </c>
      <c r="E8" s="3" t="s">
        <v>677</v>
      </c>
      <c r="F8" s="39">
        <v>9.4852976806097097E-2</v>
      </c>
      <c r="G8" s="39">
        <v>0.13650000000000001</v>
      </c>
      <c r="H8" s="39">
        <v>0.41649999999999998</v>
      </c>
      <c r="I8" s="39"/>
      <c r="J8" s="39"/>
      <c r="K8" s="38"/>
      <c r="L8" s="39">
        <v>0.16450000000000001</v>
      </c>
      <c r="M8" s="34"/>
      <c r="N8" s="34">
        <f t="shared" si="0"/>
        <v>0.16450000000000001</v>
      </c>
    </row>
    <row r="9" spans="1:14">
      <c r="A9" s="3" t="s">
        <v>204</v>
      </c>
      <c r="B9" s="3" t="s">
        <v>674</v>
      </c>
      <c r="C9" s="3" t="s">
        <v>675</v>
      </c>
      <c r="D9" s="9">
        <v>2032</v>
      </c>
      <c r="E9" s="3" t="s">
        <v>677</v>
      </c>
      <c r="F9" s="39">
        <v>9.4852976806097097E-2</v>
      </c>
      <c r="G9" s="39">
        <v>0.13650000000000001</v>
      </c>
      <c r="H9" s="39">
        <v>0.41649999999999998</v>
      </c>
      <c r="I9" s="39"/>
      <c r="J9" s="39"/>
      <c r="K9" s="38"/>
      <c r="L9" s="39">
        <v>0.1925</v>
      </c>
      <c r="M9" s="34"/>
      <c r="N9" s="34">
        <f t="shared" si="0"/>
        <v>0.1925</v>
      </c>
    </row>
    <row r="10" spans="1:14">
      <c r="A10" s="3" t="s">
        <v>204</v>
      </c>
      <c r="B10" s="3" t="s">
        <v>674</v>
      </c>
      <c r="C10" s="3" t="s">
        <v>675</v>
      </c>
      <c r="D10" s="9">
        <v>2033</v>
      </c>
      <c r="E10" s="3" t="s">
        <v>677</v>
      </c>
      <c r="F10" s="39">
        <v>9.4852976806097097E-2</v>
      </c>
      <c r="G10" s="39">
        <v>0.13650000000000001</v>
      </c>
      <c r="H10" s="39">
        <v>0.41649999999999998</v>
      </c>
      <c r="I10" s="39"/>
      <c r="J10" s="39"/>
      <c r="K10" s="38"/>
      <c r="L10" s="39">
        <v>0.2205</v>
      </c>
      <c r="M10" s="34"/>
      <c r="N10" s="34">
        <f t="shared" si="0"/>
        <v>0.2205</v>
      </c>
    </row>
    <row r="11" spans="1:14">
      <c r="A11" s="3" t="s">
        <v>204</v>
      </c>
      <c r="B11" s="3" t="s">
        <v>674</v>
      </c>
      <c r="C11" s="3" t="s">
        <v>675</v>
      </c>
      <c r="D11" s="9">
        <v>2034</v>
      </c>
      <c r="E11" s="3" t="s">
        <v>677</v>
      </c>
      <c r="F11" s="39">
        <v>9.4852976806097097E-2</v>
      </c>
      <c r="G11" s="39">
        <v>0.13650000000000001</v>
      </c>
      <c r="H11" s="39">
        <v>0.41649999999999998</v>
      </c>
      <c r="I11" s="39"/>
      <c r="J11" s="39"/>
      <c r="K11" s="38"/>
      <c r="L11" s="39">
        <v>0.2485</v>
      </c>
      <c r="M11" s="34"/>
      <c r="N11" s="34">
        <f t="shared" si="0"/>
        <v>0.2485</v>
      </c>
    </row>
    <row r="12" spans="1:14">
      <c r="A12" s="3" t="s">
        <v>204</v>
      </c>
      <c r="B12" s="3" t="s">
        <v>674</v>
      </c>
      <c r="C12" s="3" t="s">
        <v>675</v>
      </c>
      <c r="D12" s="9">
        <v>2035</v>
      </c>
      <c r="E12" s="3" t="s">
        <v>677</v>
      </c>
      <c r="F12" s="39">
        <v>9.4852976806097097E-2</v>
      </c>
      <c r="G12" s="39">
        <v>0.13650000000000001</v>
      </c>
      <c r="H12" s="39">
        <v>0.41649999999999998</v>
      </c>
      <c r="I12" s="39"/>
      <c r="J12" s="39"/>
      <c r="K12" s="38"/>
      <c r="L12" s="39">
        <v>0.27650000000000002</v>
      </c>
      <c r="M12" s="34"/>
      <c r="N12" s="34">
        <f t="shared" si="0"/>
        <v>0.27650000000000002</v>
      </c>
    </row>
    <row r="13" spans="1:14">
      <c r="A13" s="3" t="s">
        <v>204</v>
      </c>
      <c r="B13" s="3" t="s">
        <v>674</v>
      </c>
      <c r="C13" s="3" t="s">
        <v>675</v>
      </c>
      <c r="D13" s="9">
        <v>2036</v>
      </c>
      <c r="E13" s="3" t="s">
        <v>677</v>
      </c>
      <c r="F13" s="39">
        <v>9.4852976806097097E-2</v>
      </c>
      <c r="G13" s="39">
        <v>0.13650000000000001</v>
      </c>
      <c r="H13" s="39">
        <v>0.41649999999999998</v>
      </c>
      <c r="I13" s="39"/>
      <c r="J13" s="39"/>
      <c r="K13" s="38"/>
      <c r="L13" s="39">
        <v>0.30449999999999999</v>
      </c>
      <c r="M13" s="34"/>
      <c r="N13" s="34">
        <f t="shared" si="0"/>
        <v>0.30449999999999999</v>
      </c>
    </row>
    <row r="14" spans="1:14">
      <c r="A14" s="3" t="s">
        <v>204</v>
      </c>
      <c r="B14" s="3" t="s">
        <v>674</v>
      </c>
      <c r="C14" s="3" t="s">
        <v>675</v>
      </c>
      <c r="D14" s="9">
        <v>2037</v>
      </c>
      <c r="E14" s="3" t="s">
        <v>677</v>
      </c>
      <c r="F14" s="39">
        <v>9.4852976806097097E-2</v>
      </c>
      <c r="G14" s="39">
        <v>0.13650000000000001</v>
      </c>
      <c r="H14" s="39">
        <v>0.41649999999999998</v>
      </c>
      <c r="I14" s="39"/>
      <c r="J14" s="39"/>
      <c r="K14" s="38"/>
      <c r="L14" s="39">
        <v>0.33250000000000002</v>
      </c>
      <c r="M14" s="34"/>
      <c r="N14" s="34">
        <f t="shared" si="0"/>
        <v>0.33250000000000002</v>
      </c>
    </row>
    <row r="15" spans="1:14">
      <c r="A15" s="3" t="s">
        <v>204</v>
      </c>
      <c r="B15" s="3" t="s">
        <v>674</v>
      </c>
      <c r="C15" s="3" t="s">
        <v>675</v>
      </c>
      <c r="D15" s="9">
        <v>2038</v>
      </c>
      <c r="E15" s="3" t="s">
        <v>677</v>
      </c>
      <c r="F15" s="39">
        <v>9.4852976806097097E-2</v>
      </c>
      <c r="G15" s="39">
        <v>0.13650000000000001</v>
      </c>
      <c r="H15" s="39">
        <v>0.41649999999999998</v>
      </c>
      <c r="I15" s="39"/>
      <c r="J15" s="39"/>
      <c r="K15" s="38"/>
      <c r="L15" s="39">
        <v>0.36049999999999999</v>
      </c>
      <c r="M15" s="34"/>
      <c r="N15" s="34">
        <f t="shared" si="0"/>
        <v>0.36049999999999999</v>
      </c>
    </row>
    <row r="16" spans="1:14">
      <c r="A16" s="3" t="s">
        <v>204</v>
      </c>
      <c r="B16" s="3" t="s">
        <v>674</v>
      </c>
      <c r="C16" s="3" t="s">
        <v>675</v>
      </c>
      <c r="D16" s="9">
        <v>2039</v>
      </c>
      <c r="E16" s="3" t="s">
        <v>677</v>
      </c>
      <c r="F16" s="39">
        <v>9.4852976806097097E-2</v>
      </c>
      <c r="G16" s="39">
        <v>0.13650000000000001</v>
      </c>
      <c r="H16" s="39">
        <v>0.41649999999999998</v>
      </c>
      <c r="I16" s="39"/>
      <c r="J16" s="39"/>
      <c r="K16" s="38"/>
      <c r="L16" s="39">
        <v>0.38850000000000001</v>
      </c>
      <c r="M16" s="34"/>
      <c r="N16" s="34">
        <f t="shared" si="0"/>
        <v>0.38850000000000001</v>
      </c>
    </row>
    <row r="17" spans="1:14">
      <c r="A17" s="3" t="s">
        <v>204</v>
      </c>
      <c r="B17" s="3" t="s">
        <v>674</v>
      </c>
      <c r="C17" s="3" t="s">
        <v>675</v>
      </c>
      <c r="D17" s="9">
        <v>2040</v>
      </c>
      <c r="E17" s="3" t="s">
        <v>677</v>
      </c>
      <c r="F17" s="39">
        <v>9.4852976806097097E-2</v>
      </c>
      <c r="G17" s="39">
        <v>0.13650000000000001</v>
      </c>
      <c r="H17" s="39">
        <v>0.41649999999999998</v>
      </c>
      <c r="I17" s="39">
        <v>0.34300000000000003</v>
      </c>
      <c r="J17" s="39">
        <v>0.14699999999999999</v>
      </c>
      <c r="K17" s="38">
        <v>0.5</v>
      </c>
      <c r="L17" s="39">
        <v>0.41649999999999998</v>
      </c>
      <c r="M17" s="34">
        <f>I17+Cascade_Assumptions!$B$11*J17</f>
        <v>0.41650000000000004</v>
      </c>
      <c r="N17" s="34">
        <f t="shared" si="0"/>
        <v>0.41649999999999998</v>
      </c>
    </row>
    <row r="18" spans="1:14">
      <c r="A18" s="3" t="s">
        <v>204</v>
      </c>
      <c r="B18" s="3" t="s">
        <v>674</v>
      </c>
      <c r="C18" s="3" t="s">
        <v>675</v>
      </c>
      <c r="D18" s="9">
        <v>2041</v>
      </c>
      <c r="E18" s="3" t="s">
        <v>678</v>
      </c>
      <c r="F18" s="39">
        <v>9.4852976806097097E-2</v>
      </c>
      <c r="G18" s="39">
        <v>0.13650000000000001</v>
      </c>
      <c r="H18" s="39">
        <v>0.41649999999999998</v>
      </c>
      <c r="I18" s="39"/>
      <c r="J18" s="39"/>
      <c r="K18" s="38"/>
      <c r="L18" s="39">
        <v>0.41649999999999998</v>
      </c>
      <c r="M18" s="34"/>
      <c r="N18" s="34">
        <f t="shared" si="0"/>
        <v>0.41649999999999998</v>
      </c>
    </row>
    <row r="19" spans="1:14">
      <c r="A19" s="3" t="s">
        <v>204</v>
      </c>
      <c r="B19" s="3" t="s">
        <v>674</v>
      </c>
      <c r="C19" s="3" t="s">
        <v>675</v>
      </c>
      <c r="D19" s="9">
        <v>2042</v>
      </c>
      <c r="E19" s="3" t="s">
        <v>678</v>
      </c>
      <c r="F19" s="39">
        <v>9.4852976806097097E-2</v>
      </c>
      <c r="G19" s="39">
        <v>0.13650000000000001</v>
      </c>
      <c r="H19" s="39">
        <v>0.41649999999999998</v>
      </c>
      <c r="I19" s="39"/>
      <c r="J19" s="39"/>
      <c r="K19" s="38"/>
      <c r="L19" s="39">
        <v>0.41649999999999998</v>
      </c>
      <c r="M19" s="34"/>
      <c r="N19" s="34">
        <f t="shared" si="0"/>
        <v>0.41649999999999998</v>
      </c>
    </row>
    <row r="20" spans="1:14">
      <c r="A20" s="3" t="s">
        <v>204</v>
      </c>
      <c r="B20" s="3" t="s">
        <v>674</v>
      </c>
      <c r="C20" s="3" t="s">
        <v>675</v>
      </c>
      <c r="D20" s="9">
        <v>2043</v>
      </c>
      <c r="E20" s="3" t="s">
        <v>678</v>
      </c>
      <c r="F20" s="39">
        <v>9.4852976806097097E-2</v>
      </c>
      <c r="G20" s="39">
        <v>0.13650000000000001</v>
      </c>
      <c r="H20" s="39">
        <v>0.41649999999999998</v>
      </c>
      <c r="I20" s="39"/>
      <c r="J20" s="39"/>
      <c r="K20" s="38"/>
      <c r="L20" s="39">
        <v>0.41649999999999998</v>
      </c>
      <c r="M20" s="34"/>
      <c r="N20" s="34">
        <f t="shared" si="0"/>
        <v>0.41649999999999998</v>
      </c>
    </row>
    <row r="21" spans="1:14">
      <c r="A21" s="3" t="s">
        <v>204</v>
      </c>
      <c r="B21" s="3" t="s">
        <v>674</v>
      </c>
      <c r="C21" s="3" t="s">
        <v>675</v>
      </c>
      <c r="D21" s="9">
        <v>2044</v>
      </c>
      <c r="E21" s="3" t="s">
        <v>678</v>
      </c>
      <c r="F21" s="39">
        <v>9.4852976806097097E-2</v>
      </c>
      <c r="G21" s="39">
        <v>0.13650000000000001</v>
      </c>
      <c r="H21" s="39">
        <v>0.41649999999999998</v>
      </c>
      <c r="I21" s="39"/>
      <c r="J21" s="39"/>
      <c r="K21" s="38"/>
      <c r="L21" s="39">
        <v>0.41649999999999998</v>
      </c>
      <c r="M21" s="34"/>
      <c r="N21" s="34">
        <f t="shared" si="0"/>
        <v>0.41649999999999998</v>
      </c>
    </row>
    <row r="22" spans="1:14">
      <c r="A22" s="3" t="s">
        <v>204</v>
      </c>
      <c r="B22" s="3" t="s">
        <v>674</v>
      </c>
      <c r="C22" s="3" t="s">
        <v>675</v>
      </c>
      <c r="D22" s="9">
        <v>2045</v>
      </c>
      <c r="E22" s="3" t="s">
        <v>678</v>
      </c>
      <c r="F22" s="39">
        <v>9.4852976806097097E-2</v>
      </c>
      <c r="G22" s="39">
        <v>0.13650000000000001</v>
      </c>
      <c r="H22" s="39">
        <v>0.41649999999999998</v>
      </c>
      <c r="I22" s="39"/>
      <c r="J22" s="39"/>
      <c r="K22" s="38"/>
      <c r="L22" s="39">
        <v>0.41649999999999998</v>
      </c>
      <c r="M22" s="34"/>
      <c r="N22" s="34">
        <f t="shared" si="0"/>
        <v>0.41649999999999998</v>
      </c>
    </row>
    <row r="23" spans="1:14">
      <c r="A23" s="3" t="s">
        <v>204</v>
      </c>
      <c r="B23" s="3" t="s">
        <v>674</v>
      </c>
      <c r="C23" s="3" t="s">
        <v>675</v>
      </c>
      <c r="D23" s="9">
        <v>2046</v>
      </c>
      <c r="E23" s="3" t="s">
        <v>678</v>
      </c>
      <c r="F23" s="39">
        <v>9.4852976806097097E-2</v>
      </c>
      <c r="G23" s="39">
        <v>0.13650000000000001</v>
      </c>
      <c r="H23" s="39">
        <v>0.41649999999999998</v>
      </c>
      <c r="I23" s="39"/>
      <c r="J23" s="39"/>
      <c r="K23" s="38"/>
      <c r="L23" s="39">
        <v>0.41649999999999998</v>
      </c>
      <c r="M23" s="34"/>
      <c r="N23" s="34">
        <f t="shared" si="0"/>
        <v>0.41649999999999998</v>
      </c>
    </row>
    <row r="24" spans="1:14">
      <c r="A24" s="3" t="s">
        <v>204</v>
      </c>
      <c r="B24" s="3" t="s">
        <v>674</v>
      </c>
      <c r="C24" s="3" t="s">
        <v>675</v>
      </c>
      <c r="D24" s="9">
        <v>2047</v>
      </c>
      <c r="E24" s="3" t="s">
        <v>678</v>
      </c>
      <c r="F24" s="39">
        <v>9.4852976806097097E-2</v>
      </c>
      <c r="G24" s="39">
        <v>0.13650000000000001</v>
      </c>
      <c r="H24" s="39">
        <v>0.41649999999999998</v>
      </c>
      <c r="I24" s="39"/>
      <c r="J24" s="39"/>
      <c r="K24" s="38"/>
      <c r="L24" s="39">
        <v>0.41649999999999998</v>
      </c>
      <c r="M24" s="34"/>
      <c r="N24" s="34">
        <f t="shared" si="0"/>
        <v>0.41649999999999998</v>
      </c>
    </row>
    <row r="25" spans="1:14">
      <c r="A25" s="3" t="s">
        <v>204</v>
      </c>
      <c r="B25" s="3" t="s">
        <v>674</v>
      </c>
      <c r="C25" s="3" t="s">
        <v>675</v>
      </c>
      <c r="D25" s="9">
        <v>2048</v>
      </c>
      <c r="E25" s="3" t="s">
        <v>678</v>
      </c>
      <c r="F25" s="39">
        <v>9.4852976806097097E-2</v>
      </c>
      <c r="G25" s="39">
        <v>0.13650000000000001</v>
      </c>
      <c r="H25" s="39">
        <v>0.41649999999999998</v>
      </c>
      <c r="I25" s="39"/>
      <c r="J25" s="39"/>
      <c r="K25" s="38"/>
      <c r="L25" s="39">
        <v>0.41649999999999998</v>
      </c>
      <c r="M25" s="34"/>
      <c r="N25" s="34">
        <f t="shared" si="0"/>
        <v>0.41649999999999998</v>
      </c>
    </row>
    <row r="26" spans="1:14">
      <c r="A26" s="3" t="s">
        <v>204</v>
      </c>
      <c r="B26" s="3" t="s">
        <v>674</v>
      </c>
      <c r="C26" s="3" t="s">
        <v>675</v>
      </c>
      <c r="D26" s="9">
        <v>2049</v>
      </c>
      <c r="E26" s="3" t="s">
        <v>678</v>
      </c>
      <c r="F26" s="39">
        <v>9.4852976806097097E-2</v>
      </c>
      <c r="G26" s="39">
        <v>0.13650000000000001</v>
      </c>
      <c r="H26" s="39">
        <v>0.41649999999999998</v>
      </c>
      <c r="I26" s="39"/>
      <c r="J26" s="39"/>
      <c r="K26" s="38"/>
      <c r="L26" s="39">
        <v>0.41649999999999998</v>
      </c>
      <c r="M26" s="34"/>
      <c r="N26" s="34">
        <f t="shared" si="0"/>
        <v>0.41649999999999998</v>
      </c>
    </row>
    <row r="27" spans="1:14">
      <c r="A27" s="3" t="s">
        <v>204</v>
      </c>
      <c r="B27" s="3" t="s">
        <v>674</v>
      </c>
      <c r="C27" s="3" t="s">
        <v>675</v>
      </c>
      <c r="D27" s="9">
        <v>2050</v>
      </c>
      <c r="E27" s="3" t="s">
        <v>678</v>
      </c>
      <c r="F27" s="39">
        <v>9.4852976806097097E-2</v>
      </c>
      <c r="G27" s="39">
        <v>0.13650000000000001</v>
      </c>
      <c r="H27" s="39">
        <v>0.41649999999999998</v>
      </c>
      <c r="I27" s="39"/>
      <c r="J27" s="39"/>
      <c r="K27" s="38"/>
      <c r="L27" s="39">
        <v>0.41649999999999998</v>
      </c>
      <c r="M27" s="34"/>
      <c r="N27" s="34">
        <f t="shared" si="0"/>
        <v>0.41649999999999998</v>
      </c>
    </row>
    <row r="28" spans="1:14">
      <c r="A28" s="3" t="s">
        <v>204</v>
      </c>
      <c r="B28" s="3" t="s">
        <v>674</v>
      </c>
      <c r="C28" s="3" t="s">
        <v>679</v>
      </c>
      <c r="D28" s="9">
        <v>2025</v>
      </c>
      <c r="E28" s="3" t="s">
        <v>676</v>
      </c>
      <c r="F28" s="39">
        <v>0.13268073793971499</v>
      </c>
      <c r="G28" s="39">
        <v>0.13650000000000001</v>
      </c>
      <c r="H28" s="39">
        <v>0.41649999999999998</v>
      </c>
      <c r="I28" s="39">
        <v>5.12143938690846E-2</v>
      </c>
      <c r="J28" s="39">
        <v>0.162932688141261</v>
      </c>
      <c r="K28" s="38">
        <v>0.5</v>
      </c>
      <c r="L28" s="39">
        <v>0.13268073793971499</v>
      </c>
      <c r="M28" s="34">
        <f>I28+Cascade_Assumptions!$B$11*J28</f>
        <v>0.1326807379397151</v>
      </c>
      <c r="N28" s="34">
        <f t="shared" si="0"/>
        <v>0.13268073793971499</v>
      </c>
    </row>
    <row r="29" spans="1:14">
      <c r="A29" s="3" t="s">
        <v>204</v>
      </c>
      <c r="B29" s="3" t="s">
        <v>674</v>
      </c>
      <c r="C29" s="3" t="s">
        <v>679</v>
      </c>
      <c r="D29" s="9">
        <v>2026</v>
      </c>
      <c r="E29" s="3" t="s">
        <v>676</v>
      </c>
      <c r="F29" s="39">
        <v>0.13268073793971499</v>
      </c>
      <c r="G29" s="39">
        <v>0.13650000000000001</v>
      </c>
      <c r="H29" s="39">
        <v>0.41649999999999998</v>
      </c>
      <c r="I29" s="39"/>
      <c r="J29" s="39"/>
      <c r="K29" s="38"/>
      <c r="L29" s="39">
        <v>0.133444590351772</v>
      </c>
      <c r="M29" s="34"/>
      <c r="N29" s="34">
        <f t="shared" si="0"/>
        <v>0.133444590351772</v>
      </c>
    </row>
    <row r="30" spans="1:14">
      <c r="A30" s="3" t="s">
        <v>204</v>
      </c>
      <c r="B30" s="3" t="s">
        <v>674</v>
      </c>
      <c r="C30" s="3" t="s">
        <v>679</v>
      </c>
      <c r="D30" s="9">
        <v>2027</v>
      </c>
      <c r="E30" s="3" t="s">
        <v>676</v>
      </c>
      <c r="F30" s="39">
        <v>0.13268073793971499</v>
      </c>
      <c r="G30" s="39">
        <v>0.13650000000000001</v>
      </c>
      <c r="H30" s="39">
        <v>0.41649999999999998</v>
      </c>
      <c r="I30" s="39"/>
      <c r="J30" s="39"/>
      <c r="K30" s="38"/>
      <c r="L30" s="39">
        <v>0.13420844276382901</v>
      </c>
      <c r="M30" s="34"/>
      <c r="N30" s="34">
        <f t="shared" si="0"/>
        <v>0.13420844276382901</v>
      </c>
    </row>
    <row r="31" spans="1:14">
      <c r="A31" s="3" t="s">
        <v>204</v>
      </c>
      <c r="B31" s="3" t="s">
        <v>674</v>
      </c>
      <c r="C31" s="3" t="s">
        <v>679</v>
      </c>
      <c r="D31" s="9">
        <v>2028</v>
      </c>
      <c r="E31" s="3" t="s">
        <v>676</v>
      </c>
      <c r="F31" s="39">
        <v>0.13268073793971499</v>
      </c>
      <c r="G31" s="39">
        <v>0.13650000000000001</v>
      </c>
      <c r="H31" s="39">
        <v>0.41649999999999998</v>
      </c>
      <c r="I31" s="39"/>
      <c r="J31" s="39"/>
      <c r="K31" s="38"/>
      <c r="L31" s="39">
        <v>0.13497229517588599</v>
      </c>
      <c r="M31" s="34"/>
      <c r="N31" s="34">
        <f t="shared" si="0"/>
        <v>0.13497229517588599</v>
      </c>
    </row>
    <row r="32" spans="1:14">
      <c r="A32" s="3" t="s">
        <v>204</v>
      </c>
      <c r="B32" s="3" t="s">
        <v>674</v>
      </c>
      <c r="C32" s="3" t="s">
        <v>679</v>
      </c>
      <c r="D32" s="9">
        <v>2029</v>
      </c>
      <c r="E32" s="3" t="s">
        <v>676</v>
      </c>
      <c r="F32" s="39">
        <v>0.13268073793971499</v>
      </c>
      <c r="G32" s="39">
        <v>0.13650000000000001</v>
      </c>
      <c r="H32" s="39">
        <v>0.41649999999999998</v>
      </c>
      <c r="I32" s="39"/>
      <c r="J32" s="39"/>
      <c r="K32" s="38"/>
      <c r="L32" s="39">
        <v>0.135736147587943</v>
      </c>
      <c r="M32" s="34"/>
      <c r="N32" s="34">
        <f t="shared" si="0"/>
        <v>0.135736147587943</v>
      </c>
    </row>
    <row r="33" spans="1:14">
      <c r="A33" s="3" t="s">
        <v>204</v>
      </c>
      <c r="B33" s="3" t="s">
        <v>674</v>
      </c>
      <c r="C33" s="3" t="s">
        <v>679</v>
      </c>
      <c r="D33" s="9">
        <v>2030</v>
      </c>
      <c r="E33" s="3" t="s">
        <v>676</v>
      </c>
      <c r="F33" s="39">
        <v>0.13268073793971499</v>
      </c>
      <c r="G33" s="39">
        <v>0.13650000000000001</v>
      </c>
      <c r="H33" s="39">
        <v>0.41649999999999998</v>
      </c>
      <c r="I33" s="39">
        <v>6.3E-2</v>
      </c>
      <c r="J33" s="39">
        <v>0.14699999999999999</v>
      </c>
      <c r="K33" s="38">
        <v>0.5</v>
      </c>
      <c r="L33" s="39">
        <v>0.13650000000000001</v>
      </c>
      <c r="M33" s="34">
        <f>I33+Cascade_Assumptions!$B$11*J33</f>
        <v>0.13650000000000001</v>
      </c>
      <c r="N33" s="34">
        <f t="shared" si="0"/>
        <v>0.13650000000000001</v>
      </c>
    </row>
    <row r="34" spans="1:14">
      <c r="A34" s="3" t="s">
        <v>204</v>
      </c>
      <c r="B34" s="3" t="s">
        <v>674</v>
      </c>
      <c r="C34" s="3" t="s">
        <v>679</v>
      </c>
      <c r="D34" s="9">
        <v>2031</v>
      </c>
      <c r="E34" s="3" t="s">
        <v>677</v>
      </c>
      <c r="F34" s="39">
        <v>0.13268073793971499</v>
      </c>
      <c r="G34" s="39">
        <v>0.13650000000000001</v>
      </c>
      <c r="H34" s="39">
        <v>0.41649999999999998</v>
      </c>
      <c r="I34" s="39"/>
      <c r="J34" s="39"/>
      <c r="K34" s="38"/>
      <c r="L34" s="39">
        <v>0.16450000000000001</v>
      </c>
      <c r="M34" s="34"/>
      <c r="N34" s="34">
        <f t="shared" ref="N34:N65" si="1">L34</f>
        <v>0.16450000000000001</v>
      </c>
    </row>
    <row r="35" spans="1:14">
      <c r="A35" s="3" t="s">
        <v>204</v>
      </c>
      <c r="B35" s="3" t="s">
        <v>674</v>
      </c>
      <c r="C35" s="3" t="s">
        <v>679</v>
      </c>
      <c r="D35" s="9">
        <v>2032</v>
      </c>
      <c r="E35" s="3" t="s">
        <v>677</v>
      </c>
      <c r="F35" s="39">
        <v>0.13268073793971499</v>
      </c>
      <c r="G35" s="39">
        <v>0.13650000000000001</v>
      </c>
      <c r="H35" s="39">
        <v>0.41649999999999998</v>
      </c>
      <c r="I35" s="39"/>
      <c r="J35" s="39"/>
      <c r="K35" s="38"/>
      <c r="L35" s="39">
        <v>0.1925</v>
      </c>
      <c r="M35" s="34"/>
      <c r="N35" s="34">
        <f t="shared" si="1"/>
        <v>0.1925</v>
      </c>
    </row>
    <row r="36" spans="1:14">
      <c r="A36" s="3" t="s">
        <v>204</v>
      </c>
      <c r="B36" s="3" t="s">
        <v>674</v>
      </c>
      <c r="C36" s="3" t="s">
        <v>679</v>
      </c>
      <c r="D36" s="9">
        <v>2033</v>
      </c>
      <c r="E36" s="3" t="s">
        <v>677</v>
      </c>
      <c r="F36" s="39">
        <v>0.13268073793971499</v>
      </c>
      <c r="G36" s="39">
        <v>0.13650000000000001</v>
      </c>
      <c r="H36" s="39">
        <v>0.41649999999999998</v>
      </c>
      <c r="I36" s="39"/>
      <c r="J36" s="39"/>
      <c r="K36" s="38"/>
      <c r="L36" s="39">
        <v>0.2205</v>
      </c>
      <c r="M36" s="34"/>
      <c r="N36" s="34">
        <f t="shared" si="1"/>
        <v>0.2205</v>
      </c>
    </row>
    <row r="37" spans="1:14">
      <c r="A37" s="3" t="s">
        <v>204</v>
      </c>
      <c r="B37" s="3" t="s">
        <v>674</v>
      </c>
      <c r="C37" s="3" t="s">
        <v>679</v>
      </c>
      <c r="D37" s="9">
        <v>2034</v>
      </c>
      <c r="E37" s="3" t="s">
        <v>677</v>
      </c>
      <c r="F37" s="39">
        <v>0.13268073793971499</v>
      </c>
      <c r="G37" s="39">
        <v>0.13650000000000001</v>
      </c>
      <c r="H37" s="39">
        <v>0.41649999999999998</v>
      </c>
      <c r="I37" s="39"/>
      <c r="J37" s="39"/>
      <c r="K37" s="38"/>
      <c r="L37" s="39">
        <v>0.2485</v>
      </c>
      <c r="M37" s="34"/>
      <c r="N37" s="34">
        <f t="shared" si="1"/>
        <v>0.2485</v>
      </c>
    </row>
    <row r="38" spans="1:14">
      <c r="A38" s="3" t="s">
        <v>204</v>
      </c>
      <c r="B38" s="3" t="s">
        <v>674</v>
      </c>
      <c r="C38" s="3" t="s">
        <v>679</v>
      </c>
      <c r="D38" s="9">
        <v>2035</v>
      </c>
      <c r="E38" s="3" t="s">
        <v>677</v>
      </c>
      <c r="F38" s="39">
        <v>0.13268073793971499</v>
      </c>
      <c r="G38" s="39">
        <v>0.13650000000000001</v>
      </c>
      <c r="H38" s="39">
        <v>0.41649999999999998</v>
      </c>
      <c r="I38" s="39"/>
      <c r="J38" s="39"/>
      <c r="K38" s="38"/>
      <c r="L38" s="39">
        <v>0.27650000000000002</v>
      </c>
      <c r="M38" s="34"/>
      <c r="N38" s="34">
        <f t="shared" si="1"/>
        <v>0.27650000000000002</v>
      </c>
    </row>
    <row r="39" spans="1:14">
      <c r="A39" s="3" t="s">
        <v>204</v>
      </c>
      <c r="B39" s="3" t="s">
        <v>674</v>
      </c>
      <c r="C39" s="3" t="s">
        <v>679</v>
      </c>
      <c r="D39" s="9">
        <v>2036</v>
      </c>
      <c r="E39" s="3" t="s">
        <v>677</v>
      </c>
      <c r="F39" s="39">
        <v>0.13268073793971499</v>
      </c>
      <c r="G39" s="39">
        <v>0.13650000000000001</v>
      </c>
      <c r="H39" s="39">
        <v>0.41649999999999998</v>
      </c>
      <c r="I39" s="39"/>
      <c r="J39" s="39"/>
      <c r="K39" s="38"/>
      <c r="L39" s="39">
        <v>0.30449999999999999</v>
      </c>
      <c r="M39" s="34"/>
      <c r="N39" s="34">
        <f t="shared" si="1"/>
        <v>0.30449999999999999</v>
      </c>
    </row>
    <row r="40" spans="1:14">
      <c r="A40" s="3" t="s">
        <v>204</v>
      </c>
      <c r="B40" s="3" t="s">
        <v>674</v>
      </c>
      <c r="C40" s="3" t="s">
        <v>679</v>
      </c>
      <c r="D40" s="9">
        <v>2037</v>
      </c>
      <c r="E40" s="3" t="s">
        <v>677</v>
      </c>
      <c r="F40" s="39">
        <v>0.13268073793971499</v>
      </c>
      <c r="G40" s="39">
        <v>0.13650000000000001</v>
      </c>
      <c r="H40" s="39">
        <v>0.41649999999999998</v>
      </c>
      <c r="I40" s="39"/>
      <c r="J40" s="39"/>
      <c r="K40" s="38"/>
      <c r="L40" s="39">
        <v>0.33250000000000002</v>
      </c>
      <c r="M40" s="34"/>
      <c r="N40" s="34">
        <f t="shared" si="1"/>
        <v>0.33250000000000002</v>
      </c>
    </row>
    <row r="41" spans="1:14">
      <c r="A41" s="3" t="s">
        <v>204</v>
      </c>
      <c r="B41" s="3" t="s">
        <v>674</v>
      </c>
      <c r="C41" s="3" t="s">
        <v>679</v>
      </c>
      <c r="D41" s="9">
        <v>2038</v>
      </c>
      <c r="E41" s="3" t="s">
        <v>677</v>
      </c>
      <c r="F41" s="39">
        <v>0.13268073793971499</v>
      </c>
      <c r="G41" s="39">
        <v>0.13650000000000001</v>
      </c>
      <c r="H41" s="39">
        <v>0.41649999999999998</v>
      </c>
      <c r="I41" s="39"/>
      <c r="J41" s="39"/>
      <c r="K41" s="38"/>
      <c r="L41" s="39">
        <v>0.36049999999999999</v>
      </c>
      <c r="M41" s="34"/>
      <c r="N41" s="34">
        <f t="shared" si="1"/>
        <v>0.36049999999999999</v>
      </c>
    </row>
    <row r="42" spans="1:14">
      <c r="A42" s="3" t="s">
        <v>204</v>
      </c>
      <c r="B42" s="3" t="s">
        <v>674</v>
      </c>
      <c r="C42" s="3" t="s">
        <v>679</v>
      </c>
      <c r="D42" s="9">
        <v>2039</v>
      </c>
      <c r="E42" s="3" t="s">
        <v>677</v>
      </c>
      <c r="F42" s="39">
        <v>0.13268073793971499</v>
      </c>
      <c r="G42" s="39">
        <v>0.13650000000000001</v>
      </c>
      <c r="H42" s="39">
        <v>0.41649999999999998</v>
      </c>
      <c r="I42" s="39"/>
      <c r="J42" s="39"/>
      <c r="K42" s="38"/>
      <c r="L42" s="39">
        <v>0.38850000000000001</v>
      </c>
      <c r="M42" s="34"/>
      <c r="N42" s="34">
        <f t="shared" si="1"/>
        <v>0.38850000000000001</v>
      </c>
    </row>
    <row r="43" spans="1:14">
      <c r="A43" s="3" t="s">
        <v>204</v>
      </c>
      <c r="B43" s="3" t="s">
        <v>674</v>
      </c>
      <c r="C43" s="3" t="s">
        <v>679</v>
      </c>
      <c r="D43" s="9">
        <v>2040</v>
      </c>
      <c r="E43" s="3" t="s">
        <v>677</v>
      </c>
      <c r="F43" s="39">
        <v>0.13268073793971499</v>
      </c>
      <c r="G43" s="39">
        <v>0.13650000000000001</v>
      </c>
      <c r="H43" s="39">
        <v>0.41649999999999998</v>
      </c>
      <c r="I43" s="39">
        <v>0.34300000000000003</v>
      </c>
      <c r="J43" s="39">
        <v>0.14699999999999999</v>
      </c>
      <c r="K43" s="38">
        <v>0.5</v>
      </c>
      <c r="L43" s="39">
        <v>0.41649999999999998</v>
      </c>
      <c r="M43" s="34">
        <f>I43+Cascade_Assumptions!$B$11*J43</f>
        <v>0.41650000000000004</v>
      </c>
      <c r="N43" s="34">
        <f t="shared" si="1"/>
        <v>0.41649999999999998</v>
      </c>
    </row>
    <row r="44" spans="1:14">
      <c r="A44" s="3" t="s">
        <v>204</v>
      </c>
      <c r="B44" s="3" t="s">
        <v>674</v>
      </c>
      <c r="C44" s="3" t="s">
        <v>679</v>
      </c>
      <c r="D44" s="9">
        <v>2041</v>
      </c>
      <c r="E44" s="3" t="s">
        <v>678</v>
      </c>
      <c r="F44" s="39">
        <v>0.13268073793971499</v>
      </c>
      <c r="G44" s="39">
        <v>0.13650000000000001</v>
      </c>
      <c r="H44" s="39">
        <v>0.41649999999999998</v>
      </c>
      <c r="I44" s="39"/>
      <c r="J44" s="39"/>
      <c r="K44" s="38"/>
      <c r="L44" s="39">
        <v>0.41649999999999998</v>
      </c>
      <c r="M44" s="34"/>
      <c r="N44" s="34">
        <f t="shared" si="1"/>
        <v>0.41649999999999998</v>
      </c>
    </row>
    <row r="45" spans="1:14">
      <c r="A45" s="3" t="s">
        <v>204</v>
      </c>
      <c r="B45" s="3" t="s">
        <v>674</v>
      </c>
      <c r="C45" s="3" t="s">
        <v>679</v>
      </c>
      <c r="D45" s="9">
        <v>2042</v>
      </c>
      <c r="E45" s="3" t="s">
        <v>678</v>
      </c>
      <c r="F45" s="39">
        <v>0.13268073793971499</v>
      </c>
      <c r="G45" s="39">
        <v>0.13650000000000001</v>
      </c>
      <c r="H45" s="39">
        <v>0.41649999999999998</v>
      </c>
      <c r="I45" s="39"/>
      <c r="J45" s="39"/>
      <c r="K45" s="38"/>
      <c r="L45" s="39">
        <v>0.41649999999999998</v>
      </c>
      <c r="M45" s="34"/>
      <c r="N45" s="34">
        <f t="shared" si="1"/>
        <v>0.41649999999999998</v>
      </c>
    </row>
    <row r="46" spans="1:14">
      <c r="A46" s="3" t="s">
        <v>204</v>
      </c>
      <c r="B46" s="3" t="s">
        <v>674</v>
      </c>
      <c r="C46" s="3" t="s">
        <v>679</v>
      </c>
      <c r="D46" s="9">
        <v>2043</v>
      </c>
      <c r="E46" s="3" t="s">
        <v>678</v>
      </c>
      <c r="F46" s="39">
        <v>0.13268073793971499</v>
      </c>
      <c r="G46" s="39">
        <v>0.13650000000000001</v>
      </c>
      <c r="H46" s="39">
        <v>0.41649999999999998</v>
      </c>
      <c r="I46" s="39"/>
      <c r="J46" s="39"/>
      <c r="K46" s="38"/>
      <c r="L46" s="39">
        <v>0.41649999999999998</v>
      </c>
      <c r="M46" s="34"/>
      <c r="N46" s="34">
        <f t="shared" si="1"/>
        <v>0.41649999999999998</v>
      </c>
    </row>
    <row r="47" spans="1:14">
      <c r="A47" s="3" t="s">
        <v>204</v>
      </c>
      <c r="B47" s="3" t="s">
        <v>674</v>
      </c>
      <c r="C47" s="3" t="s">
        <v>679</v>
      </c>
      <c r="D47" s="9">
        <v>2044</v>
      </c>
      <c r="E47" s="3" t="s">
        <v>678</v>
      </c>
      <c r="F47" s="39">
        <v>0.13268073793971499</v>
      </c>
      <c r="G47" s="39">
        <v>0.13650000000000001</v>
      </c>
      <c r="H47" s="39">
        <v>0.41649999999999998</v>
      </c>
      <c r="I47" s="39"/>
      <c r="J47" s="39"/>
      <c r="K47" s="38"/>
      <c r="L47" s="39">
        <v>0.41649999999999998</v>
      </c>
      <c r="M47" s="34"/>
      <c r="N47" s="34">
        <f t="shared" si="1"/>
        <v>0.41649999999999998</v>
      </c>
    </row>
    <row r="48" spans="1:14">
      <c r="A48" s="3" t="s">
        <v>204</v>
      </c>
      <c r="B48" s="3" t="s">
        <v>674</v>
      </c>
      <c r="C48" s="3" t="s">
        <v>679</v>
      </c>
      <c r="D48" s="9">
        <v>2045</v>
      </c>
      <c r="E48" s="3" t="s">
        <v>678</v>
      </c>
      <c r="F48" s="39">
        <v>0.13268073793971499</v>
      </c>
      <c r="G48" s="39">
        <v>0.13650000000000001</v>
      </c>
      <c r="H48" s="39">
        <v>0.41649999999999998</v>
      </c>
      <c r="I48" s="39"/>
      <c r="J48" s="39"/>
      <c r="K48" s="38"/>
      <c r="L48" s="39">
        <v>0.41649999999999998</v>
      </c>
      <c r="M48" s="34"/>
      <c r="N48" s="34">
        <f t="shared" si="1"/>
        <v>0.41649999999999998</v>
      </c>
    </row>
    <row r="49" spans="1:14">
      <c r="A49" s="3" t="s">
        <v>204</v>
      </c>
      <c r="B49" s="3" t="s">
        <v>674</v>
      </c>
      <c r="C49" s="3" t="s">
        <v>679</v>
      </c>
      <c r="D49" s="9">
        <v>2046</v>
      </c>
      <c r="E49" s="3" t="s">
        <v>678</v>
      </c>
      <c r="F49" s="39">
        <v>0.13268073793971499</v>
      </c>
      <c r="G49" s="39">
        <v>0.13650000000000001</v>
      </c>
      <c r="H49" s="39">
        <v>0.41649999999999998</v>
      </c>
      <c r="I49" s="39"/>
      <c r="J49" s="39"/>
      <c r="K49" s="38"/>
      <c r="L49" s="39">
        <v>0.41649999999999998</v>
      </c>
      <c r="M49" s="34"/>
      <c r="N49" s="34">
        <f t="shared" si="1"/>
        <v>0.41649999999999998</v>
      </c>
    </row>
    <row r="50" spans="1:14">
      <c r="A50" s="3" t="s">
        <v>204</v>
      </c>
      <c r="B50" s="3" t="s">
        <v>674</v>
      </c>
      <c r="C50" s="3" t="s">
        <v>679</v>
      </c>
      <c r="D50" s="9">
        <v>2047</v>
      </c>
      <c r="E50" s="3" t="s">
        <v>678</v>
      </c>
      <c r="F50" s="39">
        <v>0.13268073793971499</v>
      </c>
      <c r="G50" s="39">
        <v>0.13650000000000001</v>
      </c>
      <c r="H50" s="39">
        <v>0.41649999999999998</v>
      </c>
      <c r="I50" s="39"/>
      <c r="J50" s="39"/>
      <c r="K50" s="38"/>
      <c r="L50" s="39">
        <v>0.41649999999999998</v>
      </c>
      <c r="M50" s="34"/>
      <c r="N50" s="34">
        <f t="shared" si="1"/>
        <v>0.41649999999999998</v>
      </c>
    </row>
    <row r="51" spans="1:14">
      <c r="A51" s="3" t="s">
        <v>204</v>
      </c>
      <c r="B51" s="3" t="s">
        <v>674</v>
      </c>
      <c r="C51" s="3" t="s">
        <v>679</v>
      </c>
      <c r="D51" s="9">
        <v>2048</v>
      </c>
      <c r="E51" s="3" t="s">
        <v>678</v>
      </c>
      <c r="F51" s="39">
        <v>0.13268073793971499</v>
      </c>
      <c r="G51" s="39">
        <v>0.13650000000000001</v>
      </c>
      <c r="H51" s="39">
        <v>0.41649999999999998</v>
      </c>
      <c r="I51" s="39"/>
      <c r="J51" s="39"/>
      <c r="K51" s="38"/>
      <c r="L51" s="39">
        <v>0.41649999999999998</v>
      </c>
      <c r="M51" s="34"/>
      <c r="N51" s="34">
        <f t="shared" si="1"/>
        <v>0.41649999999999998</v>
      </c>
    </row>
    <row r="52" spans="1:14">
      <c r="A52" s="3" t="s">
        <v>204</v>
      </c>
      <c r="B52" s="3" t="s">
        <v>674</v>
      </c>
      <c r="C52" s="3" t="s">
        <v>679</v>
      </c>
      <c r="D52" s="9">
        <v>2049</v>
      </c>
      <c r="E52" s="3" t="s">
        <v>678</v>
      </c>
      <c r="F52" s="39">
        <v>0.13268073793971499</v>
      </c>
      <c r="G52" s="39">
        <v>0.13650000000000001</v>
      </c>
      <c r="H52" s="39">
        <v>0.41649999999999998</v>
      </c>
      <c r="I52" s="39"/>
      <c r="J52" s="39"/>
      <c r="K52" s="38"/>
      <c r="L52" s="39">
        <v>0.41649999999999998</v>
      </c>
      <c r="M52" s="34"/>
      <c r="N52" s="34">
        <f t="shared" si="1"/>
        <v>0.41649999999999998</v>
      </c>
    </row>
    <row r="53" spans="1:14">
      <c r="A53" s="3" t="s">
        <v>204</v>
      </c>
      <c r="B53" s="3" t="s">
        <v>674</v>
      </c>
      <c r="C53" s="3" t="s">
        <v>679</v>
      </c>
      <c r="D53" s="9">
        <v>2050</v>
      </c>
      <c r="E53" s="3" t="s">
        <v>678</v>
      </c>
      <c r="F53" s="39">
        <v>0.13268073793971499</v>
      </c>
      <c r="G53" s="39">
        <v>0.13650000000000001</v>
      </c>
      <c r="H53" s="39">
        <v>0.41649999999999998</v>
      </c>
      <c r="I53" s="39"/>
      <c r="J53" s="39"/>
      <c r="K53" s="38"/>
      <c r="L53" s="39">
        <v>0.41649999999999998</v>
      </c>
      <c r="M53" s="34"/>
      <c r="N53" s="34">
        <f t="shared" si="1"/>
        <v>0.41649999999999998</v>
      </c>
    </row>
    <row r="54" spans="1:14">
      <c r="A54" s="3" t="s">
        <v>229</v>
      </c>
      <c r="B54" s="3" t="s">
        <v>680</v>
      </c>
      <c r="C54" s="3" t="s">
        <v>675</v>
      </c>
      <c r="D54" s="9">
        <v>2025</v>
      </c>
      <c r="E54" s="3" t="s">
        <v>676</v>
      </c>
      <c r="F54" s="39">
        <v>0.13031152777518101</v>
      </c>
      <c r="G54" s="39">
        <v>0.13650000000000001</v>
      </c>
      <c r="H54" s="39">
        <v>0.41649999999999998</v>
      </c>
      <c r="I54" s="39">
        <v>6.6433327885386598E-2</v>
      </c>
      <c r="J54" s="39">
        <v>0.127756399779589</v>
      </c>
      <c r="K54" s="38">
        <v>0.5</v>
      </c>
      <c r="L54" s="39">
        <v>0.13031152777518101</v>
      </c>
      <c r="M54" s="34">
        <f>I54+Cascade_Assumptions!$B$11*J54</f>
        <v>0.1303115277751811</v>
      </c>
      <c r="N54" s="34">
        <f t="shared" si="1"/>
        <v>0.13031152777518101</v>
      </c>
    </row>
    <row r="55" spans="1:14">
      <c r="A55" s="3" t="s">
        <v>229</v>
      </c>
      <c r="B55" s="3" t="s">
        <v>680</v>
      </c>
      <c r="C55" s="3" t="s">
        <v>675</v>
      </c>
      <c r="D55" s="9">
        <v>2026</v>
      </c>
      <c r="E55" s="3" t="s">
        <v>676</v>
      </c>
      <c r="F55" s="39">
        <v>0.13031152777518101</v>
      </c>
      <c r="G55" s="39">
        <v>0.13650000000000001</v>
      </c>
      <c r="H55" s="39">
        <v>0.41649999999999998</v>
      </c>
      <c r="I55" s="39"/>
      <c r="J55" s="39"/>
      <c r="K55" s="38"/>
      <c r="L55" s="39">
        <v>0.13154922222014501</v>
      </c>
      <c r="M55" s="34"/>
      <c r="N55" s="34">
        <f t="shared" si="1"/>
        <v>0.13154922222014501</v>
      </c>
    </row>
    <row r="56" spans="1:14">
      <c r="A56" s="3" t="s">
        <v>229</v>
      </c>
      <c r="B56" s="3" t="s">
        <v>680</v>
      </c>
      <c r="C56" s="3" t="s">
        <v>675</v>
      </c>
      <c r="D56" s="9">
        <v>2027</v>
      </c>
      <c r="E56" s="3" t="s">
        <v>676</v>
      </c>
      <c r="F56" s="39">
        <v>0.13031152777518101</v>
      </c>
      <c r="G56" s="39">
        <v>0.13650000000000001</v>
      </c>
      <c r="H56" s="39">
        <v>0.41649999999999998</v>
      </c>
      <c r="I56" s="39"/>
      <c r="J56" s="39"/>
      <c r="K56" s="38"/>
      <c r="L56" s="39">
        <v>0.132786916665109</v>
      </c>
      <c r="M56" s="34"/>
      <c r="N56" s="34">
        <f t="shared" si="1"/>
        <v>0.132786916665109</v>
      </c>
    </row>
    <row r="57" spans="1:14">
      <c r="A57" s="3" t="s">
        <v>229</v>
      </c>
      <c r="B57" s="3" t="s">
        <v>680</v>
      </c>
      <c r="C57" s="3" t="s">
        <v>675</v>
      </c>
      <c r="D57" s="9">
        <v>2028</v>
      </c>
      <c r="E57" s="3" t="s">
        <v>676</v>
      </c>
      <c r="F57" s="39">
        <v>0.13031152777518101</v>
      </c>
      <c r="G57" s="39">
        <v>0.13650000000000001</v>
      </c>
      <c r="H57" s="39">
        <v>0.41649999999999998</v>
      </c>
      <c r="I57" s="39"/>
      <c r="J57" s="39"/>
      <c r="K57" s="38"/>
      <c r="L57" s="39">
        <v>0.13402461111007299</v>
      </c>
      <c r="M57" s="34"/>
      <c r="N57" s="34">
        <f t="shared" si="1"/>
        <v>0.13402461111007299</v>
      </c>
    </row>
    <row r="58" spans="1:14">
      <c r="A58" s="3" t="s">
        <v>229</v>
      </c>
      <c r="B58" s="3" t="s">
        <v>680</v>
      </c>
      <c r="C58" s="3" t="s">
        <v>675</v>
      </c>
      <c r="D58" s="9">
        <v>2029</v>
      </c>
      <c r="E58" s="3" t="s">
        <v>676</v>
      </c>
      <c r="F58" s="39">
        <v>0.13031152777518101</v>
      </c>
      <c r="G58" s="39">
        <v>0.13650000000000001</v>
      </c>
      <c r="H58" s="39">
        <v>0.41649999999999998</v>
      </c>
      <c r="I58" s="39"/>
      <c r="J58" s="39"/>
      <c r="K58" s="38"/>
      <c r="L58" s="39">
        <v>0.13526230555503599</v>
      </c>
      <c r="M58" s="34"/>
      <c r="N58" s="34">
        <f t="shared" si="1"/>
        <v>0.13526230555503599</v>
      </c>
    </row>
    <row r="59" spans="1:14">
      <c r="A59" s="3" t="s">
        <v>229</v>
      </c>
      <c r="B59" s="3" t="s">
        <v>680</v>
      </c>
      <c r="C59" s="3" t="s">
        <v>675</v>
      </c>
      <c r="D59" s="9">
        <v>2030</v>
      </c>
      <c r="E59" s="3" t="s">
        <v>676</v>
      </c>
      <c r="F59" s="39">
        <v>0.13031152777518101</v>
      </c>
      <c r="G59" s="39">
        <v>0.13650000000000001</v>
      </c>
      <c r="H59" s="39">
        <v>0.41649999999999998</v>
      </c>
      <c r="I59" s="39">
        <v>6.3E-2</v>
      </c>
      <c r="J59" s="39">
        <v>0.14699999999999999</v>
      </c>
      <c r="K59" s="38">
        <v>0.5</v>
      </c>
      <c r="L59" s="39">
        <v>0.13650000000000001</v>
      </c>
      <c r="M59" s="34">
        <f>I59+Cascade_Assumptions!$B$11*J59</f>
        <v>0.13650000000000001</v>
      </c>
      <c r="N59" s="34">
        <f t="shared" si="1"/>
        <v>0.13650000000000001</v>
      </c>
    </row>
    <row r="60" spans="1:14">
      <c r="A60" s="3" t="s">
        <v>229</v>
      </c>
      <c r="B60" s="3" t="s">
        <v>680</v>
      </c>
      <c r="C60" s="3" t="s">
        <v>675</v>
      </c>
      <c r="D60" s="9">
        <v>2031</v>
      </c>
      <c r="E60" s="3" t="s">
        <v>677</v>
      </c>
      <c r="F60" s="39">
        <v>0.13031152777518101</v>
      </c>
      <c r="G60" s="39">
        <v>0.13650000000000001</v>
      </c>
      <c r="H60" s="39">
        <v>0.41649999999999998</v>
      </c>
      <c r="I60" s="39"/>
      <c r="J60" s="39"/>
      <c r="K60" s="38"/>
      <c r="L60" s="39">
        <v>0.16450000000000001</v>
      </c>
      <c r="M60" s="34"/>
      <c r="N60" s="34">
        <f t="shared" si="1"/>
        <v>0.16450000000000001</v>
      </c>
    </row>
    <row r="61" spans="1:14">
      <c r="A61" s="3" t="s">
        <v>229</v>
      </c>
      <c r="B61" s="3" t="s">
        <v>680</v>
      </c>
      <c r="C61" s="3" t="s">
        <v>675</v>
      </c>
      <c r="D61" s="9">
        <v>2032</v>
      </c>
      <c r="E61" s="3" t="s">
        <v>677</v>
      </c>
      <c r="F61" s="39">
        <v>0.13031152777518101</v>
      </c>
      <c r="G61" s="39">
        <v>0.13650000000000001</v>
      </c>
      <c r="H61" s="39">
        <v>0.41649999999999998</v>
      </c>
      <c r="I61" s="39"/>
      <c r="J61" s="39"/>
      <c r="K61" s="38"/>
      <c r="L61" s="39">
        <v>0.1925</v>
      </c>
      <c r="M61" s="34"/>
      <c r="N61" s="34">
        <f t="shared" si="1"/>
        <v>0.1925</v>
      </c>
    </row>
    <row r="62" spans="1:14">
      <c r="A62" s="3" t="s">
        <v>229</v>
      </c>
      <c r="B62" s="3" t="s">
        <v>680</v>
      </c>
      <c r="C62" s="3" t="s">
        <v>675</v>
      </c>
      <c r="D62" s="9">
        <v>2033</v>
      </c>
      <c r="E62" s="3" t="s">
        <v>677</v>
      </c>
      <c r="F62" s="39">
        <v>0.13031152777518101</v>
      </c>
      <c r="G62" s="39">
        <v>0.13650000000000001</v>
      </c>
      <c r="H62" s="39">
        <v>0.41649999999999998</v>
      </c>
      <c r="I62" s="39"/>
      <c r="J62" s="39"/>
      <c r="K62" s="38"/>
      <c r="L62" s="39">
        <v>0.2205</v>
      </c>
      <c r="M62" s="34"/>
      <c r="N62" s="34">
        <f t="shared" si="1"/>
        <v>0.2205</v>
      </c>
    </row>
    <row r="63" spans="1:14">
      <c r="A63" s="3" t="s">
        <v>229</v>
      </c>
      <c r="B63" s="3" t="s">
        <v>680</v>
      </c>
      <c r="C63" s="3" t="s">
        <v>675</v>
      </c>
      <c r="D63" s="9">
        <v>2034</v>
      </c>
      <c r="E63" s="3" t="s">
        <v>677</v>
      </c>
      <c r="F63" s="39">
        <v>0.13031152777518101</v>
      </c>
      <c r="G63" s="39">
        <v>0.13650000000000001</v>
      </c>
      <c r="H63" s="39">
        <v>0.41649999999999998</v>
      </c>
      <c r="I63" s="39"/>
      <c r="J63" s="39"/>
      <c r="K63" s="38"/>
      <c r="L63" s="39">
        <v>0.2485</v>
      </c>
      <c r="M63" s="34"/>
      <c r="N63" s="34">
        <f t="shared" si="1"/>
        <v>0.2485</v>
      </c>
    </row>
    <row r="64" spans="1:14">
      <c r="A64" s="3" t="s">
        <v>229</v>
      </c>
      <c r="B64" s="3" t="s">
        <v>680</v>
      </c>
      <c r="C64" s="3" t="s">
        <v>675</v>
      </c>
      <c r="D64" s="9">
        <v>2035</v>
      </c>
      <c r="E64" s="3" t="s">
        <v>677</v>
      </c>
      <c r="F64" s="39">
        <v>0.13031152777518101</v>
      </c>
      <c r="G64" s="39">
        <v>0.13650000000000001</v>
      </c>
      <c r="H64" s="39">
        <v>0.41649999999999998</v>
      </c>
      <c r="I64" s="39"/>
      <c r="J64" s="39"/>
      <c r="K64" s="38"/>
      <c r="L64" s="39">
        <v>0.27650000000000002</v>
      </c>
      <c r="M64" s="34"/>
      <c r="N64" s="34">
        <f t="shared" si="1"/>
        <v>0.27650000000000002</v>
      </c>
    </row>
    <row r="65" spans="1:14">
      <c r="A65" s="3" t="s">
        <v>229</v>
      </c>
      <c r="B65" s="3" t="s">
        <v>680</v>
      </c>
      <c r="C65" s="3" t="s">
        <v>675</v>
      </c>
      <c r="D65" s="9">
        <v>2036</v>
      </c>
      <c r="E65" s="3" t="s">
        <v>677</v>
      </c>
      <c r="F65" s="39">
        <v>0.13031152777518101</v>
      </c>
      <c r="G65" s="39">
        <v>0.13650000000000001</v>
      </c>
      <c r="H65" s="39">
        <v>0.41649999999999998</v>
      </c>
      <c r="I65" s="39"/>
      <c r="J65" s="39"/>
      <c r="K65" s="38"/>
      <c r="L65" s="39">
        <v>0.30449999999999999</v>
      </c>
      <c r="M65" s="34"/>
      <c r="N65" s="34">
        <f t="shared" si="1"/>
        <v>0.30449999999999999</v>
      </c>
    </row>
    <row r="66" spans="1:14">
      <c r="A66" s="3" t="s">
        <v>229</v>
      </c>
      <c r="B66" s="3" t="s">
        <v>680</v>
      </c>
      <c r="C66" s="3" t="s">
        <v>675</v>
      </c>
      <c r="D66" s="9">
        <v>2037</v>
      </c>
      <c r="E66" s="3" t="s">
        <v>677</v>
      </c>
      <c r="F66" s="39">
        <v>0.13031152777518101</v>
      </c>
      <c r="G66" s="39">
        <v>0.13650000000000001</v>
      </c>
      <c r="H66" s="39">
        <v>0.41649999999999998</v>
      </c>
      <c r="I66" s="39"/>
      <c r="J66" s="39"/>
      <c r="K66" s="38"/>
      <c r="L66" s="39">
        <v>0.33250000000000002</v>
      </c>
      <c r="M66" s="34"/>
      <c r="N66" s="34">
        <f t="shared" ref="N66:N97" si="2">L66</f>
        <v>0.33250000000000002</v>
      </c>
    </row>
    <row r="67" spans="1:14">
      <c r="A67" s="3" t="s">
        <v>229</v>
      </c>
      <c r="B67" s="3" t="s">
        <v>680</v>
      </c>
      <c r="C67" s="3" t="s">
        <v>675</v>
      </c>
      <c r="D67" s="9">
        <v>2038</v>
      </c>
      <c r="E67" s="3" t="s">
        <v>677</v>
      </c>
      <c r="F67" s="39">
        <v>0.13031152777518101</v>
      </c>
      <c r="G67" s="39">
        <v>0.13650000000000001</v>
      </c>
      <c r="H67" s="39">
        <v>0.41649999999999998</v>
      </c>
      <c r="I67" s="39"/>
      <c r="J67" s="39"/>
      <c r="K67" s="38"/>
      <c r="L67" s="39">
        <v>0.36049999999999999</v>
      </c>
      <c r="M67" s="34"/>
      <c r="N67" s="34">
        <f t="shared" si="2"/>
        <v>0.36049999999999999</v>
      </c>
    </row>
    <row r="68" spans="1:14">
      <c r="A68" s="3" t="s">
        <v>229</v>
      </c>
      <c r="B68" s="3" t="s">
        <v>680</v>
      </c>
      <c r="C68" s="3" t="s">
        <v>675</v>
      </c>
      <c r="D68" s="9">
        <v>2039</v>
      </c>
      <c r="E68" s="3" t="s">
        <v>677</v>
      </c>
      <c r="F68" s="39">
        <v>0.13031152777518101</v>
      </c>
      <c r="G68" s="39">
        <v>0.13650000000000001</v>
      </c>
      <c r="H68" s="39">
        <v>0.41649999999999998</v>
      </c>
      <c r="I68" s="39"/>
      <c r="J68" s="39"/>
      <c r="K68" s="38"/>
      <c r="L68" s="39">
        <v>0.38850000000000001</v>
      </c>
      <c r="M68" s="34"/>
      <c r="N68" s="34">
        <f t="shared" si="2"/>
        <v>0.38850000000000001</v>
      </c>
    </row>
    <row r="69" spans="1:14">
      <c r="A69" s="3" t="s">
        <v>229</v>
      </c>
      <c r="B69" s="3" t="s">
        <v>680</v>
      </c>
      <c r="C69" s="3" t="s">
        <v>675</v>
      </c>
      <c r="D69" s="9">
        <v>2040</v>
      </c>
      <c r="E69" s="3" t="s">
        <v>677</v>
      </c>
      <c r="F69" s="39">
        <v>0.13031152777518101</v>
      </c>
      <c r="G69" s="39">
        <v>0.13650000000000001</v>
      </c>
      <c r="H69" s="39">
        <v>0.41649999999999998</v>
      </c>
      <c r="I69" s="39">
        <v>0.34300000000000003</v>
      </c>
      <c r="J69" s="39">
        <v>0.14699999999999999</v>
      </c>
      <c r="K69" s="38">
        <v>0.5</v>
      </c>
      <c r="L69" s="39">
        <v>0.41649999999999998</v>
      </c>
      <c r="M69" s="34">
        <f>I69+Cascade_Assumptions!$B$11*J69</f>
        <v>0.41650000000000004</v>
      </c>
      <c r="N69" s="34">
        <f t="shared" si="2"/>
        <v>0.41649999999999998</v>
      </c>
    </row>
    <row r="70" spans="1:14">
      <c r="A70" s="3" t="s">
        <v>229</v>
      </c>
      <c r="B70" s="3" t="s">
        <v>680</v>
      </c>
      <c r="C70" s="3" t="s">
        <v>675</v>
      </c>
      <c r="D70" s="9">
        <v>2041</v>
      </c>
      <c r="E70" s="3" t="s">
        <v>678</v>
      </c>
      <c r="F70" s="39">
        <v>0.13031152777518101</v>
      </c>
      <c r="G70" s="39">
        <v>0.13650000000000001</v>
      </c>
      <c r="H70" s="39">
        <v>0.41649999999999998</v>
      </c>
      <c r="I70" s="39"/>
      <c r="J70" s="39"/>
      <c r="K70" s="38"/>
      <c r="L70" s="39">
        <v>0.41649999999999998</v>
      </c>
      <c r="M70" s="34"/>
      <c r="N70" s="34">
        <f t="shared" si="2"/>
        <v>0.41649999999999998</v>
      </c>
    </row>
    <row r="71" spans="1:14">
      <c r="A71" s="3" t="s">
        <v>229</v>
      </c>
      <c r="B71" s="3" t="s">
        <v>680</v>
      </c>
      <c r="C71" s="3" t="s">
        <v>675</v>
      </c>
      <c r="D71" s="9">
        <v>2042</v>
      </c>
      <c r="E71" s="3" t="s">
        <v>678</v>
      </c>
      <c r="F71" s="39">
        <v>0.13031152777518101</v>
      </c>
      <c r="G71" s="39">
        <v>0.13650000000000001</v>
      </c>
      <c r="H71" s="39">
        <v>0.41649999999999998</v>
      </c>
      <c r="I71" s="39"/>
      <c r="J71" s="39"/>
      <c r="K71" s="38"/>
      <c r="L71" s="39">
        <v>0.41649999999999998</v>
      </c>
      <c r="M71" s="34"/>
      <c r="N71" s="34">
        <f t="shared" si="2"/>
        <v>0.41649999999999998</v>
      </c>
    </row>
    <row r="72" spans="1:14">
      <c r="A72" s="3" t="s">
        <v>229</v>
      </c>
      <c r="B72" s="3" t="s">
        <v>680</v>
      </c>
      <c r="C72" s="3" t="s">
        <v>675</v>
      </c>
      <c r="D72" s="9">
        <v>2043</v>
      </c>
      <c r="E72" s="3" t="s">
        <v>678</v>
      </c>
      <c r="F72" s="39">
        <v>0.13031152777518101</v>
      </c>
      <c r="G72" s="39">
        <v>0.13650000000000001</v>
      </c>
      <c r="H72" s="39">
        <v>0.41649999999999998</v>
      </c>
      <c r="I72" s="39"/>
      <c r="J72" s="39"/>
      <c r="K72" s="38"/>
      <c r="L72" s="39">
        <v>0.41649999999999998</v>
      </c>
      <c r="M72" s="34"/>
      <c r="N72" s="34">
        <f t="shared" si="2"/>
        <v>0.41649999999999998</v>
      </c>
    </row>
    <row r="73" spans="1:14">
      <c r="A73" s="3" t="s">
        <v>229</v>
      </c>
      <c r="B73" s="3" t="s">
        <v>680</v>
      </c>
      <c r="C73" s="3" t="s">
        <v>675</v>
      </c>
      <c r="D73" s="9">
        <v>2044</v>
      </c>
      <c r="E73" s="3" t="s">
        <v>678</v>
      </c>
      <c r="F73" s="39">
        <v>0.13031152777518101</v>
      </c>
      <c r="G73" s="39">
        <v>0.13650000000000001</v>
      </c>
      <c r="H73" s="39">
        <v>0.41649999999999998</v>
      </c>
      <c r="I73" s="39"/>
      <c r="J73" s="39"/>
      <c r="K73" s="38"/>
      <c r="L73" s="39">
        <v>0.41649999999999998</v>
      </c>
      <c r="M73" s="34"/>
      <c r="N73" s="34">
        <f t="shared" si="2"/>
        <v>0.41649999999999998</v>
      </c>
    </row>
    <row r="74" spans="1:14">
      <c r="A74" s="3" t="s">
        <v>229</v>
      </c>
      <c r="B74" s="3" t="s">
        <v>680</v>
      </c>
      <c r="C74" s="3" t="s">
        <v>675</v>
      </c>
      <c r="D74" s="9">
        <v>2045</v>
      </c>
      <c r="E74" s="3" t="s">
        <v>678</v>
      </c>
      <c r="F74" s="39">
        <v>0.13031152777518101</v>
      </c>
      <c r="G74" s="39">
        <v>0.13650000000000001</v>
      </c>
      <c r="H74" s="39">
        <v>0.41649999999999998</v>
      </c>
      <c r="I74" s="39"/>
      <c r="J74" s="39"/>
      <c r="K74" s="38"/>
      <c r="L74" s="39">
        <v>0.41649999999999998</v>
      </c>
      <c r="M74" s="34"/>
      <c r="N74" s="34">
        <f t="shared" si="2"/>
        <v>0.41649999999999998</v>
      </c>
    </row>
    <row r="75" spans="1:14">
      <c r="A75" s="3" t="s">
        <v>229</v>
      </c>
      <c r="B75" s="3" t="s">
        <v>680</v>
      </c>
      <c r="C75" s="3" t="s">
        <v>675</v>
      </c>
      <c r="D75" s="9">
        <v>2046</v>
      </c>
      <c r="E75" s="3" t="s">
        <v>678</v>
      </c>
      <c r="F75" s="39">
        <v>0.13031152777518101</v>
      </c>
      <c r="G75" s="39">
        <v>0.13650000000000001</v>
      </c>
      <c r="H75" s="39">
        <v>0.41649999999999998</v>
      </c>
      <c r="I75" s="39"/>
      <c r="J75" s="39"/>
      <c r="K75" s="38"/>
      <c r="L75" s="39">
        <v>0.41649999999999998</v>
      </c>
      <c r="M75" s="34"/>
      <c r="N75" s="34">
        <f t="shared" si="2"/>
        <v>0.41649999999999998</v>
      </c>
    </row>
    <row r="76" spans="1:14">
      <c r="A76" s="3" t="s">
        <v>229</v>
      </c>
      <c r="B76" s="3" t="s">
        <v>680</v>
      </c>
      <c r="C76" s="3" t="s">
        <v>675</v>
      </c>
      <c r="D76" s="9">
        <v>2047</v>
      </c>
      <c r="E76" s="3" t="s">
        <v>678</v>
      </c>
      <c r="F76" s="39">
        <v>0.13031152777518101</v>
      </c>
      <c r="G76" s="39">
        <v>0.13650000000000001</v>
      </c>
      <c r="H76" s="39">
        <v>0.41649999999999998</v>
      </c>
      <c r="I76" s="39"/>
      <c r="J76" s="39"/>
      <c r="K76" s="38"/>
      <c r="L76" s="39">
        <v>0.41649999999999998</v>
      </c>
      <c r="M76" s="34"/>
      <c r="N76" s="34">
        <f t="shared" si="2"/>
        <v>0.41649999999999998</v>
      </c>
    </row>
    <row r="77" spans="1:14">
      <c r="A77" s="3" t="s">
        <v>229</v>
      </c>
      <c r="B77" s="3" t="s">
        <v>680</v>
      </c>
      <c r="C77" s="3" t="s">
        <v>675</v>
      </c>
      <c r="D77" s="9">
        <v>2048</v>
      </c>
      <c r="E77" s="3" t="s">
        <v>678</v>
      </c>
      <c r="F77" s="39">
        <v>0.13031152777518101</v>
      </c>
      <c r="G77" s="39">
        <v>0.13650000000000001</v>
      </c>
      <c r="H77" s="39">
        <v>0.41649999999999998</v>
      </c>
      <c r="I77" s="39"/>
      <c r="J77" s="39"/>
      <c r="K77" s="38"/>
      <c r="L77" s="39">
        <v>0.41649999999999998</v>
      </c>
      <c r="M77" s="34"/>
      <c r="N77" s="34">
        <f t="shared" si="2"/>
        <v>0.41649999999999998</v>
      </c>
    </row>
    <row r="78" spans="1:14">
      <c r="A78" s="3" t="s">
        <v>229</v>
      </c>
      <c r="B78" s="3" t="s">
        <v>680</v>
      </c>
      <c r="C78" s="3" t="s">
        <v>675</v>
      </c>
      <c r="D78" s="9">
        <v>2049</v>
      </c>
      <c r="E78" s="3" t="s">
        <v>678</v>
      </c>
      <c r="F78" s="39">
        <v>0.13031152777518101</v>
      </c>
      <c r="G78" s="39">
        <v>0.13650000000000001</v>
      </c>
      <c r="H78" s="39">
        <v>0.41649999999999998</v>
      </c>
      <c r="I78" s="39"/>
      <c r="J78" s="39"/>
      <c r="K78" s="38"/>
      <c r="L78" s="39">
        <v>0.41649999999999998</v>
      </c>
      <c r="M78" s="34"/>
      <c r="N78" s="34">
        <f t="shared" si="2"/>
        <v>0.41649999999999998</v>
      </c>
    </row>
    <row r="79" spans="1:14">
      <c r="A79" s="3" t="s">
        <v>229</v>
      </c>
      <c r="B79" s="3" t="s">
        <v>680</v>
      </c>
      <c r="C79" s="3" t="s">
        <v>675</v>
      </c>
      <c r="D79" s="9">
        <v>2050</v>
      </c>
      <c r="E79" s="3" t="s">
        <v>678</v>
      </c>
      <c r="F79" s="39">
        <v>0.13031152777518101</v>
      </c>
      <c r="G79" s="39">
        <v>0.13650000000000001</v>
      </c>
      <c r="H79" s="39">
        <v>0.41649999999999998</v>
      </c>
      <c r="I79" s="39"/>
      <c r="J79" s="39"/>
      <c r="K79" s="38"/>
      <c r="L79" s="39">
        <v>0.41649999999999998</v>
      </c>
      <c r="M79" s="34"/>
      <c r="N79" s="34">
        <f t="shared" si="2"/>
        <v>0.41649999999999998</v>
      </c>
    </row>
    <row r="80" spans="1:14">
      <c r="A80" s="3" t="s">
        <v>229</v>
      </c>
      <c r="B80" s="3" t="s">
        <v>680</v>
      </c>
      <c r="C80" s="3" t="s">
        <v>679</v>
      </c>
      <c r="D80" s="9">
        <v>2025</v>
      </c>
      <c r="E80" s="3" t="s">
        <v>676</v>
      </c>
      <c r="F80" s="39">
        <v>0.16551769738410901</v>
      </c>
      <c r="G80" s="39">
        <v>0.13650000000000001</v>
      </c>
      <c r="H80" s="39">
        <v>0.41649999999999998</v>
      </c>
      <c r="I80" s="39">
        <v>8.4381571215428205E-2</v>
      </c>
      <c r="J80" s="39">
        <v>0.16227225233736201</v>
      </c>
      <c r="K80" s="38">
        <v>0.5</v>
      </c>
      <c r="L80" s="39">
        <v>0.16551769738410901</v>
      </c>
      <c r="M80" s="34">
        <f>I80+Cascade_Assumptions!$B$11*J80</f>
        <v>0.16551769738410921</v>
      </c>
      <c r="N80" s="34">
        <f t="shared" si="2"/>
        <v>0.16551769738410901</v>
      </c>
    </row>
    <row r="81" spans="1:14">
      <c r="A81" s="3" t="s">
        <v>229</v>
      </c>
      <c r="B81" s="3" t="s">
        <v>680</v>
      </c>
      <c r="C81" s="3" t="s">
        <v>679</v>
      </c>
      <c r="D81" s="9">
        <v>2026</v>
      </c>
      <c r="E81" s="3" t="s">
        <v>676</v>
      </c>
      <c r="F81" s="39">
        <v>0.16551769738410901</v>
      </c>
      <c r="G81" s="39">
        <v>0.13650000000000001</v>
      </c>
      <c r="H81" s="39">
        <v>0.41649999999999998</v>
      </c>
      <c r="I81" s="39"/>
      <c r="J81" s="39"/>
      <c r="K81" s="38"/>
      <c r="L81" s="39">
        <v>0.16551769738410901</v>
      </c>
      <c r="M81" s="34"/>
      <c r="N81" s="34">
        <f t="shared" si="2"/>
        <v>0.16551769738410901</v>
      </c>
    </row>
    <row r="82" spans="1:14">
      <c r="A82" s="3" t="s">
        <v>229</v>
      </c>
      <c r="B82" s="3" t="s">
        <v>680</v>
      </c>
      <c r="C82" s="3" t="s">
        <v>679</v>
      </c>
      <c r="D82" s="9">
        <v>2027</v>
      </c>
      <c r="E82" s="3" t="s">
        <v>676</v>
      </c>
      <c r="F82" s="39">
        <v>0.16551769738410901</v>
      </c>
      <c r="G82" s="39">
        <v>0.13650000000000001</v>
      </c>
      <c r="H82" s="39">
        <v>0.41649999999999998</v>
      </c>
      <c r="I82" s="39"/>
      <c r="J82" s="39"/>
      <c r="K82" s="38"/>
      <c r="L82" s="39">
        <v>0.16551769738410901</v>
      </c>
      <c r="M82" s="34"/>
      <c r="N82" s="34">
        <f t="shared" si="2"/>
        <v>0.16551769738410901</v>
      </c>
    </row>
    <row r="83" spans="1:14">
      <c r="A83" s="3" t="s">
        <v>229</v>
      </c>
      <c r="B83" s="3" t="s">
        <v>680</v>
      </c>
      <c r="C83" s="3" t="s">
        <v>679</v>
      </c>
      <c r="D83" s="9">
        <v>2028</v>
      </c>
      <c r="E83" s="3" t="s">
        <v>676</v>
      </c>
      <c r="F83" s="39">
        <v>0.16551769738410901</v>
      </c>
      <c r="G83" s="39">
        <v>0.13650000000000001</v>
      </c>
      <c r="H83" s="39">
        <v>0.41649999999999998</v>
      </c>
      <c r="I83" s="39"/>
      <c r="J83" s="39"/>
      <c r="K83" s="38"/>
      <c r="L83" s="39">
        <v>0.16551769738410901</v>
      </c>
      <c r="M83" s="34"/>
      <c r="N83" s="34">
        <f t="shared" si="2"/>
        <v>0.16551769738410901</v>
      </c>
    </row>
    <row r="84" spans="1:14">
      <c r="A84" s="3" t="s">
        <v>229</v>
      </c>
      <c r="B84" s="3" t="s">
        <v>680</v>
      </c>
      <c r="C84" s="3" t="s">
        <v>679</v>
      </c>
      <c r="D84" s="9">
        <v>2029</v>
      </c>
      <c r="E84" s="3" t="s">
        <v>676</v>
      </c>
      <c r="F84" s="39">
        <v>0.16551769738410901</v>
      </c>
      <c r="G84" s="39">
        <v>0.13650000000000001</v>
      </c>
      <c r="H84" s="39">
        <v>0.41649999999999998</v>
      </c>
      <c r="I84" s="39"/>
      <c r="J84" s="39"/>
      <c r="K84" s="38"/>
      <c r="L84" s="39">
        <v>0.16551769738410901</v>
      </c>
      <c r="M84" s="34"/>
      <c r="N84" s="34">
        <f t="shared" si="2"/>
        <v>0.16551769738410901</v>
      </c>
    </row>
    <row r="85" spans="1:14">
      <c r="A85" s="3" t="s">
        <v>229</v>
      </c>
      <c r="B85" s="3" t="s">
        <v>680</v>
      </c>
      <c r="C85" s="3" t="s">
        <v>679</v>
      </c>
      <c r="D85" s="9">
        <v>2030</v>
      </c>
      <c r="E85" s="3" t="s">
        <v>676</v>
      </c>
      <c r="F85" s="39">
        <v>0.16551769738410901</v>
      </c>
      <c r="G85" s="39">
        <v>0.13650000000000001</v>
      </c>
      <c r="H85" s="39">
        <v>0.41649999999999998</v>
      </c>
      <c r="I85" s="39">
        <v>6.3E-2</v>
      </c>
      <c r="J85" s="39">
        <v>0.14699999999999999</v>
      </c>
      <c r="K85" s="38">
        <v>0.5</v>
      </c>
      <c r="L85" s="39">
        <v>0.16551769738410901</v>
      </c>
      <c r="M85" s="34">
        <f>I85+Cascade_Assumptions!$B$11*J85</f>
        <v>0.13650000000000001</v>
      </c>
      <c r="N85" s="34">
        <f t="shared" si="2"/>
        <v>0.16551769738410901</v>
      </c>
    </row>
    <row r="86" spans="1:14">
      <c r="A86" s="3" t="s">
        <v>229</v>
      </c>
      <c r="B86" s="3" t="s">
        <v>680</v>
      </c>
      <c r="C86" s="3" t="s">
        <v>679</v>
      </c>
      <c r="D86" s="9">
        <v>2031</v>
      </c>
      <c r="E86" s="3" t="s">
        <v>677</v>
      </c>
      <c r="F86" s="39">
        <v>0.16551769738410901</v>
      </c>
      <c r="G86" s="39">
        <v>0.13650000000000001</v>
      </c>
      <c r="H86" s="39">
        <v>0.41649999999999998</v>
      </c>
      <c r="I86" s="39"/>
      <c r="J86" s="39"/>
      <c r="K86" s="38"/>
      <c r="L86" s="39">
        <v>0.19061592764569801</v>
      </c>
      <c r="M86" s="34"/>
      <c r="N86" s="34">
        <f t="shared" si="2"/>
        <v>0.19061592764569801</v>
      </c>
    </row>
    <row r="87" spans="1:14">
      <c r="A87" s="3" t="s">
        <v>229</v>
      </c>
      <c r="B87" s="3" t="s">
        <v>680</v>
      </c>
      <c r="C87" s="3" t="s">
        <v>679</v>
      </c>
      <c r="D87" s="9">
        <v>2032</v>
      </c>
      <c r="E87" s="3" t="s">
        <v>677</v>
      </c>
      <c r="F87" s="39">
        <v>0.16551769738410901</v>
      </c>
      <c r="G87" s="39">
        <v>0.13650000000000001</v>
      </c>
      <c r="H87" s="39">
        <v>0.41649999999999998</v>
      </c>
      <c r="I87" s="39"/>
      <c r="J87" s="39"/>
      <c r="K87" s="38"/>
      <c r="L87" s="39">
        <v>0.21571415790728701</v>
      </c>
      <c r="M87" s="34"/>
      <c r="N87" s="34">
        <f t="shared" si="2"/>
        <v>0.21571415790728701</v>
      </c>
    </row>
    <row r="88" spans="1:14">
      <c r="A88" s="3" t="s">
        <v>229</v>
      </c>
      <c r="B88" s="3" t="s">
        <v>680</v>
      </c>
      <c r="C88" s="3" t="s">
        <v>679</v>
      </c>
      <c r="D88" s="9">
        <v>2033</v>
      </c>
      <c r="E88" s="3" t="s">
        <v>677</v>
      </c>
      <c r="F88" s="39">
        <v>0.16551769738410901</v>
      </c>
      <c r="G88" s="39">
        <v>0.13650000000000001</v>
      </c>
      <c r="H88" s="39">
        <v>0.41649999999999998</v>
      </c>
      <c r="I88" s="39"/>
      <c r="J88" s="39"/>
      <c r="K88" s="38"/>
      <c r="L88" s="39">
        <v>0.24081238816887601</v>
      </c>
      <c r="M88" s="34"/>
      <c r="N88" s="34">
        <f t="shared" si="2"/>
        <v>0.24081238816887601</v>
      </c>
    </row>
    <row r="89" spans="1:14">
      <c r="A89" s="3" t="s">
        <v>229</v>
      </c>
      <c r="B89" s="3" t="s">
        <v>680</v>
      </c>
      <c r="C89" s="3" t="s">
        <v>679</v>
      </c>
      <c r="D89" s="9">
        <v>2034</v>
      </c>
      <c r="E89" s="3" t="s">
        <v>677</v>
      </c>
      <c r="F89" s="39">
        <v>0.16551769738410901</v>
      </c>
      <c r="G89" s="39">
        <v>0.13650000000000001</v>
      </c>
      <c r="H89" s="39">
        <v>0.41649999999999998</v>
      </c>
      <c r="I89" s="39"/>
      <c r="J89" s="39"/>
      <c r="K89" s="38"/>
      <c r="L89" s="39">
        <v>0.26591061843046498</v>
      </c>
      <c r="M89" s="34"/>
      <c r="N89" s="34">
        <f t="shared" si="2"/>
        <v>0.26591061843046498</v>
      </c>
    </row>
    <row r="90" spans="1:14">
      <c r="A90" s="3" t="s">
        <v>229</v>
      </c>
      <c r="B90" s="3" t="s">
        <v>680</v>
      </c>
      <c r="C90" s="3" t="s">
        <v>679</v>
      </c>
      <c r="D90" s="9">
        <v>2035</v>
      </c>
      <c r="E90" s="3" t="s">
        <v>677</v>
      </c>
      <c r="F90" s="39">
        <v>0.16551769738410901</v>
      </c>
      <c r="G90" s="39">
        <v>0.13650000000000001</v>
      </c>
      <c r="H90" s="39">
        <v>0.41649999999999998</v>
      </c>
      <c r="I90" s="39"/>
      <c r="J90" s="39"/>
      <c r="K90" s="38"/>
      <c r="L90" s="39">
        <v>0.29100884869205501</v>
      </c>
      <c r="M90" s="34"/>
      <c r="N90" s="34">
        <f t="shared" si="2"/>
        <v>0.29100884869205501</v>
      </c>
    </row>
    <row r="91" spans="1:14">
      <c r="A91" s="3" t="s">
        <v>229</v>
      </c>
      <c r="B91" s="3" t="s">
        <v>680</v>
      </c>
      <c r="C91" s="3" t="s">
        <v>679</v>
      </c>
      <c r="D91" s="9">
        <v>2036</v>
      </c>
      <c r="E91" s="3" t="s">
        <v>677</v>
      </c>
      <c r="F91" s="39">
        <v>0.16551769738410901</v>
      </c>
      <c r="G91" s="39">
        <v>0.13650000000000001</v>
      </c>
      <c r="H91" s="39">
        <v>0.41649999999999998</v>
      </c>
      <c r="I91" s="39"/>
      <c r="J91" s="39"/>
      <c r="K91" s="38"/>
      <c r="L91" s="39">
        <v>0.31610707895364398</v>
      </c>
      <c r="M91" s="34"/>
      <c r="N91" s="34">
        <f t="shared" si="2"/>
        <v>0.31610707895364398</v>
      </c>
    </row>
    <row r="92" spans="1:14">
      <c r="A92" s="3" t="s">
        <v>229</v>
      </c>
      <c r="B92" s="3" t="s">
        <v>680</v>
      </c>
      <c r="C92" s="3" t="s">
        <v>679</v>
      </c>
      <c r="D92" s="9">
        <v>2037</v>
      </c>
      <c r="E92" s="3" t="s">
        <v>677</v>
      </c>
      <c r="F92" s="39">
        <v>0.16551769738410901</v>
      </c>
      <c r="G92" s="39">
        <v>0.13650000000000001</v>
      </c>
      <c r="H92" s="39">
        <v>0.41649999999999998</v>
      </c>
      <c r="I92" s="39"/>
      <c r="J92" s="39"/>
      <c r="K92" s="38"/>
      <c r="L92" s="39">
        <v>0.34120530921523301</v>
      </c>
      <c r="M92" s="34"/>
      <c r="N92" s="34">
        <f t="shared" si="2"/>
        <v>0.34120530921523301</v>
      </c>
    </row>
    <row r="93" spans="1:14">
      <c r="A93" s="3" t="s">
        <v>229</v>
      </c>
      <c r="B93" s="3" t="s">
        <v>680</v>
      </c>
      <c r="C93" s="3" t="s">
        <v>679</v>
      </c>
      <c r="D93" s="9">
        <v>2038</v>
      </c>
      <c r="E93" s="3" t="s">
        <v>677</v>
      </c>
      <c r="F93" s="39">
        <v>0.16551769738410901</v>
      </c>
      <c r="G93" s="39">
        <v>0.13650000000000001</v>
      </c>
      <c r="H93" s="39">
        <v>0.41649999999999998</v>
      </c>
      <c r="I93" s="39"/>
      <c r="J93" s="39"/>
      <c r="K93" s="38"/>
      <c r="L93" s="39">
        <v>0.36630353947682198</v>
      </c>
      <c r="M93" s="34"/>
      <c r="N93" s="34">
        <f t="shared" si="2"/>
        <v>0.36630353947682198</v>
      </c>
    </row>
    <row r="94" spans="1:14">
      <c r="A94" s="3" t="s">
        <v>229</v>
      </c>
      <c r="B94" s="3" t="s">
        <v>680</v>
      </c>
      <c r="C94" s="3" t="s">
        <v>679</v>
      </c>
      <c r="D94" s="9">
        <v>2039</v>
      </c>
      <c r="E94" s="3" t="s">
        <v>677</v>
      </c>
      <c r="F94" s="39">
        <v>0.16551769738410901</v>
      </c>
      <c r="G94" s="39">
        <v>0.13650000000000001</v>
      </c>
      <c r="H94" s="39">
        <v>0.41649999999999998</v>
      </c>
      <c r="I94" s="39"/>
      <c r="J94" s="39"/>
      <c r="K94" s="38"/>
      <c r="L94" s="39">
        <v>0.39140176973841101</v>
      </c>
      <c r="M94" s="34"/>
      <c r="N94" s="34">
        <f t="shared" si="2"/>
        <v>0.39140176973841101</v>
      </c>
    </row>
    <row r="95" spans="1:14">
      <c r="A95" s="3" t="s">
        <v>229</v>
      </c>
      <c r="B95" s="3" t="s">
        <v>680</v>
      </c>
      <c r="C95" s="3" t="s">
        <v>679</v>
      </c>
      <c r="D95" s="9">
        <v>2040</v>
      </c>
      <c r="E95" s="3" t="s">
        <v>677</v>
      </c>
      <c r="F95" s="39">
        <v>0.16551769738410901</v>
      </c>
      <c r="G95" s="39">
        <v>0.13650000000000001</v>
      </c>
      <c r="H95" s="39">
        <v>0.41649999999999998</v>
      </c>
      <c r="I95" s="39">
        <v>0.34300000000000003</v>
      </c>
      <c r="J95" s="39">
        <v>0.14699999999999999</v>
      </c>
      <c r="K95" s="38">
        <v>0.5</v>
      </c>
      <c r="L95" s="39">
        <v>0.41649999999999998</v>
      </c>
      <c r="M95" s="34">
        <f>I95+Cascade_Assumptions!$B$11*J95</f>
        <v>0.41650000000000004</v>
      </c>
      <c r="N95" s="34">
        <f t="shared" si="2"/>
        <v>0.41649999999999998</v>
      </c>
    </row>
    <row r="96" spans="1:14">
      <c r="A96" s="3" t="s">
        <v>229</v>
      </c>
      <c r="B96" s="3" t="s">
        <v>680</v>
      </c>
      <c r="C96" s="3" t="s">
        <v>679</v>
      </c>
      <c r="D96" s="9">
        <v>2041</v>
      </c>
      <c r="E96" s="3" t="s">
        <v>678</v>
      </c>
      <c r="F96" s="39">
        <v>0.16551769738410901</v>
      </c>
      <c r="G96" s="39">
        <v>0.13650000000000001</v>
      </c>
      <c r="H96" s="39">
        <v>0.41649999999999998</v>
      </c>
      <c r="I96" s="39"/>
      <c r="J96" s="39"/>
      <c r="K96" s="38"/>
      <c r="L96" s="39">
        <v>0.41649999999999998</v>
      </c>
      <c r="M96" s="34"/>
      <c r="N96" s="34">
        <f t="shared" si="2"/>
        <v>0.41649999999999998</v>
      </c>
    </row>
    <row r="97" spans="1:14">
      <c r="A97" s="3" t="s">
        <v>229</v>
      </c>
      <c r="B97" s="3" t="s">
        <v>680</v>
      </c>
      <c r="C97" s="3" t="s">
        <v>679</v>
      </c>
      <c r="D97" s="9">
        <v>2042</v>
      </c>
      <c r="E97" s="3" t="s">
        <v>678</v>
      </c>
      <c r="F97" s="39">
        <v>0.16551769738410901</v>
      </c>
      <c r="G97" s="39">
        <v>0.13650000000000001</v>
      </c>
      <c r="H97" s="39">
        <v>0.41649999999999998</v>
      </c>
      <c r="I97" s="39"/>
      <c r="J97" s="39"/>
      <c r="K97" s="38"/>
      <c r="L97" s="39">
        <v>0.41649999999999998</v>
      </c>
      <c r="M97" s="34"/>
      <c r="N97" s="34">
        <f t="shared" si="2"/>
        <v>0.41649999999999998</v>
      </c>
    </row>
    <row r="98" spans="1:14">
      <c r="A98" s="3" t="s">
        <v>229</v>
      </c>
      <c r="B98" s="3" t="s">
        <v>680</v>
      </c>
      <c r="C98" s="3" t="s">
        <v>679</v>
      </c>
      <c r="D98" s="9">
        <v>2043</v>
      </c>
      <c r="E98" s="3" t="s">
        <v>678</v>
      </c>
      <c r="F98" s="39">
        <v>0.16551769738410901</v>
      </c>
      <c r="G98" s="39">
        <v>0.13650000000000001</v>
      </c>
      <c r="H98" s="39">
        <v>0.41649999999999998</v>
      </c>
      <c r="I98" s="39"/>
      <c r="J98" s="39"/>
      <c r="K98" s="38"/>
      <c r="L98" s="39">
        <v>0.41649999999999998</v>
      </c>
      <c r="M98" s="34"/>
      <c r="N98" s="34">
        <f t="shared" ref="N98:N105" si="3">L98</f>
        <v>0.41649999999999998</v>
      </c>
    </row>
    <row r="99" spans="1:14">
      <c r="A99" s="3" t="s">
        <v>229</v>
      </c>
      <c r="B99" s="3" t="s">
        <v>680</v>
      </c>
      <c r="C99" s="3" t="s">
        <v>679</v>
      </c>
      <c r="D99" s="9">
        <v>2044</v>
      </c>
      <c r="E99" s="3" t="s">
        <v>678</v>
      </c>
      <c r="F99" s="39">
        <v>0.16551769738410901</v>
      </c>
      <c r="G99" s="39">
        <v>0.13650000000000001</v>
      </c>
      <c r="H99" s="39">
        <v>0.41649999999999998</v>
      </c>
      <c r="I99" s="39"/>
      <c r="J99" s="39"/>
      <c r="K99" s="38"/>
      <c r="L99" s="39">
        <v>0.41649999999999998</v>
      </c>
      <c r="M99" s="34"/>
      <c r="N99" s="34">
        <f t="shared" si="3"/>
        <v>0.41649999999999998</v>
      </c>
    </row>
    <row r="100" spans="1:14">
      <c r="A100" s="3" t="s">
        <v>229</v>
      </c>
      <c r="B100" s="3" t="s">
        <v>680</v>
      </c>
      <c r="C100" s="3" t="s">
        <v>679</v>
      </c>
      <c r="D100" s="9">
        <v>2045</v>
      </c>
      <c r="E100" s="3" t="s">
        <v>678</v>
      </c>
      <c r="F100" s="39">
        <v>0.16551769738410901</v>
      </c>
      <c r="G100" s="39">
        <v>0.13650000000000001</v>
      </c>
      <c r="H100" s="39">
        <v>0.41649999999999998</v>
      </c>
      <c r="I100" s="39"/>
      <c r="J100" s="39"/>
      <c r="K100" s="38"/>
      <c r="L100" s="39">
        <v>0.41649999999999998</v>
      </c>
      <c r="M100" s="34"/>
      <c r="N100" s="34">
        <f t="shared" si="3"/>
        <v>0.41649999999999998</v>
      </c>
    </row>
    <row r="101" spans="1:14">
      <c r="A101" s="3" t="s">
        <v>229</v>
      </c>
      <c r="B101" s="3" t="s">
        <v>680</v>
      </c>
      <c r="C101" s="3" t="s">
        <v>679</v>
      </c>
      <c r="D101" s="9">
        <v>2046</v>
      </c>
      <c r="E101" s="3" t="s">
        <v>678</v>
      </c>
      <c r="F101" s="39">
        <v>0.16551769738410901</v>
      </c>
      <c r="G101" s="39">
        <v>0.13650000000000001</v>
      </c>
      <c r="H101" s="39">
        <v>0.41649999999999998</v>
      </c>
      <c r="I101" s="39"/>
      <c r="J101" s="39"/>
      <c r="K101" s="38"/>
      <c r="L101" s="39">
        <v>0.41649999999999998</v>
      </c>
      <c r="M101" s="34"/>
      <c r="N101" s="34">
        <f t="shared" si="3"/>
        <v>0.41649999999999998</v>
      </c>
    </row>
    <row r="102" spans="1:14">
      <c r="A102" s="3" t="s">
        <v>229</v>
      </c>
      <c r="B102" s="3" t="s">
        <v>680</v>
      </c>
      <c r="C102" s="3" t="s">
        <v>679</v>
      </c>
      <c r="D102" s="9">
        <v>2047</v>
      </c>
      <c r="E102" s="3" t="s">
        <v>678</v>
      </c>
      <c r="F102" s="39">
        <v>0.16551769738410901</v>
      </c>
      <c r="G102" s="39">
        <v>0.13650000000000001</v>
      </c>
      <c r="H102" s="39">
        <v>0.41649999999999998</v>
      </c>
      <c r="I102" s="39"/>
      <c r="J102" s="39"/>
      <c r="K102" s="38"/>
      <c r="L102" s="39">
        <v>0.41649999999999998</v>
      </c>
      <c r="M102" s="34"/>
      <c r="N102" s="34">
        <f t="shared" si="3"/>
        <v>0.41649999999999998</v>
      </c>
    </row>
    <row r="103" spans="1:14">
      <c r="A103" s="3" t="s">
        <v>229</v>
      </c>
      <c r="B103" s="3" t="s">
        <v>680</v>
      </c>
      <c r="C103" s="3" t="s">
        <v>679</v>
      </c>
      <c r="D103" s="9">
        <v>2048</v>
      </c>
      <c r="E103" s="3" t="s">
        <v>678</v>
      </c>
      <c r="F103" s="39">
        <v>0.16551769738410901</v>
      </c>
      <c r="G103" s="39">
        <v>0.13650000000000001</v>
      </c>
      <c r="H103" s="39">
        <v>0.41649999999999998</v>
      </c>
      <c r="I103" s="39"/>
      <c r="J103" s="39"/>
      <c r="K103" s="38"/>
      <c r="L103" s="39">
        <v>0.41649999999999998</v>
      </c>
      <c r="M103" s="34"/>
      <c r="N103" s="34">
        <f t="shared" si="3"/>
        <v>0.41649999999999998</v>
      </c>
    </row>
    <row r="104" spans="1:14">
      <c r="A104" s="3" t="s">
        <v>229</v>
      </c>
      <c r="B104" s="3" t="s">
        <v>680</v>
      </c>
      <c r="C104" s="3" t="s">
        <v>679</v>
      </c>
      <c r="D104" s="9">
        <v>2049</v>
      </c>
      <c r="E104" s="3" t="s">
        <v>678</v>
      </c>
      <c r="F104" s="39">
        <v>0.16551769738410901</v>
      </c>
      <c r="G104" s="39">
        <v>0.13650000000000001</v>
      </c>
      <c r="H104" s="39">
        <v>0.41649999999999998</v>
      </c>
      <c r="I104" s="39"/>
      <c r="J104" s="39"/>
      <c r="K104" s="38"/>
      <c r="L104" s="39">
        <v>0.41649999999999998</v>
      </c>
      <c r="M104" s="34"/>
      <c r="N104" s="34">
        <f t="shared" si="3"/>
        <v>0.41649999999999998</v>
      </c>
    </row>
    <row r="105" spans="1:14">
      <c r="A105" s="3" t="s">
        <v>229</v>
      </c>
      <c r="B105" s="3" t="s">
        <v>680</v>
      </c>
      <c r="C105" s="3" t="s">
        <v>679</v>
      </c>
      <c r="D105" s="9">
        <v>2050</v>
      </c>
      <c r="E105" s="3" t="s">
        <v>678</v>
      </c>
      <c r="F105" s="39">
        <v>0.16551769738410901</v>
      </c>
      <c r="G105" s="39">
        <v>0.13650000000000001</v>
      </c>
      <c r="H105" s="39">
        <v>0.41649999999999998</v>
      </c>
      <c r="I105" s="39"/>
      <c r="J105" s="39"/>
      <c r="K105" s="38"/>
      <c r="L105" s="39">
        <v>0.41649999999999998</v>
      </c>
      <c r="M105" s="34"/>
      <c r="N105" s="34">
        <f t="shared" si="3"/>
        <v>0.41649999999999998</v>
      </c>
    </row>
  </sheetData>
  <autoFilter ref="A1:N1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2" width="11.69921875" customWidth="1"/>
    <col min="3" max="3" width="18.69921875" customWidth="1"/>
    <col min="4" max="4" width="28.69921875" customWidth="1"/>
    <col min="5" max="5" width="17.69921875" customWidth="1"/>
    <col min="6" max="6" width="20.69921875" customWidth="1"/>
    <col min="7" max="8" width="11.69921875" customWidth="1"/>
  </cols>
  <sheetData>
    <row r="1" spans="1:8" ht="28.05" customHeight="1">
      <c r="A1" s="1" t="s">
        <v>681</v>
      </c>
      <c r="B1" s="1" t="s">
        <v>396</v>
      </c>
      <c r="C1" s="1" t="s">
        <v>668</v>
      </c>
      <c r="D1" s="1" t="s">
        <v>669</v>
      </c>
      <c r="E1" s="1" t="s">
        <v>682</v>
      </c>
      <c r="F1" s="1" t="s">
        <v>683</v>
      </c>
      <c r="G1" s="1" t="s">
        <v>684</v>
      </c>
      <c r="H1" s="1" t="s">
        <v>399</v>
      </c>
    </row>
    <row r="2" spans="1:8" ht="69">
      <c r="A2" t="s">
        <v>685</v>
      </c>
      <c r="B2" s="14" t="s">
        <v>686</v>
      </c>
      <c r="C2" s="40">
        <v>6.3E-2</v>
      </c>
      <c r="D2" s="40">
        <v>0.14699999999999999</v>
      </c>
      <c r="E2" s="41">
        <f>C2+Cascade_Assumptions!$B$11*D2</f>
        <v>0.13650000000000001</v>
      </c>
      <c r="F2" s="40">
        <v>0.13650000000000001</v>
      </c>
      <c r="G2" s="10"/>
      <c r="H2" s="16" t="str">
        <f>IF(ABS(E2-F2)&lt;0.0000001,"PASS","CHECK")</f>
        <v>PASS</v>
      </c>
    </row>
    <row r="3" spans="1:8" ht="69">
      <c r="A3" t="s">
        <v>687</v>
      </c>
      <c r="B3" s="14" t="s">
        <v>688</v>
      </c>
      <c r="C3" s="40">
        <v>0.34300000000000003</v>
      </c>
      <c r="D3" s="40">
        <v>0.14699999999999999</v>
      </c>
      <c r="E3" s="41">
        <f>C3+Cascade_Assumptions!$B$11*D3</f>
        <v>0.41650000000000004</v>
      </c>
      <c r="F3" s="40">
        <v>0.41649999999999998</v>
      </c>
      <c r="G3" s="10"/>
      <c r="H3" s="16" t="str">
        <f>IF(ABS(E3-F3)&lt;0.0000001,"PASS","CHECK")</f>
        <v>PASS</v>
      </c>
    </row>
    <row r="4" spans="1:8" ht="82.8">
      <c r="A4" t="s">
        <v>689</v>
      </c>
      <c r="B4" s="14" t="s">
        <v>690</v>
      </c>
      <c r="C4" s="40"/>
      <c r="D4" s="40"/>
      <c r="E4" s="41"/>
      <c r="F4" s="40"/>
      <c r="G4" s="10">
        <v>0</v>
      </c>
      <c r="H4" s="16" t="s">
        <v>695</v>
      </c>
    </row>
    <row r="5" spans="1:8" ht="69">
      <c r="A5" t="s">
        <v>691</v>
      </c>
      <c r="B5" s="14" t="s">
        <v>692</v>
      </c>
      <c r="C5" s="40"/>
      <c r="D5" s="40"/>
      <c r="E5" s="41"/>
      <c r="F5" s="40"/>
      <c r="G5" s="10">
        <v>0</v>
      </c>
      <c r="H5" s="16" t="str">
        <f>IF(G5&lt;0.000001,"PASS","FAIL")</f>
        <v>PASS</v>
      </c>
    </row>
    <row r="6" spans="1:8" ht="69">
      <c r="A6" t="s">
        <v>693</v>
      </c>
      <c r="B6" s="14" t="s">
        <v>694</v>
      </c>
      <c r="C6" s="40"/>
      <c r="D6" s="40"/>
      <c r="E6" s="41"/>
      <c r="F6" s="40"/>
      <c r="G6" s="10">
        <v>0</v>
      </c>
      <c r="H6" s="16" t="str">
        <f>IF(G6=0,"PASS","FAIL")</f>
        <v>PASS</v>
      </c>
    </row>
  </sheetData>
  <autoFilter ref="A1:H1" xr:uid="{00000000-0009-0000-0000-000005000000}"/>
  <conditionalFormatting sqref="H2:H6">
    <cfRule type="containsText" dxfId="12" priority="1" operator="containsText" text="CHECK">
      <formula>NOT(ISERROR(SEARCH("CHECK", H2)))</formula>
    </cfRule>
    <cfRule type="containsText" dxfId="11" priority="2" operator="containsText" text="FAIL">
      <formula>NOT(ISERROR(SEARCH("FAIL", H2)))</formula>
    </cfRule>
    <cfRule type="containsText" dxfId="10" priority="3" operator="containsText" text="PASS">
      <formula>NOT(ISERROR(SEARCH("PASS", H2)))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"/>
  <sheetViews>
    <sheetView topLeftCell="L1" workbookViewId="0">
      <pane ySplit="1" topLeftCell="A2" activePane="bottomLeft" state="frozen"/>
      <selection pane="bottomLeft" activeCell="P7" sqref="P7"/>
    </sheetView>
  </sheetViews>
  <sheetFormatPr defaultColWidth="11.19921875" defaultRowHeight="13.8"/>
  <cols>
    <col min="1" max="1" width="17.69921875" customWidth="1"/>
    <col min="2" max="2" width="24.69921875" customWidth="1"/>
    <col min="3" max="3" width="19.69921875" customWidth="1"/>
    <col min="4" max="4" width="11.69921875" customWidth="1"/>
    <col min="5" max="6" width="12.69921875" customWidth="1"/>
    <col min="7" max="7" width="17.69921875" customWidth="1"/>
    <col min="8" max="8" width="15.69921875" customWidth="1"/>
    <col min="9" max="9" width="18.69921875" customWidth="1"/>
    <col min="10" max="10" width="14.69921875" customWidth="1"/>
    <col min="11" max="12" width="19.69921875" customWidth="1"/>
    <col min="13" max="13" width="17.69921875" customWidth="1"/>
    <col min="14" max="14" width="12.69921875" customWidth="1"/>
    <col min="15" max="15" width="13.69921875" customWidth="1"/>
    <col min="16" max="16" width="27.69921875" customWidth="1"/>
    <col min="17" max="17" width="15.69921875" customWidth="1"/>
    <col min="18" max="18" width="12.69921875" customWidth="1"/>
    <col min="19" max="19" width="15.69921875" customWidth="1"/>
    <col min="20" max="20" width="17.69921875" customWidth="1"/>
    <col min="21" max="21" width="11.69921875" customWidth="1"/>
    <col min="22" max="22" width="16.69921875" customWidth="1"/>
  </cols>
  <sheetData>
    <row r="1" spans="1:22" ht="28.05" customHeight="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</row>
    <row r="2" spans="1:22">
      <c r="A2" t="s">
        <v>204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H2" t="s">
        <v>211</v>
      </c>
      <c r="I2" t="s">
        <v>212</v>
      </c>
      <c r="J2" s="18">
        <v>0.47</v>
      </c>
      <c r="K2" s="18">
        <v>1</v>
      </c>
      <c r="L2" s="19">
        <v>0.113766857372906</v>
      </c>
      <c r="M2" s="19">
        <v>0.41649999999999998</v>
      </c>
      <c r="N2" s="20">
        <v>2025</v>
      </c>
      <c r="O2" s="20">
        <v>2040</v>
      </c>
      <c r="P2" s="21">
        <f t="shared" ref="P2:P7" si="0">IF(OR(J2="",K2="",L2="",M2=""),"",ROUND(K2*(J2*(M2-L2)/(1-J2*L2)),4))</f>
        <v>0.15029999999999999</v>
      </c>
      <c r="Q2" s="22" t="s">
        <v>213</v>
      </c>
      <c r="R2" s="22" t="s">
        <v>214</v>
      </c>
      <c r="S2" t="s">
        <v>215</v>
      </c>
      <c r="T2" s="19" t="s">
        <v>216</v>
      </c>
      <c r="U2" s="23">
        <f t="shared" ref="U2:U7" si="1">COUNTIF($B$2:$B$7,B2)</f>
        <v>1</v>
      </c>
      <c r="V2" s="16" t="str">
        <f t="shared" ref="V2:V7" si="2">IF(U2=1,"OK","DUPLICATE KEY")</f>
        <v>OK</v>
      </c>
    </row>
    <row r="3" spans="1:22">
      <c r="A3" t="s">
        <v>204</v>
      </c>
      <c r="B3" t="s">
        <v>217</v>
      </c>
      <c r="C3" t="s">
        <v>206</v>
      </c>
      <c r="D3" t="s">
        <v>218</v>
      </c>
      <c r="E3" t="s">
        <v>219</v>
      </c>
      <c r="F3" t="s">
        <v>220</v>
      </c>
      <c r="G3" t="s">
        <v>210</v>
      </c>
      <c r="H3" t="s">
        <v>211</v>
      </c>
      <c r="I3" t="s">
        <v>212</v>
      </c>
      <c r="J3" s="18">
        <v>0.49</v>
      </c>
      <c r="K3" s="18">
        <v>0.8</v>
      </c>
      <c r="L3" s="19">
        <v>0.113766857372906</v>
      </c>
      <c r="M3" s="19">
        <v>0.41649999999999998</v>
      </c>
      <c r="N3" s="20">
        <v>2025</v>
      </c>
      <c r="O3" s="20">
        <v>2040</v>
      </c>
      <c r="P3" s="21">
        <f t="shared" si="0"/>
        <v>0.12570000000000001</v>
      </c>
      <c r="Q3" s="22" t="s">
        <v>213</v>
      </c>
      <c r="R3" s="22" t="s">
        <v>214</v>
      </c>
      <c r="S3" t="s">
        <v>215</v>
      </c>
      <c r="T3" s="19" t="s">
        <v>216</v>
      </c>
      <c r="U3" s="23">
        <f t="shared" si="1"/>
        <v>1</v>
      </c>
      <c r="V3" s="16" t="str">
        <f t="shared" si="2"/>
        <v>OK</v>
      </c>
    </row>
    <row r="4" spans="1:22">
      <c r="A4" t="s">
        <v>204</v>
      </c>
      <c r="B4" t="s">
        <v>221</v>
      </c>
      <c r="C4" t="s">
        <v>206</v>
      </c>
      <c r="D4" t="s">
        <v>222</v>
      </c>
      <c r="E4" t="s">
        <v>223</v>
      </c>
      <c r="F4" t="s">
        <v>224</v>
      </c>
      <c r="G4" t="s">
        <v>210</v>
      </c>
      <c r="H4" t="s">
        <v>211</v>
      </c>
      <c r="I4" t="s">
        <v>212</v>
      </c>
      <c r="J4" s="18">
        <v>0.57999999999999996</v>
      </c>
      <c r="K4" s="18">
        <v>0.8</v>
      </c>
      <c r="L4" s="19">
        <v>0.113766857372906</v>
      </c>
      <c r="M4" s="19">
        <v>0.41649999999999998</v>
      </c>
      <c r="N4" s="20">
        <v>2025</v>
      </c>
      <c r="O4" s="20">
        <v>2040</v>
      </c>
      <c r="P4" s="21">
        <f t="shared" si="0"/>
        <v>0.15040000000000001</v>
      </c>
      <c r="Q4" s="22" t="s">
        <v>213</v>
      </c>
      <c r="R4" s="22" t="s">
        <v>214</v>
      </c>
      <c r="S4" t="s">
        <v>215</v>
      </c>
      <c r="T4" s="19" t="s">
        <v>216</v>
      </c>
      <c r="U4" s="23">
        <f t="shared" si="1"/>
        <v>1</v>
      </c>
      <c r="V4" s="16" t="str">
        <f t="shared" si="2"/>
        <v>OK</v>
      </c>
    </row>
    <row r="5" spans="1:22">
      <c r="A5" t="s">
        <v>204</v>
      </c>
      <c r="B5" t="s">
        <v>225</v>
      </c>
      <c r="C5" t="s">
        <v>206</v>
      </c>
      <c r="D5" t="s">
        <v>226</v>
      </c>
      <c r="E5" t="s">
        <v>227</v>
      </c>
      <c r="F5" t="s">
        <v>228</v>
      </c>
      <c r="G5" t="s">
        <v>210</v>
      </c>
      <c r="H5" t="s">
        <v>211</v>
      </c>
      <c r="I5" t="s">
        <v>212</v>
      </c>
      <c r="J5" s="18">
        <v>0.54</v>
      </c>
      <c r="K5" s="18">
        <v>0.8</v>
      </c>
      <c r="L5" s="19">
        <v>0.113766857372906</v>
      </c>
      <c r="M5" s="19">
        <v>0.41649999999999998</v>
      </c>
      <c r="N5" s="20">
        <v>2025</v>
      </c>
      <c r="O5" s="20">
        <v>2040</v>
      </c>
      <c r="P5" s="21">
        <f t="shared" si="0"/>
        <v>0.13930000000000001</v>
      </c>
      <c r="Q5" s="22" t="s">
        <v>213</v>
      </c>
      <c r="R5" s="22" t="s">
        <v>214</v>
      </c>
      <c r="S5" t="s">
        <v>215</v>
      </c>
      <c r="T5" s="19" t="s">
        <v>216</v>
      </c>
      <c r="U5" s="23">
        <f t="shared" si="1"/>
        <v>1</v>
      </c>
      <c r="V5" s="16" t="str">
        <f t="shared" si="2"/>
        <v>OK</v>
      </c>
    </row>
    <row r="6" spans="1:22">
      <c r="A6" t="s">
        <v>229</v>
      </c>
      <c r="B6" t="s">
        <v>230</v>
      </c>
      <c r="C6" t="s">
        <v>231</v>
      </c>
      <c r="D6" t="s">
        <v>232</v>
      </c>
      <c r="E6" t="s">
        <v>233</v>
      </c>
      <c r="F6" t="s">
        <v>234</v>
      </c>
      <c r="G6" t="s">
        <v>211</v>
      </c>
      <c r="H6" t="s">
        <v>235</v>
      </c>
      <c r="I6" t="s">
        <v>236</v>
      </c>
      <c r="J6" s="18">
        <v>0.28000000000000003</v>
      </c>
      <c r="K6" s="18">
        <v>1</v>
      </c>
      <c r="L6" s="19">
        <v>0.147914612579645</v>
      </c>
      <c r="M6" s="19">
        <v>0.41649999999999998</v>
      </c>
      <c r="N6" s="20">
        <v>2025</v>
      </c>
      <c r="O6" s="20">
        <v>2040</v>
      </c>
      <c r="P6" s="21">
        <f t="shared" si="0"/>
        <v>7.85E-2</v>
      </c>
      <c r="Q6" s="22" t="s">
        <v>230</v>
      </c>
      <c r="R6" s="22" t="s">
        <v>237</v>
      </c>
      <c r="S6" t="s">
        <v>215</v>
      </c>
      <c r="T6" s="19" t="s">
        <v>216</v>
      </c>
      <c r="U6" s="23">
        <f t="shared" si="1"/>
        <v>1</v>
      </c>
      <c r="V6" s="16" t="str">
        <f t="shared" si="2"/>
        <v>OK</v>
      </c>
    </row>
    <row r="7" spans="1:22">
      <c r="A7" t="s">
        <v>229</v>
      </c>
      <c r="B7" t="s">
        <v>238</v>
      </c>
      <c r="C7" t="s">
        <v>231</v>
      </c>
      <c r="D7" t="s">
        <v>222</v>
      </c>
      <c r="E7" t="s">
        <v>223</v>
      </c>
      <c r="F7" t="s">
        <v>224</v>
      </c>
      <c r="G7" t="s">
        <v>211</v>
      </c>
      <c r="H7" t="s">
        <v>239</v>
      </c>
      <c r="I7" t="s">
        <v>236</v>
      </c>
      <c r="J7" s="18">
        <v>0.15</v>
      </c>
      <c r="K7" s="18">
        <v>0.15</v>
      </c>
      <c r="L7" s="19">
        <v>0.147914612579645</v>
      </c>
      <c r="M7" s="19">
        <v>0.41649999999999998</v>
      </c>
      <c r="N7" s="20">
        <v>2025</v>
      </c>
      <c r="O7" s="20">
        <v>2040</v>
      </c>
      <c r="P7" s="21">
        <f t="shared" si="0"/>
        <v>6.1999999999999998E-3</v>
      </c>
      <c r="Q7" s="22" t="s">
        <v>230</v>
      </c>
      <c r="R7" s="22" t="s">
        <v>214</v>
      </c>
      <c r="S7" t="s">
        <v>240</v>
      </c>
      <c r="T7" s="19" t="s">
        <v>216</v>
      </c>
      <c r="U7" s="23">
        <f t="shared" si="1"/>
        <v>1</v>
      </c>
      <c r="V7" s="16" t="str">
        <f t="shared" si="2"/>
        <v>OK</v>
      </c>
    </row>
  </sheetData>
  <autoFilter ref="A1:V1" xr:uid="{00000000-0009-0000-0000-000006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"/>
  <sheetViews>
    <sheetView topLeftCell="H1" workbookViewId="0">
      <pane ySplit="1" topLeftCell="A2" activePane="bottomLeft" state="frozen"/>
      <selection pane="bottomLeft" activeCell="J6" sqref="J6"/>
    </sheetView>
  </sheetViews>
  <sheetFormatPr defaultColWidth="11.19921875" defaultRowHeight="13.8"/>
  <cols>
    <col min="1" max="1" width="16.69921875" customWidth="1"/>
    <col min="2" max="2" width="20.69921875" customWidth="1"/>
    <col min="3" max="3" width="13.69921875" customWidth="1"/>
    <col min="4" max="4" width="17.69921875" customWidth="1"/>
    <col min="5" max="5" width="11.69921875" customWidth="1"/>
    <col min="6" max="6" width="12.69921875" customWidth="1"/>
    <col min="7" max="7" width="15.69921875" customWidth="1"/>
    <col min="8" max="8" width="12.69921875" customWidth="1"/>
    <col min="9" max="9" width="16.69921875" customWidth="1"/>
    <col min="10" max="10" width="28.69921875" customWidth="1"/>
    <col min="11" max="11" width="29.69921875" customWidth="1"/>
    <col min="12" max="12" width="20.69921875" customWidth="1"/>
    <col min="13" max="13" width="13.69921875" customWidth="1"/>
    <col min="14" max="14" width="12.69921875" customWidth="1"/>
    <col min="15" max="15" width="11.69921875" customWidth="1"/>
    <col min="16" max="16" width="15.69921875" customWidth="1"/>
    <col min="17" max="17" width="12.69921875" customWidth="1"/>
    <col min="18" max="18" width="25.69921875" customWidth="1"/>
    <col min="19" max="19" width="14.69921875" customWidth="1"/>
    <col min="20" max="20" width="12.69921875" customWidth="1"/>
    <col min="21" max="21" width="16.69921875" customWidth="1"/>
    <col min="22" max="22" width="17.69921875" customWidth="1"/>
    <col min="23" max="23" width="13.69921875" customWidth="1"/>
    <col min="24" max="24" width="12.69921875" customWidth="1"/>
  </cols>
  <sheetData>
    <row r="1" spans="1:24" ht="28.05" customHeight="1">
      <c r="A1" s="1" t="s">
        <v>241</v>
      </c>
      <c r="B1" s="1" t="s">
        <v>242</v>
      </c>
      <c r="C1" s="1" t="s">
        <v>243</v>
      </c>
      <c r="D1" s="1" t="s">
        <v>182</v>
      </c>
      <c r="E1" s="1" t="s">
        <v>185</v>
      </c>
      <c r="F1" s="1" t="s">
        <v>186</v>
      </c>
      <c r="G1" s="1" t="s">
        <v>198</v>
      </c>
      <c r="H1" s="1" t="s">
        <v>199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</row>
    <row r="2" spans="1:24" ht="55.2">
      <c r="A2" s="22" t="s">
        <v>260</v>
      </c>
      <c r="B2" s="22" t="s">
        <v>261</v>
      </c>
      <c r="C2" s="22" t="s">
        <v>262</v>
      </c>
      <c r="D2" t="s">
        <v>204</v>
      </c>
      <c r="E2" t="s">
        <v>263</v>
      </c>
      <c r="G2" s="22" t="s">
        <v>213</v>
      </c>
      <c r="H2" s="22" t="s">
        <v>214</v>
      </c>
      <c r="I2" s="27" t="s">
        <v>264</v>
      </c>
      <c r="J2" s="22" t="s">
        <v>265</v>
      </c>
      <c r="K2" s="19">
        <v>0.06</v>
      </c>
      <c r="L2" s="24">
        <v>1</v>
      </c>
      <c r="M2" s="20">
        <v>30</v>
      </c>
      <c r="N2" s="20">
        <v>95</v>
      </c>
      <c r="O2" t="s">
        <v>266</v>
      </c>
      <c r="P2" s="25">
        <v>22.229600000000001</v>
      </c>
      <c r="Q2" s="20">
        <v>2023</v>
      </c>
      <c r="R2">
        <v>1</v>
      </c>
      <c r="S2" s="17">
        <f>IFERROR(INDEX(Selected_Interventions!$L$2:$L$7,MATCH(G2,Selected_Interventions!$Q$2:$Q$7,0)),"")</f>
        <v>0.113766857372906</v>
      </c>
      <c r="T2" s="17">
        <f>IFERROR(INDEX(Selected_Interventions!$M$2:$M$7,MATCH(G2,Selected_Interventions!$Q$2:$Q$7,0)),"")</f>
        <v>0.41649999999999998</v>
      </c>
      <c r="U2" s="26">
        <f>IFERROR(INDEX(Selected_Interventions!$N$2:$N$7,MATCH(G2,Selected_Interventions!$Q$2:$Q$7,0)),"")</f>
        <v>2025</v>
      </c>
      <c r="V2" s="26">
        <f>IFERROR(INDEX(Selected_Interventions!$O$2:$O$7,MATCH(G2,Selected_Interventions!$Q$2:$Q$7,0)),"")</f>
        <v>2040</v>
      </c>
      <c r="W2" s="22" t="s">
        <v>240</v>
      </c>
      <c r="X2" s="23">
        <f>IF(AND(P2&lt;&gt;"",P2&gt;=0,S2&lt;&gt;"",K2&lt;&gt;"",K2&gt;=0,K2&lt;=1,OR(J2="all",J2="prevalence",J2="incidence")),1,0)</f>
        <v>1</v>
      </c>
    </row>
    <row r="3" spans="1:24" ht="27.6">
      <c r="A3" s="22" t="s">
        <v>267</v>
      </c>
      <c r="B3" s="22" t="s">
        <v>268</v>
      </c>
      <c r="C3" s="22" t="s">
        <v>262</v>
      </c>
      <c r="D3" t="s">
        <v>204</v>
      </c>
      <c r="E3" t="s">
        <v>263</v>
      </c>
      <c r="G3" s="22" t="s">
        <v>213</v>
      </c>
      <c r="H3" s="22" t="s">
        <v>214</v>
      </c>
      <c r="I3" s="27" t="s">
        <v>269</v>
      </c>
      <c r="J3" s="22" t="s">
        <v>265</v>
      </c>
      <c r="K3" s="19">
        <v>0.2</v>
      </c>
      <c r="L3" s="24">
        <v>1</v>
      </c>
      <c r="M3" s="20">
        <v>30</v>
      </c>
      <c r="N3" s="20">
        <v>95</v>
      </c>
      <c r="O3" t="s">
        <v>266</v>
      </c>
      <c r="P3" s="25">
        <v>1.2915840000000001</v>
      </c>
      <c r="Q3" s="20">
        <v>2023</v>
      </c>
      <c r="R3">
        <v>1</v>
      </c>
      <c r="S3" s="17">
        <f>IFERROR(INDEX(Selected_Interventions!$L$2:$L$7,MATCH(G3,Selected_Interventions!$Q$2:$Q$7,0)),"")</f>
        <v>0.113766857372906</v>
      </c>
      <c r="T3" s="17">
        <f>IFERROR(INDEX(Selected_Interventions!$M$2:$M$7,MATCH(G3,Selected_Interventions!$Q$2:$Q$7,0)),"")</f>
        <v>0.41649999999999998</v>
      </c>
      <c r="U3" s="26">
        <f>IFERROR(INDEX(Selected_Interventions!$N$2:$N$7,MATCH(G3,Selected_Interventions!$Q$2:$Q$7,0)),"")</f>
        <v>2025</v>
      </c>
      <c r="V3" s="26">
        <f>IFERROR(INDEX(Selected_Interventions!$O$2:$O$7,MATCH(G3,Selected_Interventions!$Q$2:$Q$7,0)),"")</f>
        <v>2040</v>
      </c>
      <c r="W3" s="22" t="s">
        <v>240</v>
      </c>
      <c r="X3" s="23">
        <f>IF(AND(P3&lt;&gt;"",P3&gt;=0,S3&lt;&gt;"",K3&lt;&gt;"",K3&gt;=0,K3&lt;=1,OR(J3="all",J3="prevalence",J3="incidence")),1,0)</f>
        <v>1</v>
      </c>
    </row>
    <row r="4" spans="1:24" ht="41.4">
      <c r="A4" s="22" t="s">
        <v>270</v>
      </c>
      <c r="B4" s="22" t="s">
        <v>271</v>
      </c>
      <c r="C4" s="22" t="s">
        <v>272</v>
      </c>
      <c r="D4" t="s">
        <v>229</v>
      </c>
      <c r="E4" t="s">
        <v>232</v>
      </c>
      <c r="F4" t="s">
        <v>233</v>
      </c>
      <c r="G4" s="22" t="s">
        <v>230</v>
      </c>
      <c r="H4" s="22" t="s">
        <v>237</v>
      </c>
      <c r="I4" s="27" t="s">
        <v>273</v>
      </c>
      <c r="J4" s="22" t="s">
        <v>274</v>
      </c>
      <c r="K4" s="19">
        <v>0.2</v>
      </c>
      <c r="L4" s="24">
        <v>1</v>
      </c>
      <c r="M4" s="20">
        <v>30</v>
      </c>
      <c r="N4" s="20">
        <v>95</v>
      </c>
      <c r="O4" t="s">
        <v>266</v>
      </c>
      <c r="P4" s="25">
        <v>1154.0355216616899</v>
      </c>
      <c r="Q4" s="20">
        <v>2023</v>
      </c>
      <c r="R4">
        <v>1</v>
      </c>
      <c r="S4" s="17">
        <f>IFERROR(INDEX(Selected_Interventions!$L$2:$L$7,MATCH(G4,Selected_Interventions!$Q$2:$Q$7,0)),"")</f>
        <v>0.147914612579645</v>
      </c>
      <c r="T4" s="17">
        <f>IFERROR(INDEX(Selected_Interventions!$M$2:$M$7,MATCH(G4,Selected_Interventions!$Q$2:$Q$7,0)),"")</f>
        <v>0.41649999999999998</v>
      </c>
      <c r="U4" s="26">
        <f>IFERROR(INDEX(Selected_Interventions!$N$2:$N$7,MATCH(G4,Selected_Interventions!$Q$2:$Q$7,0)),"")</f>
        <v>2025</v>
      </c>
      <c r="V4" s="26">
        <f>IFERROR(INDEX(Selected_Interventions!$O$2:$O$7,MATCH(G4,Selected_Interventions!$Q$2:$Q$7,0)),"")</f>
        <v>2040</v>
      </c>
      <c r="W4" s="22" t="s">
        <v>275</v>
      </c>
      <c r="X4" s="23">
        <f>IF(AND(P4&lt;&gt;"",P4&gt;=0,S4&lt;&gt;"",K4&lt;&gt;"",K4&gt;=0,K4&lt;=1,OR(J4="all",J4="prevalence",J4="incidence")),1,0)</f>
        <v>1</v>
      </c>
    </row>
    <row r="5" spans="1:24" ht="41.4">
      <c r="A5" s="22" t="s">
        <v>276</v>
      </c>
      <c r="B5" s="22" t="s">
        <v>277</v>
      </c>
      <c r="C5" s="22" t="s">
        <v>272</v>
      </c>
      <c r="D5" t="s">
        <v>229</v>
      </c>
      <c r="E5" t="s">
        <v>232</v>
      </c>
      <c r="F5" t="s">
        <v>233</v>
      </c>
      <c r="G5" s="22" t="s">
        <v>230</v>
      </c>
      <c r="H5" s="22" t="s">
        <v>237</v>
      </c>
      <c r="I5" s="27" t="s">
        <v>278</v>
      </c>
      <c r="J5" s="22" t="s">
        <v>274</v>
      </c>
      <c r="K5" s="19">
        <v>0.6</v>
      </c>
      <c r="L5" s="24">
        <v>1</v>
      </c>
      <c r="M5" s="20">
        <v>30</v>
      </c>
      <c r="N5" s="20">
        <v>95</v>
      </c>
      <c r="O5" t="s">
        <v>266</v>
      </c>
      <c r="P5" s="25">
        <v>752.57623226071905</v>
      </c>
      <c r="Q5" s="20">
        <v>2023</v>
      </c>
      <c r="R5">
        <v>1</v>
      </c>
      <c r="S5" s="17">
        <f>IFERROR(INDEX(Selected_Interventions!$L$2:$L$7,MATCH(G5,Selected_Interventions!$Q$2:$Q$7,0)),"")</f>
        <v>0.147914612579645</v>
      </c>
      <c r="T5" s="17">
        <f>IFERROR(INDEX(Selected_Interventions!$M$2:$M$7,MATCH(G5,Selected_Interventions!$Q$2:$Q$7,0)),"")</f>
        <v>0.41649999999999998</v>
      </c>
      <c r="U5" s="26">
        <f>IFERROR(INDEX(Selected_Interventions!$N$2:$N$7,MATCH(G5,Selected_Interventions!$Q$2:$Q$7,0)),"")</f>
        <v>2025</v>
      </c>
      <c r="V5" s="26">
        <f>IFERROR(INDEX(Selected_Interventions!$O$2:$O$7,MATCH(G5,Selected_Interventions!$Q$2:$Q$7,0)),"")</f>
        <v>2040</v>
      </c>
      <c r="W5" s="22" t="s">
        <v>275</v>
      </c>
      <c r="X5" s="23">
        <f>IF(AND(P5&lt;&gt;"",P5&gt;=0,S5&lt;&gt;"",K5&lt;&gt;"",K5&gt;=0,K5&lt;=1,OR(J5="all",J5="prevalence",J5="incidence")),1,0)</f>
        <v>1</v>
      </c>
    </row>
    <row r="6" spans="1:24" ht="41.4">
      <c r="A6" s="22" t="s">
        <v>279</v>
      </c>
      <c r="B6" s="22" t="s">
        <v>280</v>
      </c>
      <c r="C6" s="22" t="s">
        <v>272</v>
      </c>
      <c r="D6" t="s">
        <v>229</v>
      </c>
      <c r="E6" t="s">
        <v>232</v>
      </c>
      <c r="F6" t="s">
        <v>233</v>
      </c>
      <c r="G6" s="22" t="s">
        <v>230</v>
      </c>
      <c r="H6" s="22" t="s">
        <v>237</v>
      </c>
      <c r="I6" s="27" t="s">
        <v>281</v>
      </c>
      <c r="J6" s="22" t="s">
        <v>265</v>
      </c>
      <c r="K6" s="19">
        <v>0.2</v>
      </c>
      <c r="L6" s="24">
        <v>1</v>
      </c>
      <c r="M6" s="20">
        <v>30</v>
      </c>
      <c r="N6" s="20">
        <v>95</v>
      </c>
      <c r="O6" t="s">
        <v>266</v>
      </c>
      <c r="P6" s="25">
        <v>0.70495847821973801</v>
      </c>
      <c r="Q6" s="20">
        <v>2023</v>
      </c>
      <c r="R6">
        <v>1</v>
      </c>
      <c r="S6" s="17">
        <f>IFERROR(INDEX(Selected_Interventions!$L$2:$L$7,MATCH(G6,Selected_Interventions!$Q$2:$Q$7,0)),"")</f>
        <v>0.147914612579645</v>
      </c>
      <c r="T6" s="17">
        <f>IFERROR(INDEX(Selected_Interventions!$M$2:$M$7,MATCH(G6,Selected_Interventions!$Q$2:$Q$7,0)),"")</f>
        <v>0.41649999999999998</v>
      </c>
      <c r="U6" s="26">
        <f>IFERROR(INDEX(Selected_Interventions!$N$2:$N$7,MATCH(G6,Selected_Interventions!$Q$2:$Q$7,0)),"")</f>
        <v>2025</v>
      </c>
      <c r="V6" s="26">
        <f>IFERROR(INDEX(Selected_Interventions!$O$2:$O$7,MATCH(G6,Selected_Interventions!$Q$2:$Q$7,0)),"")</f>
        <v>2040</v>
      </c>
      <c r="W6" s="22" t="s">
        <v>275</v>
      </c>
      <c r="X6" s="23">
        <f>IF(AND(P6&lt;&gt;"",P6&gt;=0,S6&lt;&gt;"",K6&lt;&gt;"",K6&gt;=0,K6&lt;=1,OR(J6="all",J6="prevalence",J6="incidence")),1,0)</f>
        <v>1</v>
      </c>
    </row>
  </sheetData>
  <autoFilter ref="A1:X1" xr:uid="{00000000-0009-0000-0000-000007000000}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5"/>
  <sheetViews>
    <sheetView workbookViewId="0">
      <pane ySplit="1" topLeftCell="A2" activePane="bottomLeft" state="frozen"/>
      <selection pane="bottomLeft" activeCell="C4" sqref="A4:C4"/>
    </sheetView>
  </sheetViews>
  <sheetFormatPr defaultColWidth="11.19921875" defaultRowHeight="13.8"/>
  <cols>
    <col min="1" max="1" width="11.69921875" customWidth="1"/>
    <col min="2" max="2" width="16.69921875" customWidth="1"/>
    <col min="3" max="5" width="11.69921875" customWidth="1"/>
    <col min="6" max="6" width="14.69921875" customWidth="1"/>
    <col min="7" max="7" width="13.69921875" customWidth="1"/>
    <col min="8" max="8" width="16.69921875" customWidth="1"/>
    <col min="9" max="9" width="12.69921875" customWidth="1"/>
    <col min="10" max="10" width="15.69921875" customWidth="1"/>
  </cols>
  <sheetData>
    <row r="1" spans="1:10" ht="28.05" customHeight="1">
      <c r="A1" s="1" t="s">
        <v>282</v>
      </c>
      <c r="B1" s="1" t="s">
        <v>283</v>
      </c>
      <c r="C1" s="1" t="s">
        <v>42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  <row r="2" spans="1:10">
      <c r="A2" t="s">
        <v>115</v>
      </c>
      <c r="B2" t="s">
        <v>291</v>
      </c>
      <c r="C2" s="20">
        <v>2025</v>
      </c>
      <c r="D2" t="s">
        <v>292</v>
      </c>
      <c r="E2" s="22">
        <v>8428.9060305542207</v>
      </c>
      <c r="F2" s="22">
        <v>9668.8228063551105</v>
      </c>
      <c r="G2" s="10">
        <v>9668.8228063551105</v>
      </c>
      <c r="H2" s="23">
        <f t="shared" ref="H2:H65" si="0">G2-F2</f>
        <v>0</v>
      </c>
      <c r="I2" s="10">
        <v>8428.9060305542207</v>
      </c>
      <c r="J2" s="23">
        <f t="shared" ref="J2:J65" si="1">I2-E2</f>
        <v>0</v>
      </c>
    </row>
    <row r="3" spans="1:10">
      <c r="A3" t="s">
        <v>115</v>
      </c>
      <c r="B3" t="s">
        <v>291</v>
      </c>
      <c r="C3" s="20">
        <v>2025</v>
      </c>
      <c r="D3" t="s">
        <v>233</v>
      </c>
      <c r="E3" s="22">
        <v>479897.33372501301</v>
      </c>
      <c r="F3" s="22">
        <v>159105.61174118199</v>
      </c>
      <c r="G3" s="10">
        <v>159105.61174118199</v>
      </c>
      <c r="H3" s="23">
        <f t="shared" si="0"/>
        <v>0</v>
      </c>
      <c r="I3" s="10">
        <v>479897.33372501301</v>
      </c>
      <c r="J3" s="23">
        <f t="shared" si="1"/>
        <v>0</v>
      </c>
    </row>
    <row r="4" spans="1:10">
      <c r="A4" t="s">
        <v>115</v>
      </c>
      <c r="B4" t="s">
        <v>291</v>
      </c>
      <c r="C4" s="20">
        <v>2025</v>
      </c>
      <c r="D4" t="s">
        <v>208</v>
      </c>
      <c r="E4" s="22">
        <v>76355.816778588094</v>
      </c>
      <c r="F4" s="22">
        <v>63094.530810472199</v>
      </c>
      <c r="G4" s="10">
        <v>63094.530810472199</v>
      </c>
      <c r="H4" s="23">
        <f t="shared" si="0"/>
        <v>0</v>
      </c>
      <c r="I4" s="10">
        <v>76355.816778588094</v>
      </c>
      <c r="J4" s="23">
        <f t="shared" si="1"/>
        <v>0</v>
      </c>
    </row>
    <row r="5" spans="1:10">
      <c r="A5" t="s">
        <v>115</v>
      </c>
      <c r="B5" t="s">
        <v>291</v>
      </c>
      <c r="C5" s="20">
        <v>2025</v>
      </c>
      <c r="D5" t="s">
        <v>219</v>
      </c>
      <c r="E5" s="22">
        <v>207904.953216455</v>
      </c>
      <c r="F5" s="22">
        <v>240064.28701027401</v>
      </c>
      <c r="G5" s="10">
        <v>240064.28701027401</v>
      </c>
      <c r="H5" s="23">
        <f t="shared" si="0"/>
        <v>0</v>
      </c>
      <c r="I5" s="10">
        <v>207904.953216455</v>
      </c>
      <c r="J5" s="23">
        <f t="shared" si="1"/>
        <v>0</v>
      </c>
    </row>
    <row r="6" spans="1:10">
      <c r="A6" t="s">
        <v>115</v>
      </c>
      <c r="B6" t="s">
        <v>291</v>
      </c>
      <c r="C6" s="20">
        <v>2025</v>
      </c>
      <c r="D6" t="s">
        <v>223</v>
      </c>
      <c r="E6" s="22">
        <v>306292.00908888201</v>
      </c>
      <c r="F6" s="22">
        <v>368786.78785647702</v>
      </c>
      <c r="G6" s="10">
        <v>368786.78785647702</v>
      </c>
      <c r="H6" s="23">
        <f t="shared" si="0"/>
        <v>0</v>
      </c>
      <c r="I6" s="10">
        <v>306292.00908888201</v>
      </c>
      <c r="J6" s="23">
        <f t="shared" si="1"/>
        <v>0</v>
      </c>
    </row>
    <row r="7" spans="1:10">
      <c r="A7" t="s">
        <v>115</v>
      </c>
      <c r="B7" t="s">
        <v>291</v>
      </c>
      <c r="C7" s="20">
        <v>2025</v>
      </c>
      <c r="D7" t="s">
        <v>227</v>
      </c>
      <c r="E7" s="22">
        <v>197300.30955450001</v>
      </c>
      <c r="F7" s="22">
        <v>222132.32720945799</v>
      </c>
      <c r="G7" s="10">
        <v>222132.32720945799</v>
      </c>
      <c r="H7" s="23">
        <f t="shared" si="0"/>
        <v>0</v>
      </c>
      <c r="I7" s="10">
        <v>197300.30955450001</v>
      </c>
      <c r="J7" s="23">
        <f t="shared" si="1"/>
        <v>0</v>
      </c>
    </row>
    <row r="8" spans="1:10">
      <c r="A8" t="s">
        <v>115</v>
      </c>
      <c r="B8" t="s">
        <v>291</v>
      </c>
      <c r="C8" s="20">
        <v>2025</v>
      </c>
      <c r="D8" t="s">
        <v>293</v>
      </c>
      <c r="E8" s="22">
        <v>34256.1387097634</v>
      </c>
      <c r="F8" s="22">
        <v>4628.4588674042398</v>
      </c>
      <c r="G8" s="10">
        <v>4628.4588674042398</v>
      </c>
      <c r="H8" s="23">
        <f t="shared" si="0"/>
        <v>0</v>
      </c>
      <c r="I8" s="10">
        <v>34256.1387097634</v>
      </c>
      <c r="J8" s="23">
        <f t="shared" si="1"/>
        <v>0</v>
      </c>
    </row>
    <row r="9" spans="1:10">
      <c r="A9" t="s">
        <v>115</v>
      </c>
      <c r="B9" t="s">
        <v>291</v>
      </c>
      <c r="C9" s="20">
        <v>2026</v>
      </c>
      <c r="D9" t="s">
        <v>292</v>
      </c>
      <c r="E9" s="22">
        <v>8487.1724802605004</v>
      </c>
      <c r="F9" s="22">
        <v>8630.3166960235103</v>
      </c>
      <c r="G9" s="10">
        <v>8630.3166960235103</v>
      </c>
      <c r="H9" s="23">
        <f t="shared" si="0"/>
        <v>0</v>
      </c>
      <c r="I9" s="10">
        <v>8487.1724802605004</v>
      </c>
      <c r="J9" s="23">
        <f t="shared" si="1"/>
        <v>0</v>
      </c>
    </row>
    <row r="10" spans="1:10">
      <c r="A10" t="s">
        <v>115</v>
      </c>
      <c r="B10" t="s">
        <v>291</v>
      </c>
      <c r="C10" s="20">
        <v>2026</v>
      </c>
      <c r="D10" t="s">
        <v>233</v>
      </c>
      <c r="E10" s="22">
        <v>487916.81762222701</v>
      </c>
      <c r="F10" s="22">
        <v>158982.02911532999</v>
      </c>
      <c r="G10" s="10">
        <v>159012.29350942801</v>
      </c>
      <c r="H10" s="23">
        <f t="shared" si="0"/>
        <v>30.264394098019693</v>
      </c>
      <c r="I10" s="10">
        <v>487916.81762222701</v>
      </c>
      <c r="J10" s="23">
        <f t="shared" si="1"/>
        <v>0</v>
      </c>
    </row>
    <row r="11" spans="1:10">
      <c r="A11" t="s">
        <v>115</v>
      </c>
      <c r="B11" t="s">
        <v>291</v>
      </c>
      <c r="C11" s="20">
        <v>2026</v>
      </c>
      <c r="D11" t="s">
        <v>208</v>
      </c>
      <c r="E11" s="22">
        <v>77731.461175252203</v>
      </c>
      <c r="F11" s="22">
        <v>59835.222784683501</v>
      </c>
      <c r="G11" s="10">
        <v>59835.222784683501</v>
      </c>
      <c r="H11" s="23">
        <f t="shared" si="0"/>
        <v>0</v>
      </c>
      <c r="I11" s="10">
        <v>77888.093163693993</v>
      </c>
      <c r="J11" s="23">
        <f t="shared" si="1"/>
        <v>156.63198844178987</v>
      </c>
    </row>
    <row r="12" spans="1:10">
      <c r="A12" t="s">
        <v>115</v>
      </c>
      <c r="B12" t="s">
        <v>291</v>
      </c>
      <c r="C12" s="20">
        <v>2026</v>
      </c>
      <c r="D12" t="s">
        <v>219</v>
      </c>
      <c r="E12" s="22">
        <v>211661.780444139</v>
      </c>
      <c r="F12" s="22">
        <v>217295.447863307</v>
      </c>
      <c r="G12" s="10">
        <v>217295.447863307</v>
      </c>
      <c r="H12" s="23">
        <f t="shared" si="0"/>
        <v>0</v>
      </c>
      <c r="I12" s="10">
        <v>212035.127483499</v>
      </c>
      <c r="J12" s="23">
        <f t="shared" si="1"/>
        <v>373.34703936000005</v>
      </c>
    </row>
    <row r="13" spans="1:10">
      <c r="A13" t="s">
        <v>115</v>
      </c>
      <c r="B13" t="s">
        <v>291</v>
      </c>
      <c r="C13" s="20">
        <v>2026</v>
      </c>
      <c r="D13" t="s">
        <v>223</v>
      </c>
      <c r="E13" s="22">
        <v>312510.742893813</v>
      </c>
      <c r="F13" s="22">
        <v>341944.05777190998</v>
      </c>
      <c r="G13" s="10">
        <v>341949.40121155698</v>
      </c>
      <c r="H13" s="23">
        <f t="shared" si="0"/>
        <v>5.3434396469965577</v>
      </c>
      <c r="I13" s="10">
        <v>313184.010457339</v>
      </c>
      <c r="J13" s="23">
        <f t="shared" si="1"/>
        <v>673.26756352599477</v>
      </c>
    </row>
    <row r="14" spans="1:10">
      <c r="A14" t="s">
        <v>115</v>
      </c>
      <c r="B14" t="s">
        <v>291</v>
      </c>
      <c r="C14" s="20">
        <v>2026</v>
      </c>
      <c r="D14" t="s">
        <v>227</v>
      </c>
      <c r="E14" s="22">
        <v>201251.094337127</v>
      </c>
      <c r="F14" s="22">
        <v>196955.62972686099</v>
      </c>
      <c r="G14" s="10">
        <v>196955.62972686099</v>
      </c>
      <c r="H14" s="23">
        <f t="shared" si="0"/>
        <v>0</v>
      </c>
      <c r="I14" s="10">
        <v>201630.43930838199</v>
      </c>
      <c r="J14" s="23">
        <f t="shared" si="1"/>
        <v>379.34497125499183</v>
      </c>
    </row>
    <row r="15" spans="1:10">
      <c r="A15" t="s">
        <v>115</v>
      </c>
      <c r="B15" t="s">
        <v>291</v>
      </c>
      <c r="C15" s="20">
        <v>2026</v>
      </c>
      <c r="D15" t="s">
        <v>293</v>
      </c>
      <c r="E15" s="22">
        <v>34358.114801035903</v>
      </c>
      <c r="F15" s="22">
        <v>4585.6944641320697</v>
      </c>
      <c r="G15" s="10">
        <v>4585.6944641320697</v>
      </c>
      <c r="H15" s="23">
        <f t="shared" si="0"/>
        <v>0</v>
      </c>
      <c r="I15" s="10">
        <v>34358.114801035903</v>
      </c>
      <c r="J15" s="23">
        <f t="shared" si="1"/>
        <v>0</v>
      </c>
    </row>
    <row r="16" spans="1:10">
      <c r="A16" t="s">
        <v>115</v>
      </c>
      <c r="B16" t="s">
        <v>291</v>
      </c>
      <c r="C16" s="20">
        <v>2027</v>
      </c>
      <c r="D16" t="s">
        <v>292</v>
      </c>
      <c r="E16" s="22">
        <v>8612.2511696812999</v>
      </c>
      <c r="F16" s="22">
        <v>8063.3102933854098</v>
      </c>
      <c r="G16" s="10">
        <v>8063.3102933854098</v>
      </c>
      <c r="H16" s="23">
        <f t="shared" si="0"/>
        <v>0</v>
      </c>
      <c r="I16" s="10">
        <v>8612.2418480508404</v>
      </c>
      <c r="J16" s="23">
        <f t="shared" si="1"/>
        <v>-9.3216304594534449E-3</v>
      </c>
    </row>
    <row r="17" spans="1:10">
      <c r="A17" t="s">
        <v>115</v>
      </c>
      <c r="B17" t="s">
        <v>291</v>
      </c>
      <c r="C17" s="20">
        <v>2027</v>
      </c>
      <c r="D17" t="s">
        <v>233</v>
      </c>
      <c r="E17" s="22">
        <v>496232.06640292797</v>
      </c>
      <c r="F17" s="22">
        <v>159514.91601834301</v>
      </c>
      <c r="G17" s="10">
        <v>159574.73316954801</v>
      </c>
      <c r="H17" s="23">
        <f t="shared" si="0"/>
        <v>59.817151205003029</v>
      </c>
      <c r="I17" s="10">
        <v>496232.04421184101</v>
      </c>
      <c r="J17" s="23">
        <f t="shared" si="1"/>
        <v>-2.2191086958628148E-2</v>
      </c>
    </row>
    <row r="18" spans="1:10">
      <c r="A18" t="s">
        <v>115</v>
      </c>
      <c r="B18" t="s">
        <v>291</v>
      </c>
      <c r="C18" s="20">
        <v>2027</v>
      </c>
      <c r="D18" t="s">
        <v>208</v>
      </c>
      <c r="E18" s="22">
        <v>79475.219952713698</v>
      </c>
      <c r="F18" s="22">
        <v>58086.928027566297</v>
      </c>
      <c r="G18" s="10">
        <v>58111.193082399397</v>
      </c>
      <c r="H18" s="23">
        <f t="shared" si="0"/>
        <v>24.265054833100294</v>
      </c>
      <c r="I18" s="10">
        <v>79797.470315957704</v>
      </c>
      <c r="J18" s="23">
        <f t="shared" si="1"/>
        <v>322.25036324400571</v>
      </c>
    </row>
    <row r="19" spans="1:10">
      <c r="A19" t="s">
        <v>115</v>
      </c>
      <c r="B19" t="s">
        <v>291</v>
      </c>
      <c r="C19" s="20">
        <v>2027</v>
      </c>
      <c r="D19" t="s">
        <v>219</v>
      </c>
      <c r="E19" s="22">
        <v>215930.58629584801</v>
      </c>
      <c r="F19" s="22">
        <v>212762.365418965</v>
      </c>
      <c r="G19" s="10">
        <v>212909.016184801</v>
      </c>
      <c r="H19" s="23">
        <f t="shared" si="0"/>
        <v>146.65076583600603</v>
      </c>
      <c r="I19" s="10">
        <v>216695.74168713801</v>
      </c>
      <c r="J19" s="23">
        <f t="shared" si="1"/>
        <v>765.15539128999808</v>
      </c>
    </row>
    <row r="20" spans="1:10">
      <c r="A20" t="s">
        <v>115</v>
      </c>
      <c r="B20" t="s">
        <v>291</v>
      </c>
      <c r="C20" s="20">
        <v>2027</v>
      </c>
      <c r="D20" t="s">
        <v>223</v>
      </c>
      <c r="E20" s="22">
        <v>319355.54087462701</v>
      </c>
      <c r="F20" s="22">
        <v>323949.07541807799</v>
      </c>
      <c r="G20" s="10">
        <v>324000.19164164597</v>
      </c>
      <c r="H20" s="23">
        <f t="shared" si="0"/>
        <v>51.116223567980342</v>
      </c>
      <c r="I20" s="10">
        <v>320735.61575477198</v>
      </c>
      <c r="J20" s="23">
        <f t="shared" si="1"/>
        <v>1380.0748801449663</v>
      </c>
    </row>
    <row r="21" spans="1:10">
      <c r="A21" t="s">
        <v>115</v>
      </c>
      <c r="B21" t="s">
        <v>291</v>
      </c>
      <c r="C21" s="20">
        <v>2027</v>
      </c>
      <c r="D21" t="s">
        <v>227</v>
      </c>
      <c r="E21" s="22">
        <v>205885.08959587</v>
      </c>
      <c r="F21" s="22">
        <v>182348.36742271701</v>
      </c>
      <c r="G21" s="10">
        <v>182364.70096652099</v>
      </c>
      <c r="H21" s="23">
        <f t="shared" si="0"/>
        <v>16.33354380397941</v>
      </c>
      <c r="I21" s="10">
        <v>206665.47518705399</v>
      </c>
      <c r="J21" s="23">
        <f t="shared" si="1"/>
        <v>780.3855911839928</v>
      </c>
    </row>
    <row r="22" spans="1:10">
      <c r="A22" t="s">
        <v>115</v>
      </c>
      <c r="B22" t="s">
        <v>291</v>
      </c>
      <c r="C22" s="20">
        <v>2027</v>
      </c>
      <c r="D22" t="s">
        <v>293</v>
      </c>
      <c r="E22" s="22">
        <v>34415.741214934198</v>
      </c>
      <c r="F22" s="22">
        <v>4539.0707864093602</v>
      </c>
      <c r="G22" s="10">
        <v>4539.0707864093602</v>
      </c>
      <c r="H22" s="23">
        <f t="shared" si="0"/>
        <v>0</v>
      </c>
      <c r="I22" s="10">
        <v>34415.740535177501</v>
      </c>
      <c r="J22" s="23">
        <f t="shared" si="1"/>
        <v>-6.7975669662700966E-4</v>
      </c>
    </row>
    <row r="23" spans="1:10">
      <c r="A23" t="s">
        <v>115</v>
      </c>
      <c r="B23" t="s">
        <v>291</v>
      </c>
      <c r="C23" s="20">
        <v>2028</v>
      </c>
      <c r="D23" t="s">
        <v>292</v>
      </c>
      <c r="E23" s="22">
        <v>8770.0899175834493</v>
      </c>
      <c r="F23" s="22">
        <v>7756.3045461989304</v>
      </c>
      <c r="G23" s="10">
        <v>7756.3022027525403</v>
      </c>
      <c r="H23" s="23">
        <f t="shared" si="0"/>
        <v>-2.3434463901139679E-3</v>
      </c>
      <c r="I23" s="10">
        <v>8770.0285438298397</v>
      </c>
      <c r="J23" s="23">
        <f t="shared" si="1"/>
        <v>-6.1373753609586856E-2</v>
      </c>
    </row>
    <row r="24" spans="1:10">
      <c r="A24" t="s">
        <v>115</v>
      </c>
      <c r="B24" t="s">
        <v>291</v>
      </c>
      <c r="C24" s="20">
        <v>2028</v>
      </c>
      <c r="D24" t="s">
        <v>233</v>
      </c>
      <c r="E24" s="22">
        <v>504642.51080155402</v>
      </c>
      <c r="F24" s="22">
        <v>160757.65797762101</v>
      </c>
      <c r="G24" s="10">
        <v>160846.922730166</v>
      </c>
      <c r="H24" s="23">
        <f t="shared" si="0"/>
        <v>89.26475254498655</v>
      </c>
      <c r="I24" s="10">
        <v>504641.50422848598</v>
      </c>
      <c r="J24" s="23">
        <f t="shared" si="1"/>
        <v>-1.0065730680362321</v>
      </c>
    </row>
    <row r="25" spans="1:10">
      <c r="A25" t="s">
        <v>115</v>
      </c>
      <c r="B25" t="s">
        <v>291</v>
      </c>
      <c r="C25" s="20">
        <v>2028</v>
      </c>
      <c r="D25" t="s">
        <v>208</v>
      </c>
      <c r="E25" s="22">
        <v>81427.914854250703</v>
      </c>
      <c r="F25" s="22">
        <v>57318.513455792301</v>
      </c>
      <c r="G25" s="10">
        <v>57386.905439017297</v>
      </c>
      <c r="H25" s="23">
        <f t="shared" si="0"/>
        <v>68.391983224995784</v>
      </c>
      <c r="I25" s="10">
        <v>81925.343160144403</v>
      </c>
      <c r="J25" s="23">
        <f t="shared" si="1"/>
        <v>497.42830589369987</v>
      </c>
    </row>
    <row r="26" spans="1:10">
      <c r="A26" t="s">
        <v>115</v>
      </c>
      <c r="B26" t="s">
        <v>291</v>
      </c>
      <c r="C26" s="20">
        <v>2028</v>
      </c>
      <c r="D26" t="s">
        <v>219</v>
      </c>
      <c r="E26" s="22">
        <v>220542.41669207599</v>
      </c>
      <c r="F26" s="22">
        <v>211606.79799590501</v>
      </c>
      <c r="G26" s="10">
        <v>211969.53183275199</v>
      </c>
      <c r="H26" s="23">
        <f t="shared" si="0"/>
        <v>362.7338368469791</v>
      </c>
      <c r="I26" s="10">
        <v>221718.887562572</v>
      </c>
      <c r="J26" s="23">
        <f t="shared" si="1"/>
        <v>1176.4708704960067</v>
      </c>
    </row>
    <row r="27" spans="1:10">
      <c r="A27" t="s">
        <v>115</v>
      </c>
      <c r="B27" t="s">
        <v>291</v>
      </c>
      <c r="C27" s="20">
        <v>2028</v>
      </c>
      <c r="D27" t="s">
        <v>223</v>
      </c>
      <c r="E27" s="22">
        <v>326495.52466953098</v>
      </c>
      <c r="F27" s="22">
        <v>311568.89355543099</v>
      </c>
      <c r="G27" s="10">
        <v>311706.009887736</v>
      </c>
      <c r="H27" s="23">
        <f t="shared" si="0"/>
        <v>137.1163323050132</v>
      </c>
      <c r="I27" s="10">
        <v>328616.46234242298</v>
      </c>
      <c r="J27" s="23">
        <f t="shared" si="1"/>
        <v>2120.9376728920033</v>
      </c>
    </row>
    <row r="28" spans="1:10">
      <c r="A28" t="s">
        <v>115</v>
      </c>
      <c r="B28" t="s">
        <v>291</v>
      </c>
      <c r="C28" s="20">
        <v>2028</v>
      </c>
      <c r="D28" t="s">
        <v>227</v>
      </c>
      <c r="E28" s="22">
        <v>210908.35477386499</v>
      </c>
      <c r="F28" s="22">
        <v>172949.24165333199</v>
      </c>
      <c r="G28" s="10">
        <v>172998.157472433</v>
      </c>
      <c r="H28" s="23">
        <f t="shared" si="0"/>
        <v>48.915819101006491</v>
      </c>
      <c r="I28" s="10">
        <v>212112.340383506</v>
      </c>
      <c r="J28" s="23">
        <f t="shared" si="1"/>
        <v>1203.9856096410076</v>
      </c>
    </row>
    <row r="29" spans="1:10">
      <c r="A29" t="s">
        <v>115</v>
      </c>
      <c r="B29" t="s">
        <v>291</v>
      </c>
      <c r="C29" s="20">
        <v>2028</v>
      </c>
      <c r="D29" t="s">
        <v>293</v>
      </c>
      <c r="E29" s="22">
        <v>34426.657470195503</v>
      </c>
      <c r="F29" s="22">
        <v>4491.2977322648803</v>
      </c>
      <c r="G29" s="10">
        <v>4491.2977178483097</v>
      </c>
      <c r="H29" s="23">
        <f t="shared" si="0"/>
        <v>-1.4416570593311917E-5</v>
      </c>
      <c r="I29" s="10">
        <v>34426.652062892601</v>
      </c>
      <c r="J29" s="23">
        <f t="shared" si="1"/>
        <v>-5.4073029023129493E-3</v>
      </c>
    </row>
    <row r="30" spans="1:10">
      <c r="A30" t="s">
        <v>115</v>
      </c>
      <c r="B30" t="s">
        <v>291</v>
      </c>
      <c r="C30" s="20">
        <v>2029</v>
      </c>
      <c r="D30" t="s">
        <v>292</v>
      </c>
      <c r="E30" s="22">
        <v>8950.0476082929708</v>
      </c>
      <c r="F30" s="22">
        <v>7601.5265429842602</v>
      </c>
      <c r="G30" s="10">
        <v>7601.5128732291096</v>
      </c>
      <c r="H30" s="23">
        <f t="shared" si="0"/>
        <v>-1.3669755150658602E-2</v>
      </c>
      <c r="I30" s="10">
        <v>8949.8720445493509</v>
      </c>
      <c r="J30" s="23">
        <f t="shared" si="1"/>
        <v>-0.17556374361993221</v>
      </c>
    </row>
    <row r="31" spans="1:10">
      <c r="A31" t="s">
        <v>115</v>
      </c>
      <c r="B31" t="s">
        <v>291</v>
      </c>
      <c r="C31" s="20">
        <v>2029</v>
      </c>
      <c r="D31" t="s">
        <v>233</v>
      </c>
      <c r="E31" s="22">
        <v>513058.23312809598</v>
      </c>
      <c r="F31" s="22">
        <v>162603.963149118</v>
      </c>
      <c r="G31" s="10">
        <v>162723.060175302</v>
      </c>
      <c r="H31" s="23">
        <f t="shared" si="0"/>
        <v>119.09702618399751</v>
      </c>
      <c r="I31" s="10">
        <v>513054.70409439103</v>
      </c>
      <c r="J31" s="23">
        <f t="shared" si="1"/>
        <v>-3.5290337049518712</v>
      </c>
    </row>
    <row r="32" spans="1:10">
      <c r="A32" t="s">
        <v>115</v>
      </c>
      <c r="B32" t="s">
        <v>291</v>
      </c>
      <c r="C32" s="20">
        <v>2029</v>
      </c>
      <c r="D32" t="s">
        <v>208</v>
      </c>
      <c r="E32" s="22">
        <v>83532.178208056299</v>
      </c>
      <c r="F32" s="22">
        <v>57173.242555846002</v>
      </c>
      <c r="G32" s="10">
        <v>57302.473542253902</v>
      </c>
      <c r="H32" s="23">
        <f t="shared" si="0"/>
        <v>129.23098640789976</v>
      </c>
      <c r="I32" s="10">
        <v>84214.941243806999</v>
      </c>
      <c r="J32" s="23">
        <f t="shared" si="1"/>
        <v>682.76303575070051</v>
      </c>
    </row>
    <row r="33" spans="1:10">
      <c r="A33" t="s">
        <v>115</v>
      </c>
      <c r="B33" t="s">
        <v>291</v>
      </c>
      <c r="C33" s="20">
        <v>2029</v>
      </c>
      <c r="D33" t="s">
        <v>219</v>
      </c>
      <c r="E33" s="22">
        <v>225391.35786233001</v>
      </c>
      <c r="F33" s="22">
        <v>212317.16588208999</v>
      </c>
      <c r="G33" s="10">
        <v>212946.302203706</v>
      </c>
      <c r="H33" s="23">
        <f t="shared" si="0"/>
        <v>629.13632161600981</v>
      </c>
      <c r="I33" s="10">
        <v>226999.388995758</v>
      </c>
      <c r="J33" s="23">
        <f t="shared" si="1"/>
        <v>1608.0311334279831</v>
      </c>
    </row>
    <row r="34" spans="1:10">
      <c r="A34" t="s">
        <v>115</v>
      </c>
      <c r="B34" t="s">
        <v>291</v>
      </c>
      <c r="C34" s="20">
        <v>2029</v>
      </c>
      <c r="D34" t="s">
        <v>223</v>
      </c>
      <c r="E34" s="22">
        <v>333828.13994698401</v>
      </c>
      <c r="F34" s="22">
        <v>302828.31753426499</v>
      </c>
      <c r="G34" s="10">
        <v>303091.51388963597</v>
      </c>
      <c r="H34" s="23">
        <f t="shared" si="0"/>
        <v>263.19635537097929</v>
      </c>
      <c r="I34" s="10">
        <v>336724.52108083002</v>
      </c>
      <c r="J34" s="23">
        <f t="shared" si="1"/>
        <v>2896.3811338460073</v>
      </c>
    </row>
    <row r="35" spans="1:10">
      <c r="A35" t="s">
        <v>115</v>
      </c>
      <c r="B35" t="s">
        <v>291</v>
      </c>
      <c r="C35" s="20">
        <v>2029</v>
      </c>
      <c r="D35" t="s">
        <v>227</v>
      </c>
      <c r="E35" s="22">
        <v>216209.47154707901</v>
      </c>
      <c r="F35" s="22">
        <v>166569.25103325801</v>
      </c>
      <c r="G35" s="10">
        <v>166667.06385395699</v>
      </c>
      <c r="H35" s="23">
        <f t="shared" si="0"/>
        <v>97.812820698978612</v>
      </c>
      <c r="I35" s="10">
        <v>217860.62154228799</v>
      </c>
      <c r="J35" s="23">
        <f t="shared" si="1"/>
        <v>1651.1499952089798</v>
      </c>
    </row>
    <row r="36" spans="1:10">
      <c r="A36" t="s">
        <v>115</v>
      </c>
      <c r="B36" t="s">
        <v>291</v>
      </c>
      <c r="C36" s="20">
        <v>2029</v>
      </c>
      <c r="D36" t="s">
        <v>293</v>
      </c>
      <c r="E36" s="22">
        <v>34407.2773741239</v>
      </c>
      <c r="F36" s="22">
        <v>4446.3488523277501</v>
      </c>
      <c r="G36" s="10">
        <v>4446.3487782668799</v>
      </c>
      <c r="H36" s="23">
        <f t="shared" si="0"/>
        <v>-7.4060870247194543E-5</v>
      </c>
      <c r="I36" s="10">
        <v>34407.261123561402</v>
      </c>
      <c r="J36" s="23">
        <f t="shared" si="1"/>
        <v>-1.6250562497589272E-2</v>
      </c>
    </row>
    <row r="37" spans="1:10">
      <c r="A37" t="s">
        <v>115</v>
      </c>
      <c r="B37" t="s">
        <v>291</v>
      </c>
      <c r="C37" s="20">
        <v>2030</v>
      </c>
      <c r="D37" t="s">
        <v>292</v>
      </c>
      <c r="E37" s="22">
        <v>9148.2611482499597</v>
      </c>
      <c r="F37" s="22">
        <v>7534.2410532411895</v>
      </c>
      <c r="G37" s="10">
        <v>7534.1991427099401</v>
      </c>
      <c r="H37" s="23">
        <f t="shared" si="0"/>
        <v>-4.1910531249413907E-2</v>
      </c>
      <c r="I37" s="10">
        <v>9147.8901189157405</v>
      </c>
      <c r="J37" s="23">
        <f t="shared" si="1"/>
        <v>-0.3710293342192017</v>
      </c>
    </row>
    <row r="38" spans="1:10">
      <c r="A38" t="s">
        <v>115</v>
      </c>
      <c r="B38" t="s">
        <v>291</v>
      </c>
      <c r="C38" s="20">
        <v>2030</v>
      </c>
      <c r="D38" t="s">
        <v>233</v>
      </c>
      <c r="E38" s="22">
        <v>521404.16908888699</v>
      </c>
      <c r="F38" s="22">
        <v>164940.129625167</v>
      </c>
      <c r="G38" s="10">
        <v>165089.53376645601</v>
      </c>
      <c r="H38" s="23">
        <f t="shared" si="0"/>
        <v>149.40414128900738</v>
      </c>
      <c r="I38" s="10">
        <v>521396.110534226</v>
      </c>
      <c r="J38" s="23">
        <f t="shared" si="1"/>
        <v>-8.0585546609945595</v>
      </c>
    </row>
    <row r="39" spans="1:10">
      <c r="A39" t="s">
        <v>115</v>
      </c>
      <c r="B39" t="s">
        <v>291</v>
      </c>
      <c r="C39" s="20">
        <v>2030</v>
      </c>
      <c r="D39" t="s">
        <v>208</v>
      </c>
      <c r="E39" s="22">
        <v>85757.931477729406</v>
      </c>
      <c r="F39" s="22">
        <v>57441.262034510197</v>
      </c>
      <c r="G39" s="10">
        <v>57645.526327699503</v>
      </c>
      <c r="H39" s="23">
        <f t="shared" si="0"/>
        <v>204.26429318930604</v>
      </c>
      <c r="I39" s="10">
        <v>86636.697880774096</v>
      </c>
      <c r="J39" s="23">
        <f t="shared" si="1"/>
        <v>878.76640304469038</v>
      </c>
    </row>
    <row r="40" spans="1:10">
      <c r="A40" t="s">
        <v>115</v>
      </c>
      <c r="B40" t="s">
        <v>291</v>
      </c>
      <c r="C40" s="20">
        <v>2030</v>
      </c>
      <c r="D40" t="s">
        <v>219</v>
      </c>
      <c r="E40" s="22">
        <v>230414.289737824</v>
      </c>
      <c r="F40" s="22">
        <v>214165.57035581299</v>
      </c>
      <c r="G40" s="10">
        <v>215101.066136293</v>
      </c>
      <c r="H40" s="23">
        <f t="shared" si="0"/>
        <v>935.49578048000694</v>
      </c>
      <c r="I40" s="10">
        <v>232474.55718416299</v>
      </c>
      <c r="J40" s="23">
        <f t="shared" si="1"/>
        <v>2060.2674463389849</v>
      </c>
    </row>
    <row r="41" spans="1:10">
      <c r="A41" t="s">
        <v>115</v>
      </c>
      <c r="B41" t="s">
        <v>291</v>
      </c>
      <c r="C41" s="20">
        <v>2030</v>
      </c>
      <c r="D41" t="s">
        <v>223</v>
      </c>
      <c r="E41" s="22">
        <v>341295.93382366002</v>
      </c>
      <c r="F41" s="22">
        <v>296438.64223513001</v>
      </c>
      <c r="G41" s="10">
        <v>296867.39898945502</v>
      </c>
      <c r="H41" s="23">
        <f t="shared" si="0"/>
        <v>428.75675432500429</v>
      </c>
      <c r="I41" s="10">
        <v>345002.66293452698</v>
      </c>
      <c r="J41" s="23">
        <f t="shared" si="1"/>
        <v>3706.7291108669597</v>
      </c>
    </row>
    <row r="42" spans="1:10">
      <c r="A42" t="s">
        <v>115</v>
      </c>
      <c r="B42" t="s">
        <v>291</v>
      </c>
      <c r="C42" s="20">
        <v>2030</v>
      </c>
      <c r="D42" t="s">
        <v>227</v>
      </c>
      <c r="E42" s="22">
        <v>221733.28784640899</v>
      </c>
      <c r="F42" s="22">
        <v>162253.159400153</v>
      </c>
      <c r="G42" s="10">
        <v>162416.19889017899</v>
      </c>
      <c r="H42" s="23">
        <f t="shared" si="0"/>
        <v>163.03949002598529</v>
      </c>
      <c r="I42" s="10">
        <v>223856.01156337</v>
      </c>
      <c r="J42" s="23">
        <f t="shared" si="1"/>
        <v>2122.7237169610162</v>
      </c>
    </row>
    <row r="43" spans="1:10">
      <c r="A43" t="s">
        <v>115</v>
      </c>
      <c r="B43" t="s">
        <v>291</v>
      </c>
      <c r="C43" s="20">
        <v>2030</v>
      </c>
      <c r="D43" t="s">
        <v>293</v>
      </c>
      <c r="E43" s="22">
        <v>34357.193445354998</v>
      </c>
      <c r="F43" s="22">
        <v>4399.0515281846801</v>
      </c>
      <c r="G43" s="10">
        <v>4399.0513110961001</v>
      </c>
      <c r="H43" s="23">
        <f t="shared" si="0"/>
        <v>-2.1708858002966736E-4</v>
      </c>
      <c r="I43" s="10">
        <v>34357.158462389802</v>
      </c>
      <c r="J43" s="23">
        <f t="shared" si="1"/>
        <v>-3.4982965196832083E-2</v>
      </c>
    </row>
    <row r="44" spans="1:10">
      <c r="A44" t="s">
        <v>115</v>
      </c>
      <c r="B44" t="s">
        <v>291</v>
      </c>
      <c r="C44" s="20">
        <v>2031</v>
      </c>
      <c r="D44" t="s">
        <v>292</v>
      </c>
      <c r="E44" s="22">
        <v>9363.07494220427</v>
      </c>
      <c r="F44" s="22">
        <v>7523.6351375467702</v>
      </c>
      <c r="G44" s="10">
        <v>7523.5387936035704</v>
      </c>
      <c r="H44" s="23">
        <f t="shared" si="0"/>
        <v>-9.6343943199826754E-2</v>
      </c>
      <c r="I44" s="10">
        <v>9362.4074228011905</v>
      </c>
      <c r="J44" s="23">
        <f t="shared" si="1"/>
        <v>-0.66751940307949553</v>
      </c>
    </row>
    <row r="45" spans="1:10">
      <c r="A45" t="s">
        <v>115</v>
      </c>
      <c r="B45" t="s">
        <v>291</v>
      </c>
      <c r="C45" s="20">
        <v>2031</v>
      </c>
      <c r="D45" t="s">
        <v>233</v>
      </c>
      <c r="E45" s="22">
        <v>529516.76632635295</v>
      </c>
      <c r="F45" s="22">
        <v>166172.19650790401</v>
      </c>
      <c r="G45" s="10">
        <v>167624.55914584</v>
      </c>
      <c r="H45" s="23">
        <f t="shared" si="0"/>
        <v>1452.3626379359921</v>
      </c>
      <c r="I45" s="10">
        <v>529501.77046828205</v>
      </c>
      <c r="J45" s="23">
        <f t="shared" si="1"/>
        <v>-14.995858070906252</v>
      </c>
    </row>
    <row r="46" spans="1:10">
      <c r="A46" t="s">
        <v>115</v>
      </c>
      <c r="B46" t="s">
        <v>291</v>
      </c>
      <c r="C46" s="20">
        <v>2031</v>
      </c>
      <c r="D46" t="s">
        <v>208</v>
      </c>
      <c r="E46" s="22">
        <v>87214.121858889994</v>
      </c>
      <c r="F46" s="22">
        <v>57908.302639385001</v>
      </c>
      <c r="G46" s="10">
        <v>58199.843428685599</v>
      </c>
      <c r="H46" s="23">
        <f t="shared" si="0"/>
        <v>291.54078930059768</v>
      </c>
      <c r="I46" s="10">
        <v>89169.706996492096</v>
      </c>
      <c r="J46" s="23">
        <f t="shared" si="1"/>
        <v>1955.5851376021019</v>
      </c>
    </row>
    <row r="47" spans="1:10">
      <c r="A47" t="s">
        <v>115</v>
      </c>
      <c r="B47" t="s">
        <v>291</v>
      </c>
      <c r="C47" s="20">
        <v>2031</v>
      </c>
      <c r="D47" t="s">
        <v>219</v>
      </c>
      <c r="E47" s="22">
        <v>233576.227097895</v>
      </c>
      <c r="F47" s="22">
        <v>216563.013071614</v>
      </c>
      <c r="G47" s="10">
        <v>217838.52712465101</v>
      </c>
      <c r="H47" s="23">
        <f t="shared" si="0"/>
        <v>1275.5140530370118</v>
      </c>
      <c r="I47" s="10">
        <v>238100.557779275</v>
      </c>
      <c r="J47" s="23">
        <f t="shared" si="1"/>
        <v>4524.3306813800009</v>
      </c>
    </row>
    <row r="48" spans="1:10">
      <c r="A48" t="s">
        <v>115</v>
      </c>
      <c r="B48" t="s">
        <v>291</v>
      </c>
      <c r="C48" s="20">
        <v>2031</v>
      </c>
      <c r="D48" t="s">
        <v>223</v>
      </c>
      <c r="E48" s="22">
        <v>345465.35257375898</v>
      </c>
      <c r="F48" s="22">
        <v>291269.40642485803</v>
      </c>
      <c r="G48" s="10">
        <v>292077.17059703002</v>
      </c>
      <c r="H48" s="23">
        <f t="shared" si="0"/>
        <v>807.76417217199923</v>
      </c>
      <c r="I48" s="10">
        <v>353389.58689310902</v>
      </c>
      <c r="J48" s="23">
        <f t="shared" si="1"/>
        <v>7924.2343193500419</v>
      </c>
    </row>
    <row r="49" spans="1:10">
      <c r="A49" t="s">
        <v>115</v>
      </c>
      <c r="B49" t="s">
        <v>291</v>
      </c>
      <c r="C49" s="20">
        <v>2031</v>
      </c>
      <c r="D49" t="s">
        <v>227</v>
      </c>
      <c r="E49" s="22">
        <v>225461.97388256199</v>
      </c>
      <c r="F49" s="22">
        <v>159183.311770278</v>
      </c>
      <c r="G49" s="10">
        <v>159427.93543122901</v>
      </c>
      <c r="H49" s="23">
        <f t="shared" si="0"/>
        <v>244.62366095100879</v>
      </c>
      <c r="I49" s="10">
        <v>230057.42281729399</v>
      </c>
      <c r="J49" s="23">
        <f t="shared" si="1"/>
        <v>4595.448934732005</v>
      </c>
    </row>
    <row r="50" spans="1:10">
      <c r="A50" t="s">
        <v>115</v>
      </c>
      <c r="B50" t="s">
        <v>291</v>
      </c>
      <c r="C50" s="20">
        <v>2031</v>
      </c>
      <c r="D50" t="s">
        <v>293</v>
      </c>
      <c r="E50" s="22">
        <v>34253.982569122898</v>
      </c>
      <c r="F50" s="22">
        <v>4352.6691002790503</v>
      </c>
      <c r="G50" s="10">
        <v>4352.6686117824102</v>
      </c>
      <c r="H50" s="23">
        <f t="shared" si="0"/>
        <v>-4.8849664017325267E-4</v>
      </c>
      <c r="I50" s="10">
        <v>34253.919365265698</v>
      </c>
      <c r="J50" s="23">
        <f t="shared" si="1"/>
        <v>-6.3203857200278435E-2</v>
      </c>
    </row>
    <row r="51" spans="1:10">
      <c r="A51" t="s">
        <v>115</v>
      </c>
      <c r="B51" t="s">
        <v>291</v>
      </c>
      <c r="C51" s="20">
        <v>2032</v>
      </c>
      <c r="D51" t="s">
        <v>292</v>
      </c>
      <c r="E51" s="22">
        <v>9594.7175368056105</v>
      </c>
      <c r="F51" s="22">
        <v>7552.2997108404497</v>
      </c>
      <c r="G51" s="10">
        <v>7552.1126249187701</v>
      </c>
      <c r="H51" s="23">
        <f t="shared" si="0"/>
        <v>-0.18708592167968163</v>
      </c>
      <c r="I51" s="10">
        <v>9593.2618594135602</v>
      </c>
      <c r="J51" s="23">
        <f t="shared" si="1"/>
        <v>-1.4556773920503474</v>
      </c>
    </row>
    <row r="52" spans="1:10">
      <c r="A52" t="s">
        <v>115</v>
      </c>
      <c r="B52" t="s">
        <v>291</v>
      </c>
      <c r="C52" s="20">
        <v>2032</v>
      </c>
      <c r="D52" t="s">
        <v>233</v>
      </c>
      <c r="E52" s="22">
        <v>537309.54432088998</v>
      </c>
      <c r="F52" s="22">
        <v>167731.18233107001</v>
      </c>
      <c r="G52" s="10">
        <v>170490.57460842101</v>
      </c>
      <c r="H52" s="23">
        <f t="shared" si="0"/>
        <v>2759.3922773509985</v>
      </c>
      <c r="I52" s="10">
        <v>537284.20595619699</v>
      </c>
      <c r="J52" s="23">
        <f t="shared" si="1"/>
        <v>-25.338364692986943</v>
      </c>
    </row>
    <row r="53" spans="1:10">
      <c r="A53" t="s">
        <v>115</v>
      </c>
      <c r="B53" t="s">
        <v>291</v>
      </c>
      <c r="C53" s="20">
        <v>2032</v>
      </c>
      <c r="D53" t="s">
        <v>208</v>
      </c>
      <c r="E53" s="22">
        <v>88713.425676878396</v>
      </c>
      <c r="F53" s="22">
        <v>58480.264224907798</v>
      </c>
      <c r="G53" s="10">
        <v>58983.855811727997</v>
      </c>
      <c r="H53" s="23">
        <f t="shared" si="0"/>
        <v>503.59158682019915</v>
      </c>
      <c r="I53" s="10">
        <v>91808.470759101503</v>
      </c>
      <c r="J53" s="23">
        <f t="shared" si="1"/>
        <v>3095.0450822231069</v>
      </c>
    </row>
    <row r="54" spans="1:10">
      <c r="A54" t="s">
        <v>115</v>
      </c>
      <c r="B54" t="s">
        <v>291</v>
      </c>
      <c r="C54" s="20">
        <v>2032</v>
      </c>
      <c r="D54" t="s">
        <v>219</v>
      </c>
      <c r="E54" s="22">
        <v>236754.748440786</v>
      </c>
      <c r="F54" s="22">
        <v>218850.20682793501</v>
      </c>
      <c r="G54" s="10">
        <v>221187.357647614</v>
      </c>
      <c r="H54" s="23">
        <f t="shared" si="0"/>
        <v>2337.1508196789946</v>
      </c>
      <c r="I54" s="10">
        <v>243856.95552281101</v>
      </c>
      <c r="J54" s="23">
        <f t="shared" si="1"/>
        <v>7102.2070820250083</v>
      </c>
    </row>
    <row r="55" spans="1:10">
      <c r="A55" t="s">
        <v>115</v>
      </c>
      <c r="B55" t="s">
        <v>291</v>
      </c>
      <c r="C55" s="20">
        <v>2032</v>
      </c>
      <c r="D55" t="s">
        <v>223</v>
      </c>
      <c r="E55" s="22">
        <v>349526.12015362899</v>
      </c>
      <c r="F55" s="22">
        <v>287233.430380537</v>
      </c>
      <c r="G55" s="10">
        <v>288636.13492746197</v>
      </c>
      <c r="H55" s="23">
        <f t="shared" si="0"/>
        <v>1402.7045469249715</v>
      </c>
      <c r="I55" s="10">
        <v>361859.19410351902</v>
      </c>
      <c r="J55" s="23">
        <f t="shared" si="1"/>
        <v>12333.073949890037</v>
      </c>
    </row>
    <row r="56" spans="1:10">
      <c r="A56" t="s">
        <v>115</v>
      </c>
      <c r="B56" t="s">
        <v>291</v>
      </c>
      <c r="C56" s="20">
        <v>2032</v>
      </c>
      <c r="D56" t="s">
        <v>227</v>
      </c>
      <c r="E56" s="22">
        <v>229247.713898619</v>
      </c>
      <c r="F56" s="22">
        <v>157269.12438829301</v>
      </c>
      <c r="G56" s="10">
        <v>157717.06668730499</v>
      </c>
      <c r="H56" s="23">
        <f t="shared" si="0"/>
        <v>447.94229901197832</v>
      </c>
      <c r="I56" s="10">
        <v>236449.72289225299</v>
      </c>
      <c r="J56" s="23">
        <f t="shared" si="1"/>
        <v>7202.0089936339937</v>
      </c>
    </row>
    <row r="57" spans="1:10">
      <c r="A57" t="s">
        <v>115</v>
      </c>
      <c r="B57" t="s">
        <v>291</v>
      </c>
      <c r="C57" s="20">
        <v>2032</v>
      </c>
      <c r="D57" t="s">
        <v>293</v>
      </c>
      <c r="E57" s="22">
        <v>34086.593734696798</v>
      </c>
      <c r="F57" s="22">
        <v>4303.7761198459502</v>
      </c>
      <c r="G57" s="10">
        <v>4303.7751806773804</v>
      </c>
      <c r="H57" s="23">
        <f t="shared" si="0"/>
        <v>-9.3916856985742925E-4</v>
      </c>
      <c r="I57" s="10">
        <v>34086.461280867603</v>
      </c>
      <c r="J57" s="23">
        <f t="shared" si="1"/>
        <v>-0.13245382919558324</v>
      </c>
    </row>
    <row r="58" spans="1:10">
      <c r="A58" t="s">
        <v>115</v>
      </c>
      <c r="B58" t="s">
        <v>291</v>
      </c>
      <c r="C58" s="20">
        <v>2033</v>
      </c>
      <c r="D58" t="s">
        <v>292</v>
      </c>
      <c r="E58" s="22">
        <v>9842.7982395437302</v>
      </c>
      <c r="F58" s="22">
        <v>7603.2474562814496</v>
      </c>
      <c r="G58" s="10">
        <v>7602.8361313503801</v>
      </c>
      <c r="H58" s="23">
        <f t="shared" si="0"/>
        <v>-0.41132493106943002</v>
      </c>
      <c r="I58" s="10">
        <v>9839.9045013670893</v>
      </c>
      <c r="J58" s="23">
        <f t="shared" si="1"/>
        <v>-2.8937381766409089</v>
      </c>
    </row>
    <row r="59" spans="1:10">
      <c r="A59" t="s">
        <v>115</v>
      </c>
      <c r="B59" t="s">
        <v>291</v>
      </c>
      <c r="C59" s="20">
        <v>2033</v>
      </c>
      <c r="D59" t="s">
        <v>233</v>
      </c>
      <c r="E59" s="22">
        <v>544743.91866773902</v>
      </c>
      <c r="F59" s="22">
        <v>169527.51942148001</v>
      </c>
      <c r="G59" s="10">
        <v>173607.86723671001</v>
      </c>
      <c r="H59" s="23">
        <f t="shared" si="0"/>
        <v>4080.347815229994</v>
      </c>
      <c r="I59" s="10">
        <v>544700.38172210602</v>
      </c>
      <c r="J59" s="23">
        <f t="shared" si="1"/>
        <v>-43.536945633008145</v>
      </c>
    </row>
    <row r="60" spans="1:10">
      <c r="A60" t="s">
        <v>115</v>
      </c>
      <c r="B60" t="s">
        <v>291</v>
      </c>
      <c r="C60" s="20">
        <v>2033</v>
      </c>
      <c r="D60" t="s">
        <v>208</v>
      </c>
      <c r="E60" s="22">
        <v>90248.665332073593</v>
      </c>
      <c r="F60" s="22">
        <v>59120.350238639097</v>
      </c>
      <c r="G60" s="10">
        <v>59943.004150861998</v>
      </c>
      <c r="H60" s="23">
        <f t="shared" si="0"/>
        <v>822.65391222290054</v>
      </c>
      <c r="I60" s="10">
        <v>94543.439215228296</v>
      </c>
      <c r="J60" s="23">
        <f t="shared" si="1"/>
        <v>4294.7738831547031</v>
      </c>
    </row>
    <row r="61" spans="1:10">
      <c r="A61" t="s">
        <v>115</v>
      </c>
      <c r="B61" t="s">
        <v>291</v>
      </c>
      <c r="C61" s="20">
        <v>2033</v>
      </c>
      <c r="D61" t="s">
        <v>219</v>
      </c>
      <c r="E61" s="22">
        <v>239927.65174038999</v>
      </c>
      <c r="F61" s="22">
        <v>221163.82031646901</v>
      </c>
      <c r="G61" s="10">
        <v>224962.62840764999</v>
      </c>
      <c r="H61" s="23">
        <f t="shared" si="0"/>
        <v>3798.8080911809811</v>
      </c>
      <c r="I61" s="10">
        <v>249717.66641273399</v>
      </c>
      <c r="J61" s="23">
        <f t="shared" si="1"/>
        <v>9790.0146723439975</v>
      </c>
    </row>
    <row r="62" spans="1:10">
      <c r="A62" t="s">
        <v>115</v>
      </c>
      <c r="B62" t="s">
        <v>291</v>
      </c>
      <c r="C62" s="20">
        <v>2033</v>
      </c>
      <c r="D62" t="s">
        <v>223</v>
      </c>
      <c r="E62" s="22">
        <v>353464.462022077</v>
      </c>
      <c r="F62" s="22">
        <v>283997.23330351902</v>
      </c>
      <c r="G62" s="10">
        <v>286211.94362940302</v>
      </c>
      <c r="H62" s="23">
        <f t="shared" si="0"/>
        <v>2214.7103258839925</v>
      </c>
      <c r="I62" s="10">
        <v>370388.04380476201</v>
      </c>
      <c r="J62" s="23">
        <f t="shared" si="1"/>
        <v>16923.581782685011</v>
      </c>
    </row>
    <row r="63" spans="1:10">
      <c r="A63" t="s">
        <v>115</v>
      </c>
      <c r="B63" t="s">
        <v>291</v>
      </c>
      <c r="C63" s="20">
        <v>2033</v>
      </c>
      <c r="D63" t="s">
        <v>227</v>
      </c>
      <c r="E63" s="22">
        <v>233067.377291846</v>
      </c>
      <c r="F63" s="22">
        <v>156210.984274555</v>
      </c>
      <c r="G63" s="10">
        <v>156982.44646113599</v>
      </c>
      <c r="H63" s="23">
        <f t="shared" si="0"/>
        <v>771.46218658098951</v>
      </c>
      <c r="I63" s="10">
        <v>243003.80859767401</v>
      </c>
      <c r="J63" s="23">
        <f t="shared" si="1"/>
        <v>9936.4313058280095</v>
      </c>
    </row>
    <row r="64" spans="1:10">
      <c r="A64" t="s">
        <v>115</v>
      </c>
      <c r="B64" t="s">
        <v>291</v>
      </c>
      <c r="C64" s="20">
        <v>2033</v>
      </c>
      <c r="D64" t="s">
        <v>293</v>
      </c>
      <c r="E64" s="22">
        <v>33869.361434865801</v>
      </c>
      <c r="F64" s="22">
        <v>4252.2992559455597</v>
      </c>
      <c r="G64" s="10">
        <v>4252.29720334171</v>
      </c>
      <c r="H64" s="23">
        <f t="shared" si="0"/>
        <v>-2.052603849733714E-3</v>
      </c>
      <c r="I64" s="10">
        <v>33869.099866803401</v>
      </c>
      <c r="J64" s="23">
        <f t="shared" si="1"/>
        <v>-0.26156806240032893</v>
      </c>
    </row>
    <row r="65" spans="1:10">
      <c r="A65" t="s">
        <v>115</v>
      </c>
      <c r="B65" t="s">
        <v>291</v>
      </c>
      <c r="C65" s="20">
        <v>2034</v>
      </c>
      <c r="D65" t="s">
        <v>292</v>
      </c>
      <c r="E65" s="22">
        <v>10107.603791821701</v>
      </c>
      <c r="F65" s="22">
        <v>7676.8710323744999</v>
      </c>
      <c r="G65" s="10">
        <v>7676.0245439495702</v>
      </c>
      <c r="H65" s="23">
        <f t="shared" si="0"/>
        <v>-0.84648842492970289</v>
      </c>
      <c r="I65" s="10">
        <v>10102.4944978288</v>
      </c>
      <c r="J65" s="23">
        <f t="shared" si="1"/>
        <v>-5.1092939929003478</v>
      </c>
    </row>
    <row r="66" spans="1:10">
      <c r="A66" t="s">
        <v>115</v>
      </c>
      <c r="B66" t="s">
        <v>291</v>
      </c>
      <c r="C66" s="20">
        <v>2034</v>
      </c>
      <c r="D66" t="s">
        <v>233</v>
      </c>
      <c r="E66" s="22">
        <v>551974.67686221097</v>
      </c>
      <c r="F66" s="22">
        <v>171506.61087573899</v>
      </c>
      <c r="G66" s="10">
        <v>176929.43016219899</v>
      </c>
      <c r="H66" s="23">
        <f t="shared" ref="H66:H129" si="2">G66-F66</f>
        <v>5422.8192864599987</v>
      </c>
      <c r="I66" s="10">
        <v>551902.07869554905</v>
      </c>
      <c r="J66" s="23">
        <f t="shared" ref="J66:J129" si="3">I66-E66</f>
        <v>-72.598166661919095</v>
      </c>
    </row>
    <row r="67" spans="1:10">
      <c r="A67" t="s">
        <v>115</v>
      </c>
      <c r="B67" t="s">
        <v>291</v>
      </c>
      <c r="C67" s="20">
        <v>2034</v>
      </c>
      <c r="D67" t="s">
        <v>208</v>
      </c>
      <c r="E67" s="22">
        <v>91812.839264212002</v>
      </c>
      <c r="F67" s="22">
        <v>59807.377290821001</v>
      </c>
      <c r="G67" s="10">
        <v>61042.637335725798</v>
      </c>
      <c r="H67" s="23">
        <f t="shared" si="2"/>
        <v>1235.2600449047968</v>
      </c>
      <c r="I67" s="10">
        <v>97366.541297579504</v>
      </c>
      <c r="J67" s="23">
        <f t="shared" si="3"/>
        <v>5553.7020333675027</v>
      </c>
    </row>
    <row r="68" spans="1:10">
      <c r="A68" t="s">
        <v>115</v>
      </c>
      <c r="B68" t="s">
        <v>291</v>
      </c>
      <c r="C68" s="20">
        <v>2034</v>
      </c>
      <c r="D68" t="s">
        <v>219</v>
      </c>
      <c r="E68" s="22">
        <v>243081.65924101201</v>
      </c>
      <c r="F68" s="22">
        <v>223615.747315541</v>
      </c>
      <c r="G68" s="10">
        <v>229161.34435344001</v>
      </c>
      <c r="H68" s="23">
        <f t="shared" si="2"/>
        <v>5545.5970378990169</v>
      </c>
      <c r="I68" s="10">
        <v>255666.35650111301</v>
      </c>
      <c r="J68" s="23">
        <f t="shared" si="3"/>
        <v>12584.697260101006</v>
      </c>
    </row>
    <row r="69" spans="1:10">
      <c r="A69" t="s">
        <v>115</v>
      </c>
      <c r="B69" t="s">
        <v>291</v>
      </c>
      <c r="C69" s="20">
        <v>2034</v>
      </c>
      <c r="D69" t="s">
        <v>223</v>
      </c>
      <c r="E69" s="22">
        <v>357305.305600858</v>
      </c>
      <c r="F69" s="22">
        <v>281517.18731452501</v>
      </c>
      <c r="G69" s="10">
        <v>284761.825731833</v>
      </c>
      <c r="H69" s="23">
        <f t="shared" si="2"/>
        <v>3244.6384173079859</v>
      </c>
      <c r="I69" s="10">
        <v>378994.90901390498</v>
      </c>
      <c r="J69" s="23">
        <f t="shared" si="3"/>
        <v>21689.603413046978</v>
      </c>
    </row>
    <row r="70" spans="1:10">
      <c r="A70" t="s">
        <v>115</v>
      </c>
      <c r="B70" t="s">
        <v>291</v>
      </c>
      <c r="C70" s="20">
        <v>2034</v>
      </c>
      <c r="D70" t="s">
        <v>227</v>
      </c>
      <c r="E70" s="22">
        <v>236932.64816255801</v>
      </c>
      <c r="F70" s="22">
        <v>155733.10331639901</v>
      </c>
      <c r="G70" s="10">
        <v>156946.43612800399</v>
      </c>
      <c r="H70" s="23">
        <f t="shared" si="2"/>
        <v>1213.3328116049815</v>
      </c>
      <c r="I70" s="10">
        <v>249728.24511568001</v>
      </c>
      <c r="J70" s="23">
        <f t="shared" si="3"/>
        <v>12795.596953122003</v>
      </c>
    </row>
    <row r="71" spans="1:10">
      <c r="A71" t="s">
        <v>115</v>
      </c>
      <c r="B71" t="s">
        <v>291</v>
      </c>
      <c r="C71" s="20">
        <v>2034</v>
      </c>
      <c r="D71" t="s">
        <v>293</v>
      </c>
      <c r="E71" s="22">
        <v>33650.341841158101</v>
      </c>
      <c r="F71" s="22">
        <v>4205.6961909152196</v>
      </c>
      <c r="G71" s="10">
        <v>4205.6919264368798</v>
      </c>
      <c r="H71" s="23">
        <f t="shared" si="2"/>
        <v>-4.2644783397918218E-3</v>
      </c>
      <c r="I71" s="10">
        <v>33649.877925897097</v>
      </c>
      <c r="J71" s="23">
        <f t="shared" si="3"/>
        <v>-0.46391526100342162</v>
      </c>
    </row>
    <row r="72" spans="1:10">
      <c r="A72" t="s">
        <v>115</v>
      </c>
      <c r="B72" t="s">
        <v>291</v>
      </c>
      <c r="C72" s="20">
        <v>2035</v>
      </c>
      <c r="D72" t="s">
        <v>292</v>
      </c>
      <c r="E72" s="22">
        <v>10390.428975365499</v>
      </c>
      <c r="F72" s="22">
        <v>7767.5110277028198</v>
      </c>
      <c r="G72" s="10">
        <v>7765.9489273753697</v>
      </c>
      <c r="H72" s="23">
        <f t="shared" si="2"/>
        <v>-1.5621003274500254</v>
      </c>
      <c r="I72" s="10">
        <v>10382.1904120895</v>
      </c>
      <c r="J72" s="23">
        <f t="shared" si="3"/>
        <v>-8.2385632759996952</v>
      </c>
    </row>
    <row r="73" spans="1:10">
      <c r="A73" t="s">
        <v>115</v>
      </c>
      <c r="B73" t="s">
        <v>291</v>
      </c>
      <c r="C73" s="20">
        <v>2035</v>
      </c>
      <c r="D73" t="s">
        <v>233</v>
      </c>
      <c r="E73" s="22">
        <v>559076.47422614403</v>
      </c>
      <c r="F73" s="22">
        <v>173686.20478418999</v>
      </c>
      <c r="G73" s="10">
        <v>180479.90195607199</v>
      </c>
      <c r="H73" s="23">
        <f t="shared" si="2"/>
        <v>6793.6971718819987</v>
      </c>
      <c r="I73" s="10">
        <v>558961.53146092605</v>
      </c>
      <c r="J73" s="23">
        <f t="shared" si="3"/>
        <v>-114.94276521797292</v>
      </c>
    </row>
    <row r="74" spans="1:10">
      <c r="A74" t="s">
        <v>115</v>
      </c>
      <c r="B74" t="s">
        <v>291</v>
      </c>
      <c r="C74" s="20">
        <v>2035</v>
      </c>
      <c r="D74" t="s">
        <v>208</v>
      </c>
      <c r="E74" s="22">
        <v>93402.038317705199</v>
      </c>
      <c r="F74" s="22">
        <v>60545.884063953701</v>
      </c>
      <c r="G74" s="10">
        <v>62275.638838064799</v>
      </c>
      <c r="H74" s="23">
        <f t="shared" si="2"/>
        <v>1729.7547741110975</v>
      </c>
      <c r="I74" s="10">
        <v>100272.951283078</v>
      </c>
      <c r="J74" s="23">
        <f t="shared" si="3"/>
        <v>6870.9129653728014</v>
      </c>
    </row>
    <row r="75" spans="1:10">
      <c r="A75" t="s">
        <v>115</v>
      </c>
      <c r="B75" t="s">
        <v>291</v>
      </c>
      <c r="C75" s="20">
        <v>2035</v>
      </c>
      <c r="D75" t="s">
        <v>219</v>
      </c>
      <c r="E75" s="22">
        <v>246213.47032496901</v>
      </c>
      <c r="F75" s="22">
        <v>226131.96255843001</v>
      </c>
      <c r="G75" s="10">
        <v>233645.80989788499</v>
      </c>
      <c r="H75" s="23">
        <f t="shared" si="2"/>
        <v>7513.8473394549801</v>
      </c>
      <c r="I75" s="10">
        <v>261696.64466525699</v>
      </c>
      <c r="J75" s="23">
        <f t="shared" si="3"/>
        <v>15483.17434028798</v>
      </c>
    </row>
    <row r="76" spans="1:10">
      <c r="A76" t="s">
        <v>115</v>
      </c>
      <c r="B76" t="s">
        <v>291</v>
      </c>
      <c r="C76" s="20">
        <v>2035</v>
      </c>
      <c r="D76" t="s">
        <v>223</v>
      </c>
      <c r="E76" s="22">
        <v>361071.84081288602</v>
      </c>
      <c r="F76" s="22">
        <v>279690.54379729298</v>
      </c>
      <c r="G76" s="10">
        <v>284179.66413154098</v>
      </c>
      <c r="H76" s="23">
        <f t="shared" si="2"/>
        <v>4489.1203342480003</v>
      </c>
      <c r="I76" s="10">
        <v>387697.164048001</v>
      </c>
      <c r="J76" s="23">
        <f t="shared" si="3"/>
        <v>26625.323235114978</v>
      </c>
    </row>
    <row r="77" spans="1:10">
      <c r="A77" t="s">
        <v>115</v>
      </c>
      <c r="B77" t="s">
        <v>291</v>
      </c>
      <c r="C77" s="20">
        <v>2035</v>
      </c>
      <c r="D77" t="s">
        <v>227</v>
      </c>
      <c r="E77" s="22">
        <v>240850.06203102699</v>
      </c>
      <c r="F77" s="22">
        <v>155797.05833055099</v>
      </c>
      <c r="G77" s="10">
        <v>157568.37173569499</v>
      </c>
      <c r="H77" s="23">
        <f t="shared" si="2"/>
        <v>1771.3134051439993</v>
      </c>
      <c r="I77" s="10">
        <v>256626.61255713899</v>
      </c>
      <c r="J77" s="23">
        <f t="shared" si="3"/>
        <v>15776.550526111998</v>
      </c>
    </row>
    <row r="78" spans="1:10">
      <c r="A78" t="s">
        <v>115</v>
      </c>
      <c r="B78" t="s">
        <v>291</v>
      </c>
      <c r="C78" s="20">
        <v>2035</v>
      </c>
      <c r="D78" t="s">
        <v>293</v>
      </c>
      <c r="E78" s="22">
        <v>33448.029925189498</v>
      </c>
      <c r="F78" s="22">
        <v>4160.0960196688702</v>
      </c>
      <c r="G78" s="10">
        <v>4160.0880478735698</v>
      </c>
      <c r="H78" s="23">
        <f t="shared" si="2"/>
        <v>-7.9717953003637376E-3</v>
      </c>
      <c r="I78" s="10">
        <v>33447.278871464798</v>
      </c>
      <c r="J78" s="23">
        <f t="shared" si="3"/>
        <v>-0.75105372469988652</v>
      </c>
    </row>
    <row r="79" spans="1:10">
      <c r="A79" t="s">
        <v>115</v>
      </c>
      <c r="B79" t="s">
        <v>291</v>
      </c>
      <c r="C79" s="20">
        <v>2036</v>
      </c>
      <c r="D79" t="s">
        <v>292</v>
      </c>
      <c r="E79" s="22">
        <v>10690.8240185905</v>
      </c>
      <c r="F79" s="22">
        <v>7878.7154393117598</v>
      </c>
      <c r="G79" s="10">
        <v>7876.0828678223097</v>
      </c>
      <c r="H79" s="23">
        <f t="shared" si="2"/>
        <v>-2.6325714894501289</v>
      </c>
      <c r="I79" s="10">
        <v>10678.3911776571</v>
      </c>
      <c r="J79" s="23">
        <f t="shared" si="3"/>
        <v>-12.432840933399348</v>
      </c>
    </row>
    <row r="80" spans="1:10">
      <c r="A80" t="s">
        <v>115</v>
      </c>
      <c r="B80" t="s">
        <v>291</v>
      </c>
      <c r="C80" s="20">
        <v>2036</v>
      </c>
      <c r="D80" t="s">
        <v>233</v>
      </c>
      <c r="E80" s="22">
        <v>566087.66584041202</v>
      </c>
      <c r="F80" s="22">
        <v>176071.44322283499</v>
      </c>
      <c r="G80" s="10">
        <v>184270.55424889401</v>
      </c>
      <c r="H80" s="23">
        <f t="shared" si="2"/>
        <v>8199.1110260590212</v>
      </c>
      <c r="I80" s="10">
        <v>565915.068561455</v>
      </c>
      <c r="J80" s="23">
        <f t="shared" si="3"/>
        <v>-172.59727895702235</v>
      </c>
    </row>
    <row r="81" spans="1:10">
      <c r="A81" t="s">
        <v>115</v>
      </c>
      <c r="B81" t="s">
        <v>291</v>
      </c>
      <c r="C81" s="20">
        <v>2036</v>
      </c>
      <c r="D81" t="s">
        <v>208</v>
      </c>
      <c r="E81" s="22">
        <v>95008.889576093803</v>
      </c>
      <c r="F81" s="22">
        <v>61355.395932702297</v>
      </c>
      <c r="G81" s="10">
        <v>63653.403077987597</v>
      </c>
      <c r="H81" s="23">
        <f t="shared" si="2"/>
        <v>2298.0071452853008</v>
      </c>
      <c r="I81" s="10">
        <v>103253.81590007601</v>
      </c>
      <c r="J81" s="23">
        <f t="shared" si="3"/>
        <v>8244.926323982203</v>
      </c>
    </row>
    <row r="82" spans="1:10">
      <c r="A82" t="s">
        <v>115</v>
      </c>
      <c r="B82" t="s">
        <v>291</v>
      </c>
      <c r="C82" s="20">
        <v>2036</v>
      </c>
      <c r="D82" t="s">
        <v>219</v>
      </c>
      <c r="E82" s="22">
        <v>249313.28407853999</v>
      </c>
      <c r="F82" s="22">
        <v>228741.82680242401</v>
      </c>
      <c r="G82" s="10">
        <v>238410.323156125</v>
      </c>
      <c r="H82" s="23">
        <f t="shared" si="2"/>
        <v>9668.4963537009899</v>
      </c>
      <c r="I82" s="10">
        <v>267795.29471138702</v>
      </c>
      <c r="J82" s="23">
        <f t="shared" si="3"/>
        <v>18482.010632847028</v>
      </c>
    </row>
    <row r="83" spans="1:10">
      <c r="A83" t="s">
        <v>115</v>
      </c>
      <c r="B83" t="s">
        <v>291</v>
      </c>
      <c r="C83" s="20">
        <v>2036</v>
      </c>
      <c r="D83" t="s">
        <v>223</v>
      </c>
      <c r="E83" s="22">
        <v>364769.14147481997</v>
      </c>
      <c r="F83" s="22">
        <v>278530.86607549503</v>
      </c>
      <c r="G83" s="10">
        <v>284477.185074693</v>
      </c>
      <c r="H83" s="23">
        <f t="shared" si="2"/>
        <v>5946.3189991979743</v>
      </c>
      <c r="I83" s="10">
        <v>396494.62961773598</v>
      </c>
      <c r="J83" s="23">
        <f t="shared" si="3"/>
        <v>31725.488142916001</v>
      </c>
    </row>
    <row r="84" spans="1:10">
      <c r="A84" t="s">
        <v>115</v>
      </c>
      <c r="B84" t="s">
        <v>291</v>
      </c>
      <c r="C84" s="20">
        <v>2036</v>
      </c>
      <c r="D84" t="s">
        <v>227</v>
      </c>
      <c r="E84" s="22">
        <v>244810.28955633999</v>
      </c>
      <c r="F84" s="22">
        <v>156387.85709151099</v>
      </c>
      <c r="G84" s="10">
        <v>158831.70822770399</v>
      </c>
      <c r="H84" s="23">
        <f t="shared" si="2"/>
        <v>2443.8511361929995</v>
      </c>
      <c r="I84" s="10">
        <v>263685.61504529801</v>
      </c>
      <c r="J84" s="23">
        <f t="shared" si="3"/>
        <v>18875.325488958013</v>
      </c>
    </row>
    <row r="85" spans="1:10">
      <c r="A85" t="s">
        <v>115</v>
      </c>
      <c r="B85" t="s">
        <v>291</v>
      </c>
      <c r="C85" s="20">
        <v>2036</v>
      </c>
      <c r="D85" t="s">
        <v>293</v>
      </c>
      <c r="E85" s="22">
        <v>33268.957572772</v>
      </c>
      <c r="F85" s="22">
        <v>4116.0993115107203</v>
      </c>
      <c r="G85" s="10">
        <v>4116.0857587801502</v>
      </c>
      <c r="H85" s="23">
        <f t="shared" si="2"/>
        <v>-1.3552730570154381E-2</v>
      </c>
      <c r="I85" s="10">
        <v>33267.824025098198</v>
      </c>
      <c r="J85" s="23">
        <f t="shared" si="3"/>
        <v>-1.1335476738022408</v>
      </c>
    </row>
    <row r="86" spans="1:10">
      <c r="A86" t="s">
        <v>115</v>
      </c>
      <c r="B86" t="s">
        <v>291</v>
      </c>
      <c r="C86" s="20">
        <v>2037</v>
      </c>
      <c r="D86" t="s">
        <v>292</v>
      </c>
      <c r="E86" s="22">
        <v>11008.2701834076</v>
      </c>
      <c r="F86" s="22">
        <v>8007.9145334513496</v>
      </c>
      <c r="G86" s="10">
        <v>8003.7753545579098</v>
      </c>
      <c r="H86" s="23">
        <f t="shared" si="2"/>
        <v>-4.1391788934397482</v>
      </c>
      <c r="I86" s="10">
        <v>10990.4137947985</v>
      </c>
      <c r="J86" s="23">
        <f t="shared" si="3"/>
        <v>-17.856388609099668</v>
      </c>
    </row>
    <row r="87" spans="1:10">
      <c r="A87" t="s">
        <v>115</v>
      </c>
      <c r="B87" t="s">
        <v>291</v>
      </c>
      <c r="C87" s="20">
        <v>2037</v>
      </c>
      <c r="D87" t="s">
        <v>233</v>
      </c>
      <c r="E87" s="22">
        <v>573009.99034993199</v>
      </c>
      <c r="F87" s="22">
        <v>178562.33255578601</v>
      </c>
      <c r="G87" s="10">
        <v>188201.34338922499</v>
      </c>
      <c r="H87" s="23">
        <f t="shared" si="2"/>
        <v>9639.0108334389806</v>
      </c>
      <c r="I87" s="10">
        <v>572762.65925974504</v>
      </c>
      <c r="J87" s="23">
        <f t="shared" si="3"/>
        <v>-247.33109018695541</v>
      </c>
    </row>
    <row r="88" spans="1:10">
      <c r="A88" t="s">
        <v>115</v>
      </c>
      <c r="B88" t="s">
        <v>291</v>
      </c>
      <c r="C88" s="20">
        <v>2037</v>
      </c>
      <c r="D88" t="s">
        <v>208</v>
      </c>
      <c r="E88" s="22">
        <v>96625.725064804894</v>
      </c>
      <c r="F88" s="22">
        <v>62200.643809905399</v>
      </c>
      <c r="G88" s="10">
        <v>65132.642373226197</v>
      </c>
      <c r="H88" s="23">
        <f t="shared" si="2"/>
        <v>2931.998563320798</v>
      </c>
      <c r="I88" s="10">
        <v>106298.553139614</v>
      </c>
      <c r="J88" s="23">
        <f t="shared" si="3"/>
        <v>9672.8280748091056</v>
      </c>
    </row>
    <row r="89" spans="1:10">
      <c r="A89" t="s">
        <v>115</v>
      </c>
      <c r="B89" t="s">
        <v>291</v>
      </c>
      <c r="C89" s="20">
        <v>2037</v>
      </c>
      <c r="D89" t="s">
        <v>219</v>
      </c>
      <c r="E89" s="22">
        <v>252367.88354731299</v>
      </c>
      <c r="F89" s="22">
        <v>231310.19712195901</v>
      </c>
      <c r="G89" s="10">
        <v>243289.27875961</v>
      </c>
      <c r="H89" s="23">
        <f t="shared" si="2"/>
        <v>11979.08163765099</v>
      </c>
      <c r="I89" s="10">
        <v>273943.11553737998</v>
      </c>
      <c r="J89" s="23">
        <f t="shared" si="3"/>
        <v>21575.231990066997</v>
      </c>
    </row>
    <row r="90" spans="1:10">
      <c r="A90" t="s">
        <v>115</v>
      </c>
      <c r="B90" t="s">
        <v>291</v>
      </c>
      <c r="C90" s="20">
        <v>2037</v>
      </c>
      <c r="D90" t="s">
        <v>223</v>
      </c>
      <c r="E90" s="22">
        <v>368393.52907734702</v>
      </c>
      <c r="F90" s="22">
        <v>277856.458540525</v>
      </c>
      <c r="G90" s="10">
        <v>285466.43506332301</v>
      </c>
      <c r="H90" s="23">
        <f t="shared" si="2"/>
        <v>7609.9765227980097</v>
      </c>
      <c r="I90" s="10">
        <v>405372.47130504902</v>
      </c>
      <c r="J90" s="23">
        <f t="shared" si="3"/>
        <v>36978.942227702006</v>
      </c>
    </row>
    <row r="91" spans="1:10">
      <c r="A91" t="s">
        <v>115</v>
      </c>
      <c r="B91" t="s">
        <v>291</v>
      </c>
      <c r="C91" s="20">
        <v>2037</v>
      </c>
      <c r="D91" t="s">
        <v>227</v>
      </c>
      <c r="E91" s="22">
        <v>248800.39585057899</v>
      </c>
      <c r="F91" s="22">
        <v>157353.566838536</v>
      </c>
      <c r="G91" s="10">
        <v>160581.34070012701</v>
      </c>
      <c r="H91" s="23">
        <f t="shared" si="2"/>
        <v>3227.7738615910057</v>
      </c>
      <c r="I91" s="10">
        <v>270885.35957799701</v>
      </c>
      <c r="J91" s="23">
        <f t="shared" si="3"/>
        <v>22084.963727418013</v>
      </c>
    </row>
    <row r="92" spans="1:10">
      <c r="A92" t="s">
        <v>115</v>
      </c>
      <c r="B92" t="s">
        <v>291</v>
      </c>
      <c r="C92" s="20">
        <v>2037</v>
      </c>
      <c r="D92" t="s">
        <v>293</v>
      </c>
      <c r="E92" s="22">
        <v>33114.567011356397</v>
      </c>
      <c r="F92" s="22">
        <v>4072.5030093272499</v>
      </c>
      <c r="G92" s="10">
        <v>4072.4816205686702</v>
      </c>
      <c r="H92" s="23">
        <f t="shared" si="2"/>
        <v>-2.1388758579632849E-2</v>
      </c>
      <c r="I92" s="10">
        <v>33112.945636635799</v>
      </c>
      <c r="J92" s="23">
        <f t="shared" si="3"/>
        <v>-1.6213747205983964</v>
      </c>
    </row>
    <row r="93" spans="1:10">
      <c r="A93" t="s">
        <v>115</v>
      </c>
      <c r="B93" t="s">
        <v>291</v>
      </c>
      <c r="C93" s="20">
        <v>2038</v>
      </c>
      <c r="D93" t="s">
        <v>292</v>
      </c>
      <c r="E93" s="22">
        <v>11342.360581958899</v>
      </c>
      <c r="F93" s="22">
        <v>8155.2734792343899</v>
      </c>
      <c r="G93" s="10">
        <v>8149.1101727823498</v>
      </c>
      <c r="H93" s="23">
        <f t="shared" si="2"/>
        <v>-6.1633064520401604</v>
      </c>
      <c r="I93" s="10">
        <v>11317.6785263701</v>
      </c>
      <c r="J93" s="23">
        <f t="shared" si="3"/>
        <v>-24.682055588798903</v>
      </c>
    </row>
    <row r="94" spans="1:10">
      <c r="A94" t="s">
        <v>115</v>
      </c>
      <c r="B94" t="s">
        <v>291</v>
      </c>
      <c r="C94" s="20">
        <v>2038</v>
      </c>
      <c r="D94" t="s">
        <v>233</v>
      </c>
      <c r="E94" s="22">
        <v>580049.80647790595</v>
      </c>
      <c r="F94" s="22">
        <v>181100.70243644601</v>
      </c>
      <c r="G94" s="10">
        <v>192212.96510579201</v>
      </c>
      <c r="H94" s="23">
        <f t="shared" si="2"/>
        <v>11112.262669346004</v>
      </c>
      <c r="I94" s="10">
        <v>579709.15080810699</v>
      </c>
      <c r="J94" s="23">
        <f t="shared" si="3"/>
        <v>-340.65566979895812</v>
      </c>
    </row>
    <row r="95" spans="1:10">
      <c r="A95" t="s">
        <v>115</v>
      </c>
      <c r="B95" t="s">
        <v>291</v>
      </c>
      <c r="C95" s="20">
        <v>2038</v>
      </c>
      <c r="D95" t="s">
        <v>208</v>
      </c>
      <c r="E95" s="22">
        <v>98244.4284018584</v>
      </c>
      <c r="F95" s="22">
        <v>63065.4217056868</v>
      </c>
      <c r="G95" s="10">
        <v>66690.176392691894</v>
      </c>
      <c r="H95" s="23">
        <f t="shared" si="2"/>
        <v>3624.7546870050937</v>
      </c>
      <c r="I95" s="10">
        <v>109397.410233203</v>
      </c>
      <c r="J95" s="23">
        <f t="shared" si="3"/>
        <v>11152.981831344601</v>
      </c>
    </row>
    <row r="96" spans="1:10">
      <c r="A96" t="s">
        <v>115</v>
      </c>
      <c r="B96" t="s">
        <v>291</v>
      </c>
      <c r="C96" s="20">
        <v>2038</v>
      </c>
      <c r="D96" t="s">
        <v>219</v>
      </c>
      <c r="E96" s="22">
        <v>255364.76068796299</v>
      </c>
      <c r="F96" s="22">
        <v>233849.302005337</v>
      </c>
      <c r="G96" s="10">
        <v>248273.44457909101</v>
      </c>
      <c r="H96" s="23">
        <f t="shared" si="2"/>
        <v>14424.142573754012</v>
      </c>
      <c r="I96" s="10">
        <v>280123.02241032303</v>
      </c>
      <c r="J96" s="23">
        <f t="shared" si="3"/>
        <v>24758.261722360039</v>
      </c>
    </row>
    <row r="97" spans="1:10">
      <c r="A97" t="s">
        <v>115</v>
      </c>
      <c r="B97" t="s">
        <v>291</v>
      </c>
      <c r="C97" s="20">
        <v>2038</v>
      </c>
      <c r="D97" t="s">
        <v>223</v>
      </c>
      <c r="E97" s="22">
        <v>371966.39833584102</v>
      </c>
      <c r="F97" s="22">
        <v>277566.029824036</v>
      </c>
      <c r="G97" s="10">
        <v>287037.68007086799</v>
      </c>
      <c r="H97" s="23">
        <f t="shared" si="2"/>
        <v>9471.6502468319959</v>
      </c>
      <c r="I97" s="10">
        <v>414343.96499136701</v>
      </c>
      <c r="J97" s="23">
        <f t="shared" si="3"/>
        <v>42377.566655525996</v>
      </c>
    </row>
    <row r="98" spans="1:10">
      <c r="A98" t="s">
        <v>115</v>
      </c>
      <c r="B98" t="s">
        <v>291</v>
      </c>
      <c r="C98" s="20">
        <v>2038</v>
      </c>
      <c r="D98" t="s">
        <v>227</v>
      </c>
      <c r="E98" s="22">
        <v>252822.686389193</v>
      </c>
      <c r="F98" s="22">
        <v>158572.889991395</v>
      </c>
      <c r="G98" s="10">
        <v>162691.669499593</v>
      </c>
      <c r="H98" s="23">
        <f t="shared" si="2"/>
        <v>4118.7795081980003</v>
      </c>
      <c r="I98" s="10">
        <v>278223.18557818403</v>
      </c>
      <c r="J98" s="23">
        <f t="shared" si="3"/>
        <v>25400.499188991031</v>
      </c>
    </row>
    <row r="99" spans="1:10">
      <c r="A99" t="s">
        <v>115</v>
      </c>
      <c r="B99" t="s">
        <v>291</v>
      </c>
      <c r="C99" s="20">
        <v>2038</v>
      </c>
      <c r="D99" t="s">
        <v>293</v>
      </c>
      <c r="E99" s="22">
        <v>33044.774739224202</v>
      </c>
      <c r="F99" s="22">
        <v>4031.3526844617199</v>
      </c>
      <c r="G99" s="10">
        <v>4031.3208452899798</v>
      </c>
      <c r="H99" s="23">
        <f t="shared" si="2"/>
        <v>-3.1839171740102756E-2</v>
      </c>
      <c r="I99" s="10">
        <v>33042.550959519802</v>
      </c>
      <c r="J99" s="23">
        <f t="shared" si="3"/>
        <v>-2.2237797043999308</v>
      </c>
    </row>
    <row r="100" spans="1:10">
      <c r="A100" t="s">
        <v>115</v>
      </c>
      <c r="B100" t="s">
        <v>291</v>
      </c>
      <c r="C100" s="20">
        <v>2039</v>
      </c>
      <c r="D100" t="s">
        <v>292</v>
      </c>
      <c r="E100" s="22">
        <v>11693.017576193301</v>
      </c>
      <c r="F100" s="22">
        <v>8317.5542671233397</v>
      </c>
      <c r="G100" s="10">
        <v>8308.7564255161706</v>
      </c>
      <c r="H100" s="23">
        <f t="shared" si="2"/>
        <v>-8.7978416071691754</v>
      </c>
      <c r="I100" s="10">
        <v>11659.9247232692</v>
      </c>
      <c r="J100" s="23">
        <f t="shared" si="3"/>
        <v>-33.092852924100953</v>
      </c>
    </row>
    <row r="101" spans="1:10">
      <c r="A101" t="s">
        <v>115</v>
      </c>
      <c r="B101" t="s">
        <v>291</v>
      </c>
      <c r="C101" s="20">
        <v>2039</v>
      </c>
      <c r="D101" t="s">
        <v>233</v>
      </c>
      <c r="E101" s="22">
        <v>587039.67560544098</v>
      </c>
      <c r="F101" s="22">
        <v>183773.951156831</v>
      </c>
      <c r="G101" s="10">
        <v>196399.78271442099</v>
      </c>
      <c r="H101" s="23">
        <f t="shared" si="2"/>
        <v>12625.831557589991</v>
      </c>
      <c r="I101" s="10">
        <v>586585.813471601</v>
      </c>
      <c r="J101" s="23">
        <f t="shared" si="3"/>
        <v>-453.86213383998256</v>
      </c>
    </row>
    <row r="102" spans="1:10">
      <c r="A102" t="s">
        <v>115</v>
      </c>
      <c r="B102" t="s">
        <v>291</v>
      </c>
      <c r="C102" s="20">
        <v>2039</v>
      </c>
      <c r="D102" t="s">
        <v>208</v>
      </c>
      <c r="E102" s="22">
        <v>99857.511333295304</v>
      </c>
      <c r="F102" s="22">
        <v>63978.205614982697</v>
      </c>
      <c r="G102" s="10">
        <v>68351.165586621195</v>
      </c>
      <c r="H102" s="23">
        <f t="shared" si="2"/>
        <v>4372.9599716384982</v>
      </c>
      <c r="I102" s="10">
        <v>112540.85014863699</v>
      </c>
      <c r="J102" s="23">
        <f t="shared" si="3"/>
        <v>12683.338815341689</v>
      </c>
    </row>
    <row r="103" spans="1:10">
      <c r="A103" t="s">
        <v>115</v>
      </c>
      <c r="B103" t="s">
        <v>291</v>
      </c>
      <c r="C103" s="20">
        <v>2039</v>
      </c>
      <c r="D103" t="s">
        <v>219</v>
      </c>
      <c r="E103" s="22">
        <v>258295.334726762</v>
      </c>
      <c r="F103" s="22">
        <v>236429.098106413</v>
      </c>
      <c r="G103" s="10">
        <v>253425.44356171699</v>
      </c>
      <c r="H103" s="23">
        <f t="shared" si="2"/>
        <v>16996.345455303992</v>
      </c>
      <c r="I103" s="10">
        <v>286321.19240738201</v>
      </c>
      <c r="J103" s="23">
        <f t="shared" si="3"/>
        <v>28025.857680620014</v>
      </c>
    </row>
    <row r="104" spans="1:10">
      <c r="A104" t="s">
        <v>115</v>
      </c>
      <c r="B104" t="s">
        <v>291</v>
      </c>
      <c r="C104" s="20">
        <v>2039</v>
      </c>
      <c r="D104" t="s">
        <v>223</v>
      </c>
      <c r="E104" s="22">
        <v>375463.23213832901</v>
      </c>
      <c r="F104" s="22">
        <v>277738.500775614</v>
      </c>
      <c r="G104" s="10">
        <v>289267.92952396598</v>
      </c>
      <c r="H104" s="23">
        <f t="shared" si="2"/>
        <v>11529.428748351987</v>
      </c>
      <c r="I104" s="10">
        <v>423374.88237380597</v>
      </c>
      <c r="J104" s="23">
        <f t="shared" si="3"/>
        <v>47911.650235476962</v>
      </c>
    </row>
    <row r="105" spans="1:10">
      <c r="A105" t="s">
        <v>115</v>
      </c>
      <c r="B105" t="s">
        <v>291</v>
      </c>
      <c r="C105" s="20">
        <v>2039</v>
      </c>
      <c r="D105" t="s">
        <v>227</v>
      </c>
      <c r="E105" s="22">
        <v>256851.30658055801</v>
      </c>
      <c r="F105" s="22">
        <v>160098.80484505999</v>
      </c>
      <c r="G105" s="10">
        <v>165214.73790838799</v>
      </c>
      <c r="H105" s="23">
        <f t="shared" si="2"/>
        <v>5115.9330633280042</v>
      </c>
      <c r="I105" s="10">
        <v>285667.44245130301</v>
      </c>
      <c r="J105" s="23">
        <f t="shared" si="3"/>
        <v>28816.135870744998</v>
      </c>
    </row>
    <row r="106" spans="1:10">
      <c r="A106" t="s">
        <v>115</v>
      </c>
      <c r="B106" t="s">
        <v>291</v>
      </c>
      <c r="C106" s="20">
        <v>2039</v>
      </c>
      <c r="D106" t="s">
        <v>293</v>
      </c>
      <c r="E106" s="22">
        <v>33000.042782779303</v>
      </c>
      <c r="F106" s="22">
        <v>3990.2719029895502</v>
      </c>
      <c r="G106" s="10">
        <v>3990.2266117600898</v>
      </c>
      <c r="H106" s="23">
        <f t="shared" si="2"/>
        <v>-4.5291229460417526E-2</v>
      </c>
      <c r="I106" s="10">
        <v>32997.093274340303</v>
      </c>
      <c r="J106" s="23">
        <f t="shared" si="3"/>
        <v>-2.9495084390000557</v>
      </c>
    </row>
    <row r="107" spans="1:10">
      <c r="A107" t="s">
        <v>115</v>
      </c>
      <c r="B107" t="s">
        <v>291</v>
      </c>
      <c r="C107" s="20">
        <v>2040</v>
      </c>
      <c r="D107" t="s">
        <v>292</v>
      </c>
      <c r="E107" s="22">
        <v>12059.9431853838</v>
      </c>
      <c r="F107" s="22">
        <v>8487.3243228266092</v>
      </c>
      <c r="G107" s="10">
        <v>8475.1947523414601</v>
      </c>
      <c r="H107" s="23">
        <f t="shared" si="2"/>
        <v>-12.129570485149088</v>
      </c>
      <c r="I107" s="10">
        <v>12016.657122104099</v>
      </c>
      <c r="J107" s="23">
        <f t="shared" si="3"/>
        <v>-43.286063279700102</v>
      </c>
    </row>
    <row r="108" spans="1:10">
      <c r="A108" t="s">
        <v>115</v>
      </c>
      <c r="B108" t="s">
        <v>291</v>
      </c>
      <c r="C108" s="20">
        <v>2040</v>
      </c>
      <c r="D108" t="s">
        <v>233</v>
      </c>
      <c r="E108" s="22">
        <v>593947.81457450904</v>
      </c>
      <c r="F108" s="22">
        <v>186405.72750251999</v>
      </c>
      <c r="G108" s="10">
        <v>200573.83188491399</v>
      </c>
      <c r="H108" s="23">
        <f t="shared" si="2"/>
        <v>14168.104382393998</v>
      </c>
      <c r="I108" s="10">
        <v>593359.68314985395</v>
      </c>
      <c r="J108" s="23">
        <f t="shared" si="3"/>
        <v>-588.13142465509009</v>
      </c>
    </row>
    <row r="109" spans="1:10">
      <c r="A109" t="s">
        <v>115</v>
      </c>
      <c r="B109" t="s">
        <v>291</v>
      </c>
      <c r="C109" s="20">
        <v>2040</v>
      </c>
      <c r="D109" t="s">
        <v>208</v>
      </c>
      <c r="E109" s="22">
        <v>101456.446187276</v>
      </c>
      <c r="F109" s="22">
        <v>64883.100756243803</v>
      </c>
      <c r="G109" s="10">
        <v>70051.719234652104</v>
      </c>
      <c r="H109" s="23">
        <f t="shared" si="2"/>
        <v>5168.6184784083016</v>
      </c>
      <c r="I109" s="10">
        <v>115715.91361322301</v>
      </c>
      <c r="J109" s="23">
        <f t="shared" si="3"/>
        <v>14259.467425947005</v>
      </c>
    </row>
    <row r="110" spans="1:10">
      <c r="A110" t="s">
        <v>115</v>
      </c>
      <c r="B110" t="s">
        <v>291</v>
      </c>
      <c r="C110" s="20">
        <v>2040</v>
      </c>
      <c r="D110" t="s">
        <v>219</v>
      </c>
      <c r="E110" s="22">
        <v>261149.047135028</v>
      </c>
      <c r="F110" s="22">
        <v>238789.759784711</v>
      </c>
      <c r="G110" s="10">
        <v>258453.35589354101</v>
      </c>
      <c r="H110" s="23">
        <f t="shared" si="2"/>
        <v>19663.59610883001</v>
      </c>
      <c r="I110" s="10">
        <v>292519.21784189797</v>
      </c>
      <c r="J110" s="23">
        <f t="shared" si="3"/>
        <v>31370.170706869976</v>
      </c>
    </row>
    <row r="111" spans="1:10">
      <c r="A111" t="s">
        <v>115</v>
      </c>
      <c r="B111" t="s">
        <v>291</v>
      </c>
      <c r="C111" s="20">
        <v>2040</v>
      </c>
      <c r="D111" t="s">
        <v>223</v>
      </c>
      <c r="E111" s="22">
        <v>378879.76920065301</v>
      </c>
      <c r="F111" s="22">
        <v>278087.73754230299</v>
      </c>
      <c r="G111" s="10">
        <v>291853.981250607</v>
      </c>
      <c r="H111" s="23">
        <f t="shared" si="2"/>
        <v>13766.243708304013</v>
      </c>
      <c r="I111" s="10">
        <v>432447.36203710001</v>
      </c>
      <c r="J111" s="23">
        <f t="shared" si="3"/>
        <v>53567.592836447002</v>
      </c>
    </row>
    <row r="112" spans="1:10">
      <c r="A112" t="s">
        <v>115</v>
      </c>
      <c r="B112" t="s">
        <v>291</v>
      </c>
      <c r="C112" s="20">
        <v>2040</v>
      </c>
      <c r="D112" t="s">
        <v>227</v>
      </c>
      <c r="E112" s="22">
        <v>260870.51619440201</v>
      </c>
      <c r="F112" s="22">
        <v>161771.216665696</v>
      </c>
      <c r="G112" s="10">
        <v>167983.665373197</v>
      </c>
      <c r="H112" s="23">
        <f t="shared" si="2"/>
        <v>6212.4487075009965</v>
      </c>
      <c r="I112" s="10">
        <v>293192.362737216</v>
      </c>
      <c r="J112" s="23">
        <f t="shared" si="3"/>
        <v>32321.84654281399</v>
      </c>
    </row>
    <row r="113" spans="1:10">
      <c r="A113" t="s">
        <v>115</v>
      </c>
      <c r="B113" t="s">
        <v>291</v>
      </c>
      <c r="C113" s="20">
        <v>2040</v>
      </c>
      <c r="D113" t="s">
        <v>293</v>
      </c>
      <c r="E113" s="22">
        <v>32971.178402539699</v>
      </c>
      <c r="F113" s="22">
        <v>3947.0019429768399</v>
      </c>
      <c r="G113" s="10">
        <v>3946.9398558753301</v>
      </c>
      <c r="H113" s="23">
        <f t="shared" si="2"/>
        <v>-6.2087101509860076E-2</v>
      </c>
      <c r="I113" s="10">
        <v>32967.371003673899</v>
      </c>
      <c r="J113" s="23">
        <f t="shared" si="3"/>
        <v>-3.8073988657997688</v>
      </c>
    </row>
    <row r="114" spans="1:10">
      <c r="A114" t="s">
        <v>115</v>
      </c>
      <c r="B114" t="s">
        <v>291</v>
      </c>
      <c r="C114" s="20">
        <v>2041</v>
      </c>
      <c r="D114" t="s">
        <v>292</v>
      </c>
      <c r="E114" s="22">
        <v>12442.892038079801</v>
      </c>
      <c r="F114" s="22">
        <v>8668.7158613988395</v>
      </c>
      <c r="G114" s="10">
        <v>8652.4418797747203</v>
      </c>
      <c r="H114" s="23">
        <f t="shared" si="2"/>
        <v>-16.273981624119187</v>
      </c>
      <c r="I114" s="10">
        <v>12387.4352203005</v>
      </c>
      <c r="J114" s="23">
        <f t="shared" si="3"/>
        <v>-55.456817779300764</v>
      </c>
    </row>
    <row r="115" spans="1:10">
      <c r="A115" t="s">
        <v>115</v>
      </c>
      <c r="B115" t="s">
        <v>291</v>
      </c>
      <c r="C115" s="20">
        <v>2041</v>
      </c>
      <c r="D115" t="s">
        <v>233</v>
      </c>
      <c r="E115" s="22">
        <v>600726.98203007702</v>
      </c>
      <c r="F115" s="22">
        <v>190639.57114409999</v>
      </c>
      <c r="G115" s="10">
        <v>204767.67956458699</v>
      </c>
      <c r="H115" s="23">
        <f t="shared" si="2"/>
        <v>14128.108420486999</v>
      </c>
      <c r="I115" s="10">
        <v>599982.63945756003</v>
      </c>
      <c r="J115" s="23">
        <f t="shared" si="3"/>
        <v>-744.34257251699455</v>
      </c>
    </row>
    <row r="116" spans="1:10">
      <c r="A116" t="s">
        <v>115</v>
      </c>
      <c r="B116" t="s">
        <v>291</v>
      </c>
      <c r="C116" s="20">
        <v>2041</v>
      </c>
      <c r="D116" t="s">
        <v>208</v>
      </c>
      <c r="E116" s="22">
        <v>104422.726180157</v>
      </c>
      <c r="F116" s="22">
        <v>65794.867885602405</v>
      </c>
      <c r="G116" s="10">
        <v>71803.797724939097</v>
      </c>
      <c r="H116" s="23">
        <f t="shared" si="2"/>
        <v>6008.9298393366917</v>
      </c>
      <c r="I116" s="10">
        <v>118915.640835661</v>
      </c>
      <c r="J116" s="23">
        <f t="shared" si="3"/>
        <v>14492.914655504006</v>
      </c>
    </row>
    <row r="117" spans="1:10">
      <c r="A117" t="s">
        <v>115</v>
      </c>
      <c r="B117" t="s">
        <v>291</v>
      </c>
      <c r="C117" s="20">
        <v>2041</v>
      </c>
      <c r="D117" t="s">
        <v>219</v>
      </c>
      <c r="E117" s="22">
        <v>266939.83338856598</v>
      </c>
      <c r="F117" s="22">
        <v>241089.60529491401</v>
      </c>
      <c r="G117" s="10">
        <v>263516.67264334799</v>
      </c>
      <c r="H117" s="23">
        <f t="shared" si="2"/>
        <v>22427.067348433979</v>
      </c>
      <c r="I117" s="10">
        <v>298705.446631775</v>
      </c>
      <c r="J117" s="23">
        <f t="shared" si="3"/>
        <v>31765.613243209023</v>
      </c>
    </row>
    <row r="118" spans="1:10">
      <c r="A118" t="s">
        <v>115</v>
      </c>
      <c r="B118" t="s">
        <v>291</v>
      </c>
      <c r="C118" s="20">
        <v>2041</v>
      </c>
      <c r="D118" t="s">
        <v>223</v>
      </c>
      <c r="E118" s="22">
        <v>387368.80154907302</v>
      </c>
      <c r="F118" s="22">
        <v>278854.11861575802</v>
      </c>
      <c r="G118" s="10">
        <v>294859.61419276899</v>
      </c>
      <c r="H118" s="23">
        <f t="shared" si="2"/>
        <v>16005.495577010966</v>
      </c>
      <c r="I118" s="10">
        <v>441540.77905094897</v>
      </c>
      <c r="J118" s="23">
        <f t="shared" si="3"/>
        <v>54171.977501875954</v>
      </c>
    </row>
    <row r="119" spans="1:10">
      <c r="A119" t="s">
        <v>115</v>
      </c>
      <c r="B119" t="s">
        <v>291</v>
      </c>
      <c r="C119" s="20">
        <v>2041</v>
      </c>
      <c r="D119" t="s">
        <v>227</v>
      </c>
      <c r="E119" s="22">
        <v>268021.315497273</v>
      </c>
      <c r="F119" s="22">
        <v>163597.57343413</v>
      </c>
      <c r="G119" s="10">
        <v>171003.574399356</v>
      </c>
      <c r="H119" s="23">
        <f t="shared" si="2"/>
        <v>7406.0009652260051</v>
      </c>
      <c r="I119" s="10">
        <v>300778.54209626402</v>
      </c>
      <c r="J119" s="23">
        <f t="shared" si="3"/>
        <v>32757.226598991023</v>
      </c>
    </row>
    <row r="120" spans="1:10">
      <c r="A120" t="s">
        <v>115</v>
      </c>
      <c r="B120" t="s">
        <v>291</v>
      </c>
      <c r="C120" s="20">
        <v>2041</v>
      </c>
      <c r="D120" t="s">
        <v>293</v>
      </c>
      <c r="E120" s="22">
        <v>32947.246425231897</v>
      </c>
      <c r="F120" s="22">
        <v>3901.86342068153</v>
      </c>
      <c r="G120" s="10">
        <v>3901.7808023860898</v>
      </c>
      <c r="H120" s="23">
        <f t="shared" si="2"/>
        <v>-8.2618295440170186E-2</v>
      </c>
      <c r="I120" s="10">
        <v>32942.441314227603</v>
      </c>
      <c r="J120" s="23">
        <f t="shared" si="3"/>
        <v>-4.8051110042943037</v>
      </c>
    </row>
    <row r="121" spans="1:10">
      <c r="A121" t="s">
        <v>115</v>
      </c>
      <c r="B121" t="s">
        <v>291</v>
      </c>
      <c r="C121" s="20">
        <v>2042</v>
      </c>
      <c r="D121" t="s">
        <v>292</v>
      </c>
      <c r="E121" s="22">
        <v>12840.982198798099</v>
      </c>
      <c r="F121" s="22">
        <v>8861.6996857111699</v>
      </c>
      <c r="G121" s="10">
        <v>8840.3509314455005</v>
      </c>
      <c r="H121" s="23">
        <f t="shared" si="2"/>
        <v>-21.348754265669413</v>
      </c>
      <c r="I121" s="10">
        <v>12771.673079427101</v>
      </c>
      <c r="J121" s="23">
        <f t="shared" si="3"/>
        <v>-69.309119370998815</v>
      </c>
    </row>
    <row r="122" spans="1:10">
      <c r="A122" t="s">
        <v>115</v>
      </c>
      <c r="B122" t="s">
        <v>291</v>
      </c>
      <c r="C122" s="20">
        <v>2042</v>
      </c>
      <c r="D122" t="s">
        <v>233</v>
      </c>
      <c r="E122" s="22">
        <v>607367.42051617405</v>
      </c>
      <c r="F122" s="22">
        <v>194841.781892848</v>
      </c>
      <c r="G122" s="10">
        <v>208935.34457270999</v>
      </c>
      <c r="H122" s="23">
        <f t="shared" si="2"/>
        <v>14093.562679861992</v>
      </c>
      <c r="I122" s="10">
        <v>606444.77442447701</v>
      </c>
      <c r="J122" s="23">
        <f t="shared" si="3"/>
        <v>-922.64609169703908</v>
      </c>
    </row>
    <row r="123" spans="1:10">
      <c r="A123" t="s">
        <v>115</v>
      </c>
      <c r="B123" t="s">
        <v>291</v>
      </c>
      <c r="C123" s="20">
        <v>2042</v>
      </c>
      <c r="D123" t="s">
        <v>208</v>
      </c>
      <c r="E123" s="22">
        <v>107426.585440383</v>
      </c>
      <c r="F123" s="22">
        <v>66868.696316937101</v>
      </c>
      <c r="G123" s="10">
        <v>73591.295208371695</v>
      </c>
      <c r="H123" s="23">
        <f t="shared" si="2"/>
        <v>6722.5988914345944</v>
      </c>
      <c r="I123" s="10">
        <v>122132.445308682</v>
      </c>
      <c r="J123" s="23">
        <f t="shared" si="3"/>
        <v>14705.859868298998</v>
      </c>
    </row>
    <row r="124" spans="1:10">
      <c r="A124" t="s">
        <v>115</v>
      </c>
      <c r="B124" t="s">
        <v>291</v>
      </c>
      <c r="C124" s="20">
        <v>2042</v>
      </c>
      <c r="D124" t="s">
        <v>219</v>
      </c>
      <c r="E124" s="22">
        <v>272738.35518057301</v>
      </c>
      <c r="F124" s="22">
        <v>244354.14148835299</v>
      </c>
      <c r="G124" s="10">
        <v>268581.56217470701</v>
      </c>
      <c r="H124" s="23">
        <f t="shared" si="2"/>
        <v>24227.420686354017</v>
      </c>
      <c r="I124" s="10">
        <v>304866.78876579</v>
      </c>
      <c r="J124" s="23">
        <f t="shared" si="3"/>
        <v>32128.43358521699</v>
      </c>
    </row>
    <row r="125" spans="1:10">
      <c r="A125" t="s">
        <v>115</v>
      </c>
      <c r="B125" t="s">
        <v>291</v>
      </c>
      <c r="C125" s="20">
        <v>2042</v>
      </c>
      <c r="D125" t="s">
        <v>223</v>
      </c>
      <c r="E125" s="22">
        <v>395920.63263572298</v>
      </c>
      <c r="F125" s="22">
        <v>280104.70733921602</v>
      </c>
      <c r="G125" s="10">
        <v>298212.92020073603</v>
      </c>
      <c r="H125" s="23">
        <f t="shared" si="2"/>
        <v>18108.212861520005</v>
      </c>
      <c r="I125" s="10">
        <v>450639.13077547197</v>
      </c>
      <c r="J125" s="23">
        <f t="shared" si="3"/>
        <v>54718.49813974899</v>
      </c>
    </row>
    <row r="126" spans="1:10">
      <c r="A126" t="s">
        <v>115</v>
      </c>
      <c r="B126" t="s">
        <v>291</v>
      </c>
      <c r="C126" s="20">
        <v>2042</v>
      </c>
      <c r="D126" t="s">
        <v>227</v>
      </c>
      <c r="E126" s="22">
        <v>275265.51127166901</v>
      </c>
      <c r="F126" s="22">
        <v>165719.28176951699</v>
      </c>
      <c r="G126" s="10">
        <v>174243.76765953301</v>
      </c>
      <c r="H126" s="23">
        <f t="shared" si="2"/>
        <v>8524.4858900160179</v>
      </c>
      <c r="I126" s="10">
        <v>308409.93121826497</v>
      </c>
      <c r="J126" s="23">
        <f t="shared" si="3"/>
        <v>33144.419946595968</v>
      </c>
    </row>
    <row r="127" spans="1:10">
      <c r="A127" t="s">
        <v>115</v>
      </c>
      <c r="B127" t="s">
        <v>291</v>
      </c>
      <c r="C127" s="20">
        <v>2042</v>
      </c>
      <c r="D127" t="s">
        <v>293</v>
      </c>
      <c r="E127" s="22">
        <v>32929.655023614301</v>
      </c>
      <c r="F127" s="22">
        <v>3854.6053405031898</v>
      </c>
      <c r="G127" s="10">
        <v>3854.4980484920702</v>
      </c>
      <c r="H127" s="23">
        <f t="shared" si="2"/>
        <v>-0.10729201111962539</v>
      </c>
      <c r="I127" s="10">
        <v>32923.7417053026</v>
      </c>
      <c r="J127" s="23">
        <f t="shared" si="3"/>
        <v>-5.9133183117010049</v>
      </c>
    </row>
    <row r="128" spans="1:10">
      <c r="A128" t="s">
        <v>115</v>
      </c>
      <c r="B128" t="s">
        <v>291</v>
      </c>
      <c r="C128" s="20">
        <v>2043</v>
      </c>
      <c r="D128" t="s">
        <v>292</v>
      </c>
      <c r="E128" s="22">
        <v>13253.080834975701</v>
      </c>
      <c r="F128" s="22">
        <v>9061.2500850879005</v>
      </c>
      <c r="G128" s="10">
        <v>9033.89057082213</v>
      </c>
      <c r="H128" s="23">
        <f t="shared" si="2"/>
        <v>-27.359514265770486</v>
      </c>
      <c r="I128" s="10">
        <v>13168.339072634901</v>
      </c>
      <c r="J128" s="23">
        <f t="shared" si="3"/>
        <v>-84.741762340800051</v>
      </c>
    </row>
    <row r="129" spans="1:10">
      <c r="A129" t="s">
        <v>115</v>
      </c>
      <c r="B129" t="s">
        <v>291</v>
      </c>
      <c r="C129" s="20">
        <v>2043</v>
      </c>
      <c r="D129" t="s">
        <v>233</v>
      </c>
      <c r="E129" s="22">
        <v>613856.34348092601</v>
      </c>
      <c r="F129" s="22">
        <v>198970.50765317501</v>
      </c>
      <c r="G129" s="10">
        <v>213029.19765193301</v>
      </c>
      <c r="H129" s="23">
        <f t="shared" si="2"/>
        <v>14058.689998757996</v>
      </c>
      <c r="I129" s="10">
        <v>612739.13039442897</v>
      </c>
      <c r="J129" s="23">
        <f t="shared" si="3"/>
        <v>-1117.2130864970386</v>
      </c>
    </row>
    <row r="130" spans="1:10">
      <c r="A130" t="s">
        <v>115</v>
      </c>
      <c r="B130" t="s">
        <v>291</v>
      </c>
      <c r="C130" s="20">
        <v>2043</v>
      </c>
      <c r="D130" t="s">
        <v>208</v>
      </c>
      <c r="E130" s="22">
        <v>110456.396380654</v>
      </c>
      <c r="F130" s="22">
        <v>68066.416777564795</v>
      </c>
      <c r="G130" s="10">
        <v>75396.380272277296</v>
      </c>
      <c r="H130" s="23">
        <f t="shared" ref="H130:H193" si="4">G130-F130</f>
        <v>7329.9634947125014</v>
      </c>
      <c r="I130" s="10">
        <v>125356.860393586</v>
      </c>
      <c r="J130" s="23">
        <f t="shared" ref="J130:J193" si="5">I130-E130</f>
        <v>14900.464012932003</v>
      </c>
    </row>
    <row r="131" spans="1:10">
      <c r="A131" t="s">
        <v>115</v>
      </c>
      <c r="B131" t="s">
        <v>291</v>
      </c>
      <c r="C131" s="20">
        <v>2043</v>
      </c>
      <c r="D131" t="s">
        <v>219</v>
      </c>
      <c r="E131" s="22">
        <v>278527.59095616703</v>
      </c>
      <c r="F131" s="22">
        <v>248057.82219412399</v>
      </c>
      <c r="G131" s="10">
        <v>273603.58671314199</v>
      </c>
      <c r="H131" s="23">
        <f t="shared" si="4"/>
        <v>25545.764519018005</v>
      </c>
      <c r="I131" s="10">
        <v>310987.82959968102</v>
      </c>
      <c r="J131" s="23">
        <f t="shared" si="5"/>
        <v>32460.238643513992</v>
      </c>
    </row>
    <row r="132" spans="1:10">
      <c r="A132" t="s">
        <v>115</v>
      </c>
      <c r="B132" t="s">
        <v>291</v>
      </c>
      <c r="C132" s="20">
        <v>2043</v>
      </c>
      <c r="D132" t="s">
        <v>223</v>
      </c>
      <c r="E132" s="22">
        <v>404511.20403767598</v>
      </c>
      <c r="F132" s="22">
        <v>281771.70184586901</v>
      </c>
      <c r="G132" s="10">
        <v>301843.05848118901</v>
      </c>
      <c r="H132" s="23">
        <f t="shared" si="4"/>
        <v>20071.35663532</v>
      </c>
      <c r="I132" s="10">
        <v>459724.43279649201</v>
      </c>
      <c r="J132" s="23">
        <f t="shared" si="5"/>
        <v>55213.228758816025</v>
      </c>
    </row>
    <row r="133" spans="1:10">
      <c r="A133" t="s">
        <v>115</v>
      </c>
      <c r="B133" t="s">
        <v>291</v>
      </c>
      <c r="C133" s="20">
        <v>2043</v>
      </c>
      <c r="D133" t="s">
        <v>227</v>
      </c>
      <c r="E133" s="22">
        <v>282577.89163256797</v>
      </c>
      <c r="F133" s="22">
        <v>168101.793489042</v>
      </c>
      <c r="G133" s="10">
        <v>177667.36412351401</v>
      </c>
      <c r="H133" s="23">
        <f t="shared" si="4"/>
        <v>9565.5706344720093</v>
      </c>
      <c r="I133" s="10">
        <v>316066.79611552902</v>
      </c>
      <c r="J133" s="23">
        <f t="shared" si="5"/>
        <v>33488.90448296105</v>
      </c>
    </row>
    <row r="134" spans="1:10">
      <c r="A134" t="s">
        <v>115</v>
      </c>
      <c r="B134" t="s">
        <v>291</v>
      </c>
      <c r="C134" s="20">
        <v>2043</v>
      </c>
      <c r="D134" t="s">
        <v>293</v>
      </c>
      <c r="E134" s="22">
        <v>32918.990834785502</v>
      </c>
      <c r="F134" s="22">
        <v>3804.6654070795898</v>
      </c>
      <c r="G134" s="10">
        <v>3804.5292924854298</v>
      </c>
      <c r="H134" s="23">
        <f t="shared" si="4"/>
        <v>-0.13611459416006255</v>
      </c>
      <c r="I134" s="10">
        <v>32911.880511168398</v>
      </c>
      <c r="J134" s="23">
        <f t="shared" si="5"/>
        <v>-7.1103236171038589</v>
      </c>
    </row>
    <row r="135" spans="1:10">
      <c r="A135" t="s">
        <v>115</v>
      </c>
      <c r="B135" t="s">
        <v>291</v>
      </c>
      <c r="C135" s="20">
        <v>2044</v>
      </c>
      <c r="D135" t="s">
        <v>292</v>
      </c>
      <c r="E135" s="22">
        <v>13677.78532092</v>
      </c>
      <c r="F135" s="22">
        <v>9269.1001184555807</v>
      </c>
      <c r="G135" s="10">
        <v>9234.7997579034109</v>
      </c>
      <c r="H135" s="23">
        <f t="shared" si="4"/>
        <v>-34.300360552169877</v>
      </c>
      <c r="I135" s="10">
        <v>13576.069379708</v>
      </c>
      <c r="J135" s="23">
        <f t="shared" si="5"/>
        <v>-101.71594121199996</v>
      </c>
    </row>
    <row r="136" spans="1:10">
      <c r="A136" t="s">
        <v>115</v>
      </c>
      <c r="B136" t="s">
        <v>291</v>
      </c>
      <c r="C136" s="20">
        <v>2044</v>
      </c>
      <c r="D136" t="s">
        <v>233</v>
      </c>
      <c r="E136" s="22">
        <v>620192.48681258794</v>
      </c>
      <c r="F136" s="22">
        <v>203036.52248189601</v>
      </c>
      <c r="G136" s="10">
        <v>217059.26370778799</v>
      </c>
      <c r="H136" s="23">
        <f t="shared" si="4"/>
        <v>14022.741225891979</v>
      </c>
      <c r="I136" s="10">
        <v>618868.16828813695</v>
      </c>
      <c r="J136" s="23">
        <f t="shared" si="5"/>
        <v>-1324.318524450995</v>
      </c>
    </row>
    <row r="137" spans="1:10">
      <c r="A137" t="s">
        <v>115</v>
      </c>
      <c r="B137" t="s">
        <v>291</v>
      </c>
      <c r="C137" s="20">
        <v>2044</v>
      </c>
      <c r="D137" t="s">
        <v>208</v>
      </c>
      <c r="E137" s="22">
        <v>113498.79184669199</v>
      </c>
      <c r="F137" s="22">
        <v>69374.320321447594</v>
      </c>
      <c r="G137" s="10">
        <v>77223.938294864303</v>
      </c>
      <c r="H137" s="23">
        <f t="shared" si="4"/>
        <v>7849.617973416709</v>
      </c>
      <c r="I137" s="10">
        <v>128575.76187715201</v>
      </c>
      <c r="J137" s="23">
        <f t="shared" si="5"/>
        <v>15076.970030460012</v>
      </c>
    </row>
    <row r="138" spans="1:10">
      <c r="A138" t="s">
        <v>115</v>
      </c>
      <c r="B138" t="s">
        <v>291</v>
      </c>
      <c r="C138" s="20">
        <v>2044</v>
      </c>
      <c r="D138" t="s">
        <v>219</v>
      </c>
      <c r="E138" s="22">
        <v>284293.97148031503</v>
      </c>
      <c r="F138" s="22">
        <v>252047.77578971701</v>
      </c>
      <c r="G138" s="10">
        <v>278610.82254443399</v>
      </c>
      <c r="H138" s="23">
        <f t="shared" si="4"/>
        <v>26563.046754716983</v>
      </c>
      <c r="I138" s="10">
        <v>317053.99471248803</v>
      </c>
      <c r="J138" s="23">
        <f t="shared" si="5"/>
        <v>32760.023232173</v>
      </c>
    </row>
    <row r="139" spans="1:10">
      <c r="A139" t="s">
        <v>115</v>
      </c>
      <c r="B139" t="s">
        <v>291</v>
      </c>
      <c r="C139" s="20">
        <v>2044</v>
      </c>
      <c r="D139" t="s">
        <v>223</v>
      </c>
      <c r="E139" s="22">
        <v>413128.30270394101</v>
      </c>
      <c r="F139" s="22">
        <v>283867.95436072099</v>
      </c>
      <c r="G139" s="10">
        <v>305766.52493817301</v>
      </c>
      <c r="H139" s="23">
        <f t="shared" si="4"/>
        <v>21898.570577452017</v>
      </c>
      <c r="I139" s="10">
        <v>468781.67446116201</v>
      </c>
      <c r="J139" s="23">
        <f t="shared" si="5"/>
        <v>55653.371757221001</v>
      </c>
    </row>
    <row r="140" spans="1:10">
      <c r="A140" t="s">
        <v>115</v>
      </c>
      <c r="B140" t="s">
        <v>291</v>
      </c>
      <c r="C140" s="20">
        <v>2044</v>
      </c>
      <c r="D140" t="s">
        <v>227</v>
      </c>
      <c r="E140" s="22">
        <v>289937.68293828802</v>
      </c>
      <c r="F140" s="22">
        <v>170748.986510847</v>
      </c>
      <c r="G140" s="10">
        <v>181281.035990996</v>
      </c>
      <c r="H140" s="23">
        <f t="shared" si="4"/>
        <v>10532.049480148999</v>
      </c>
      <c r="I140" s="10">
        <v>323729.22678773402</v>
      </c>
      <c r="J140" s="23">
        <f t="shared" si="5"/>
        <v>33791.543849445996</v>
      </c>
    </row>
    <row r="141" spans="1:10">
      <c r="A141" t="s">
        <v>115</v>
      </c>
      <c r="B141" t="s">
        <v>291</v>
      </c>
      <c r="C141" s="20">
        <v>2044</v>
      </c>
      <c r="D141" t="s">
        <v>293</v>
      </c>
      <c r="E141" s="22">
        <v>32915.891336730201</v>
      </c>
      <c r="F141" s="22">
        <v>3753.1598464756398</v>
      </c>
      <c r="G141" s="10">
        <v>3752.9909050923202</v>
      </c>
      <c r="H141" s="23">
        <f t="shared" si="4"/>
        <v>-0.16894138331963404</v>
      </c>
      <c r="I141" s="10">
        <v>32907.508695295597</v>
      </c>
      <c r="J141" s="23">
        <f t="shared" si="5"/>
        <v>-8.382641434604011</v>
      </c>
    </row>
    <row r="142" spans="1:10">
      <c r="A142" t="s">
        <v>115</v>
      </c>
      <c r="B142" t="s">
        <v>291</v>
      </c>
      <c r="C142" s="20">
        <v>2045</v>
      </c>
      <c r="D142" t="s">
        <v>292</v>
      </c>
      <c r="E142" s="22">
        <v>14113.1421466088</v>
      </c>
      <c r="F142" s="22">
        <v>9486.0872239503296</v>
      </c>
      <c r="G142" s="10">
        <v>9443.9169888776105</v>
      </c>
      <c r="H142" s="23">
        <f t="shared" si="4"/>
        <v>-42.170235072719152</v>
      </c>
      <c r="I142" s="10">
        <v>13992.9571695542</v>
      </c>
      <c r="J142" s="23">
        <f t="shared" si="5"/>
        <v>-120.18497705459959</v>
      </c>
    </row>
    <row r="143" spans="1:10">
      <c r="A143" t="s">
        <v>115</v>
      </c>
      <c r="B143" t="s">
        <v>291</v>
      </c>
      <c r="C143" s="20">
        <v>2045</v>
      </c>
      <c r="D143" t="s">
        <v>233</v>
      </c>
      <c r="E143" s="22">
        <v>626376.183377521</v>
      </c>
      <c r="F143" s="22">
        <v>207107.58242150999</v>
      </c>
      <c r="G143" s="10">
        <v>221097.20620145899</v>
      </c>
      <c r="H143" s="23">
        <f t="shared" si="4"/>
        <v>13989.623779949005</v>
      </c>
      <c r="I143" s="10">
        <v>624835.08271993301</v>
      </c>
      <c r="J143" s="23">
        <f t="shared" si="5"/>
        <v>-1541.1006575879874</v>
      </c>
    </row>
    <row r="144" spans="1:10">
      <c r="A144" t="s">
        <v>115</v>
      </c>
      <c r="B144" t="s">
        <v>291</v>
      </c>
      <c r="C144" s="20">
        <v>2045</v>
      </c>
      <c r="D144" t="s">
        <v>208</v>
      </c>
      <c r="E144" s="22">
        <v>116540.090526049</v>
      </c>
      <c r="F144" s="22">
        <v>70794.811695510201</v>
      </c>
      <c r="G144" s="10">
        <v>79093.532506875999</v>
      </c>
      <c r="H144" s="23">
        <f t="shared" si="4"/>
        <v>8298.720811365798</v>
      </c>
      <c r="I144" s="10">
        <v>131773.85805938399</v>
      </c>
      <c r="J144" s="23">
        <f t="shared" si="5"/>
        <v>15233.767533334991</v>
      </c>
    </row>
    <row r="145" spans="1:10">
      <c r="A145" t="s">
        <v>115</v>
      </c>
      <c r="B145" t="s">
        <v>291</v>
      </c>
      <c r="C145" s="20">
        <v>2045</v>
      </c>
      <c r="D145" t="s">
        <v>219</v>
      </c>
      <c r="E145" s="22">
        <v>290023.13414275501</v>
      </c>
      <c r="F145" s="22">
        <v>256298.938574589</v>
      </c>
      <c r="G145" s="10">
        <v>283683.10507360101</v>
      </c>
      <c r="H145" s="23">
        <f t="shared" si="4"/>
        <v>27384.166499012004</v>
      </c>
      <c r="I145" s="10">
        <v>323049.27200499299</v>
      </c>
      <c r="J145" s="23">
        <f t="shared" si="5"/>
        <v>33026.137862237985</v>
      </c>
    </row>
    <row r="146" spans="1:10">
      <c r="A146" t="s">
        <v>115</v>
      </c>
      <c r="B146" t="s">
        <v>291</v>
      </c>
      <c r="C146" s="20">
        <v>2045</v>
      </c>
      <c r="D146" t="s">
        <v>223</v>
      </c>
      <c r="E146" s="22">
        <v>421755.0972669</v>
      </c>
      <c r="F146" s="22">
        <v>286449.298928237</v>
      </c>
      <c r="G146" s="10">
        <v>310050.875761798</v>
      </c>
      <c r="H146" s="23">
        <f t="shared" si="4"/>
        <v>23601.576833561005</v>
      </c>
      <c r="I146" s="10">
        <v>477791.10772408801</v>
      </c>
      <c r="J146" s="23">
        <f t="shared" si="5"/>
        <v>56036.010457188007</v>
      </c>
    </row>
    <row r="147" spans="1:10">
      <c r="A147" t="s">
        <v>115</v>
      </c>
      <c r="B147" t="s">
        <v>291</v>
      </c>
      <c r="C147" s="20">
        <v>2045</v>
      </c>
      <c r="D147" t="s">
        <v>227</v>
      </c>
      <c r="E147" s="22">
        <v>297324.92410060001</v>
      </c>
      <c r="F147" s="22">
        <v>173686.86464278499</v>
      </c>
      <c r="G147" s="10">
        <v>185115.97208092501</v>
      </c>
      <c r="H147" s="23">
        <f t="shared" si="4"/>
        <v>11429.107438140025</v>
      </c>
      <c r="I147" s="10">
        <v>331375.62850434298</v>
      </c>
      <c r="J147" s="23">
        <f t="shared" si="5"/>
        <v>34050.704403742973</v>
      </c>
    </row>
    <row r="148" spans="1:10">
      <c r="A148" t="s">
        <v>115</v>
      </c>
      <c r="B148" t="s">
        <v>291</v>
      </c>
      <c r="C148" s="20">
        <v>2045</v>
      </c>
      <c r="D148" t="s">
        <v>293</v>
      </c>
      <c r="E148" s="22">
        <v>32921.641877041897</v>
      </c>
      <c r="F148" s="22">
        <v>3700.8446560502298</v>
      </c>
      <c r="G148" s="10">
        <v>3700.6391374935802</v>
      </c>
      <c r="H148" s="23">
        <f t="shared" si="4"/>
        <v>-0.20551855664962204</v>
      </c>
      <c r="I148" s="10">
        <v>32911.922085827602</v>
      </c>
      <c r="J148" s="23">
        <f t="shared" si="5"/>
        <v>-9.7197912142946734</v>
      </c>
    </row>
    <row r="149" spans="1:10">
      <c r="A149" t="s">
        <v>115</v>
      </c>
      <c r="B149" t="s">
        <v>291</v>
      </c>
      <c r="C149" s="20">
        <v>2046</v>
      </c>
      <c r="D149" t="s">
        <v>292</v>
      </c>
      <c r="E149" s="22">
        <v>14556.991764574001</v>
      </c>
      <c r="F149" s="22">
        <v>9713.5331935139693</v>
      </c>
      <c r="G149" s="10">
        <v>9662.5572252420698</v>
      </c>
      <c r="H149" s="23">
        <f t="shared" si="4"/>
        <v>-50.975968271899546</v>
      </c>
      <c r="I149" s="10">
        <v>14416.9012821335</v>
      </c>
      <c r="J149" s="23">
        <f t="shared" si="5"/>
        <v>-140.09048244050064</v>
      </c>
    </row>
    <row r="150" spans="1:10">
      <c r="A150" t="s">
        <v>115</v>
      </c>
      <c r="B150" t="s">
        <v>291</v>
      </c>
      <c r="C150" s="20">
        <v>2046</v>
      </c>
      <c r="D150" t="s">
        <v>233</v>
      </c>
      <c r="E150" s="22">
        <v>632398.725167347</v>
      </c>
      <c r="F150" s="22">
        <v>211132.84214422599</v>
      </c>
      <c r="G150" s="10">
        <v>225087.48463903999</v>
      </c>
      <c r="H150" s="23">
        <f t="shared" si="4"/>
        <v>13954.642494814005</v>
      </c>
      <c r="I150" s="10">
        <v>630633.45443870698</v>
      </c>
      <c r="J150" s="23">
        <f t="shared" si="5"/>
        <v>-1765.2707286400255</v>
      </c>
    </row>
    <row r="151" spans="1:10">
      <c r="A151" t="s">
        <v>115</v>
      </c>
      <c r="B151" t="s">
        <v>291</v>
      </c>
      <c r="C151" s="20">
        <v>2046</v>
      </c>
      <c r="D151" t="s">
        <v>208</v>
      </c>
      <c r="E151" s="22">
        <v>119567.156750547</v>
      </c>
      <c r="F151" s="22">
        <v>72300.821677842803</v>
      </c>
      <c r="G151" s="10">
        <v>80987.444769686394</v>
      </c>
      <c r="H151" s="23">
        <f t="shared" si="4"/>
        <v>8686.6230918435904</v>
      </c>
      <c r="I151" s="10">
        <v>134937.38236869901</v>
      </c>
      <c r="J151" s="23">
        <f t="shared" si="5"/>
        <v>15370.225618152006</v>
      </c>
    </row>
    <row r="152" spans="1:10">
      <c r="A152" t="s">
        <v>115</v>
      </c>
      <c r="B152" t="s">
        <v>291</v>
      </c>
      <c r="C152" s="20">
        <v>2046</v>
      </c>
      <c r="D152" t="s">
        <v>219</v>
      </c>
      <c r="E152" s="22">
        <v>295697.39581575198</v>
      </c>
      <c r="F152" s="22">
        <v>260665.67727356101</v>
      </c>
      <c r="G152" s="10">
        <v>288722.00455675402</v>
      </c>
      <c r="H152" s="23">
        <f t="shared" si="4"/>
        <v>28056.327283193008</v>
      </c>
      <c r="I152" s="10">
        <v>328956.45042599202</v>
      </c>
      <c r="J152" s="23">
        <f t="shared" si="5"/>
        <v>33259.05461024004</v>
      </c>
    </row>
    <row r="153" spans="1:10">
      <c r="A153" t="s">
        <v>115</v>
      </c>
      <c r="B153" t="s">
        <v>291</v>
      </c>
      <c r="C153" s="20">
        <v>2046</v>
      </c>
      <c r="D153" t="s">
        <v>223</v>
      </c>
      <c r="E153" s="22">
        <v>430366.69719658402</v>
      </c>
      <c r="F153" s="22">
        <v>289468.60804925399</v>
      </c>
      <c r="G153" s="10">
        <v>314651.11694933701</v>
      </c>
      <c r="H153" s="23">
        <f t="shared" si="4"/>
        <v>25182.508900083019</v>
      </c>
      <c r="I153" s="10">
        <v>486729.52198495099</v>
      </c>
      <c r="J153" s="23">
        <f t="shared" si="5"/>
        <v>56362.824788366968</v>
      </c>
    </row>
    <row r="154" spans="1:10">
      <c r="A154" t="s">
        <v>115</v>
      </c>
      <c r="B154" t="s">
        <v>291</v>
      </c>
      <c r="C154" s="20">
        <v>2046</v>
      </c>
      <c r="D154" t="s">
        <v>227</v>
      </c>
      <c r="E154" s="22">
        <v>304715.844616519</v>
      </c>
      <c r="F154" s="22">
        <v>176866.67435784501</v>
      </c>
      <c r="G154" s="10">
        <v>189123.71101565199</v>
      </c>
      <c r="H154" s="23">
        <f t="shared" si="4"/>
        <v>12257.036657806981</v>
      </c>
      <c r="I154" s="10">
        <v>338982.68530340499</v>
      </c>
      <c r="J154" s="23">
        <f t="shared" si="5"/>
        <v>34266.840686885989</v>
      </c>
    </row>
    <row r="155" spans="1:10">
      <c r="A155" t="s">
        <v>115</v>
      </c>
      <c r="B155" t="s">
        <v>291</v>
      </c>
      <c r="C155" s="20">
        <v>2046</v>
      </c>
      <c r="D155" t="s">
        <v>293</v>
      </c>
      <c r="E155" s="22">
        <v>32936.822728458399</v>
      </c>
      <c r="F155" s="22">
        <v>3647.19488518144</v>
      </c>
      <c r="G155" s="10">
        <v>3646.9492853438401</v>
      </c>
      <c r="H155" s="23">
        <f t="shared" si="4"/>
        <v>-0.24559983759991155</v>
      </c>
      <c r="I155" s="10">
        <v>32925.709686976297</v>
      </c>
      <c r="J155" s="23">
        <f t="shared" si="5"/>
        <v>-11.113041482101835</v>
      </c>
    </row>
    <row r="156" spans="1:10">
      <c r="A156" t="s">
        <v>115</v>
      </c>
      <c r="B156" t="s">
        <v>291</v>
      </c>
      <c r="C156" s="20">
        <v>2047</v>
      </c>
      <c r="D156" t="s">
        <v>292</v>
      </c>
      <c r="E156" s="22">
        <v>15007.1575886848</v>
      </c>
      <c r="F156" s="22">
        <v>9944.9042130235302</v>
      </c>
      <c r="G156" s="10">
        <v>9884.2563696177494</v>
      </c>
      <c r="H156" s="23">
        <f t="shared" si="4"/>
        <v>-60.647843405780804</v>
      </c>
      <c r="I156" s="10">
        <v>14845.805578470299</v>
      </c>
      <c r="J156" s="23">
        <f t="shared" si="5"/>
        <v>-161.35201021450121</v>
      </c>
    </row>
    <row r="157" spans="1:10">
      <c r="A157" t="s">
        <v>115</v>
      </c>
      <c r="B157" t="s">
        <v>291</v>
      </c>
      <c r="C157" s="20">
        <v>2047</v>
      </c>
      <c r="D157" t="s">
        <v>233</v>
      </c>
      <c r="E157" s="22">
        <v>638248.45124789001</v>
      </c>
      <c r="F157" s="22">
        <v>215007.394267025</v>
      </c>
      <c r="G157" s="10">
        <v>228919.32828000799</v>
      </c>
      <c r="H157" s="23">
        <f t="shared" si="4"/>
        <v>13911.934012982994</v>
      </c>
      <c r="I157" s="10">
        <v>636253.66315163404</v>
      </c>
      <c r="J157" s="23">
        <f t="shared" si="5"/>
        <v>-1994.7880962559721</v>
      </c>
    </row>
    <row r="158" spans="1:10">
      <c r="A158" t="s">
        <v>115</v>
      </c>
      <c r="B158" t="s">
        <v>291</v>
      </c>
      <c r="C158" s="20">
        <v>2047</v>
      </c>
      <c r="D158" t="s">
        <v>208</v>
      </c>
      <c r="E158" s="22">
        <v>122569.40486556799</v>
      </c>
      <c r="F158" s="22">
        <v>73843.682425180697</v>
      </c>
      <c r="G158" s="10">
        <v>82863.236389872996</v>
      </c>
      <c r="H158" s="23">
        <f t="shared" si="4"/>
        <v>9019.5539646922989</v>
      </c>
      <c r="I158" s="10">
        <v>138055.42772576699</v>
      </c>
      <c r="J158" s="23">
        <f t="shared" si="5"/>
        <v>15486.022860198995</v>
      </c>
    </row>
    <row r="159" spans="1:10">
      <c r="A159" t="s">
        <v>115</v>
      </c>
      <c r="B159" t="s">
        <v>291</v>
      </c>
      <c r="C159" s="20">
        <v>2047</v>
      </c>
      <c r="D159" t="s">
        <v>219</v>
      </c>
      <c r="E159" s="22">
        <v>301301.181187979</v>
      </c>
      <c r="F159" s="22">
        <v>264982.53437949298</v>
      </c>
      <c r="G159" s="10">
        <v>293585.58082425798</v>
      </c>
      <c r="H159" s="23">
        <f t="shared" si="4"/>
        <v>28603.046444765001</v>
      </c>
      <c r="I159" s="10">
        <v>334760.28919771599</v>
      </c>
      <c r="J159" s="23">
        <f t="shared" si="5"/>
        <v>33459.108009736985</v>
      </c>
    </row>
    <row r="160" spans="1:10">
      <c r="A160" t="s">
        <v>115</v>
      </c>
      <c r="B160" t="s">
        <v>291</v>
      </c>
      <c r="C160" s="20">
        <v>2047</v>
      </c>
      <c r="D160" t="s">
        <v>223</v>
      </c>
      <c r="E160" s="22">
        <v>438936.01916632999</v>
      </c>
      <c r="F160" s="22">
        <v>292760.59481511399</v>
      </c>
      <c r="G160" s="10">
        <v>319399.48409933399</v>
      </c>
      <c r="H160" s="23">
        <f t="shared" si="4"/>
        <v>26638.88928422</v>
      </c>
      <c r="I160" s="10">
        <v>495569.83465080202</v>
      </c>
      <c r="J160" s="23">
        <f t="shared" si="5"/>
        <v>56633.815484472027</v>
      </c>
    </row>
    <row r="161" spans="1:10">
      <c r="A161" t="s">
        <v>115</v>
      </c>
      <c r="B161" t="s">
        <v>291</v>
      </c>
      <c r="C161" s="20">
        <v>2047</v>
      </c>
      <c r="D161" t="s">
        <v>227</v>
      </c>
      <c r="E161" s="22">
        <v>312085.81699949701</v>
      </c>
      <c r="F161" s="22">
        <v>180183.3406306</v>
      </c>
      <c r="G161" s="10">
        <v>193198.03276371799</v>
      </c>
      <c r="H161" s="23">
        <f t="shared" si="4"/>
        <v>13014.692133117991</v>
      </c>
      <c r="I161" s="10">
        <v>346526.058989921</v>
      </c>
      <c r="J161" s="23">
        <f t="shared" si="5"/>
        <v>34440.241990423994</v>
      </c>
    </row>
    <row r="162" spans="1:10">
      <c r="A162" t="s">
        <v>115</v>
      </c>
      <c r="B162" t="s">
        <v>291</v>
      </c>
      <c r="C162" s="20">
        <v>2047</v>
      </c>
      <c r="D162" t="s">
        <v>293</v>
      </c>
      <c r="E162" s="22">
        <v>32960.437087529201</v>
      </c>
      <c r="F162" s="22">
        <v>3591.5952090466499</v>
      </c>
      <c r="G162" s="10">
        <v>3591.30660045174</v>
      </c>
      <c r="H162" s="23">
        <f t="shared" si="4"/>
        <v>-0.28860859490987423</v>
      </c>
      <c r="I162" s="10">
        <v>32947.883264015203</v>
      </c>
      <c r="J162" s="23">
        <f t="shared" si="5"/>
        <v>-12.553823513997486</v>
      </c>
    </row>
    <row r="163" spans="1:10">
      <c r="A163" t="s">
        <v>115</v>
      </c>
      <c r="B163" t="s">
        <v>291</v>
      </c>
      <c r="C163" s="20">
        <v>2048</v>
      </c>
      <c r="D163" t="s">
        <v>292</v>
      </c>
      <c r="E163" s="22">
        <v>15462.5392958217</v>
      </c>
      <c r="F163" s="22">
        <v>10177.8905332344</v>
      </c>
      <c r="G163" s="10">
        <v>10106.7472909022</v>
      </c>
      <c r="H163" s="23">
        <f t="shared" si="4"/>
        <v>-71.143242332200316</v>
      </c>
      <c r="I163" s="10">
        <v>15278.663545413299</v>
      </c>
      <c r="J163" s="23">
        <f t="shared" si="5"/>
        <v>-183.87575040840056</v>
      </c>
    </row>
    <row r="164" spans="1:10">
      <c r="A164" t="s">
        <v>115</v>
      </c>
      <c r="B164" t="s">
        <v>291</v>
      </c>
      <c r="C164" s="20">
        <v>2048</v>
      </c>
      <c r="D164" t="s">
        <v>233</v>
      </c>
      <c r="E164" s="22">
        <v>643920.16896342696</v>
      </c>
      <c r="F164" s="22">
        <v>218707.52462016401</v>
      </c>
      <c r="G164" s="10">
        <v>232567.22432602101</v>
      </c>
      <c r="H164" s="23">
        <f t="shared" si="4"/>
        <v>13859.699705856998</v>
      </c>
      <c r="I164" s="10">
        <v>641692.37951910705</v>
      </c>
      <c r="J164" s="23">
        <f t="shared" si="5"/>
        <v>-2227.7894443199039</v>
      </c>
    </row>
    <row r="165" spans="1:10">
      <c r="A165" t="s">
        <v>115</v>
      </c>
      <c r="B165" t="s">
        <v>291</v>
      </c>
      <c r="C165" s="20">
        <v>2048</v>
      </c>
      <c r="D165" t="s">
        <v>208</v>
      </c>
      <c r="E165" s="22">
        <v>125542.733810431</v>
      </c>
      <c r="F165" s="22">
        <v>75403.508326698604</v>
      </c>
      <c r="G165" s="10">
        <v>84706.021079665297</v>
      </c>
      <c r="H165" s="23">
        <f t="shared" si="4"/>
        <v>9302.5127529666934</v>
      </c>
      <c r="I165" s="10">
        <v>141123.50011586599</v>
      </c>
      <c r="J165" s="23">
        <f t="shared" si="5"/>
        <v>15580.766305434983</v>
      </c>
    </row>
    <row r="166" spans="1:10">
      <c r="A166" t="s">
        <v>115</v>
      </c>
      <c r="B166" t="s">
        <v>291</v>
      </c>
      <c r="C166" s="20">
        <v>2048</v>
      </c>
      <c r="D166" t="s">
        <v>219</v>
      </c>
      <c r="E166" s="22">
        <v>306831.75879325799</v>
      </c>
      <c r="F166" s="22">
        <v>269267.34742235701</v>
      </c>
      <c r="G166" s="10">
        <v>298320.63592045702</v>
      </c>
      <c r="H166" s="23">
        <f t="shared" si="4"/>
        <v>29053.28849810001</v>
      </c>
      <c r="I166" s="10">
        <v>340455.12240811501</v>
      </c>
      <c r="J166" s="23">
        <f t="shared" si="5"/>
        <v>33623.363614857022</v>
      </c>
    </row>
    <row r="167" spans="1:10">
      <c r="A167" t="s">
        <v>115</v>
      </c>
      <c r="B167" t="s">
        <v>291</v>
      </c>
      <c r="C167" s="20">
        <v>2048</v>
      </c>
      <c r="D167" t="s">
        <v>223</v>
      </c>
      <c r="E167" s="22">
        <v>447460.33763258101</v>
      </c>
      <c r="F167" s="22">
        <v>296249.526753493</v>
      </c>
      <c r="G167" s="10">
        <v>324217.60933358001</v>
      </c>
      <c r="H167" s="23">
        <f t="shared" si="4"/>
        <v>27968.082580087008</v>
      </c>
      <c r="I167" s="10">
        <v>504299.02934186702</v>
      </c>
      <c r="J167" s="23">
        <f t="shared" si="5"/>
        <v>56838.691709286009</v>
      </c>
    </row>
    <row r="168" spans="1:10">
      <c r="A168" t="s">
        <v>115</v>
      </c>
      <c r="B168" t="s">
        <v>291</v>
      </c>
      <c r="C168" s="20">
        <v>2048</v>
      </c>
      <c r="D168" t="s">
        <v>227</v>
      </c>
      <c r="E168" s="22">
        <v>319426.18938463199</v>
      </c>
      <c r="F168" s="22">
        <v>183607.67087697101</v>
      </c>
      <c r="G168" s="10">
        <v>197309.285532157</v>
      </c>
      <c r="H168" s="23">
        <f t="shared" si="4"/>
        <v>13701.614655185986</v>
      </c>
      <c r="I168" s="10">
        <v>353994.65246496501</v>
      </c>
      <c r="J168" s="23">
        <f t="shared" si="5"/>
        <v>34568.463080333022</v>
      </c>
    </row>
    <row r="169" spans="1:10">
      <c r="A169" t="s">
        <v>115</v>
      </c>
      <c r="B169" t="s">
        <v>291</v>
      </c>
      <c r="C169" s="20">
        <v>2048</v>
      </c>
      <c r="D169" t="s">
        <v>293</v>
      </c>
      <c r="E169" s="22">
        <v>32990.8799567225</v>
      </c>
      <c r="F169" s="22">
        <v>3533.92455633497</v>
      </c>
      <c r="G169" s="10">
        <v>3533.59051858982</v>
      </c>
      <c r="H169" s="23">
        <f t="shared" si="4"/>
        <v>-0.33403774514999895</v>
      </c>
      <c r="I169" s="10">
        <v>32976.845848930498</v>
      </c>
      <c r="J169" s="23">
        <f t="shared" si="5"/>
        <v>-14.034107792002033</v>
      </c>
    </row>
    <row r="170" spans="1:10">
      <c r="A170" t="s">
        <v>115</v>
      </c>
      <c r="B170" t="s">
        <v>291</v>
      </c>
      <c r="C170" s="20">
        <v>2049</v>
      </c>
      <c r="D170" t="s">
        <v>292</v>
      </c>
      <c r="E170" s="22">
        <v>15921.781870958401</v>
      </c>
      <c r="F170" s="22">
        <v>10417.098468526799</v>
      </c>
      <c r="G170" s="10">
        <v>10334.6577056428</v>
      </c>
      <c r="H170" s="23">
        <f t="shared" si="4"/>
        <v>-82.440762883999923</v>
      </c>
      <c r="I170" s="10">
        <v>15714.231843961201</v>
      </c>
      <c r="J170" s="23">
        <f t="shared" si="5"/>
        <v>-207.55002699719989</v>
      </c>
    </row>
    <row r="171" spans="1:10">
      <c r="A171" t="s">
        <v>115</v>
      </c>
      <c r="B171" t="s">
        <v>291</v>
      </c>
      <c r="C171" s="20">
        <v>2049</v>
      </c>
      <c r="D171" t="s">
        <v>233</v>
      </c>
      <c r="E171" s="22">
        <v>649417.13337726705</v>
      </c>
      <c r="F171" s="22">
        <v>222376.24866440901</v>
      </c>
      <c r="G171" s="10">
        <v>236184.43798160201</v>
      </c>
      <c r="H171" s="23">
        <f t="shared" si="4"/>
        <v>13808.189317192999</v>
      </c>
      <c r="I171" s="10">
        <v>646954.55035600194</v>
      </c>
      <c r="J171" s="23">
        <f t="shared" si="5"/>
        <v>-2462.5830212651053</v>
      </c>
    </row>
    <row r="172" spans="1:10">
      <c r="A172" t="s">
        <v>115</v>
      </c>
      <c r="B172" t="s">
        <v>291</v>
      </c>
      <c r="C172" s="20">
        <v>2049</v>
      </c>
      <c r="D172" t="s">
        <v>208</v>
      </c>
      <c r="E172" s="22">
        <v>128480.497163686</v>
      </c>
      <c r="F172" s="22">
        <v>77020.007228688206</v>
      </c>
      <c r="G172" s="10">
        <v>86568.0702641526</v>
      </c>
      <c r="H172" s="23">
        <f t="shared" si="4"/>
        <v>9548.0630354643945</v>
      </c>
      <c r="I172" s="10">
        <v>144138.45328369801</v>
      </c>
      <c r="J172" s="23">
        <f t="shared" si="5"/>
        <v>15657.956120012008</v>
      </c>
    </row>
    <row r="173" spans="1:10">
      <c r="A173" t="s">
        <v>115</v>
      </c>
      <c r="B173" t="s">
        <v>291</v>
      </c>
      <c r="C173" s="20">
        <v>2049</v>
      </c>
      <c r="D173" t="s">
        <v>219</v>
      </c>
      <c r="E173" s="22">
        <v>312278.75900261098</v>
      </c>
      <c r="F173" s="22">
        <v>273655.41709357302</v>
      </c>
      <c r="G173" s="10">
        <v>303093.15946859901</v>
      </c>
      <c r="H173" s="23">
        <f t="shared" si="4"/>
        <v>29437.742375025991</v>
      </c>
      <c r="I173" s="10">
        <v>346038.41995901999</v>
      </c>
      <c r="J173" s="23">
        <f t="shared" si="5"/>
        <v>33759.660956409003</v>
      </c>
    </row>
    <row r="174" spans="1:10">
      <c r="A174" t="s">
        <v>115</v>
      </c>
      <c r="B174" t="s">
        <v>291</v>
      </c>
      <c r="C174" s="20">
        <v>2049</v>
      </c>
      <c r="D174" t="s">
        <v>223</v>
      </c>
      <c r="E174" s="22">
        <v>455913.754011032</v>
      </c>
      <c r="F174" s="22">
        <v>300064.25245796301</v>
      </c>
      <c r="G174" s="10">
        <v>329256.16241399501</v>
      </c>
      <c r="H174" s="23">
        <f t="shared" si="4"/>
        <v>29191.909956032003</v>
      </c>
      <c r="I174" s="10">
        <v>512908.49533258798</v>
      </c>
      <c r="J174" s="23">
        <f t="shared" si="5"/>
        <v>56994.741321555979</v>
      </c>
    </row>
    <row r="175" spans="1:10">
      <c r="A175" t="s">
        <v>115</v>
      </c>
      <c r="B175" t="s">
        <v>291</v>
      </c>
      <c r="C175" s="20">
        <v>2049</v>
      </c>
      <c r="D175" t="s">
        <v>227</v>
      </c>
      <c r="E175" s="22">
        <v>326714.36758638598</v>
      </c>
      <c r="F175" s="22">
        <v>187234.854454607</v>
      </c>
      <c r="G175" s="10">
        <v>201565.46253171301</v>
      </c>
      <c r="H175" s="23">
        <f t="shared" si="4"/>
        <v>14330.608077106008</v>
      </c>
      <c r="I175" s="10">
        <v>361374.377334013</v>
      </c>
      <c r="J175" s="23">
        <f t="shared" si="5"/>
        <v>34660.009747627017</v>
      </c>
    </row>
    <row r="176" spans="1:10">
      <c r="A176" t="s">
        <v>115</v>
      </c>
      <c r="B176" t="s">
        <v>291</v>
      </c>
      <c r="C176" s="20">
        <v>2049</v>
      </c>
      <c r="D176" t="s">
        <v>293</v>
      </c>
      <c r="E176" s="22">
        <v>33026.922601184699</v>
      </c>
      <c r="F176" s="22">
        <v>3475.1491873863301</v>
      </c>
      <c r="G176" s="10">
        <v>3474.76789817908</v>
      </c>
      <c r="H176" s="23">
        <f t="shared" si="4"/>
        <v>-0.38128920725011994</v>
      </c>
      <c r="I176" s="10">
        <v>33011.376830813599</v>
      </c>
      <c r="J176" s="23">
        <f t="shared" si="5"/>
        <v>-15.545770371099934</v>
      </c>
    </row>
    <row r="177" spans="1:10">
      <c r="A177" t="s">
        <v>115</v>
      </c>
      <c r="B177" t="s">
        <v>291</v>
      </c>
      <c r="C177" s="20">
        <v>2050</v>
      </c>
      <c r="D177" t="s">
        <v>292</v>
      </c>
      <c r="E177" s="22">
        <v>16382.9888910441</v>
      </c>
      <c r="F177" s="22">
        <v>10659.1226514665</v>
      </c>
      <c r="G177" s="10">
        <v>10564.6551505717</v>
      </c>
      <c r="H177" s="23">
        <f t="shared" si="4"/>
        <v>-94.467500894799741</v>
      </c>
      <c r="I177" s="10">
        <v>16150.7411265873</v>
      </c>
      <c r="J177" s="23">
        <f t="shared" si="5"/>
        <v>-232.24776445680072</v>
      </c>
    </row>
    <row r="178" spans="1:10">
      <c r="A178" t="s">
        <v>115</v>
      </c>
      <c r="B178" t="s">
        <v>291</v>
      </c>
      <c r="C178" s="20">
        <v>2050</v>
      </c>
      <c r="D178" t="s">
        <v>233</v>
      </c>
      <c r="E178" s="22">
        <v>654738.83325927099</v>
      </c>
      <c r="F178" s="22">
        <v>225914.42071529699</v>
      </c>
      <c r="G178" s="10">
        <v>239665.50238283601</v>
      </c>
      <c r="H178" s="23">
        <f t="shared" si="4"/>
        <v>13751.081667539023</v>
      </c>
      <c r="I178" s="10">
        <v>652041.048852487</v>
      </c>
      <c r="J178" s="23">
        <f t="shared" si="5"/>
        <v>-2697.7844067839906</v>
      </c>
    </row>
    <row r="179" spans="1:10">
      <c r="A179" t="s">
        <v>115</v>
      </c>
      <c r="B179" t="s">
        <v>291</v>
      </c>
      <c r="C179" s="20">
        <v>2050</v>
      </c>
      <c r="D179" t="s">
        <v>208</v>
      </c>
      <c r="E179" s="22">
        <v>131376.54789703901</v>
      </c>
      <c r="F179" s="22">
        <v>78649.922474145205</v>
      </c>
      <c r="G179" s="10">
        <v>88407.352194463994</v>
      </c>
      <c r="H179" s="23">
        <f t="shared" si="4"/>
        <v>9757.4297203187889</v>
      </c>
      <c r="I179" s="10">
        <v>147097.95278152401</v>
      </c>
      <c r="J179" s="23">
        <f t="shared" si="5"/>
        <v>15721.404884485004</v>
      </c>
    </row>
    <row r="180" spans="1:10">
      <c r="A180" t="s">
        <v>115</v>
      </c>
      <c r="B180" t="s">
        <v>291</v>
      </c>
      <c r="C180" s="20">
        <v>2050</v>
      </c>
      <c r="D180" t="s">
        <v>219</v>
      </c>
      <c r="E180" s="22">
        <v>317631.38114603399</v>
      </c>
      <c r="F180" s="22">
        <v>277965.14702289499</v>
      </c>
      <c r="G180" s="10">
        <v>307720.04114350502</v>
      </c>
      <c r="H180" s="23">
        <f t="shared" si="4"/>
        <v>29754.894120610028</v>
      </c>
      <c r="I180" s="10">
        <v>351504.691612483</v>
      </c>
      <c r="J180" s="23">
        <f t="shared" si="5"/>
        <v>33873.310466449009</v>
      </c>
    </row>
    <row r="181" spans="1:10">
      <c r="A181" t="s">
        <v>115</v>
      </c>
      <c r="B181" t="s">
        <v>291</v>
      </c>
      <c r="C181" s="20">
        <v>2050</v>
      </c>
      <c r="D181" t="s">
        <v>223</v>
      </c>
      <c r="E181" s="22">
        <v>464272.76387766399</v>
      </c>
      <c r="F181" s="22">
        <v>304058.396771195</v>
      </c>
      <c r="G181" s="10">
        <v>334363.933966043</v>
      </c>
      <c r="H181" s="23">
        <f t="shared" si="4"/>
        <v>30305.537194848002</v>
      </c>
      <c r="I181" s="10">
        <v>521384.481349535</v>
      </c>
      <c r="J181" s="23">
        <f t="shared" si="5"/>
        <v>57111.717471871001</v>
      </c>
    </row>
    <row r="182" spans="1:10">
      <c r="A182" t="s">
        <v>115</v>
      </c>
      <c r="B182" t="s">
        <v>291</v>
      </c>
      <c r="C182" s="20">
        <v>2050</v>
      </c>
      <c r="D182" t="s">
        <v>227</v>
      </c>
      <c r="E182" s="22">
        <v>333922.33622797899</v>
      </c>
      <c r="F182" s="22">
        <v>190961.003825238</v>
      </c>
      <c r="G182" s="10">
        <v>205861.88336447501</v>
      </c>
      <c r="H182" s="23">
        <f t="shared" si="4"/>
        <v>14900.879539237008</v>
      </c>
      <c r="I182" s="10">
        <v>368643.65517464699</v>
      </c>
      <c r="J182" s="23">
        <f t="shared" si="5"/>
        <v>34721.318946668005</v>
      </c>
    </row>
    <row r="183" spans="1:10">
      <c r="A183" t="s">
        <v>115</v>
      </c>
      <c r="B183" t="s">
        <v>291</v>
      </c>
      <c r="C183" s="20">
        <v>2050</v>
      </c>
      <c r="D183" t="s">
        <v>293</v>
      </c>
      <c r="E183" s="22">
        <v>33067.435290639602</v>
      </c>
      <c r="F183" s="22">
        <v>3414.8028097249698</v>
      </c>
      <c r="G183" s="10">
        <v>3414.3731958804301</v>
      </c>
      <c r="H183" s="23">
        <f t="shared" si="4"/>
        <v>-0.4296138445397446</v>
      </c>
      <c r="I183" s="10">
        <v>33050.354105419901</v>
      </c>
      <c r="J183" s="23">
        <f t="shared" si="5"/>
        <v>-17.081185219700274</v>
      </c>
    </row>
    <row r="184" spans="1:10">
      <c r="A184" t="s">
        <v>112</v>
      </c>
      <c r="B184" t="s">
        <v>294</v>
      </c>
      <c r="C184" s="20">
        <v>2025</v>
      </c>
      <c r="D184" t="s">
        <v>292</v>
      </c>
      <c r="E184" s="22">
        <v>8428.9060305542207</v>
      </c>
      <c r="F184" s="22">
        <v>9668.8228063551105</v>
      </c>
      <c r="G184" s="10">
        <v>9668.8228063551105</v>
      </c>
      <c r="H184" s="23">
        <f t="shared" si="4"/>
        <v>0</v>
      </c>
      <c r="I184" s="10">
        <v>8428.9060305542207</v>
      </c>
      <c r="J184" s="23">
        <f t="shared" si="5"/>
        <v>0</v>
      </c>
    </row>
    <row r="185" spans="1:10">
      <c r="A185" t="s">
        <v>112</v>
      </c>
      <c r="B185" t="s">
        <v>294</v>
      </c>
      <c r="C185" s="20">
        <v>2025</v>
      </c>
      <c r="D185" t="s">
        <v>233</v>
      </c>
      <c r="E185" s="22">
        <v>479897.33372501301</v>
      </c>
      <c r="F185" s="22">
        <v>159105.61174118199</v>
      </c>
      <c r="G185" s="10">
        <v>159105.61174118199</v>
      </c>
      <c r="H185" s="23">
        <f t="shared" si="4"/>
        <v>0</v>
      </c>
      <c r="I185" s="10">
        <v>479897.33372501301</v>
      </c>
      <c r="J185" s="23">
        <f t="shared" si="5"/>
        <v>0</v>
      </c>
    </row>
    <row r="186" spans="1:10">
      <c r="A186" t="s">
        <v>112</v>
      </c>
      <c r="B186" t="s">
        <v>294</v>
      </c>
      <c r="C186" s="20">
        <v>2025</v>
      </c>
      <c r="D186" t="s">
        <v>208</v>
      </c>
      <c r="E186" s="22">
        <v>76355.816778588094</v>
      </c>
      <c r="F186" s="22">
        <v>63094.530810472199</v>
      </c>
      <c r="G186" s="10">
        <v>63094.530810472199</v>
      </c>
      <c r="H186" s="23">
        <f t="shared" si="4"/>
        <v>0</v>
      </c>
      <c r="I186" s="10">
        <v>76355.816778588094</v>
      </c>
      <c r="J186" s="23">
        <f t="shared" si="5"/>
        <v>0</v>
      </c>
    </row>
    <row r="187" spans="1:10">
      <c r="A187" t="s">
        <v>112</v>
      </c>
      <c r="B187" t="s">
        <v>294</v>
      </c>
      <c r="C187" s="20">
        <v>2025</v>
      </c>
      <c r="D187" t="s">
        <v>219</v>
      </c>
      <c r="E187" s="22">
        <v>207904.953216455</v>
      </c>
      <c r="F187" s="22">
        <v>240064.28701027401</v>
      </c>
      <c r="G187" s="10">
        <v>240064.28701027401</v>
      </c>
      <c r="H187" s="23">
        <f t="shared" si="4"/>
        <v>0</v>
      </c>
      <c r="I187" s="10">
        <v>207904.953216455</v>
      </c>
      <c r="J187" s="23">
        <f t="shared" si="5"/>
        <v>0</v>
      </c>
    </row>
    <row r="188" spans="1:10">
      <c r="A188" t="s">
        <v>112</v>
      </c>
      <c r="B188" t="s">
        <v>294</v>
      </c>
      <c r="C188" s="20">
        <v>2025</v>
      </c>
      <c r="D188" t="s">
        <v>223</v>
      </c>
      <c r="E188" s="22">
        <v>306292.00908888201</v>
      </c>
      <c r="F188" s="22">
        <v>368786.78785647702</v>
      </c>
      <c r="G188" s="10">
        <v>368786.78785647702</v>
      </c>
      <c r="H188" s="23">
        <f t="shared" si="4"/>
        <v>0</v>
      </c>
      <c r="I188" s="10">
        <v>306292.00908888201</v>
      </c>
      <c r="J188" s="23">
        <f t="shared" si="5"/>
        <v>0</v>
      </c>
    </row>
    <row r="189" spans="1:10">
      <c r="A189" t="s">
        <v>112</v>
      </c>
      <c r="B189" t="s">
        <v>294</v>
      </c>
      <c r="C189" s="20">
        <v>2025</v>
      </c>
      <c r="D189" t="s">
        <v>227</v>
      </c>
      <c r="E189" s="22">
        <v>197300.30955450001</v>
      </c>
      <c r="F189" s="22">
        <v>222132.32720945799</v>
      </c>
      <c r="G189" s="10">
        <v>222132.32720945799</v>
      </c>
      <c r="H189" s="23">
        <f t="shared" si="4"/>
        <v>0</v>
      </c>
      <c r="I189" s="10">
        <v>197300.30955450001</v>
      </c>
      <c r="J189" s="23">
        <f t="shared" si="5"/>
        <v>0</v>
      </c>
    </row>
    <row r="190" spans="1:10">
      <c r="A190" t="s">
        <v>112</v>
      </c>
      <c r="B190" t="s">
        <v>294</v>
      </c>
      <c r="C190" s="20">
        <v>2025</v>
      </c>
      <c r="D190" t="s">
        <v>293</v>
      </c>
      <c r="E190" s="22">
        <v>34256.1387097634</v>
      </c>
      <c r="F190" s="22">
        <v>4628.4588674042398</v>
      </c>
      <c r="G190" s="10">
        <v>4628.4588674042398</v>
      </c>
      <c r="H190" s="23">
        <f t="shared" si="4"/>
        <v>0</v>
      </c>
      <c r="I190" s="10">
        <v>34256.1387097634</v>
      </c>
      <c r="J190" s="23">
        <f t="shared" si="5"/>
        <v>0</v>
      </c>
    </row>
    <row r="191" spans="1:10">
      <c r="A191" t="s">
        <v>112</v>
      </c>
      <c r="B191" t="s">
        <v>294</v>
      </c>
      <c r="C191" s="20">
        <v>2026</v>
      </c>
      <c r="D191" t="s">
        <v>292</v>
      </c>
      <c r="E191" s="22">
        <v>8487.1724802605004</v>
      </c>
      <c r="F191" s="22">
        <v>8630.3166960235103</v>
      </c>
      <c r="G191" s="10">
        <v>8630.3166960235103</v>
      </c>
      <c r="H191" s="23">
        <f t="shared" si="4"/>
        <v>0</v>
      </c>
      <c r="I191" s="10">
        <v>8487.1724802605004</v>
      </c>
      <c r="J191" s="23">
        <f t="shared" si="5"/>
        <v>0</v>
      </c>
    </row>
    <row r="192" spans="1:10">
      <c r="A192" t="s">
        <v>112</v>
      </c>
      <c r="B192" t="s">
        <v>294</v>
      </c>
      <c r="C192" s="20">
        <v>2026</v>
      </c>
      <c r="D192" t="s">
        <v>233</v>
      </c>
      <c r="E192" s="22">
        <v>487916.81762222701</v>
      </c>
      <c r="F192" s="22">
        <v>159012.29350942801</v>
      </c>
      <c r="G192" s="10">
        <v>159012.29350942801</v>
      </c>
      <c r="H192" s="23">
        <f t="shared" si="4"/>
        <v>0</v>
      </c>
      <c r="I192" s="10">
        <v>487916.81762222701</v>
      </c>
      <c r="J192" s="23">
        <f t="shared" si="5"/>
        <v>0</v>
      </c>
    </row>
    <row r="193" spans="1:10">
      <c r="A193" t="s">
        <v>112</v>
      </c>
      <c r="B193" t="s">
        <v>294</v>
      </c>
      <c r="C193" s="20">
        <v>2026</v>
      </c>
      <c r="D193" t="s">
        <v>208</v>
      </c>
      <c r="E193" s="22">
        <v>77888.093163693993</v>
      </c>
      <c r="F193" s="22">
        <v>59835.222784683501</v>
      </c>
      <c r="G193" s="10">
        <v>59835.222784683501</v>
      </c>
      <c r="H193" s="23">
        <f t="shared" si="4"/>
        <v>0</v>
      </c>
      <c r="I193" s="10">
        <v>77888.093163693993</v>
      </c>
      <c r="J193" s="23">
        <f t="shared" si="5"/>
        <v>0</v>
      </c>
    </row>
    <row r="194" spans="1:10">
      <c r="A194" t="s">
        <v>112</v>
      </c>
      <c r="B194" t="s">
        <v>294</v>
      </c>
      <c r="C194" s="20">
        <v>2026</v>
      </c>
      <c r="D194" t="s">
        <v>219</v>
      </c>
      <c r="E194" s="22">
        <v>212035.127483499</v>
      </c>
      <c r="F194" s="22">
        <v>217295.447863307</v>
      </c>
      <c r="G194" s="10">
        <v>217295.447863307</v>
      </c>
      <c r="H194" s="23">
        <f t="shared" ref="H194:H257" si="6">G194-F194</f>
        <v>0</v>
      </c>
      <c r="I194" s="10">
        <v>212035.127483499</v>
      </c>
      <c r="J194" s="23">
        <f t="shared" ref="J194:J257" si="7">I194-E194</f>
        <v>0</v>
      </c>
    </row>
    <row r="195" spans="1:10">
      <c r="A195" t="s">
        <v>112</v>
      </c>
      <c r="B195" t="s">
        <v>294</v>
      </c>
      <c r="C195" s="20">
        <v>2026</v>
      </c>
      <c r="D195" t="s">
        <v>223</v>
      </c>
      <c r="E195" s="22">
        <v>313184.010457339</v>
      </c>
      <c r="F195" s="22">
        <v>341949.40121155698</v>
      </c>
      <c r="G195" s="10">
        <v>341949.40121155698</v>
      </c>
      <c r="H195" s="23">
        <f t="shared" si="6"/>
        <v>0</v>
      </c>
      <c r="I195" s="10">
        <v>313184.010457339</v>
      </c>
      <c r="J195" s="23">
        <f t="shared" si="7"/>
        <v>0</v>
      </c>
    </row>
    <row r="196" spans="1:10">
      <c r="A196" t="s">
        <v>112</v>
      </c>
      <c r="B196" t="s">
        <v>294</v>
      </c>
      <c r="C196" s="20">
        <v>2026</v>
      </c>
      <c r="D196" t="s">
        <v>227</v>
      </c>
      <c r="E196" s="22">
        <v>201630.43930838199</v>
      </c>
      <c r="F196" s="22">
        <v>196955.62972686099</v>
      </c>
      <c r="G196" s="10">
        <v>196955.62972686099</v>
      </c>
      <c r="H196" s="23">
        <f t="shared" si="6"/>
        <v>0</v>
      </c>
      <c r="I196" s="10">
        <v>201630.43930838199</v>
      </c>
      <c r="J196" s="23">
        <f t="shared" si="7"/>
        <v>0</v>
      </c>
    </row>
    <row r="197" spans="1:10">
      <c r="A197" t="s">
        <v>112</v>
      </c>
      <c r="B197" t="s">
        <v>294</v>
      </c>
      <c r="C197" s="20">
        <v>2026</v>
      </c>
      <c r="D197" t="s">
        <v>293</v>
      </c>
      <c r="E197" s="22">
        <v>34358.114801035903</v>
      </c>
      <c r="F197" s="22">
        <v>4585.6944641320697</v>
      </c>
      <c r="G197" s="10">
        <v>4585.6944641320697</v>
      </c>
      <c r="H197" s="23">
        <f t="shared" si="6"/>
        <v>0</v>
      </c>
      <c r="I197" s="10">
        <v>34358.114801035903</v>
      </c>
      <c r="J197" s="23">
        <f t="shared" si="7"/>
        <v>0</v>
      </c>
    </row>
    <row r="198" spans="1:10">
      <c r="A198" t="s">
        <v>112</v>
      </c>
      <c r="B198" t="s">
        <v>294</v>
      </c>
      <c r="C198" s="20">
        <v>2027</v>
      </c>
      <c r="D198" t="s">
        <v>292</v>
      </c>
      <c r="E198" s="22">
        <v>8612.2418480508404</v>
      </c>
      <c r="F198" s="22">
        <v>8063.3102933854098</v>
      </c>
      <c r="G198" s="10">
        <v>8063.3102933854098</v>
      </c>
      <c r="H198" s="23">
        <f t="shared" si="6"/>
        <v>0</v>
      </c>
      <c r="I198" s="10">
        <v>8612.2418480508404</v>
      </c>
      <c r="J198" s="23">
        <f t="shared" si="7"/>
        <v>0</v>
      </c>
    </row>
    <row r="199" spans="1:10">
      <c r="A199" t="s">
        <v>112</v>
      </c>
      <c r="B199" t="s">
        <v>294</v>
      </c>
      <c r="C199" s="20">
        <v>2027</v>
      </c>
      <c r="D199" t="s">
        <v>233</v>
      </c>
      <c r="E199" s="22">
        <v>496232.04421184101</v>
      </c>
      <c r="F199" s="22">
        <v>159574.73316954801</v>
      </c>
      <c r="G199" s="10">
        <v>159574.73316954801</v>
      </c>
      <c r="H199" s="23">
        <f t="shared" si="6"/>
        <v>0</v>
      </c>
      <c r="I199" s="10">
        <v>496232.04421184101</v>
      </c>
      <c r="J199" s="23">
        <f t="shared" si="7"/>
        <v>0</v>
      </c>
    </row>
    <row r="200" spans="1:10">
      <c r="A200" t="s">
        <v>112</v>
      </c>
      <c r="B200" t="s">
        <v>294</v>
      </c>
      <c r="C200" s="20">
        <v>2027</v>
      </c>
      <c r="D200" t="s">
        <v>208</v>
      </c>
      <c r="E200" s="22">
        <v>79797.470315957704</v>
      </c>
      <c r="F200" s="22">
        <v>58111.193082399397</v>
      </c>
      <c r="G200" s="10">
        <v>58111.193082399397</v>
      </c>
      <c r="H200" s="23">
        <f t="shared" si="6"/>
        <v>0</v>
      </c>
      <c r="I200" s="10">
        <v>79797.470315957704</v>
      </c>
      <c r="J200" s="23">
        <f t="shared" si="7"/>
        <v>0</v>
      </c>
    </row>
    <row r="201" spans="1:10">
      <c r="A201" t="s">
        <v>112</v>
      </c>
      <c r="B201" t="s">
        <v>294</v>
      </c>
      <c r="C201" s="20">
        <v>2027</v>
      </c>
      <c r="D201" t="s">
        <v>219</v>
      </c>
      <c r="E201" s="22">
        <v>216695.74168713801</v>
      </c>
      <c r="F201" s="22">
        <v>212909.016184801</v>
      </c>
      <c r="G201" s="10">
        <v>212909.016184801</v>
      </c>
      <c r="H201" s="23">
        <f t="shared" si="6"/>
        <v>0</v>
      </c>
      <c r="I201" s="10">
        <v>216695.74168713801</v>
      </c>
      <c r="J201" s="23">
        <f t="shared" si="7"/>
        <v>0</v>
      </c>
    </row>
    <row r="202" spans="1:10">
      <c r="A202" t="s">
        <v>112</v>
      </c>
      <c r="B202" t="s">
        <v>294</v>
      </c>
      <c r="C202" s="20">
        <v>2027</v>
      </c>
      <c r="D202" t="s">
        <v>223</v>
      </c>
      <c r="E202" s="22">
        <v>320735.61575477198</v>
      </c>
      <c r="F202" s="22">
        <v>324000.19164164597</v>
      </c>
      <c r="G202" s="10">
        <v>324000.19164164597</v>
      </c>
      <c r="H202" s="23">
        <f t="shared" si="6"/>
        <v>0</v>
      </c>
      <c r="I202" s="10">
        <v>320735.61575477198</v>
      </c>
      <c r="J202" s="23">
        <f t="shared" si="7"/>
        <v>0</v>
      </c>
    </row>
    <row r="203" spans="1:10">
      <c r="A203" t="s">
        <v>112</v>
      </c>
      <c r="B203" t="s">
        <v>294</v>
      </c>
      <c r="C203" s="20">
        <v>2027</v>
      </c>
      <c r="D203" t="s">
        <v>227</v>
      </c>
      <c r="E203" s="22">
        <v>206665.47518705399</v>
      </c>
      <c r="F203" s="22">
        <v>182364.70096652099</v>
      </c>
      <c r="G203" s="10">
        <v>182364.70096652099</v>
      </c>
      <c r="H203" s="23">
        <f t="shared" si="6"/>
        <v>0</v>
      </c>
      <c r="I203" s="10">
        <v>206665.47518705399</v>
      </c>
      <c r="J203" s="23">
        <f t="shared" si="7"/>
        <v>0</v>
      </c>
    </row>
    <row r="204" spans="1:10">
      <c r="A204" t="s">
        <v>112</v>
      </c>
      <c r="B204" t="s">
        <v>294</v>
      </c>
      <c r="C204" s="20">
        <v>2027</v>
      </c>
      <c r="D204" t="s">
        <v>293</v>
      </c>
      <c r="E204" s="22">
        <v>34415.740535177501</v>
      </c>
      <c r="F204" s="22">
        <v>4539.0707864093602</v>
      </c>
      <c r="G204" s="10">
        <v>4539.0707864093602</v>
      </c>
      <c r="H204" s="23">
        <f t="shared" si="6"/>
        <v>0</v>
      </c>
      <c r="I204" s="10">
        <v>34415.740535177501</v>
      </c>
      <c r="J204" s="23">
        <f t="shared" si="7"/>
        <v>0</v>
      </c>
    </row>
    <row r="205" spans="1:10">
      <c r="A205" t="s">
        <v>112</v>
      </c>
      <c r="B205" t="s">
        <v>294</v>
      </c>
      <c r="C205" s="20">
        <v>2028</v>
      </c>
      <c r="D205" t="s">
        <v>292</v>
      </c>
      <c r="E205" s="22">
        <v>8770.0285438298397</v>
      </c>
      <c r="F205" s="22">
        <v>7756.3022027525403</v>
      </c>
      <c r="G205" s="10">
        <v>7756.3022027525403</v>
      </c>
      <c r="H205" s="23">
        <f t="shared" si="6"/>
        <v>0</v>
      </c>
      <c r="I205" s="10">
        <v>8770.0285438298397</v>
      </c>
      <c r="J205" s="23">
        <f t="shared" si="7"/>
        <v>0</v>
      </c>
    </row>
    <row r="206" spans="1:10">
      <c r="A206" t="s">
        <v>112</v>
      </c>
      <c r="B206" t="s">
        <v>294</v>
      </c>
      <c r="C206" s="20">
        <v>2028</v>
      </c>
      <c r="D206" t="s">
        <v>233</v>
      </c>
      <c r="E206" s="22">
        <v>504641.50422848598</v>
      </c>
      <c r="F206" s="22">
        <v>160846.922730166</v>
      </c>
      <c r="G206" s="10">
        <v>160846.922730166</v>
      </c>
      <c r="H206" s="23">
        <f t="shared" si="6"/>
        <v>0</v>
      </c>
      <c r="I206" s="10">
        <v>504641.50422848598</v>
      </c>
      <c r="J206" s="23">
        <f t="shared" si="7"/>
        <v>0</v>
      </c>
    </row>
    <row r="207" spans="1:10">
      <c r="A207" t="s">
        <v>112</v>
      </c>
      <c r="B207" t="s">
        <v>294</v>
      </c>
      <c r="C207" s="20">
        <v>2028</v>
      </c>
      <c r="D207" t="s">
        <v>208</v>
      </c>
      <c r="E207" s="22">
        <v>81925.343160144403</v>
      </c>
      <c r="F207" s="22">
        <v>57386.905439017297</v>
      </c>
      <c r="G207" s="10">
        <v>57386.905439017297</v>
      </c>
      <c r="H207" s="23">
        <f t="shared" si="6"/>
        <v>0</v>
      </c>
      <c r="I207" s="10">
        <v>81925.343160144403</v>
      </c>
      <c r="J207" s="23">
        <f t="shared" si="7"/>
        <v>0</v>
      </c>
    </row>
    <row r="208" spans="1:10">
      <c r="A208" t="s">
        <v>112</v>
      </c>
      <c r="B208" t="s">
        <v>294</v>
      </c>
      <c r="C208" s="20">
        <v>2028</v>
      </c>
      <c r="D208" t="s">
        <v>219</v>
      </c>
      <c r="E208" s="22">
        <v>221718.887562572</v>
      </c>
      <c r="F208" s="22">
        <v>211969.53183275199</v>
      </c>
      <c r="G208" s="10">
        <v>211969.53183275199</v>
      </c>
      <c r="H208" s="23">
        <f t="shared" si="6"/>
        <v>0</v>
      </c>
      <c r="I208" s="10">
        <v>221718.887562572</v>
      </c>
      <c r="J208" s="23">
        <f t="shared" si="7"/>
        <v>0</v>
      </c>
    </row>
    <row r="209" spans="1:10">
      <c r="A209" t="s">
        <v>112</v>
      </c>
      <c r="B209" t="s">
        <v>294</v>
      </c>
      <c r="C209" s="20">
        <v>2028</v>
      </c>
      <c r="D209" t="s">
        <v>223</v>
      </c>
      <c r="E209" s="22">
        <v>328616.46234242298</v>
      </c>
      <c r="F209" s="22">
        <v>311706.009887736</v>
      </c>
      <c r="G209" s="10">
        <v>311706.009887736</v>
      </c>
      <c r="H209" s="23">
        <f t="shared" si="6"/>
        <v>0</v>
      </c>
      <c r="I209" s="10">
        <v>328616.46234242298</v>
      </c>
      <c r="J209" s="23">
        <f t="shared" si="7"/>
        <v>0</v>
      </c>
    </row>
    <row r="210" spans="1:10">
      <c r="A210" t="s">
        <v>112</v>
      </c>
      <c r="B210" t="s">
        <v>294</v>
      </c>
      <c r="C210" s="20">
        <v>2028</v>
      </c>
      <c r="D210" t="s">
        <v>227</v>
      </c>
      <c r="E210" s="22">
        <v>212112.340383506</v>
      </c>
      <c r="F210" s="22">
        <v>172998.157472433</v>
      </c>
      <c r="G210" s="10">
        <v>172998.157472433</v>
      </c>
      <c r="H210" s="23">
        <f t="shared" si="6"/>
        <v>0</v>
      </c>
      <c r="I210" s="10">
        <v>212112.340383506</v>
      </c>
      <c r="J210" s="23">
        <f t="shared" si="7"/>
        <v>0</v>
      </c>
    </row>
    <row r="211" spans="1:10">
      <c r="A211" t="s">
        <v>112</v>
      </c>
      <c r="B211" t="s">
        <v>294</v>
      </c>
      <c r="C211" s="20">
        <v>2028</v>
      </c>
      <c r="D211" t="s">
        <v>293</v>
      </c>
      <c r="E211" s="22">
        <v>34426.652062892601</v>
      </c>
      <c r="F211" s="22">
        <v>4491.2977178483097</v>
      </c>
      <c r="G211" s="10">
        <v>4491.2977178483097</v>
      </c>
      <c r="H211" s="23">
        <f t="shared" si="6"/>
        <v>0</v>
      </c>
      <c r="I211" s="10">
        <v>34426.652062892601</v>
      </c>
      <c r="J211" s="23">
        <f t="shared" si="7"/>
        <v>0</v>
      </c>
    </row>
    <row r="212" spans="1:10">
      <c r="A212" t="s">
        <v>112</v>
      </c>
      <c r="B212" t="s">
        <v>294</v>
      </c>
      <c r="C212" s="20">
        <v>2029</v>
      </c>
      <c r="D212" t="s">
        <v>292</v>
      </c>
      <c r="E212" s="22">
        <v>8949.8720445493509</v>
      </c>
      <c r="F212" s="22">
        <v>7601.5128732291096</v>
      </c>
      <c r="G212" s="10">
        <v>7601.5128732291096</v>
      </c>
      <c r="H212" s="23">
        <f t="shared" si="6"/>
        <v>0</v>
      </c>
      <c r="I212" s="10">
        <v>8949.8720445493509</v>
      </c>
      <c r="J212" s="23">
        <f t="shared" si="7"/>
        <v>0</v>
      </c>
    </row>
    <row r="213" spans="1:10">
      <c r="A213" t="s">
        <v>112</v>
      </c>
      <c r="B213" t="s">
        <v>294</v>
      </c>
      <c r="C213" s="20">
        <v>2029</v>
      </c>
      <c r="D213" t="s">
        <v>233</v>
      </c>
      <c r="E213" s="22">
        <v>513054.70409439103</v>
      </c>
      <c r="F213" s="22">
        <v>162723.060175302</v>
      </c>
      <c r="G213" s="10">
        <v>162723.060175302</v>
      </c>
      <c r="H213" s="23">
        <f t="shared" si="6"/>
        <v>0</v>
      </c>
      <c r="I213" s="10">
        <v>513054.70409439103</v>
      </c>
      <c r="J213" s="23">
        <f t="shared" si="7"/>
        <v>0</v>
      </c>
    </row>
    <row r="214" spans="1:10">
      <c r="A214" t="s">
        <v>112</v>
      </c>
      <c r="B214" t="s">
        <v>294</v>
      </c>
      <c r="C214" s="20">
        <v>2029</v>
      </c>
      <c r="D214" t="s">
        <v>208</v>
      </c>
      <c r="E214" s="22">
        <v>84214.941243806999</v>
      </c>
      <c r="F214" s="22">
        <v>57302.473542253902</v>
      </c>
      <c r="G214" s="10">
        <v>57302.473542253902</v>
      </c>
      <c r="H214" s="23">
        <f t="shared" si="6"/>
        <v>0</v>
      </c>
      <c r="I214" s="10">
        <v>84214.941243806999</v>
      </c>
      <c r="J214" s="23">
        <f t="shared" si="7"/>
        <v>0</v>
      </c>
    </row>
    <row r="215" spans="1:10">
      <c r="A215" t="s">
        <v>112</v>
      </c>
      <c r="B215" t="s">
        <v>294</v>
      </c>
      <c r="C215" s="20">
        <v>2029</v>
      </c>
      <c r="D215" t="s">
        <v>219</v>
      </c>
      <c r="E215" s="22">
        <v>226999.388995758</v>
      </c>
      <c r="F215" s="22">
        <v>212946.302203706</v>
      </c>
      <c r="G215" s="10">
        <v>212946.302203706</v>
      </c>
      <c r="H215" s="23">
        <f t="shared" si="6"/>
        <v>0</v>
      </c>
      <c r="I215" s="10">
        <v>226999.388995758</v>
      </c>
      <c r="J215" s="23">
        <f t="shared" si="7"/>
        <v>0</v>
      </c>
    </row>
    <row r="216" spans="1:10">
      <c r="A216" t="s">
        <v>112</v>
      </c>
      <c r="B216" t="s">
        <v>294</v>
      </c>
      <c r="C216" s="20">
        <v>2029</v>
      </c>
      <c r="D216" t="s">
        <v>223</v>
      </c>
      <c r="E216" s="22">
        <v>336724.52108083002</v>
      </c>
      <c r="F216" s="22">
        <v>303091.51388963597</v>
      </c>
      <c r="G216" s="10">
        <v>303091.51388963597</v>
      </c>
      <c r="H216" s="23">
        <f t="shared" si="6"/>
        <v>0</v>
      </c>
      <c r="I216" s="10">
        <v>336724.52108083002</v>
      </c>
      <c r="J216" s="23">
        <f t="shared" si="7"/>
        <v>0</v>
      </c>
    </row>
    <row r="217" spans="1:10">
      <c r="A217" t="s">
        <v>112</v>
      </c>
      <c r="B217" t="s">
        <v>294</v>
      </c>
      <c r="C217" s="20">
        <v>2029</v>
      </c>
      <c r="D217" t="s">
        <v>227</v>
      </c>
      <c r="E217" s="22">
        <v>217860.62154228799</v>
      </c>
      <c r="F217" s="22">
        <v>166667.06385395699</v>
      </c>
      <c r="G217" s="10">
        <v>166667.06385395699</v>
      </c>
      <c r="H217" s="23">
        <f t="shared" si="6"/>
        <v>0</v>
      </c>
      <c r="I217" s="10">
        <v>217860.62154228799</v>
      </c>
      <c r="J217" s="23">
        <f t="shared" si="7"/>
        <v>0</v>
      </c>
    </row>
    <row r="218" spans="1:10">
      <c r="A218" t="s">
        <v>112</v>
      </c>
      <c r="B218" t="s">
        <v>294</v>
      </c>
      <c r="C218" s="20">
        <v>2029</v>
      </c>
      <c r="D218" t="s">
        <v>293</v>
      </c>
      <c r="E218" s="22">
        <v>34407.261123561402</v>
      </c>
      <c r="F218" s="22">
        <v>4446.3487782668799</v>
      </c>
      <c r="G218" s="10">
        <v>4446.3487782668799</v>
      </c>
      <c r="H218" s="23">
        <f t="shared" si="6"/>
        <v>0</v>
      </c>
      <c r="I218" s="10">
        <v>34407.261123561402</v>
      </c>
      <c r="J218" s="23">
        <f t="shared" si="7"/>
        <v>0</v>
      </c>
    </row>
    <row r="219" spans="1:10">
      <c r="A219" t="s">
        <v>112</v>
      </c>
      <c r="B219" t="s">
        <v>294</v>
      </c>
      <c r="C219" s="20">
        <v>2030</v>
      </c>
      <c r="D219" t="s">
        <v>292</v>
      </c>
      <c r="E219" s="22">
        <v>9147.8901189157405</v>
      </c>
      <c r="F219" s="22">
        <v>7534.1991427099401</v>
      </c>
      <c r="G219" s="10">
        <v>7534.1991427099401</v>
      </c>
      <c r="H219" s="23">
        <f t="shared" si="6"/>
        <v>0</v>
      </c>
      <c r="I219" s="10">
        <v>9147.8901189157405</v>
      </c>
      <c r="J219" s="23">
        <f t="shared" si="7"/>
        <v>0</v>
      </c>
    </row>
    <row r="220" spans="1:10">
      <c r="A220" t="s">
        <v>112</v>
      </c>
      <c r="B220" t="s">
        <v>294</v>
      </c>
      <c r="C220" s="20">
        <v>2030</v>
      </c>
      <c r="D220" t="s">
        <v>233</v>
      </c>
      <c r="E220" s="22">
        <v>521396.110534226</v>
      </c>
      <c r="F220" s="22">
        <v>165089.53376645601</v>
      </c>
      <c r="G220" s="10">
        <v>165089.53376645601</v>
      </c>
      <c r="H220" s="23">
        <f t="shared" si="6"/>
        <v>0</v>
      </c>
      <c r="I220" s="10">
        <v>521396.110534226</v>
      </c>
      <c r="J220" s="23">
        <f t="shared" si="7"/>
        <v>0</v>
      </c>
    </row>
    <row r="221" spans="1:10">
      <c r="A221" t="s">
        <v>112</v>
      </c>
      <c r="B221" t="s">
        <v>294</v>
      </c>
      <c r="C221" s="20">
        <v>2030</v>
      </c>
      <c r="D221" t="s">
        <v>208</v>
      </c>
      <c r="E221" s="22">
        <v>86636.697880774096</v>
      </c>
      <c r="F221" s="22">
        <v>57645.526327699503</v>
      </c>
      <c r="G221" s="10">
        <v>57645.526327699503</v>
      </c>
      <c r="H221" s="23">
        <f t="shared" si="6"/>
        <v>0</v>
      </c>
      <c r="I221" s="10">
        <v>86636.697880774096</v>
      </c>
      <c r="J221" s="23">
        <f t="shared" si="7"/>
        <v>0</v>
      </c>
    </row>
    <row r="222" spans="1:10">
      <c r="A222" t="s">
        <v>112</v>
      </c>
      <c r="B222" t="s">
        <v>294</v>
      </c>
      <c r="C222" s="20">
        <v>2030</v>
      </c>
      <c r="D222" t="s">
        <v>219</v>
      </c>
      <c r="E222" s="22">
        <v>232474.55718416299</v>
      </c>
      <c r="F222" s="22">
        <v>215101.066136293</v>
      </c>
      <c r="G222" s="10">
        <v>215101.066136293</v>
      </c>
      <c r="H222" s="23">
        <f t="shared" si="6"/>
        <v>0</v>
      </c>
      <c r="I222" s="10">
        <v>232474.55718416299</v>
      </c>
      <c r="J222" s="23">
        <f t="shared" si="7"/>
        <v>0</v>
      </c>
    </row>
    <row r="223" spans="1:10">
      <c r="A223" t="s">
        <v>112</v>
      </c>
      <c r="B223" t="s">
        <v>294</v>
      </c>
      <c r="C223" s="20">
        <v>2030</v>
      </c>
      <c r="D223" t="s">
        <v>223</v>
      </c>
      <c r="E223" s="22">
        <v>345002.66293452698</v>
      </c>
      <c r="F223" s="22">
        <v>296867.39898945502</v>
      </c>
      <c r="G223" s="10">
        <v>296867.39898945502</v>
      </c>
      <c r="H223" s="23">
        <f t="shared" si="6"/>
        <v>0</v>
      </c>
      <c r="I223" s="10">
        <v>345002.66293452698</v>
      </c>
      <c r="J223" s="23">
        <f t="shared" si="7"/>
        <v>0</v>
      </c>
    </row>
    <row r="224" spans="1:10">
      <c r="A224" t="s">
        <v>112</v>
      </c>
      <c r="B224" t="s">
        <v>294</v>
      </c>
      <c r="C224" s="20">
        <v>2030</v>
      </c>
      <c r="D224" t="s">
        <v>227</v>
      </c>
      <c r="E224" s="22">
        <v>223856.01156337</v>
      </c>
      <c r="F224" s="22">
        <v>162416.19889017899</v>
      </c>
      <c r="G224" s="10">
        <v>162416.19889017899</v>
      </c>
      <c r="H224" s="23">
        <f t="shared" si="6"/>
        <v>0</v>
      </c>
      <c r="I224" s="10">
        <v>223856.01156337</v>
      </c>
      <c r="J224" s="23">
        <f t="shared" si="7"/>
        <v>0</v>
      </c>
    </row>
    <row r="225" spans="1:10">
      <c r="A225" t="s">
        <v>112</v>
      </c>
      <c r="B225" t="s">
        <v>294</v>
      </c>
      <c r="C225" s="20">
        <v>2030</v>
      </c>
      <c r="D225" t="s">
        <v>293</v>
      </c>
      <c r="E225" s="22">
        <v>34357.158462389802</v>
      </c>
      <c r="F225" s="22">
        <v>4399.0513110961001</v>
      </c>
      <c r="G225" s="10">
        <v>4399.0513110961001</v>
      </c>
      <c r="H225" s="23">
        <f t="shared" si="6"/>
        <v>0</v>
      </c>
      <c r="I225" s="10">
        <v>34357.158462389802</v>
      </c>
      <c r="J225" s="23">
        <f t="shared" si="7"/>
        <v>0</v>
      </c>
    </row>
    <row r="226" spans="1:10">
      <c r="A226" t="s">
        <v>112</v>
      </c>
      <c r="B226" t="s">
        <v>294</v>
      </c>
      <c r="C226" s="20">
        <v>2031</v>
      </c>
      <c r="D226" t="s">
        <v>292</v>
      </c>
      <c r="E226" s="22">
        <v>9362.4074228011905</v>
      </c>
      <c r="F226" s="22">
        <v>7523.5387936035704</v>
      </c>
      <c r="G226" s="10">
        <v>7523.5387936035704</v>
      </c>
      <c r="H226" s="23">
        <f t="shared" si="6"/>
        <v>0</v>
      </c>
      <c r="I226" s="10">
        <v>9362.4074228011905</v>
      </c>
      <c r="J226" s="23">
        <f t="shared" si="7"/>
        <v>0</v>
      </c>
    </row>
    <row r="227" spans="1:10">
      <c r="A227" t="s">
        <v>112</v>
      </c>
      <c r="B227" t="s">
        <v>294</v>
      </c>
      <c r="C227" s="20">
        <v>2031</v>
      </c>
      <c r="D227" t="s">
        <v>233</v>
      </c>
      <c r="E227" s="22">
        <v>529501.77046828205</v>
      </c>
      <c r="F227" s="22">
        <v>167624.55914584</v>
      </c>
      <c r="G227" s="10">
        <v>167624.55914584</v>
      </c>
      <c r="H227" s="23">
        <f t="shared" si="6"/>
        <v>0</v>
      </c>
      <c r="I227" s="10">
        <v>529501.77046828205</v>
      </c>
      <c r="J227" s="23">
        <f t="shared" si="7"/>
        <v>0</v>
      </c>
    </row>
    <row r="228" spans="1:10">
      <c r="A228" t="s">
        <v>112</v>
      </c>
      <c r="B228" t="s">
        <v>294</v>
      </c>
      <c r="C228" s="20">
        <v>2031</v>
      </c>
      <c r="D228" t="s">
        <v>208</v>
      </c>
      <c r="E228" s="22">
        <v>89169.706996492096</v>
      </c>
      <c r="F228" s="22">
        <v>58199.843428685599</v>
      </c>
      <c r="G228" s="10">
        <v>58199.843428685599</v>
      </c>
      <c r="H228" s="23">
        <f t="shared" si="6"/>
        <v>0</v>
      </c>
      <c r="I228" s="10">
        <v>89169.706996492096</v>
      </c>
      <c r="J228" s="23">
        <f t="shared" si="7"/>
        <v>0</v>
      </c>
    </row>
    <row r="229" spans="1:10">
      <c r="A229" t="s">
        <v>112</v>
      </c>
      <c r="B229" t="s">
        <v>294</v>
      </c>
      <c r="C229" s="20">
        <v>2031</v>
      </c>
      <c r="D229" t="s">
        <v>219</v>
      </c>
      <c r="E229" s="22">
        <v>238100.557779275</v>
      </c>
      <c r="F229" s="22">
        <v>217838.52712465101</v>
      </c>
      <c r="G229" s="10">
        <v>217838.52712465101</v>
      </c>
      <c r="H229" s="23">
        <f t="shared" si="6"/>
        <v>0</v>
      </c>
      <c r="I229" s="10">
        <v>238100.557779275</v>
      </c>
      <c r="J229" s="23">
        <f t="shared" si="7"/>
        <v>0</v>
      </c>
    </row>
    <row r="230" spans="1:10">
      <c r="A230" t="s">
        <v>112</v>
      </c>
      <c r="B230" t="s">
        <v>294</v>
      </c>
      <c r="C230" s="20">
        <v>2031</v>
      </c>
      <c r="D230" t="s">
        <v>223</v>
      </c>
      <c r="E230" s="22">
        <v>353389.58689310902</v>
      </c>
      <c r="F230" s="22">
        <v>292077.17059703002</v>
      </c>
      <c r="G230" s="10">
        <v>292077.17059703002</v>
      </c>
      <c r="H230" s="23">
        <f t="shared" si="6"/>
        <v>0</v>
      </c>
      <c r="I230" s="10">
        <v>353389.58689310902</v>
      </c>
      <c r="J230" s="23">
        <f t="shared" si="7"/>
        <v>0</v>
      </c>
    </row>
    <row r="231" spans="1:10">
      <c r="A231" t="s">
        <v>112</v>
      </c>
      <c r="B231" t="s">
        <v>294</v>
      </c>
      <c r="C231" s="20">
        <v>2031</v>
      </c>
      <c r="D231" t="s">
        <v>227</v>
      </c>
      <c r="E231" s="22">
        <v>230057.42281729399</v>
      </c>
      <c r="F231" s="22">
        <v>159427.93543122901</v>
      </c>
      <c r="G231" s="10">
        <v>159427.93543122901</v>
      </c>
      <c r="H231" s="23">
        <f t="shared" si="6"/>
        <v>0</v>
      </c>
      <c r="I231" s="10">
        <v>230057.42281729399</v>
      </c>
      <c r="J231" s="23">
        <f t="shared" si="7"/>
        <v>0</v>
      </c>
    </row>
    <row r="232" spans="1:10">
      <c r="A232" t="s">
        <v>112</v>
      </c>
      <c r="B232" t="s">
        <v>294</v>
      </c>
      <c r="C232" s="20">
        <v>2031</v>
      </c>
      <c r="D232" t="s">
        <v>293</v>
      </c>
      <c r="E232" s="22">
        <v>34253.919365265698</v>
      </c>
      <c r="F232" s="22">
        <v>4352.6686117824102</v>
      </c>
      <c r="G232" s="10">
        <v>4352.6686117824102</v>
      </c>
      <c r="H232" s="23">
        <f t="shared" si="6"/>
        <v>0</v>
      </c>
      <c r="I232" s="10">
        <v>34253.919365265698</v>
      </c>
      <c r="J232" s="23">
        <f t="shared" si="7"/>
        <v>0</v>
      </c>
    </row>
    <row r="233" spans="1:10">
      <c r="A233" t="s">
        <v>112</v>
      </c>
      <c r="B233" t="s">
        <v>294</v>
      </c>
      <c r="C233" s="20">
        <v>2032</v>
      </c>
      <c r="D233" t="s">
        <v>292</v>
      </c>
      <c r="E233" s="22">
        <v>9593.2618594135602</v>
      </c>
      <c r="F233" s="22">
        <v>7552.1126249187701</v>
      </c>
      <c r="G233" s="10">
        <v>7552.1126249187701</v>
      </c>
      <c r="H233" s="23">
        <f t="shared" si="6"/>
        <v>0</v>
      </c>
      <c r="I233" s="10">
        <v>9593.2618594135602</v>
      </c>
      <c r="J233" s="23">
        <f t="shared" si="7"/>
        <v>0</v>
      </c>
    </row>
    <row r="234" spans="1:10">
      <c r="A234" t="s">
        <v>112</v>
      </c>
      <c r="B234" t="s">
        <v>294</v>
      </c>
      <c r="C234" s="20">
        <v>2032</v>
      </c>
      <c r="D234" t="s">
        <v>233</v>
      </c>
      <c r="E234" s="22">
        <v>537284.20595619699</v>
      </c>
      <c r="F234" s="22">
        <v>170490.57460842101</v>
      </c>
      <c r="G234" s="10">
        <v>170490.57460842101</v>
      </c>
      <c r="H234" s="23">
        <f t="shared" si="6"/>
        <v>0</v>
      </c>
      <c r="I234" s="10">
        <v>537284.20595619699</v>
      </c>
      <c r="J234" s="23">
        <f t="shared" si="7"/>
        <v>0</v>
      </c>
    </row>
    <row r="235" spans="1:10">
      <c r="A235" t="s">
        <v>112</v>
      </c>
      <c r="B235" t="s">
        <v>294</v>
      </c>
      <c r="C235" s="20">
        <v>2032</v>
      </c>
      <c r="D235" t="s">
        <v>208</v>
      </c>
      <c r="E235" s="22">
        <v>91808.470759101503</v>
      </c>
      <c r="F235" s="22">
        <v>58983.855811727997</v>
      </c>
      <c r="G235" s="10">
        <v>58983.855811727997</v>
      </c>
      <c r="H235" s="23">
        <f t="shared" si="6"/>
        <v>0</v>
      </c>
      <c r="I235" s="10">
        <v>91808.470759101503</v>
      </c>
      <c r="J235" s="23">
        <f t="shared" si="7"/>
        <v>0</v>
      </c>
    </row>
    <row r="236" spans="1:10">
      <c r="A236" t="s">
        <v>112</v>
      </c>
      <c r="B236" t="s">
        <v>294</v>
      </c>
      <c r="C236" s="20">
        <v>2032</v>
      </c>
      <c r="D236" t="s">
        <v>219</v>
      </c>
      <c r="E236" s="22">
        <v>243856.95552281101</v>
      </c>
      <c r="F236" s="22">
        <v>221187.357647614</v>
      </c>
      <c r="G236" s="10">
        <v>221187.357647614</v>
      </c>
      <c r="H236" s="23">
        <f t="shared" si="6"/>
        <v>0</v>
      </c>
      <c r="I236" s="10">
        <v>243856.95552281101</v>
      </c>
      <c r="J236" s="23">
        <f t="shared" si="7"/>
        <v>0</v>
      </c>
    </row>
    <row r="237" spans="1:10">
      <c r="A237" t="s">
        <v>112</v>
      </c>
      <c r="B237" t="s">
        <v>294</v>
      </c>
      <c r="C237" s="20">
        <v>2032</v>
      </c>
      <c r="D237" t="s">
        <v>223</v>
      </c>
      <c r="E237" s="22">
        <v>361859.19410351902</v>
      </c>
      <c r="F237" s="22">
        <v>288636.13492746197</v>
      </c>
      <c r="G237" s="10">
        <v>288636.13492746197</v>
      </c>
      <c r="H237" s="23">
        <f t="shared" si="6"/>
        <v>0</v>
      </c>
      <c r="I237" s="10">
        <v>361859.19410351902</v>
      </c>
      <c r="J237" s="23">
        <f t="shared" si="7"/>
        <v>0</v>
      </c>
    </row>
    <row r="238" spans="1:10">
      <c r="A238" t="s">
        <v>112</v>
      </c>
      <c r="B238" t="s">
        <v>294</v>
      </c>
      <c r="C238" s="20">
        <v>2032</v>
      </c>
      <c r="D238" t="s">
        <v>227</v>
      </c>
      <c r="E238" s="22">
        <v>236449.72289225299</v>
      </c>
      <c r="F238" s="22">
        <v>157717.06668730499</v>
      </c>
      <c r="G238" s="10">
        <v>157717.06668730499</v>
      </c>
      <c r="H238" s="23">
        <f t="shared" si="6"/>
        <v>0</v>
      </c>
      <c r="I238" s="10">
        <v>236449.72289225299</v>
      </c>
      <c r="J238" s="23">
        <f t="shared" si="7"/>
        <v>0</v>
      </c>
    </row>
    <row r="239" spans="1:10">
      <c r="A239" t="s">
        <v>112</v>
      </c>
      <c r="B239" t="s">
        <v>294</v>
      </c>
      <c r="C239" s="20">
        <v>2032</v>
      </c>
      <c r="D239" t="s">
        <v>293</v>
      </c>
      <c r="E239" s="22">
        <v>34086.461280867603</v>
      </c>
      <c r="F239" s="22">
        <v>4303.7751806773804</v>
      </c>
      <c r="G239" s="10">
        <v>4303.7751806773804</v>
      </c>
      <c r="H239" s="23">
        <f t="shared" si="6"/>
        <v>0</v>
      </c>
      <c r="I239" s="10">
        <v>34086.461280867603</v>
      </c>
      <c r="J239" s="23">
        <f t="shared" si="7"/>
        <v>0</v>
      </c>
    </row>
    <row r="240" spans="1:10">
      <c r="A240" t="s">
        <v>112</v>
      </c>
      <c r="B240" t="s">
        <v>294</v>
      </c>
      <c r="C240" s="20">
        <v>2033</v>
      </c>
      <c r="D240" t="s">
        <v>292</v>
      </c>
      <c r="E240" s="22">
        <v>9839.9045013670893</v>
      </c>
      <c r="F240" s="22">
        <v>7602.8361313503801</v>
      </c>
      <c r="G240" s="10">
        <v>7602.8361313503801</v>
      </c>
      <c r="H240" s="23">
        <f t="shared" si="6"/>
        <v>0</v>
      </c>
      <c r="I240" s="10">
        <v>9839.9045013670893</v>
      </c>
      <c r="J240" s="23">
        <f t="shared" si="7"/>
        <v>0</v>
      </c>
    </row>
    <row r="241" spans="1:10">
      <c r="A241" t="s">
        <v>112</v>
      </c>
      <c r="B241" t="s">
        <v>294</v>
      </c>
      <c r="C241" s="20">
        <v>2033</v>
      </c>
      <c r="D241" t="s">
        <v>233</v>
      </c>
      <c r="E241" s="22">
        <v>544700.38172210602</v>
      </c>
      <c r="F241" s="22">
        <v>173607.86723671001</v>
      </c>
      <c r="G241" s="10">
        <v>173607.86723671001</v>
      </c>
      <c r="H241" s="23">
        <f t="shared" si="6"/>
        <v>0</v>
      </c>
      <c r="I241" s="10">
        <v>544700.38172210602</v>
      </c>
      <c r="J241" s="23">
        <f t="shared" si="7"/>
        <v>0</v>
      </c>
    </row>
    <row r="242" spans="1:10">
      <c r="A242" t="s">
        <v>112</v>
      </c>
      <c r="B242" t="s">
        <v>294</v>
      </c>
      <c r="C242" s="20">
        <v>2033</v>
      </c>
      <c r="D242" t="s">
        <v>208</v>
      </c>
      <c r="E242" s="22">
        <v>94543.439215228296</v>
      </c>
      <c r="F242" s="22">
        <v>59943.004150861998</v>
      </c>
      <c r="G242" s="10">
        <v>59943.004150861998</v>
      </c>
      <c r="H242" s="23">
        <f t="shared" si="6"/>
        <v>0</v>
      </c>
      <c r="I242" s="10">
        <v>94543.439215228296</v>
      </c>
      <c r="J242" s="23">
        <f t="shared" si="7"/>
        <v>0</v>
      </c>
    </row>
    <row r="243" spans="1:10">
      <c r="A243" t="s">
        <v>112</v>
      </c>
      <c r="B243" t="s">
        <v>294</v>
      </c>
      <c r="C243" s="20">
        <v>2033</v>
      </c>
      <c r="D243" t="s">
        <v>219</v>
      </c>
      <c r="E243" s="22">
        <v>249717.66641273399</v>
      </c>
      <c r="F243" s="22">
        <v>224962.62840764999</v>
      </c>
      <c r="G243" s="10">
        <v>224962.62840764999</v>
      </c>
      <c r="H243" s="23">
        <f t="shared" si="6"/>
        <v>0</v>
      </c>
      <c r="I243" s="10">
        <v>249717.66641273399</v>
      </c>
      <c r="J243" s="23">
        <f t="shared" si="7"/>
        <v>0</v>
      </c>
    </row>
    <row r="244" spans="1:10">
      <c r="A244" t="s">
        <v>112</v>
      </c>
      <c r="B244" t="s">
        <v>294</v>
      </c>
      <c r="C244" s="20">
        <v>2033</v>
      </c>
      <c r="D244" t="s">
        <v>223</v>
      </c>
      <c r="E244" s="22">
        <v>370388.04380476201</v>
      </c>
      <c r="F244" s="22">
        <v>286211.94362940302</v>
      </c>
      <c r="G244" s="10">
        <v>286211.94362940302</v>
      </c>
      <c r="H244" s="23">
        <f t="shared" si="6"/>
        <v>0</v>
      </c>
      <c r="I244" s="10">
        <v>370388.04380476201</v>
      </c>
      <c r="J244" s="23">
        <f t="shared" si="7"/>
        <v>0</v>
      </c>
    </row>
    <row r="245" spans="1:10">
      <c r="A245" t="s">
        <v>112</v>
      </c>
      <c r="B245" t="s">
        <v>294</v>
      </c>
      <c r="C245" s="20">
        <v>2033</v>
      </c>
      <c r="D245" t="s">
        <v>227</v>
      </c>
      <c r="E245" s="22">
        <v>243003.80859767401</v>
      </c>
      <c r="F245" s="22">
        <v>156982.44646113599</v>
      </c>
      <c r="G245" s="10">
        <v>156982.44646113599</v>
      </c>
      <c r="H245" s="23">
        <f t="shared" si="6"/>
        <v>0</v>
      </c>
      <c r="I245" s="10">
        <v>243003.80859767401</v>
      </c>
      <c r="J245" s="23">
        <f t="shared" si="7"/>
        <v>0</v>
      </c>
    </row>
    <row r="246" spans="1:10">
      <c r="A246" t="s">
        <v>112</v>
      </c>
      <c r="B246" t="s">
        <v>294</v>
      </c>
      <c r="C246" s="20">
        <v>2033</v>
      </c>
      <c r="D246" t="s">
        <v>293</v>
      </c>
      <c r="E246" s="22">
        <v>33869.099866803401</v>
      </c>
      <c r="F246" s="22">
        <v>4252.29720334171</v>
      </c>
      <c r="G246" s="10">
        <v>4252.29720334171</v>
      </c>
      <c r="H246" s="23">
        <f t="shared" si="6"/>
        <v>0</v>
      </c>
      <c r="I246" s="10">
        <v>33869.099866803401</v>
      </c>
      <c r="J246" s="23">
        <f t="shared" si="7"/>
        <v>0</v>
      </c>
    </row>
    <row r="247" spans="1:10">
      <c r="A247" t="s">
        <v>112</v>
      </c>
      <c r="B247" t="s">
        <v>294</v>
      </c>
      <c r="C247" s="20">
        <v>2034</v>
      </c>
      <c r="D247" t="s">
        <v>292</v>
      </c>
      <c r="E247" s="22">
        <v>10102.4944978288</v>
      </c>
      <c r="F247" s="22">
        <v>7676.0245439495702</v>
      </c>
      <c r="G247" s="10">
        <v>7676.0245439495702</v>
      </c>
      <c r="H247" s="23">
        <f t="shared" si="6"/>
        <v>0</v>
      </c>
      <c r="I247" s="10">
        <v>10102.4944978288</v>
      </c>
      <c r="J247" s="23">
        <f t="shared" si="7"/>
        <v>0</v>
      </c>
    </row>
    <row r="248" spans="1:10">
      <c r="A248" t="s">
        <v>112</v>
      </c>
      <c r="B248" t="s">
        <v>294</v>
      </c>
      <c r="C248" s="20">
        <v>2034</v>
      </c>
      <c r="D248" t="s">
        <v>233</v>
      </c>
      <c r="E248" s="22">
        <v>551902.07869554905</v>
      </c>
      <c r="F248" s="22">
        <v>176929.43016219899</v>
      </c>
      <c r="G248" s="10">
        <v>176929.43016219899</v>
      </c>
      <c r="H248" s="23">
        <f t="shared" si="6"/>
        <v>0</v>
      </c>
      <c r="I248" s="10">
        <v>551902.07869554905</v>
      </c>
      <c r="J248" s="23">
        <f t="shared" si="7"/>
        <v>0</v>
      </c>
    </row>
    <row r="249" spans="1:10">
      <c r="A249" t="s">
        <v>112</v>
      </c>
      <c r="B249" t="s">
        <v>294</v>
      </c>
      <c r="C249" s="20">
        <v>2034</v>
      </c>
      <c r="D249" t="s">
        <v>208</v>
      </c>
      <c r="E249" s="22">
        <v>97366.541297579504</v>
      </c>
      <c r="F249" s="22">
        <v>61042.637335725798</v>
      </c>
      <c r="G249" s="10">
        <v>61042.637335725798</v>
      </c>
      <c r="H249" s="23">
        <f t="shared" si="6"/>
        <v>0</v>
      </c>
      <c r="I249" s="10">
        <v>97366.541297579504</v>
      </c>
      <c r="J249" s="23">
        <f t="shared" si="7"/>
        <v>0</v>
      </c>
    </row>
    <row r="250" spans="1:10">
      <c r="A250" t="s">
        <v>112</v>
      </c>
      <c r="B250" t="s">
        <v>294</v>
      </c>
      <c r="C250" s="20">
        <v>2034</v>
      </c>
      <c r="D250" t="s">
        <v>219</v>
      </c>
      <c r="E250" s="22">
        <v>255666.35650111301</v>
      </c>
      <c r="F250" s="22">
        <v>229161.34435344001</v>
      </c>
      <c r="G250" s="10">
        <v>229161.34435344001</v>
      </c>
      <c r="H250" s="23">
        <f t="shared" si="6"/>
        <v>0</v>
      </c>
      <c r="I250" s="10">
        <v>255666.35650111301</v>
      </c>
      <c r="J250" s="23">
        <f t="shared" si="7"/>
        <v>0</v>
      </c>
    </row>
    <row r="251" spans="1:10">
      <c r="A251" t="s">
        <v>112</v>
      </c>
      <c r="B251" t="s">
        <v>294</v>
      </c>
      <c r="C251" s="20">
        <v>2034</v>
      </c>
      <c r="D251" t="s">
        <v>223</v>
      </c>
      <c r="E251" s="22">
        <v>378994.90901390498</v>
      </c>
      <c r="F251" s="22">
        <v>284761.825731833</v>
      </c>
      <c r="G251" s="10">
        <v>284761.825731833</v>
      </c>
      <c r="H251" s="23">
        <f t="shared" si="6"/>
        <v>0</v>
      </c>
      <c r="I251" s="10">
        <v>378994.90901390498</v>
      </c>
      <c r="J251" s="23">
        <f t="shared" si="7"/>
        <v>0</v>
      </c>
    </row>
    <row r="252" spans="1:10">
      <c r="A252" t="s">
        <v>112</v>
      </c>
      <c r="B252" t="s">
        <v>294</v>
      </c>
      <c r="C252" s="20">
        <v>2034</v>
      </c>
      <c r="D252" t="s">
        <v>227</v>
      </c>
      <c r="E252" s="22">
        <v>249728.24511568001</v>
      </c>
      <c r="F252" s="22">
        <v>156946.43612800399</v>
      </c>
      <c r="G252" s="10">
        <v>156946.43612800399</v>
      </c>
      <c r="H252" s="23">
        <f t="shared" si="6"/>
        <v>0</v>
      </c>
      <c r="I252" s="10">
        <v>249728.24511568001</v>
      </c>
      <c r="J252" s="23">
        <f t="shared" si="7"/>
        <v>0</v>
      </c>
    </row>
    <row r="253" spans="1:10">
      <c r="A253" t="s">
        <v>112</v>
      </c>
      <c r="B253" t="s">
        <v>294</v>
      </c>
      <c r="C253" s="20">
        <v>2034</v>
      </c>
      <c r="D253" t="s">
        <v>293</v>
      </c>
      <c r="E253" s="22">
        <v>33649.877925897097</v>
      </c>
      <c r="F253" s="22">
        <v>4205.6919264368798</v>
      </c>
      <c r="G253" s="10">
        <v>4205.6919264368798</v>
      </c>
      <c r="H253" s="23">
        <f t="shared" si="6"/>
        <v>0</v>
      </c>
      <c r="I253" s="10">
        <v>33649.877925897097</v>
      </c>
      <c r="J253" s="23">
        <f t="shared" si="7"/>
        <v>0</v>
      </c>
    </row>
    <row r="254" spans="1:10">
      <c r="A254" t="s">
        <v>112</v>
      </c>
      <c r="B254" t="s">
        <v>294</v>
      </c>
      <c r="C254" s="20">
        <v>2035</v>
      </c>
      <c r="D254" t="s">
        <v>292</v>
      </c>
      <c r="E254" s="22">
        <v>10382.1904120895</v>
      </c>
      <c r="F254" s="22">
        <v>7765.9489273753697</v>
      </c>
      <c r="G254" s="10">
        <v>7765.9489273753697</v>
      </c>
      <c r="H254" s="23">
        <f t="shared" si="6"/>
        <v>0</v>
      </c>
      <c r="I254" s="10">
        <v>10382.1904120895</v>
      </c>
      <c r="J254" s="23">
        <f t="shared" si="7"/>
        <v>0</v>
      </c>
    </row>
    <row r="255" spans="1:10">
      <c r="A255" t="s">
        <v>112</v>
      </c>
      <c r="B255" t="s">
        <v>294</v>
      </c>
      <c r="C255" s="20">
        <v>2035</v>
      </c>
      <c r="D255" t="s">
        <v>233</v>
      </c>
      <c r="E255" s="22">
        <v>558961.53146092605</v>
      </c>
      <c r="F255" s="22">
        <v>180479.90195607199</v>
      </c>
      <c r="G255" s="10">
        <v>180479.90195607199</v>
      </c>
      <c r="H255" s="23">
        <f t="shared" si="6"/>
        <v>0</v>
      </c>
      <c r="I255" s="10">
        <v>558961.53146092605</v>
      </c>
      <c r="J255" s="23">
        <f t="shared" si="7"/>
        <v>0</v>
      </c>
    </row>
    <row r="256" spans="1:10">
      <c r="A256" t="s">
        <v>112</v>
      </c>
      <c r="B256" t="s">
        <v>294</v>
      </c>
      <c r="C256" s="20">
        <v>2035</v>
      </c>
      <c r="D256" t="s">
        <v>208</v>
      </c>
      <c r="E256" s="22">
        <v>100272.951283078</v>
      </c>
      <c r="F256" s="22">
        <v>62275.638838064799</v>
      </c>
      <c r="G256" s="10">
        <v>62275.638838064799</v>
      </c>
      <c r="H256" s="23">
        <f t="shared" si="6"/>
        <v>0</v>
      </c>
      <c r="I256" s="10">
        <v>100272.951283078</v>
      </c>
      <c r="J256" s="23">
        <f t="shared" si="7"/>
        <v>0</v>
      </c>
    </row>
    <row r="257" spans="1:10">
      <c r="A257" t="s">
        <v>112</v>
      </c>
      <c r="B257" t="s">
        <v>294</v>
      </c>
      <c r="C257" s="20">
        <v>2035</v>
      </c>
      <c r="D257" t="s">
        <v>219</v>
      </c>
      <c r="E257" s="22">
        <v>261696.64466525699</v>
      </c>
      <c r="F257" s="22">
        <v>233645.80989788499</v>
      </c>
      <c r="G257" s="10">
        <v>233645.80989788499</v>
      </c>
      <c r="H257" s="23">
        <f t="shared" si="6"/>
        <v>0</v>
      </c>
      <c r="I257" s="10">
        <v>261696.64466525699</v>
      </c>
      <c r="J257" s="23">
        <f t="shared" si="7"/>
        <v>0</v>
      </c>
    </row>
    <row r="258" spans="1:10">
      <c r="A258" t="s">
        <v>112</v>
      </c>
      <c r="B258" t="s">
        <v>294</v>
      </c>
      <c r="C258" s="20">
        <v>2035</v>
      </c>
      <c r="D258" t="s">
        <v>223</v>
      </c>
      <c r="E258" s="22">
        <v>387697.164048001</v>
      </c>
      <c r="F258" s="22">
        <v>284179.66413154098</v>
      </c>
      <c r="G258" s="10">
        <v>284179.66413154098</v>
      </c>
      <c r="H258" s="23">
        <f t="shared" ref="H258:H321" si="8">G258-F258</f>
        <v>0</v>
      </c>
      <c r="I258" s="10">
        <v>387697.164048001</v>
      </c>
      <c r="J258" s="23">
        <f t="shared" ref="J258:J321" si="9">I258-E258</f>
        <v>0</v>
      </c>
    </row>
    <row r="259" spans="1:10">
      <c r="A259" t="s">
        <v>112</v>
      </c>
      <c r="B259" t="s">
        <v>294</v>
      </c>
      <c r="C259" s="20">
        <v>2035</v>
      </c>
      <c r="D259" t="s">
        <v>227</v>
      </c>
      <c r="E259" s="22">
        <v>256626.61255713899</v>
      </c>
      <c r="F259" s="22">
        <v>157568.37173569499</v>
      </c>
      <c r="G259" s="10">
        <v>157568.37173569499</v>
      </c>
      <c r="H259" s="23">
        <f t="shared" si="8"/>
        <v>0</v>
      </c>
      <c r="I259" s="10">
        <v>256626.61255713899</v>
      </c>
      <c r="J259" s="23">
        <f t="shared" si="9"/>
        <v>0</v>
      </c>
    </row>
    <row r="260" spans="1:10">
      <c r="A260" t="s">
        <v>112</v>
      </c>
      <c r="B260" t="s">
        <v>294</v>
      </c>
      <c r="C260" s="20">
        <v>2035</v>
      </c>
      <c r="D260" t="s">
        <v>293</v>
      </c>
      <c r="E260" s="22">
        <v>33447.278871464798</v>
      </c>
      <c r="F260" s="22">
        <v>4160.0880478735698</v>
      </c>
      <c r="G260" s="10">
        <v>4160.0880478735698</v>
      </c>
      <c r="H260" s="23">
        <f t="shared" si="8"/>
        <v>0</v>
      </c>
      <c r="I260" s="10">
        <v>33447.278871464798</v>
      </c>
      <c r="J260" s="23">
        <f t="shared" si="9"/>
        <v>0</v>
      </c>
    </row>
    <row r="261" spans="1:10">
      <c r="A261" t="s">
        <v>112</v>
      </c>
      <c r="B261" t="s">
        <v>294</v>
      </c>
      <c r="C261" s="20">
        <v>2036</v>
      </c>
      <c r="D261" t="s">
        <v>292</v>
      </c>
      <c r="E261" s="22">
        <v>10678.3911776571</v>
      </c>
      <c r="F261" s="22">
        <v>7876.0828678223097</v>
      </c>
      <c r="G261" s="10">
        <v>7876.0828678223097</v>
      </c>
      <c r="H261" s="23">
        <f t="shared" si="8"/>
        <v>0</v>
      </c>
      <c r="I261" s="10">
        <v>10678.3911776571</v>
      </c>
      <c r="J261" s="23">
        <f t="shared" si="9"/>
        <v>0</v>
      </c>
    </row>
    <row r="262" spans="1:10">
      <c r="A262" t="s">
        <v>112</v>
      </c>
      <c r="B262" t="s">
        <v>294</v>
      </c>
      <c r="C262" s="20">
        <v>2036</v>
      </c>
      <c r="D262" t="s">
        <v>233</v>
      </c>
      <c r="E262" s="22">
        <v>565915.068561455</v>
      </c>
      <c r="F262" s="22">
        <v>184270.55424889401</v>
      </c>
      <c r="G262" s="10">
        <v>184270.55424889401</v>
      </c>
      <c r="H262" s="23">
        <f t="shared" si="8"/>
        <v>0</v>
      </c>
      <c r="I262" s="10">
        <v>565915.068561455</v>
      </c>
      <c r="J262" s="23">
        <f t="shared" si="9"/>
        <v>0</v>
      </c>
    </row>
    <row r="263" spans="1:10">
      <c r="A263" t="s">
        <v>112</v>
      </c>
      <c r="B263" t="s">
        <v>294</v>
      </c>
      <c r="C263" s="20">
        <v>2036</v>
      </c>
      <c r="D263" t="s">
        <v>208</v>
      </c>
      <c r="E263" s="22">
        <v>103253.81590007601</v>
      </c>
      <c r="F263" s="22">
        <v>63653.403077987597</v>
      </c>
      <c r="G263" s="10">
        <v>63653.403077987597</v>
      </c>
      <c r="H263" s="23">
        <f t="shared" si="8"/>
        <v>0</v>
      </c>
      <c r="I263" s="10">
        <v>103253.81590007601</v>
      </c>
      <c r="J263" s="23">
        <f t="shared" si="9"/>
        <v>0</v>
      </c>
    </row>
    <row r="264" spans="1:10">
      <c r="A264" t="s">
        <v>112</v>
      </c>
      <c r="B264" t="s">
        <v>294</v>
      </c>
      <c r="C264" s="20">
        <v>2036</v>
      </c>
      <c r="D264" t="s">
        <v>219</v>
      </c>
      <c r="E264" s="22">
        <v>267795.29471138702</v>
      </c>
      <c r="F264" s="22">
        <v>238410.323156125</v>
      </c>
      <c r="G264" s="10">
        <v>238410.323156125</v>
      </c>
      <c r="H264" s="23">
        <f t="shared" si="8"/>
        <v>0</v>
      </c>
      <c r="I264" s="10">
        <v>267795.29471138702</v>
      </c>
      <c r="J264" s="23">
        <f t="shared" si="9"/>
        <v>0</v>
      </c>
    </row>
    <row r="265" spans="1:10">
      <c r="A265" t="s">
        <v>112</v>
      </c>
      <c r="B265" t="s">
        <v>294</v>
      </c>
      <c r="C265" s="20">
        <v>2036</v>
      </c>
      <c r="D265" t="s">
        <v>223</v>
      </c>
      <c r="E265" s="22">
        <v>396494.62961773598</v>
      </c>
      <c r="F265" s="22">
        <v>284477.185074693</v>
      </c>
      <c r="G265" s="10">
        <v>284477.185074693</v>
      </c>
      <c r="H265" s="23">
        <f t="shared" si="8"/>
        <v>0</v>
      </c>
      <c r="I265" s="10">
        <v>396494.62961773598</v>
      </c>
      <c r="J265" s="23">
        <f t="shared" si="9"/>
        <v>0</v>
      </c>
    </row>
    <row r="266" spans="1:10">
      <c r="A266" t="s">
        <v>112</v>
      </c>
      <c r="B266" t="s">
        <v>294</v>
      </c>
      <c r="C266" s="20">
        <v>2036</v>
      </c>
      <c r="D266" t="s">
        <v>227</v>
      </c>
      <c r="E266" s="22">
        <v>263685.61504529801</v>
      </c>
      <c r="F266" s="22">
        <v>158831.70822770399</v>
      </c>
      <c r="G266" s="10">
        <v>158831.70822770399</v>
      </c>
      <c r="H266" s="23">
        <f t="shared" si="8"/>
        <v>0</v>
      </c>
      <c r="I266" s="10">
        <v>263685.61504529801</v>
      </c>
      <c r="J266" s="23">
        <f t="shared" si="9"/>
        <v>0</v>
      </c>
    </row>
    <row r="267" spans="1:10">
      <c r="A267" t="s">
        <v>112</v>
      </c>
      <c r="B267" t="s">
        <v>294</v>
      </c>
      <c r="C267" s="20">
        <v>2036</v>
      </c>
      <c r="D267" t="s">
        <v>293</v>
      </c>
      <c r="E267" s="22">
        <v>33267.824025098198</v>
      </c>
      <c r="F267" s="22">
        <v>4116.0857587801502</v>
      </c>
      <c r="G267" s="10">
        <v>4116.0857587801502</v>
      </c>
      <c r="H267" s="23">
        <f t="shared" si="8"/>
        <v>0</v>
      </c>
      <c r="I267" s="10">
        <v>33267.824025098198</v>
      </c>
      <c r="J267" s="23">
        <f t="shared" si="9"/>
        <v>0</v>
      </c>
    </row>
    <row r="268" spans="1:10">
      <c r="A268" t="s">
        <v>112</v>
      </c>
      <c r="B268" t="s">
        <v>294</v>
      </c>
      <c r="C268" s="20">
        <v>2037</v>
      </c>
      <c r="D268" t="s">
        <v>292</v>
      </c>
      <c r="E268" s="22">
        <v>10990.4137947985</v>
      </c>
      <c r="F268" s="22">
        <v>8003.7753545579098</v>
      </c>
      <c r="G268" s="10">
        <v>8003.7753545579098</v>
      </c>
      <c r="H268" s="23">
        <f t="shared" si="8"/>
        <v>0</v>
      </c>
      <c r="I268" s="10">
        <v>10990.4137947985</v>
      </c>
      <c r="J268" s="23">
        <f t="shared" si="9"/>
        <v>0</v>
      </c>
    </row>
    <row r="269" spans="1:10">
      <c r="A269" t="s">
        <v>112</v>
      </c>
      <c r="B269" t="s">
        <v>294</v>
      </c>
      <c r="C269" s="20">
        <v>2037</v>
      </c>
      <c r="D269" t="s">
        <v>233</v>
      </c>
      <c r="E269" s="22">
        <v>572762.65925974504</v>
      </c>
      <c r="F269" s="22">
        <v>188201.34338922499</v>
      </c>
      <c r="G269" s="10">
        <v>188201.34338922499</v>
      </c>
      <c r="H269" s="23">
        <f t="shared" si="8"/>
        <v>0</v>
      </c>
      <c r="I269" s="10">
        <v>572762.65925974504</v>
      </c>
      <c r="J269" s="23">
        <f t="shared" si="9"/>
        <v>0</v>
      </c>
    </row>
    <row r="270" spans="1:10">
      <c r="A270" t="s">
        <v>112</v>
      </c>
      <c r="B270" t="s">
        <v>294</v>
      </c>
      <c r="C270" s="20">
        <v>2037</v>
      </c>
      <c r="D270" t="s">
        <v>208</v>
      </c>
      <c r="E270" s="22">
        <v>106298.553139614</v>
      </c>
      <c r="F270" s="22">
        <v>65132.642373226197</v>
      </c>
      <c r="G270" s="10">
        <v>65132.642373226197</v>
      </c>
      <c r="H270" s="23">
        <f t="shared" si="8"/>
        <v>0</v>
      </c>
      <c r="I270" s="10">
        <v>106298.553139614</v>
      </c>
      <c r="J270" s="23">
        <f t="shared" si="9"/>
        <v>0</v>
      </c>
    </row>
    <row r="271" spans="1:10">
      <c r="A271" t="s">
        <v>112</v>
      </c>
      <c r="B271" t="s">
        <v>294</v>
      </c>
      <c r="C271" s="20">
        <v>2037</v>
      </c>
      <c r="D271" t="s">
        <v>219</v>
      </c>
      <c r="E271" s="22">
        <v>273943.11553737998</v>
      </c>
      <c r="F271" s="22">
        <v>243289.27875961</v>
      </c>
      <c r="G271" s="10">
        <v>243289.27875961</v>
      </c>
      <c r="H271" s="23">
        <f t="shared" si="8"/>
        <v>0</v>
      </c>
      <c r="I271" s="10">
        <v>273943.11553737998</v>
      </c>
      <c r="J271" s="23">
        <f t="shared" si="9"/>
        <v>0</v>
      </c>
    </row>
    <row r="272" spans="1:10">
      <c r="A272" t="s">
        <v>112</v>
      </c>
      <c r="B272" t="s">
        <v>294</v>
      </c>
      <c r="C272" s="20">
        <v>2037</v>
      </c>
      <c r="D272" t="s">
        <v>223</v>
      </c>
      <c r="E272" s="22">
        <v>405372.47130504902</v>
      </c>
      <c r="F272" s="22">
        <v>285466.43506332301</v>
      </c>
      <c r="G272" s="10">
        <v>285466.43506332301</v>
      </c>
      <c r="H272" s="23">
        <f t="shared" si="8"/>
        <v>0</v>
      </c>
      <c r="I272" s="10">
        <v>405372.47130504902</v>
      </c>
      <c r="J272" s="23">
        <f t="shared" si="9"/>
        <v>0</v>
      </c>
    </row>
    <row r="273" spans="1:10">
      <c r="A273" t="s">
        <v>112</v>
      </c>
      <c r="B273" t="s">
        <v>294</v>
      </c>
      <c r="C273" s="20">
        <v>2037</v>
      </c>
      <c r="D273" t="s">
        <v>227</v>
      </c>
      <c r="E273" s="22">
        <v>270885.35957799701</v>
      </c>
      <c r="F273" s="22">
        <v>160581.34070012701</v>
      </c>
      <c r="G273" s="10">
        <v>160581.34070012701</v>
      </c>
      <c r="H273" s="23">
        <f t="shared" si="8"/>
        <v>0</v>
      </c>
      <c r="I273" s="10">
        <v>270885.35957799701</v>
      </c>
      <c r="J273" s="23">
        <f t="shared" si="9"/>
        <v>0</v>
      </c>
    </row>
    <row r="274" spans="1:10">
      <c r="A274" t="s">
        <v>112</v>
      </c>
      <c r="B274" t="s">
        <v>294</v>
      </c>
      <c r="C274" s="20">
        <v>2037</v>
      </c>
      <c r="D274" t="s">
        <v>293</v>
      </c>
      <c r="E274" s="22">
        <v>33112.945636635799</v>
      </c>
      <c r="F274" s="22">
        <v>4072.4816205686702</v>
      </c>
      <c r="G274" s="10">
        <v>4072.4816205686702</v>
      </c>
      <c r="H274" s="23">
        <f t="shared" si="8"/>
        <v>0</v>
      </c>
      <c r="I274" s="10">
        <v>33112.945636635799</v>
      </c>
      <c r="J274" s="23">
        <f t="shared" si="9"/>
        <v>0</v>
      </c>
    </row>
    <row r="275" spans="1:10">
      <c r="A275" t="s">
        <v>112</v>
      </c>
      <c r="B275" t="s">
        <v>294</v>
      </c>
      <c r="C275" s="20">
        <v>2038</v>
      </c>
      <c r="D275" t="s">
        <v>292</v>
      </c>
      <c r="E275" s="22">
        <v>11317.6785263701</v>
      </c>
      <c r="F275" s="22">
        <v>8149.1101727823498</v>
      </c>
      <c r="G275" s="10">
        <v>8149.1101727823498</v>
      </c>
      <c r="H275" s="23">
        <f t="shared" si="8"/>
        <v>0</v>
      </c>
      <c r="I275" s="10">
        <v>11317.6785263701</v>
      </c>
      <c r="J275" s="23">
        <f t="shared" si="9"/>
        <v>0</v>
      </c>
    </row>
    <row r="276" spans="1:10">
      <c r="A276" t="s">
        <v>112</v>
      </c>
      <c r="B276" t="s">
        <v>294</v>
      </c>
      <c r="C276" s="20">
        <v>2038</v>
      </c>
      <c r="D276" t="s">
        <v>233</v>
      </c>
      <c r="E276" s="22">
        <v>579709.15080810699</v>
      </c>
      <c r="F276" s="22">
        <v>192212.96510579201</v>
      </c>
      <c r="G276" s="10">
        <v>192212.96510579201</v>
      </c>
      <c r="H276" s="23">
        <f t="shared" si="8"/>
        <v>0</v>
      </c>
      <c r="I276" s="10">
        <v>579709.15080810699</v>
      </c>
      <c r="J276" s="23">
        <f t="shared" si="9"/>
        <v>0</v>
      </c>
    </row>
    <row r="277" spans="1:10">
      <c r="A277" t="s">
        <v>112</v>
      </c>
      <c r="B277" t="s">
        <v>294</v>
      </c>
      <c r="C277" s="20">
        <v>2038</v>
      </c>
      <c r="D277" t="s">
        <v>208</v>
      </c>
      <c r="E277" s="22">
        <v>109397.410233203</v>
      </c>
      <c r="F277" s="22">
        <v>66690.176392691894</v>
      </c>
      <c r="G277" s="10">
        <v>66690.176392691894</v>
      </c>
      <c r="H277" s="23">
        <f t="shared" si="8"/>
        <v>0</v>
      </c>
      <c r="I277" s="10">
        <v>109397.410233203</v>
      </c>
      <c r="J277" s="23">
        <f t="shared" si="9"/>
        <v>0</v>
      </c>
    </row>
    <row r="278" spans="1:10">
      <c r="A278" t="s">
        <v>112</v>
      </c>
      <c r="B278" t="s">
        <v>294</v>
      </c>
      <c r="C278" s="20">
        <v>2038</v>
      </c>
      <c r="D278" t="s">
        <v>219</v>
      </c>
      <c r="E278" s="22">
        <v>280123.02241032303</v>
      </c>
      <c r="F278" s="22">
        <v>248273.44457909101</v>
      </c>
      <c r="G278" s="10">
        <v>248273.44457909101</v>
      </c>
      <c r="H278" s="23">
        <f t="shared" si="8"/>
        <v>0</v>
      </c>
      <c r="I278" s="10">
        <v>280123.02241032303</v>
      </c>
      <c r="J278" s="23">
        <f t="shared" si="9"/>
        <v>0</v>
      </c>
    </row>
    <row r="279" spans="1:10">
      <c r="A279" t="s">
        <v>112</v>
      </c>
      <c r="B279" t="s">
        <v>294</v>
      </c>
      <c r="C279" s="20">
        <v>2038</v>
      </c>
      <c r="D279" t="s">
        <v>223</v>
      </c>
      <c r="E279" s="22">
        <v>414343.96499136701</v>
      </c>
      <c r="F279" s="22">
        <v>287037.68007086799</v>
      </c>
      <c r="G279" s="10">
        <v>287037.68007086799</v>
      </c>
      <c r="H279" s="23">
        <f t="shared" si="8"/>
        <v>0</v>
      </c>
      <c r="I279" s="10">
        <v>414343.96499136701</v>
      </c>
      <c r="J279" s="23">
        <f t="shared" si="9"/>
        <v>0</v>
      </c>
    </row>
    <row r="280" spans="1:10">
      <c r="A280" t="s">
        <v>112</v>
      </c>
      <c r="B280" t="s">
        <v>294</v>
      </c>
      <c r="C280" s="20">
        <v>2038</v>
      </c>
      <c r="D280" t="s">
        <v>227</v>
      </c>
      <c r="E280" s="22">
        <v>278223.18557818403</v>
      </c>
      <c r="F280" s="22">
        <v>162691.669499593</v>
      </c>
      <c r="G280" s="10">
        <v>162691.669499593</v>
      </c>
      <c r="H280" s="23">
        <f t="shared" si="8"/>
        <v>0</v>
      </c>
      <c r="I280" s="10">
        <v>278223.18557818403</v>
      </c>
      <c r="J280" s="23">
        <f t="shared" si="9"/>
        <v>0</v>
      </c>
    </row>
    <row r="281" spans="1:10">
      <c r="A281" t="s">
        <v>112</v>
      </c>
      <c r="B281" t="s">
        <v>294</v>
      </c>
      <c r="C281" s="20">
        <v>2038</v>
      </c>
      <c r="D281" t="s">
        <v>293</v>
      </c>
      <c r="E281" s="22">
        <v>33042.550959519802</v>
      </c>
      <c r="F281" s="22">
        <v>4031.3208452899798</v>
      </c>
      <c r="G281" s="10">
        <v>4031.3208452899798</v>
      </c>
      <c r="H281" s="23">
        <f t="shared" si="8"/>
        <v>0</v>
      </c>
      <c r="I281" s="10">
        <v>33042.550959519802</v>
      </c>
      <c r="J281" s="23">
        <f t="shared" si="9"/>
        <v>0</v>
      </c>
    </row>
    <row r="282" spans="1:10">
      <c r="A282" t="s">
        <v>112</v>
      </c>
      <c r="B282" t="s">
        <v>294</v>
      </c>
      <c r="C282" s="20">
        <v>2039</v>
      </c>
      <c r="D282" t="s">
        <v>292</v>
      </c>
      <c r="E282" s="22">
        <v>11659.9247232692</v>
      </c>
      <c r="F282" s="22">
        <v>8308.7564255161706</v>
      </c>
      <c r="G282" s="10">
        <v>8308.7564255161706</v>
      </c>
      <c r="H282" s="23">
        <f t="shared" si="8"/>
        <v>0</v>
      </c>
      <c r="I282" s="10">
        <v>11659.9247232692</v>
      </c>
      <c r="J282" s="23">
        <f t="shared" si="9"/>
        <v>0</v>
      </c>
    </row>
    <row r="283" spans="1:10">
      <c r="A283" t="s">
        <v>112</v>
      </c>
      <c r="B283" t="s">
        <v>294</v>
      </c>
      <c r="C283" s="20">
        <v>2039</v>
      </c>
      <c r="D283" t="s">
        <v>233</v>
      </c>
      <c r="E283" s="22">
        <v>586585.813471601</v>
      </c>
      <c r="F283" s="22">
        <v>196399.78271442099</v>
      </c>
      <c r="G283" s="10">
        <v>196399.78271442099</v>
      </c>
      <c r="H283" s="23">
        <f t="shared" si="8"/>
        <v>0</v>
      </c>
      <c r="I283" s="10">
        <v>586585.813471601</v>
      </c>
      <c r="J283" s="23">
        <f t="shared" si="9"/>
        <v>0</v>
      </c>
    </row>
    <row r="284" spans="1:10">
      <c r="A284" t="s">
        <v>112</v>
      </c>
      <c r="B284" t="s">
        <v>294</v>
      </c>
      <c r="C284" s="20">
        <v>2039</v>
      </c>
      <c r="D284" t="s">
        <v>208</v>
      </c>
      <c r="E284" s="22">
        <v>112540.85014863699</v>
      </c>
      <c r="F284" s="22">
        <v>68351.165586621195</v>
      </c>
      <c r="G284" s="10">
        <v>68351.165586621195</v>
      </c>
      <c r="H284" s="23">
        <f t="shared" si="8"/>
        <v>0</v>
      </c>
      <c r="I284" s="10">
        <v>112540.85014863699</v>
      </c>
      <c r="J284" s="23">
        <f t="shared" si="9"/>
        <v>0</v>
      </c>
    </row>
    <row r="285" spans="1:10">
      <c r="A285" t="s">
        <v>112</v>
      </c>
      <c r="B285" t="s">
        <v>294</v>
      </c>
      <c r="C285" s="20">
        <v>2039</v>
      </c>
      <c r="D285" t="s">
        <v>219</v>
      </c>
      <c r="E285" s="22">
        <v>286321.19240738201</v>
      </c>
      <c r="F285" s="22">
        <v>253425.44356171699</v>
      </c>
      <c r="G285" s="10">
        <v>253425.44356171699</v>
      </c>
      <c r="H285" s="23">
        <f t="shared" si="8"/>
        <v>0</v>
      </c>
      <c r="I285" s="10">
        <v>286321.19240738201</v>
      </c>
      <c r="J285" s="23">
        <f t="shared" si="9"/>
        <v>0</v>
      </c>
    </row>
    <row r="286" spans="1:10">
      <c r="A286" t="s">
        <v>112</v>
      </c>
      <c r="B286" t="s">
        <v>294</v>
      </c>
      <c r="C286" s="20">
        <v>2039</v>
      </c>
      <c r="D286" t="s">
        <v>223</v>
      </c>
      <c r="E286" s="22">
        <v>423374.88237380597</v>
      </c>
      <c r="F286" s="22">
        <v>289267.92952396598</v>
      </c>
      <c r="G286" s="10">
        <v>289267.92952396598</v>
      </c>
      <c r="H286" s="23">
        <f t="shared" si="8"/>
        <v>0</v>
      </c>
      <c r="I286" s="10">
        <v>423374.88237380597</v>
      </c>
      <c r="J286" s="23">
        <f t="shared" si="9"/>
        <v>0</v>
      </c>
    </row>
    <row r="287" spans="1:10">
      <c r="A287" t="s">
        <v>112</v>
      </c>
      <c r="B287" t="s">
        <v>294</v>
      </c>
      <c r="C287" s="20">
        <v>2039</v>
      </c>
      <c r="D287" t="s">
        <v>227</v>
      </c>
      <c r="E287" s="22">
        <v>285667.44245130301</v>
      </c>
      <c r="F287" s="22">
        <v>165214.73790838799</v>
      </c>
      <c r="G287" s="10">
        <v>165214.73790838799</v>
      </c>
      <c r="H287" s="23">
        <f t="shared" si="8"/>
        <v>0</v>
      </c>
      <c r="I287" s="10">
        <v>285667.44245130301</v>
      </c>
      <c r="J287" s="23">
        <f t="shared" si="9"/>
        <v>0</v>
      </c>
    </row>
    <row r="288" spans="1:10">
      <c r="A288" t="s">
        <v>112</v>
      </c>
      <c r="B288" t="s">
        <v>294</v>
      </c>
      <c r="C288" s="20">
        <v>2039</v>
      </c>
      <c r="D288" t="s">
        <v>293</v>
      </c>
      <c r="E288" s="22">
        <v>32997.093274340303</v>
      </c>
      <c r="F288" s="22">
        <v>3990.2266117600898</v>
      </c>
      <c r="G288" s="10">
        <v>3990.2266117600898</v>
      </c>
      <c r="H288" s="23">
        <f t="shared" si="8"/>
        <v>0</v>
      </c>
      <c r="I288" s="10">
        <v>32997.093274340303</v>
      </c>
      <c r="J288" s="23">
        <f t="shared" si="9"/>
        <v>0</v>
      </c>
    </row>
    <row r="289" spans="1:10">
      <c r="A289" t="s">
        <v>112</v>
      </c>
      <c r="B289" t="s">
        <v>294</v>
      </c>
      <c r="C289" s="20">
        <v>2040</v>
      </c>
      <c r="D289" t="s">
        <v>292</v>
      </c>
      <c r="E289" s="22">
        <v>12016.657122104099</v>
      </c>
      <c r="F289" s="22">
        <v>8475.1947523414601</v>
      </c>
      <c r="G289" s="10">
        <v>8475.1947523414601</v>
      </c>
      <c r="H289" s="23">
        <f t="shared" si="8"/>
        <v>0</v>
      </c>
      <c r="I289" s="10">
        <v>12016.657122104099</v>
      </c>
      <c r="J289" s="23">
        <f t="shared" si="9"/>
        <v>0</v>
      </c>
    </row>
    <row r="290" spans="1:10">
      <c r="A290" t="s">
        <v>112</v>
      </c>
      <c r="B290" t="s">
        <v>294</v>
      </c>
      <c r="C290" s="20">
        <v>2040</v>
      </c>
      <c r="D290" t="s">
        <v>233</v>
      </c>
      <c r="E290" s="22">
        <v>593359.68314985395</v>
      </c>
      <c r="F290" s="22">
        <v>200573.83188491399</v>
      </c>
      <c r="G290" s="10">
        <v>200573.83188491399</v>
      </c>
      <c r="H290" s="23">
        <f t="shared" si="8"/>
        <v>0</v>
      </c>
      <c r="I290" s="10">
        <v>593359.68314985395</v>
      </c>
      <c r="J290" s="23">
        <f t="shared" si="9"/>
        <v>0</v>
      </c>
    </row>
    <row r="291" spans="1:10">
      <c r="A291" t="s">
        <v>112</v>
      </c>
      <c r="B291" t="s">
        <v>294</v>
      </c>
      <c r="C291" s="20">
        <v>2040</v>
      </c>
      <c r="D291" t="s">
        <v>208</v>
      </c>
      <c r="E291" s="22">
        <v>115715.91361322301</v>
      </c>
      <c r="F291" s="22">
        <v>70051.719234652104</v>
      </c>
      <c r="G291" s="10">
        <v>70051.719234652104</v>
      </c>
      <c r="H291" s="23">
        <f t="shared" si="8"/>
        <v>0</v>
      </c>
      <c r="I291" s="10">
        <v>115715.91361322301</v>
      </c>
      <c r="J291" s="23">
        <f t="shared" si="9"/>
        <v>0</v>
      </c>
    </row>
    <row r="292" spans="1:10">
      <c r="A292" t="s">
        <v>112</v>
      </c>
      <c r="B292" t="s">
        <v>294</v>
      </c>
      <c r="C292" s="20">
        <v>2040</v>
      </c>
      <c r="D292" t="s">
        <v>219</v>
      </c>
      <c r="E292" s="22">
        <v>292519.21784189797</v>
      </c>
      <c r="F292" s="22">
        <v>258453.35589354101</v>
      </c>
      <c r="G292" s="10">
        <v>258453.35589354101</v>
      </c>
      <c r="H292" s="23">
        <f t="shared" si="8"/>
        <v>0</v>
      </c>
      <c r="I292" s="10">
        <v>292519.21784189797</v>
      </c>
      <c r="J292" s="23">
        <f t="shared" si="9"/>
        <v>0</v>
      </c>
    </row>
    <row r="293" spans="1:10">
      <c r="A293" t="s">
        <v>112</v>
      </c>
      <c r="B293" t="s">
        <v>294</v>
      </c>
      <c r="C293" s="20">
        <v>2040</v>
      </c>
      <c r="D293" t="s">
        <v>223</v>
      </c>
      <c r="E293" s="22">
        <v>432447.36203710001</v>
      </c>
      <c r="F293" s="22">
        <v>291853.981250607</v>
      </c>
      <c r="G293" s="10">
        <v>291853.981250607</v>
      </c>
      <c r="H293" s="23">
        <f t="shared" si="8"/>
        <v>0</v>
      </c>
      <c r="I293" s="10">
        <v>432447.36203710001</v>
      </c>
      <c r="J293" s="23">
        <f t="shared" si="9"/>
        <v>0</v>
      </c>
    </row>
    <row r="294" spans="1:10">
      <c r="A294" t="s">
        <v>112</v>
      </c>
      <c r="B294" t="s">
        <v>294</v>
      </c>
      <c r="C294" s="20">
        <v>2040</v>
      </c>
      <c r="D294" t="s">
        <v>227</v>
      </c>
      <c r="E294" s="22">
        <v>293192.362737216</v>
      </c>
      <c r="F294" s="22">
        <v>167983.665373197</v>
      </c>
      <c r="G294" s="10">
        <v>167983.665373197</v>
      </c>
      <c r="H294" s="23">
        <f t="shared" si="8"/>
        <v>0</v>
      </c>
      <c r="I294" s="10">
        <v>293192.362737216</v>
      </c>
      <c r="J294" s="23">
        <f t="shared" si="9"/>
        <v>0</v>
      </c>
    </row>
    <row r="295" spans="1:10">
      <c r="A295" t="s">
        <v>112</v>
      </c>
      <c r="B295" t="s">
        <v>294</v>
      </c>
      <c r="C295" s="20">
        <v>2040</v>
      </c>
      <c r="D295" t="s">
        <v>293</v>
      </c>
      <c r="E295" s="22">
        <v>32967.371003673899</v>
      </c>
      <c r="F295" s="22">
        <v>3946.9398558753301</v>
      </c>
      <c r="G295" s="10">
        <v>3946.9398558753301</v>
      </c>
      <c r="H295" s="23">
        <f t="shared" si="8"/>
        <v>0</v>
      </c>
      <c r="I295" s="10">
        <v>32967.371003673899</v>
      </c>
      <c r="J295" s="23">
        <f t="shared" si="9"/>
        <v>0</v>
      </c>
    </row>
    <row r="296" spans="1:10">
      <c r="A296" t="s">
        <v>112</v>
      </c>
      <c r="B296" t="s">
        <v>294</v>
      </c>
      <c r="C296" s="20">
        <v>2041</v>
      </c>
      <c r="D296" t="s">
        <v>292</v>
      </c>
      <c r="E296" s="22">
        <v>12387.4352203005</v>
      </c>
      <c r="F296" s="22">
        <v>8652.4418797747203</v>
      </c>
      <c r="G296" s="10">
        <v>8652.4418797747203</v>
      </c>
      <c r="H296" s="23">
        <f t="shared" si="8"/>
        <v>0</v>
      </c>
      <c r="I296" s="10">
        <v>12387.4352203005</v>
      </c>
      <c r="J296" s="23">
        <f t="shared" si="9"/>
        <v>0</v>
      </c>
    </row>
    <row r="297" spans="1:10">
      <c r="A297" t="s">
        <v>112</v>
      </c>
      <c r="B297" t="s">
        <v>294</v>
      </c>
      <c r="C297" s="20">
        <v>2041</v>
      </c>
      <c r="D297" t="s">
        <v>233</v>
      </c>
      <c r="E297" s="22">
        <v>599982.63945756003</v>
      </c>
      <c r="F297" s="22">
        <v>204767.67956458699</v>
      </c>
      <c r="G297" s="10">
        <v>204767.67956458699</v>
      </c>
      <c r="H297" s="23">
        <f t="shared" si="8"/>
        <v>0</v>
      </c>
      <c r="I297" s="10">
        <v>599982.63945756003</v>
      </c>
      <c r="J297" s="23">
        <f t="shared" si="9"/>
        <v>0</v>
      </c>
    </row>
    <row r="298" spans="1:10">
      <c r="A298" t="s">
        <v>112</v>
      </c>
      <c r="B298" t="s">
        <v>294</v>
      </c>
      <c r="C298" s="20">
        <v>2041</v>
      </c>
      <c r="D298" t="s">
        <v>208</v>
      </c>
      <c r="E298" s="22">
        <v>118915.640835661</v>
      </c>
      <c r="F298" s="22">
        <v>71803.797724939097</v>
      </c>
      <c r="G298" s="10">
        <v>71803.797724939097</v>
      </c>
      <c r="H298" s="23">
        <f t="shared" si="8"/>
        <v>0</v>
      </c>
      <c r="I298" s="10">
        <v>118915.640835661</v>
      </c>
      <c r="J298" s="23">
        <f t="shared" si="9"/>
        <v>0</v>
      </c>
    </row>
    <row r="299" spans="1:10">
      <c r="A299" t="s">
        <v>112</v>
      </c>
      <c r="B299" t="s">
        <v>294</v>
      </c>
      <c r="C299" s="20">
        <v>2041</v>
      </c>
      <c r="D299" t="s">
        <v>219</v>
      </c>
      <c r="E299" s="22">
        <v>298705.446631775</v>
      </c>
      <c r="F299" s="22">
        <v>263516.67264334799</v>
      </c>
      <c r="G299" s="10">
        <v>263516.67264334799</v>
      </c>
      <c r="H299" s="23">
        <f t="shared" si="8"/>
        <v>0</v>
      </c>
      <c r="I299" s="10">
        <v>298705.446631775</v>
      </c>
      <c r="J299" s="23">
        <f t="shared" si="9"/>
        <v>0</v>
      </c>
    </row>
    <row r="300" spans="1:10">
      <c r="A300" t="s">
        <v>112</v>
      </c>
      <c r="B300" t="s">
        <v>294</v>
      </c>
      <c r="C300" s="20">
        <v>2041</v>
      </c>
      <c r="D300" t="s">
        <v>223</v>
      </c>
      <c r="E300" s="22">
        <v>441540.77905094897</v>
      </c>
      <c r="F300" s="22">
        <v>294859.61419276899</v>
      </c>
      <c r="G300" s="10">
        <v>294859.61419276899</v>
      </c>
      <c r="H300" s="23">
        <f t="shared" si="8"/>
        <v>0</v>
      </c>
      <c r="I300" s="10">
        <v>441540.77905094897</v>
      </c>
      <c r="J300" s="23">
        <f t="shared" si="9"/>
        <v>0</v>
      </c>
    </row>
    <row r="301" spans="1:10">
      <c r="A301" t="s">
        <v>112</v>
      </c>
      <c r="B301" t="s">
        <v>294</v>
      </c>
      <c r="C301" s="20">
        <v>2041</v>
      </c>
      <c r="D301" t="s">
        <v>227</v>
      </c>
      <c r="E301" s="22">
        <v>300778.54209626402</v>
      </c>
      <c r="F301" s="22">
        <v>171003.574399356</v>
      </c>
      <c r="G301" s="10">
        <v>171003.574399356</v>
      </c>
      <c r="H301" s="23">
        <f t="shared" si="8"/>
        <v>0</v>
      </c>
      <c r="I301" s="10">
        <v>300778.54209626402</v>
      </c>
      <c r="J301" s="23">
        <f t="shared" si="9"/>
        <v>0</v>
      </c>
    </row>
    <row r="302" spans="1:10">
      <c r="A302" t="s">
        <v>112</v>
      </c>
      <c r="B302" t="s">
        <v>294</v>
      </c>
      <c r="C302" s="20">
        <v>2041</v>
      </c>
      <c r="D302" t="s">
        <v>293</v>
      </c>
      <c r="E302" s="22">
        <v>32942.441314227603</v>
      </c>
      <c r="F302" s="22">
        <v>3901.7808023860898</v>
      </c>
      <c r="G302" s="10">
        <v>3901.7808023860898</v>
      </c>
      <c r="H302" s="23">
        <f t="shared" si="8"/>
        <v>0</v>
      </c>
      <c r="I302" s="10">
        <v>32942.441314227603</v>
      </c>
      <c r="J302" s="23">
        <f t="shared" si="9"/>
        <v>0</v>
      </c>
    </row>
    <row r="303" spans="1:10">
      <c r="A303" t="s">
        <v>112</v>
      </c>
      <c r="B303" t="s">
        <v>294</v>
      </c>
      <c r="C303" s="20">
        <v>2042</v>
      </c>
      <c r="D303" t="s">
        <v>292</v>
      </c>
      <c r="E303" s="22">
        <v>12771.673079427101</v>
      </c>
      <c r="F303" s="22">
        <v>8840.3509314455005</v>
      </c>
      <c r="G303" s="10">
        <v>8840.3509314455005</v>
      </c>
      <c r="H303" s="23">
        <f t="shared" si="8"/>
        <v>0</v>
      </c>
      <c r="I303" s="10">
        <v>12771.673079427101</v>
      </c>
      <c r="J303" s="23">
        <f t="shared" si="9"/>
        <v>0</v>
      </c>
    </row>
    <row r="304" spans="1:10">
      <c r="A304" t="s">
        <v>112</v>
      </c>
      <c r="B304" t="s">
        <v>294</v>
      </c>
      <c r="C304" s="20">
        <v>2042</v>
      </c>
      <c r="D304" t="s">
        <v>233</v>
      </c>
      <c r="E304" s="22">
        <v>606444.77442447701</v>
      </c>
      <c r="F304" s="22">
        <v>208935.34457270999</v>
      </c>
      <c r="G304" s="10">
        <v>208935.34457270999</v>
      </c>
      <c r="H304" s="23">
        <f t="shared" si="8"/>
        <v>0</v>
      </c>
      <c r="I304" s="10">
        <v>606444.77442447701</v>
      </c>
      <c r="J304" s="23">
        <f t="shared" si="9"/>
        <v>0</v>
      </c>
    </row>
    <row r="305" spans="1:10">
      <c r="A305" t="s">
        <v>112</v>
      </c>
      <c r="B305" t="s">
        <v>294</v>
      </c>
      <c r="C305" s="20">
        <v>2042</v>
      </c>
      <c r="D305" t="s">
        <v>208</v>
      </c>
      <c r="E305" s="22">
        <v>122132.445308682</v>
      </c>
      <c r="F305" s="22">
        <v>73591.295208371695</v>
      </c>
      <c r="G305" s="10">
        <v>73591.295208371695</v>
      </c>
      <c r="H305" s="23">
        <f t="shared" si="8"/>
        <v>0</v>
      </c>
      <c r="I305" s="10">
        <v>122132.445308682</v>
      </c>
      <c r="J305" s="23">
        <f t="shared" si="9"/>
        <v>0</v>
      </c>
    </row>
    <row r="306" spans="1:10">
      <c r="A306" t="s">
        <v>112</v>
      </c>
      <c r="B306" t="s">
        <v>294</v>
      </c>
      <c r="C306" s="20">
        <v>2042</v>
      </c>
      <c r="D306" t="s">
        <v>219</v>
      </c>
      <c r="E306" s="22">
        <v>304866.78876579</v>
      </c>
      <c r="F306" s="22">
        <v>268581.56217470701</v>
      </c>
      <c r="G306" s="10">
        <v>268581.56217470701</v>
      </c>
      <c r="H306" s="23">
        <f t="shared" si="8"/>
        <v>0</v>
      </c>
      <c r="I306" s="10">
        <v>304866.78876579</v>
      </c>
      <c r="J306" s="23">
        <f t="shared" si="9"/>
        <v>0</v>
      </c>
    </row>
    <row r="307" spans="1:10">
      <c r="A307" t="s">
        <v>112</v>
      </c>
      <c r="B307" t="s">
        <v>294</v>
      </c>
      <c r="C307" s="20">
        <v>2042</v>
      </c>
      <c r="D307" t="s">
        <v>223</v>
      </c>
      <c r="E307" s="22">
        <v>450639.13077547197</v>
      </c>
      <c r="F307" s="22">
        <v>298212.92020073603</v>
      </c>
      <c r="G307" s="10">
        <v>298212.92020073603</v>
      </c>
      <c r="H307" s="23">
        <f t="shared" si="8"/>
        <v>0</v>
      </c>
      <c r="I307" s="10">
        <v>450639.13077547197</v>
      </c>
      <c r="J307" s="23">
        <f t="shared" si="9"/>
        <v>0</v>
      </c>
    </row>
    <row r="308" spans="1:10">
      <c r="A308" t="s">
        <v>112</v>
      </c>
      <c r="B308" t="s">
        <v>294</v>
      </c>
      <c r="C308" s="20">
        <v>2042</v>
      </c>
      <c r="D308" t="s">
        <v>227</v>
      </c>
      <c r="E308" s="22">
        <v>308409.93121826497</v>
      </c>
      <c r="F308" s="22">
        <v>174243.76765953301</v>
      </c>
      <c r="G308" s="10">
        <v>174243.76765953301</v>
      </c>
      <c r="H308" s="23">
        <f t="shared" si="8"/>
        <v>0</v>
      </c>
      <c r="I308" s="10">
        <v>308409.93121826497</v>
      </c>
      <c r="J308" s="23">
        <f t="shared" si="9"/>
        <v>0</v>
      </c>
    </row>
    <row r="309" spans="1:10">
      <c r="A309" t="s">
        <v>112</v>
      </c>
      <c r="B309" t="s">
        <v>294</v>
      </c>
      <c r="C309" s="20">
        <v>2042</v>
      </c>
      <c r="D309" t="s">
        <v>293</v>
      </c>
      <c r="E309" s="22">
        <v>32923.7417053026</v>
      </c>
      <c r="F309" s="22">
        <v>3854.4980484920702</v>
      </c>
      <c r="G309" s="10">
        <v>3854.4980484920702</v>
      </c>
      <c r="H309" s="23">
        <f t="shared" si="8"/>
        <v>0</v>
      </c>
      <c r="I309" s="10">
        <v>32923.7417053026</v>
      </c>
      <c r="J309" s="23">
        <f t="shared" si="9"/>
        <v>0</v>
      </c>
    </row>
    <row r="310" spans="1:10">
      <c r="A310" t="s">
        <v>112</v>
      </c>
      <c r="B310" t="s">
        <v>294</v>
      </c>
      <c r="C310" s="20">
        <v>2043</v>
      </c>
      <c r="D310" t="s">
        <v>292</v>
      </c>
      <c r="E310" s="22">
        <v>13168.339072634901</v>
      </c>
      <c r="F310" s="22">
        <v>9033.89057082213</v>
      </c>
      <c r="G310" s="10">
        <v>9033.89057082213</v>
      </c>
      <c r="H310" s="23">
        <f t="shared" si="8"/>
        <v>0</v>
      </c>
      <c r="I310" s="10">
        <v>13168.339072634901</v>
      </c>
      <c r="J310" s="23">
        <f t="shared" si="9"/>
        <v>0</v>
      </c>
    </row>
    <row r="311" spans="1:10">
      <c r="A311" t="s">
        <v>112</v>
      </c>
      <c r="B311" t="s">
        <v>294</v>
      </c>
      <c r="C311" s="20">
        <v>2043</v>
      </c>
      <c r="D311" t="s">
        <v>233</v>
      </c>
      <c r="E311" s="22">
        <v>612739.13039442897</v>
      </c>
      <c r="F311" s="22">
        <v>213029.19765193301</v>
      </c>
      <c r="G311" s="10">
        <v>213029.19765193301</v>
      </c>
      <c r="H311" s="23">
        <f t="shared" si="8"/>
        <v>0</v>
      </c>
      <c r="I311" s="10">
        <v>612739.13039442897</v>
      </c>
      <c r="J311" s="23">
        <f t="shared" si="9"/>
        <v>0</v>
      </c>
    </row>
    <row r="312" spans="1:10">
      <c r="A312" t="s">
        <v>112</v>
      </c>
      <c r="B312" t="s">
        <v>294</v>
      </c>
      <c r="C312" s="20">
        <v>2043</v>
      </c>
      <c r="D312" t="s">
        <v>208</v>
      </c>
      <c r="E312" s="22">
        <v>125356.860393586</v>
      </c>
      <c r="F312" s="22">
        <v>75396.380272277296</v>
      </c>
      <c r="G312" s="10">
        <v>75396.380272277296</v>
      </c>
      <c r="H312" s="23">
        <f t="shared" si="8"/>
        <v>0</v>
      </c>
      <c r="I312" s="10">
        <v>125356.860393586</v>
      </c>
      <c r="J312" s="23">
        <f t="shared" si="9"/>
        <v>0</v>
      </c>
    </row>
    <row r="313" spans="1:10">
      <c r="A313" t="s">
        <v>112</v>
      </c>
      <c r="B313" t="s">
        <v>294</v>
      </c>
      <c r="C313" s="20">
        <v>2043</v>
      </c>
      <c r="D313" t="s">
        <v>219</v>
      </c>
      <c r="E313" s="22">
        <v>310987.82959968102</v>
      </c>
      <c r="F313" s="22">
        <v>273603.58671314199</v>
      </c>
      <c r="G313" s="10">
        <v>273603.58671314199</v>
      </c>
      <c r="H313" s="23">
        <f t="shared" si="8"/>
        <v>0</v>
      </c>
      <c r="I313" s="10">
        <v>310987.82959968102</v>
      </c>
      <c r="J313" s="23">
        <f t="shared" si="9"/>
        <v>0</v>
      </c>
    </row>
    <row r="314" spans="1:10">
      <c r="A314" t="s">
        <v>112</v>
      </c>
      <c r="B314" t="s">
        <v>294</v>
      </c>
      <c r="C314" s="20">
        <v>2043</v>
      </c>
      <c r="D314" t="s">
        <v>223</v>
      </c>
      <c r="E314" s="22">
        <v>459724.43279649201</v>
      </c>
      <c r="F314" s="22">
        <v>301843.05848118901</v>
      </c>
      <c r="G314" s="10">
        <v>301843.05848118901</v>
      </c>
      <c r="H314" s="23">
        <f t="shared" si="8"/>
        <v>0</v>
      </c>
      <c r="I314" s="10">
        <v>459724.43279649201</v>
      </c>
      <c r="J314" s="23">
        <f t="shared" si="9"/>
        <v>0</v>
      </c>
    </row>
    <row r="315" spans="1:10">
      <c r="A315" t="s">
        <v>112</v>
      </c>
      <c r="B315" t="s">
        <v>294</v>
      </c>
      <c r="C315" s="20">
        <v>2043</v>
      </c>
      <c r="D315" t="s">
        <v>227</v>
      </c>
      <c r="E315" s="22">
        <v>316066.79611552902</v>
      </c>
      <c r="F315" s="22">
        <v>177667.36412351401</v>
      </c>
      <c r="G315" s="10">
        <v>177667.36412351401</v>
      </c>
      <c r="H315" s="23">
        <f t="shared" si="8"/>
        <v>0</v>
      </c>
      <c r="I315" s="10">
        <v>316066.79611552902</v>
      </c>
      <c r="J315" s="23">
        <f t="shared" si="9"/>
        <v>0</v>
      </c>
    </row>
    <row r="316" spans="1:10">
      <c r="A316" t="s">
        <v>112</v>
      </c>
      <c r="B316" t="s">
        <v>294</v>
      </c>
      <c r="C316" s="20">
        <v>2043</v>
      </c>
      <c r="D316" t="s">
        <v>293</v>
      </c>
      <c r="E316" s="22">
        <v>32911.880511168398</v>
      </c>
      <c r="F316" s="22">
        <v>3804.5292924854298</v>
      </c>
      <c r="G316" s="10">
        <v>3804.5292924854298</v>
      </c>
      <c r="H316" s="23">
        <f t="shared" si="8"/>
        <v>0</v>
      </c>
      <c r="I316" s="10">
        <v>32911.880511168398</v>
      </c>
      <c r="J316" s="23">
        <f t="shared" si="9"/>
        <v>0</v>
      </c>
    </row>
    <row r="317" spans="1:10">
      <c r="A317" t="s">
        <v>112</v>
      </c>
      <c r="B317" t="s">
        <v>294</v>
      </c>
      <c r="C317" s="20">
        <v>2044</v>
      </c>
      <c r="D317" t="s">
        <v>292</v>
      </c>
      <c r="E317" s="22">
        <v>13576.069379708</v>
      </c>
      <c r="F317" s="22">
        <v>9234.7997579034109</v>
      </c>
      <c r="G317" s="10">
        <v>9234.7997579034109</v>
      </c>
      <c r="H317" s="23">
        <f t="shared" si="8"/>
        <v>0</v>
      </c>
      <c r="I317" s="10">
        <v>13576.069379708</v>
      </c>
      <c r="J317" s="23">
        <f t="shared" si="9"/>
        <v>0</v>
      </c>
    </row>
    <row r="318" spans="1:10">
      <c r="A318" t="s">
        <v>112</v>
      </c>
      <c r="B318" t="s">
        <v>294</v>
      </c>
      <c r="C318" s="20">
        <v>2044</v>
      </c>
      <c r="D318" t="s">
        <v>233</v>
      </c>
      <c r="E318" s="22">
        <v>618868.16828813695</v>
      </c>
      <c r="F318" s="22">
        <v>217059.26370778799</v>
      </c>
      <c r="G318" s="10">
        <v>217059.26370778799</v>
      </c>
      <c r="H318" s="23">
        <f t="shared" si="8"/>
        <v>0</v>
      </c>
      <c r="I318" s="10">
        <v>618868.16828813695</v>
      </c>
      <c r="J318" s="23">
        <f t="shared" si="9"/>
        <v>0</v>
      </c>
    </row>
    <row r="319" spans="1:10">
      <c r="A319" t="s">
        <v>112</v>
      </c>
      <c r="B319" t="s">
        <v>294</v>
      </c>
      <c r="C319" s="20">
        <v>2044</v>
      </c>
      <c r="D319" t="s">
        <v>208</v>
      </c>
      <c r="E319" s="22">
        <v>128575.76187715201</v>
      </c>
      <c r="F319" s="22">
        <v>77223.938294864303</v>
      </c>
      <c r="G319" s="10">
        <v>77223.938294864303</v>
      </c>
      <c r="H319" s="23">
        <f t="shared" si="8"/>
        <v>0</v>
      </c>
      <c r="I319" s="10">
        <v>128575.76187715201</v>
      </c>
      <c r="J319" s="23">
        <f t="shared" si="9"/>
        <v>0</v>
      </c>
    </row>
    <row r="320" spans="1:10">
      <c r="A320" t="s">
        <v>112</v>
      </c>
      <c r="B320" t="s">
        <v>294</v>
      </c>
      <c r="C320" s="20">
        <v>2044</v>
      </c>
      <c r="D320" t="s">
        <v>219</v>
      </c>
      <c r="E320" s="22">
        <v>317053.99471248803</v>
      </c>
      <c r="F320" s="22">
        <v>278610.82254443399</v>
      </c>
      <c r="G320" s="10">
        <v>278610.82254443399</v>
      </c>
      <c r="H320" s="23">
        <f t="shared" si="8"/>
        <v>0</v>
      </c>
      <c r="I320" s="10">
        <v>317053.99471248803</v>
      </c>
      <c r="J320" s="23">
        <f t="shared" si="9"/>
        <v>0</v>
      </c>
    </row>
    <row r="321" spans="1:10">
      <c r="A321" t="s">
        <v>112</v>
      </c>
      <c r="B321" t="s">
        <v>294</v>
      </c>
      <c r="C321" s="20">
        <v>2044</v>
      </c>
      <c r="D321" t="s">
        <v>223</v>
      </c>
      <c r="E321" s="22">
        <v>468781.67446116201</v>
      </c>
      <c r="F321" s="22">
        <v>305766.52493817301</v>
      </c>
      <c r="G321" s="10">
        <v>305766.52493817301</v>
      </c>
      <c r="H321" s="23">
        <f t="shared" si="8"/>
        <v>0</v>
      </c>
      <c r="I321" s="10">
        <v>468781.67446116201</v>
      </c>
      <c r="J321" s="23">
        <f t="shared" si="9"/>
        <v>0</v>
      </c>
    </row>
    <row r="322" spans="1:10">
      <c r="A322" t="s">
        <v>112</v>
      </c>
      <c r="B322" t="s">
        <v>294</v>
      </c>
      <c r="C322" s="20">
        <v>2044</v>
      </c>
      <c r="D322" t="s">
        <v>227</v>
      </c>
      <c r="E322" s="22">
        <v>323729.22678773402</v>
      </c>
      <c r="F322" s="22">
        <v>181281.035990996</v>
      </c>
      <c r="G322" s="10">
        <v>181281.035990996</v>
      </c>
      <c r="H322" s="23">
        <f t="shared" ref="H322:H365" si="10">G322-F322</f>
        <v>0</v>
      </c>
      <c r="I322" s="10">
        <v>323729.22678773402</v>
      </c>
      <c r="J322" s="23">
        <f t="shared" ref="J322:J365" si="11">I322-E322</f>
        <v>0</v>
      </c>
    </row>
    <row r="323" spans="1:10">
      <c r="A323" t="s">
        <v>112</v>
      </c>
      <c r="B323" t="s">
        <v>294</v>
      </c>
      <c r="C323" s="20">
        <v>2044</v>
      </c>
      <c r="D323" t="s">
        <v>293</v>
      </c>
      <c r="E323" s="22">
        <v>32907.508695295597</v>
      </c>
      <c r="F323" s="22">
        <v>3752.9909050923202</v>
      </c>
      <c r="G323" s="10">
        <v>3752.9909050923202</v>
      </c>
      <c r="H323" s="23">
        <f t="shared" si="10"/>
        <v>0</v>
      </c>
      <c r="I323" s="10">
        <v>32907.508695295597</v>
      </c>
      <c r="J323" s="23">
        <f t="shared" si="11"/>
        <v>0</v>
      </c>
    </row>
    <row r="324" spans="1:10">
      <c r="A324" t="s">
        <v>112</v>
      </c>
      <c r="B324" t="s">
        <v>294</v>
      </c>
      <c r="C324" s="20">
        <v>2045</v>
      </c>
      <c r="D324" t="s">
        <v>292</v>
      </c>
      <c r="E324" s="22">
        <v>13992.9571695542</v>
      </c>
      <c r="F324" s="22">
        <v>9443.9169888776105</v>
      </c>
      <c r="G324" s="10">
        <v>9443.9169888776105</v>
      </c>
      <c r="H324" s="23">
        <f t="shared" si="10"/>
        <v>0</v>
      </c>
      <c r="I324" s="10">
        <v>13992.9571695542</v>
      </c>
      <c r="J324" s="23">
        <f t="shared" si="11"/>
        <v>0</v>
      </c>
    </row>
    <row r="325" spans="1:10">
      <c r="A325" t="s">
        <v>112</v>
      </c>
      <c r="B325" t="s">
        <v>294</v>
      </c>
      <c r="C325" s="20">
        <v>2045</v>
      </c>
      <c r="D325" t="s">
        <v>233</v>
      </c>
      <c r="E325" s="22">
        <v>624835.08271993301</v>
      </c>
      <c r="F325" s="22">
        <v>221097.20620145899</v>
      </c>
      <c r="G325" s="10">
        <v>221097.20620145899</v>
      </c>
      <c r="H325" s="23">
        <f t="shared" si="10"/>
        <v>0</v>
      </c>
      <c r="I325" s="10">
        <v>624835.08271993301</v>
      </c>
      <c r="J325" s="23">
        <f t="shared" si="11"/>
        <v>0</v>
      </c>
    </row>
    <row r="326" spans="1:10">
      <c r="A326" t="s">
        <v>112</v>
      </c>
      <c r="B326" t="s">
        <v>294</v>
      </c>
      <c r="C326" s="20">
        <v>2045</v>
      </c>
      <c r="D326" t="s">
        <v>208</v>
      </c>
      <c r="E326" s="22">
        <v>131773.85805938399</v>
      </c>
      <c r="F326" s="22">
        <v>79093.532506875999</v>
      </c>
      <c r="G326" s="10">
        <v>79093.532506875999</v>
      </c>
      <c r="H326" s="23">
        <f t="shared" si="10"/>
        <v>0</v>
      </c>
      <c r="I326" s="10">
        <v>131773.85805938399</v>
      </c>
      <c r="J326" s="23">
        <f t="shared" si="11"/>
        <v>0</v>
      </c>
    </row>
    <row r="327" spans="1:10">
      <c r="A327" t="s">
        <v>112</v>
      </c>
      <c r="B327" t="s">
        <v>294</v>
      </c>
      <c r="C327" s="20">
        <v>2045</v>
      </c>
      <c r="D327" t="s">
        <v>219</v>
      </c>
      <c r="E327" s="22">
        <v>323049.27200499299</v>
      </c>
      <c r="F327" s="22">
        <v>283683.10507360101</v>
      </c>
      <c r="G327" s="10">
        <v>283683.10507360101</v>
      </c>
      <c r="H327" s="23">
        <f t="shared" si="10"/>
        <v>0</v>
      </c>
      <c r="I327" s="10">
        <v>323049.27200499299</v>
      </c>
      <c r="J327" s="23">
        <f t="shared" si="11"/>
        <v>0</v>
      </c>
    </row>
    <row r="328" spans="1:10">
      <c r="A328" t="s">
        <v>112</v>
      </c>
      <c r="B328" t="s">
        <v>294</v>
      </c>
      <c r="C328" s="20">
        <v>2045</v>
      </c>
      <c r="D328" t="s">
        <v>223</v>
      </c>
      <c r="E328" s="22">
        <v>477791.10772408801</v>
      </c>
      <c r="F328" s="22">
        <v>310050.875761798</v>
      </c>
      <c r="G328" s="10">
        <v>310050.875761798</v>
      </c>
      <c r="H328" s="23">
        <f t="shared" si="10"/>
        <v>0</v>
      </c>
      <c r="I328" s="10">
        <v>477791.10772408801</v>
      </c>
      <c r="J328" s="23">
        <f t="shared" si="11"/>
        <v>0</v>
      </c>
    </row>
    <row r="329" spans="1:10">
      <c r="A329" t="s">
        <v>112</v>
      </c>
      <c r="B329" t="s">
        <v>294</v>
      </c>
      <c r="C329" s="20">
        <v>2045</v>
      </c>
      <c r="D329" t="s">
        <v>227</v>
      </c>
      <c r="E329" s="22">
        <v>331375.62850434298</v>
      </c>
      <c r="F329" s="22">
        <v>185115.97208092501</v>
      </c>
      <c r="G329" s="10">
        <v>185115.97208092501</v>
      </c>
      <c r="H329" s="23">
        <f t="shared" si="10"/>
        <v>0</v>
      </c>
      <c r="I329" s="10">
        <v>331375.62850434298</v>
      </c>
      <c r="J329" s="23">
        <f t="shared" si="11"/>
        <v>0</v>
      </c>
    </row>
    <row r="330" spans="1:10">
      <c r="A330" t="s">
        <v>112</v>
      </c>
      <c r="B330" t="s">
        <v>294</v>
      </c>
      <c r="C330" s="20">
        <v>2045</v>
      </c>
      <c r="D330" t="s">
        <v>293</v>
      </c>
      <c r="E330" s="22">
        <v>32911.922085827602</v>
      </c>
      <c r="F330" s="22">
        <v>3700.6391374935802</v>
      </c>
      <c r="G330" s="10">
        <v>3700.6391374935802</v>
      </c>
      <c r="H330" s="23">
        <f t="shared" si="10"/>
        <v>0</v>
      </c>
      <c r="I330" s="10">
        <v>32911.922085827602</v>
      </c>
      <c r="J330" s="23">
        <f t="shared" si="11"/>
        <v>0</v>
      </c>
    </row>
    <row r="331" spans="1:10">
      <c r="A331" t="s">
        <v>112</v>
      </c>
      <c r="B331" t="s">
        <v>294</v>
      </c>
      <c r="C331" s="20">
        <v>2046</v>
      </c>
      <c r="D331" t="s">
        <v>292</v>
      </c>
      <c r="E331" s="22">
        <v>14416.9012821335</v>
      </c>
      <c r="F331" s="22">
        <v>9662.5572252420698</v>
      </c>
      <c r="G331" s="10">
        <v>9662.5572252420698</v>
      </c>
      <c r="H331" s="23">
        <f t="shared" si="10"/>
        <v>0</v>
      </c>
      <c r="I331" s="10">
        <v>14416.9012821335</v>
      </c>
      <c r="J331" s="23">
        <f t="shared" si="11"/>
        <v>0</v>
      </c>
    </row>
    <row r="332" spans="1:10">
      <c r="A332" t="s">
        <v>112</v>
      </c>
      <c r="B332" t="s">
        <v>294</v>
      </c>
      <c r="C332" s="20">
        <v>2046</v>
      </c>
      <c r="D332" t="s">
        <v>233</v>
      </c>
      <c r="E332" s="22">
        <v>630633.45443870698</v>
      </c>
      <c r="F332" s="22">
        <v>225087.48463903999</v>
      </c>
      <c r="G332" s="10">
        <v>225087.48463903999</v>
      </c>
      <c r="H332" s="23">
        <f t="shared" si="10"/>
        <v>0</v>
      </c>
      <c r="I332" s="10">
        <v>630633.45443870698</v>
      </c>
      <c r="J332" s="23">
        <f t="shared" si="11"/>
        <v>0</v>
      </c>
    </row>
    <row r="333" spans="1:10">
      <c r="A333" t="s">
        <v>112</v>
      </c>
      <c r="B333" t="s">
        <v>294</v>
      </c>
      <c r="C333" s="20">
        <v>2046</v>
      </c>
      <c r="D333" t="s">
        <v>208</v>
      </c>
      <c r="E333" s="22">
        <v>134937.38236869901</v>
      </c>
      <c r="F333" s="22">
        <v>80987.444769686394</v>
      </c>
      <c r="G333" s="10">
        <v>80987.444769686394</v>
      </c>
      <c r="H333" s="23">
        <f t="shared" si="10"/>
        <v>0</v>
      </c>
      <c r="I333" s="10">
        <v>134937.38236869901</v>
      </c>
      <c r="J333" s="23">
        <f t="shared" si="11"/>
        <v>0</v>
      </c>
    </row>
    <row r="334" spans="1:10">
      <c r="A334" t="s">
        <v>112</v>
      </c>
      <c r="B334" t="s">
        <v>294</v>
      </c>
      <c r="C334" s="20">
        <v>2046</v>
      </c>
      <c r="D334" t="s">
        <v>219</v>
      </c>
      <c r="E334" s="22">
        <v>328956.45042599202</v>
      </c>
      <c r="F334" s="22">
        <v>288722.00455675402</v>
      </c>
      <c r="G334" s="10">
        <v>288722.00455675402</v>
      </c>
      <c r="H334" s="23">
        <f t="shared" si="10"/>
        <v>0</v>
      </c>
      <c r="I334" s="10">
        <v>328956.45042599202</v>
      </c>
      <c r="J334" s="23">
        <f t="shared" si="11"/>
        <v>0</v>
      </c>
    </row>
    <row r="335" spans="1:10">
      <c r="A335" t="s">
        <v>112</v>
      </c>
      <c r="B335" t="s">
        <v>294</v>
      </c>
      <c r="C335" s="20">
        <v>2046</v>
      </c>
      <c r="D335" t="s">
        <v>223</v>
      </c>
      <c r="E335" s="22">
        <v>486729.52198495099</v>
      </c>
      <c r="F335" s="22">
        <v>314651.11694933701</v>
      </c>
      <c r="G335" s="10">
        <v>314651.11694933701</v>
      </c>
      <c r="H335" s="23">
        <f t="shared" si="10"/>
        <v>0</v>
      </c>
      <c r="I335" s="10">
        <v>486729.52198495099</v>
      </c>
      <c r="J335" s="23">
        <f t="shared" si="11"/>
        <v>0</v>
      </c>
    </row>
    <row r="336" spans="1:10">
      <c r="A336" t="s">
        <v>112</v>
      </c>
      <c r="B336" t="s">
        <v>294</v>
      </c>
      <c r="C336" s="20">
        <v>2046</v>
      </c>
      <c r="D336" t="s">
        <v>227</v>
      </c>
      <c r="E336" s="22">
        <v>338982.68530340499</v>
      </c>
      <c r="F336" s="22">
        <v>189123.71101565199</v>
      </c>
      <c r="G336" s="10">
        <v>189123.71101565199</v>
      </c>
      <c r="H336" s="23">
        <f t="shared" si="10"/>
        <v>0</v>
      </c>
      <c r="I336" s="10">
        <v>338982.68530340499</v>
      </c>
      <c r="J336" s="23">
        <f t="shared" si="11"/>
        <v>0</v>
      </c>
    </row>
    <row r="337" spans="1:10">
      <c r="A337" t="s">
        <v>112</v>
      </c>
      <c r="B337" t="s">
        <v>294</v>
      </c>
      <c r="C337" s="20">
        <v>2046</v>
      </c>
      <c r="D337" t="s">
        <v>293</v>
      </c>
      <c r="E337" s="22">
        <v>32925.709686976297</v>
      </c>
      <c r="F337" s="22">
        <v>3646.9492853438401</v>
      </c>
      <c r="G337" s="10">
        <v>3646.9492853438401</v>
      </c>
      <c r="H337" s="23">
        <f t="shared" si="10"/>
        <v>0</v>
      </c>
      <c r="I337" s="10">
        <v>32925.709686976297</v>
      </c>
      <c r="J337" s="23">
        <f t="shared" si="11"/>
        <v>0</v>
      </c>
    </row>
    <row r="338" spans="1:10">
      <c r="A338" t="s">
        <v>112</v>
      </c>
      <c r="B338" t="s">
        <v>294</v>
      </c>
      <c r="C338" s="20">
        <v>2047</v>
      </c>
      <c r="D338" t="s">
        <v>292</v>
      </c>
      <c r="E338" s="22">
        <v>14845.805578470299</v>
      </c>
      <c r="F338" s="22">
        <v>9884.2563696177494</v>
      </c>
      <c r="G338" s="10">
        <v>9884.2563696177494</v>
      </c>
      <c r="H338" s="23">
        <f t="shared" si="10"/>
        <v>0</v>
      </c>
      <c r="I338" s="10">
        <v>14845.805578470299</v>
      </c>
      <c r="J338" s="23">
        <f t="shared" si="11"/>
        <v>0</v>
      </c>
    </row>
    <row r="339" spans="1:10">
      <c r="A339" t="s">
        <v>112</v>
      </c>
      <c r="B339" t="s">
        <v>294</v>
      </c>
      <c r="C339" s="20">
        <v>2047</v>
      </c>
      <c r="D339" t="s">
        <v>233</v>
      </c>
      <c r="E339" s="22">
        <v>636253.66315163404</v>
      </c>
      <c r="F339" s="22">
        <v>228919.32828000799</v>
      </c>
      <c r="G339" s="10">
        <v>228919.32828000799</v>
      </c>
      <c r="H339" s="23">
        <f t="shared" si="10"/>
        <v>0</v>
      </c>
      <c r="I339" s="10">
        <v>636253.66315163404</v>
      </c>
      <c r="J339" s="23">
        <f t="shared" si="11"/>
        <v>0</v>
      </c>
    </row>
    <row r="340" spans="1:10">
      <c r="A340" t="s">
        <v>112</v>
      </c>
      <c r="B340" t="s">
        <v>294</v>
      </c>
      <c r="C340" s="20">
        <v>2047</v>
      </c>
      <c r="D340" t="s">
        <v>208</v>
      </c>
      <c r="E340" s="22">
        <v>138055.42772576699</v>
      </c>
      <c r="F340" s="22">
        <v>82863.236389872996</v>
      </c>
      <c r="G340" s="10">
        <v>82863.236389872996</v>
      </c>
      <c r="H340" s="23">
        <f t="shared" si="10"/>
        <v>0</v>
      </c>
      <c r="I340" s="10">
        <v>138055.42772576699</v>
      </c>
      <c r="J340" s="23">
        <f t="shared" si="11"/>
        <v>0</v>
      </c>
    </row>
    <row r="341" spans="1:10">
      <c r="A341" t="s">
        <v>112</v>
      </c>
      <c r="B341" t="s">
        <v>294</v>
      </c>
      <c r="C341" s="20">
        <v>2047</v>
      </c>
      <c r="D341" t="s">
        <v>219</v>
      </c>
      <c r="E341" s="22">
        <v>334760.28919771599</v>
      </c>
      <c r="F341" s="22">
        <v>293585.58082425798</v>
      </c>
      <c r="G341" s="10">
        <v>293585.58082425798</v>
      </c>
      <c r="H341" s="23">
        <f t="shared" si="10"/>
        <v>0</v>
      </c>
      <c r="I341" s="10">
        <v>334760.28919771599</v>
      </c>
      <c r="J341" s="23">
        <f t="shared" si="11"/>
        <v>0</v>
      </c>
    </row>
    <row r="342" spans="1:10">
      <c r="A342" t="s">
        <v>112</v>
      </c>
      <c r="B342" t="s">
        <v>294</v>
      </c>
      <c r="C342" s="20">
        <v>2047</v>
      </c>
      <c r="D342" t="s">
        <v>223</v>
      </c>
      <c r="E342" s="22">
        <v>495569.83465080202</v>
      </c>
      <c r="F342" s="22">
        <v>319399.48409933399</v>
      </c>
      <c r="G342" s="10">
        <v>319399.48409933399</v>
      </c>
      <c r="H342" s="23">
        <f t="shared" si="10"/>
        <v>0</v>
      </c>
      <c r="I342" s="10">
        <v>495569.83465080202</v>
      </c>
      <c r="J342" s="23">
        <f t="shared" si="11"/>
        <v>0</v>
      </c>
    </row>
    <row r="343" spans="1:10">
      <c r="A343" t="s">
        <v>112</v>
      </c>
      <c r="B343" t="s">
        <v>294</v>
      </c>
      <c r="C343" s="20">
        <v>2047</v>
      </c>
      <c r="D343" t="s">
        <v>227</v>
      </c>
      <c r="E343" s="22">
        <v>346526.058989921</v>
      </c>
      <c r="F343" s="22">
        <v>193198.03276371799</v>
      </c>
      <c r="G343" s="10">
        <v>193198.03276371799</v>
      </c>
      <c r="H343" s="23">
        <f t="shared" si="10"/>
        <v>0</v>
      </c>
      <c r="I343" s="10">
        <v>346526.058989921</v>
      </c>
      <c r="J343" s="23">
        <f t="shared" si="11"/>
        <v>0</v>
      </c>
    </row>
    <row r="344" spans="1:10">
      <c r="A344" t="s">
        <v>112</v>
      </c>
      <c r="B344" t="s">
        <v>294</v>
      </c>
      <c r="C344" s="20">
        <v>2047</v>
      </c>
      <c r="D344" t="s">
        <v>293</v>
      </c>
      <c r="E344" s="22">
        <v>32947.883264015203</v>
      </c>
      <c r="F344" s="22">
        <v>3591.30660045174</v>
      </c>
      <c r="G344" s="10">
        <v>3591.30660045174</v>
      </c>
      <c r="H344" s="23">
        <f t="shared" si="10"/>
        <v>0</v>
      </c>
      <c r="I344" s="10">
        <v>32947.883264015203</v>
      </c>
      <c r="J344" s="23">
        <f t="shared" si="11"/>
        <v>0</v>
      </c>
    </row>
    <row r="345" spans="1:10">
      <c r="A345" t="s">
        <v>112</v>
      </c>
      <c r="B345" t="s">
        <v>294</v>
      </c>
      <c r="C345" s="20">
        <v>2048</v>
      </c>
      <c r="D345" t="s">
        <v>292</v>
      </c>
      <c r="E345" s="22">
        <v>15278.663545413299</v>
      </c>
      <c r="F345" s="22">
        <v>10106.7472909022</v>
      </c>
      <c r="G345" s="10">
        <v>10106.7472909022</v>
      </c>
      <c r="H345" s="23">
        <f t="shared" si="10"/>
        <v>0</v>
      </c>
      <c r="I345" s="10">
        <v>15278.663545413299</v>
      </c>
      <c r="J345" s="23">
        <f t="shared" si="11"/>
        <v>0</v>
      </c>
    </row>
    <row r="346" spans="1:10">
      <c r="A346" t="s">
        <v>112</v>
      </c>
      <c r="B346" t="s">
        <v>294</v>
      </c>
      <c r="C346" s="20">
        <v>2048</v>
      </c>
      <c r="D346" t="s">
        <v>233</v>
      </c>
      <c r="E346" s="22">
        <v>641692.37951910705</v>
      </c>
      <c r="F346" s="22">
        <v>232567.22432602101</v>
      </c>
      <c r="G346" s="10">
        <v>232567.22432602101</v>
      </c>
      <c r="H346" s="23">
        <f t="shared" si="10"/>
        <v>0</v>
      </c>
      <c r="I346" s="10">
        <v>641692.37951910705</v>
      </c>
      <c r="J346" s="23">
        <f t="shared" si="11"/>
        <v>0</v>
      </c>
    </row>
    <row r="347" spans="1:10">
      <c r="A347" t="s">
        <v>112</v>
      </c>
      <c r="B347" t="s">
        <v>294</v>
      </c>
      <c r="C347" s="20">
        <v>2048</v>
      </c>
      <c r="D347" t="s">
        <v>208</v>
      </c>
      <c r="E347" s="22">
        <v>141123.50011586599</v>
      </c>
      <c r="F347" s="22">
        <v>84706.021079665297</v>
      </c>
      <c r="G347" s="10">
        <v>84706.021079665297</v>
      </c>
      <c r="H347" s="23">
        <f t="shared" si="10"/>
        <v>0</v>
      </c>
      <c r="I347" s="10">
        <v>141123.50011586599</v>
      </c>
      <c r="J347" s="23">
        <f t="shared" si="11"/>
        <v>0</v>
      </c>
    </row>
    <row r="348" spans="1:10">
      <c r="A348" t="s">
        <v>112</v>
      </c>
      <c r="B348" t="s">
        <v>294</v>
      </c>
      <c r="C348" s="20">
        <v>2048</v>
      </c>
      <c r="D348" t="s">
        <v>219</v>
      </c>
      <c r="E348" s="22">
        <v>340455.12240811501</v>
      </c>
      <c r="F348" s="22">
        <v>298320.63592045702</v>
      </c>
      <c r="G348" s="10">
        <v>298320.63592045702</v>
      </c>
      <c r="H348" s="23">
        <f t="shared" si="10"/>
        <v>0</v>
      </c>
      <c r="I348" s="10">
        <v>340455.12240811501</v>
      </c>
      <c r="J348" s="23">
        <f t="shared" si="11"/>
        <v>0</v>
      </c>
    </row>
    <row r="349" spans="1:10">
      <c r="A349" t="s">
        <v>112</v>
      </c>
      <c r="B349" t="s">
        <v>294</v>
      </c>
      <c r="C349" s="20">
        <v>2048</v>
      </c>
      <c r="D349" t="s">
        <v>223</v>
      </c>
      <c r="E349" s="22">
        <v>504299.02934186702</v>
      </c>
      <c r="F349" s="22">
        <v>324217.60933358001</v>
      </c>
      <c r="G349" s="10">
        <v>324217.60933358001</v>
      </c>
      <c r="H349" s="23">
        <f t="shared" si="10"/>
        <v>0</v>
      </c>
      <c r="I349" s="10">
        <v>504299.02934186702</v>
      </c>
      <c r="J349" s="23">
        <f t="shared" si="11"/>
        <v>0</v>
      </c>
    </row>
    <row r="350" spans="1:10">
      <c r="A350" t="s">
        <v>112</v>
      </c>
      <c r="B350" t="s">
        <v>294</v>
      </c>
      <c r="C350" s="20">
        <v>2048</v>
      </c>
      <c r="D350" t="s">
        <v>227</v>
      </c>
      <c r="E350" s="22">
        <v>353994.65246496501</v>
      </c>
      <c r="F350" s="22">
        <v>197309.285532157</v>
      </c>
      <c r="G350" s="10">
        <v>197309.285532157</v>
      </c>
      <c r="H350" s="23">
        <f t="shared" si="10"/>
        <v>0</v>
      </c>
      <c r="I350" s="10">
        <v>353994.65246496501</v>
      </c>
      <c r="J350" s="23">
        <f t="shared" si="11"/>
        <v>0</v>
      </c>
    </row>
    <row r="351" spans="1:10">
      <c r="A351" t="s">
        <v>112</v>
      </c>
      <c r="B351" t="s">
        <v>294</v>
      </c>
      <c r="C351" s="20">
        <v>2048</v>
      </c>
      <c r="D351" t="s">
        <v>293</v>
      </c>
      <c r="E351" s="22">
        <v>32976.845848930498</v>
      </c>
      <c r="F351" s="22">
        <v>3533.59051858982</v>
      </c>
      <c r="G351" s="10">
        <v>3533.59051858982</v>
      </c>
      <c r="H351" s="23">
        <f t="shared" si="10"/>
        <v>0</v>
      </c>
      <c r="I351" s="10">
        <v>32976.845848930498</v>
      </c>
      <c r="J351" s="23">
        <f t="shared" si="11"/>
        <v>0</v>
      </c>
    </row>
    <row r="352" spans="1:10">
      <c r="A352" t="s">
        <v>112</v>
      </c>
      <c r="B352" t="s">
        <v>294</v>
      </c>
      <c r="C352" s="20">
        <v>2049</v>
      </c>
      <c r="D352" t="s">
        <v>292</v>
      </c>
      <c r="E352" s="22">
        <v>15714.231843961201</v>
      </c>
      <c r="F352" s="22">
        <v>10334.6577056428</v>
      </c>
      <c r="G352" s="10">
        <v>10334.6577056428</v>
      </c>
      <c r="H352" s="23">
        <f t="shared" si="10"/>
        <v>0</v>
      </c>
      <c r="I352" s="10">
        <v>15714.231843961201</v>
      </c>
      <c r="J352" s="23">
        <f t="shared" si="11"/>
        <v>0</v>
      </c>
    </row>
    <row r="353" spans="1:10">
      <c r="A353" t="s">
        <v>112</v>
      </c>
      <c r="B353" t="s">
        <v>294</v>
      </c>
      <c r="C353" s="20">
        <v>2049</v>
      </c>
      <c r="D353" t="s">
        <v>233</v>
      </c>
      <c r="E353" s="22">
        <v>646954.55035600194</v>
      </c>
      <c r="F353" s="22">
        <v>236184.43798160201</v>
      </c>
      <c r="G353" s="10">
        <v>236184.43798160201</v>
      </c>
      <c r="H353" s="23">
        <f t="shared" si="10"/>
        <v>0</v>
      </c>
      <c r="I353" s="10">
        <v>646954.55035600194</v>
      </c>
      <c r="J353" s="23">
        <f t="shared" si="11"/>
        <v>0</v>
      </c>
    </row>
    <row r="354" spans="1:10">
      <c r="A354" t="s">
        <v>112</v>
      </c>
      <c r="B354" t="s">
        <v>294</v>
      </c>
      <c r="C354" s="20">
        <v>2049</v>
      </c>
      <c r="D354" t="s">
        <v>208</v>
      </c>
      <c r="E354" s="22">
        <v>144138.45328369801</v>
      </c>
      <c r="F354" s="22">
        <v>86568.0702641526</v>
      </c>
      <c r="G354" s="10">
        <v>86568.0702641526</v>
      </c>
      <c r="H354" s="23">
        <f t="shared" si="10"/>
        <v>0</v>
      </c>
      <c r="I354" s="10">
        <v>144138.45328369801</v>
      </c>
      <c r="J354" s="23">
        <f t="shared" si="11"/>
        <v>0</v>
      </c>
    </row>
    <row r="355" spans="1:10">
      <c r="A355" t="s">
        <v>112</v>
      </c>
      <c r="B355" t="s">
        <v>294</v>
      </c>
      <c r="C355" s="20">
        <v>2049</v>
      </c>
      <c r="D355" t="s">
        <v>219</v>
      </c>
      <c r="E355" s="22">
        <v>346038.41995901999</v>
      </c>
      <c r="F355" s="22">
        <v>303093.15946859901</v>
      </c>
      <c r="G355" s="10">
        <v>303093.15946859901</v>
      </c>
      <c r="H355" s="23">
        <f t="shared" si="10"/>
        <v>0</v>
      </c>
      <c r="I355" s="10">
        <v>346038.41995901999</v>
      </c>
      <c r="J355" s="23">
        <f t="shared" si="11"/>
        <v>0</v>
      </c>
    </row>
    <row r="356" spans="1:10">
      <c r="A356" t="s">
        <v>112</v>
      </c>
      <c r="B356" t="s">
        <v>294</v>
      </c>
      <c r="C356" s="20">
        <v>2049</v>
      </c>
      <c r="D356" t="s">
        <v>223</v>
      </c>
      <c r="E356" s="22">
        <v>512908.49533258798</v>
      </c>
      <c r="F356" s="22">
        <v>329256.16241399501</v>
      </c>
      <c r="G356" s="10">
        <v>329256.16241399501</v>
      </c>
      <c r="H356" s="23">
        <f t="shared" si="10"/>
        <v>0</v>
      </c>
      <c r="I356" s="10">
        <v>512908.49533258798</v>
      </c>
      <c r="J356" s="23">
        <f t="shared" si="11"/>
        <v>0</v>
      </c>
    </row>
    <row r="357" spans="1:10">
      <c r="A357" t="s">
        <v>112</v>
      </c>
      <c r="B357" t="s">
        <v>294</v>
      </c>
      <c r="C357" s="20">
        <v>2049</v>
      </c>
      <c r="D357" t="s">
        <v>227</v>
      </c>
      <c r="E357" s="22">
        <v>361374.377334013</v>
      </c>
      <c r="F357" s="22">
        <v>201565.46253171301</v>
      </c>
      <c r="G357" s="10">
        <v>201565.46253171301</v>
      </c>
      <c r="H357" s="23">
        <f t="shared" si="10"/>
        <v>0</v>
      </c>
      <c r="I357" s="10">
        <v>361374.377334013</v>
      </c>
      <c r="J357" s="23">
        <f t="shared" si="11"/>
        <v>0</v>
      </c>
    </row>
    <row r="358" spans="1:10">
      <c r="A358" t="s">
        <v>112</v>
      </c>
      <c r="B358" t="s">
        <v>294</v>
      </c>
      <c r="C358" s="20">
        <v>2049</v>
      </c>
      <c r="D358" t="s">
        <v>293</v>
      </c>
      <c r="E358" s="22">
        <v>33011.376830813599</v>
      </c>
      <c r="F358" s="22">
        <v>3474.76789817908</v>
      </c>
      <c r="G358" s="10">
        <v>3474.76789817908</v>
      </c>
      <c r="H358" s="23">
        <f t="shared" si="10"/>
        <v>0</v>
      </c>
      <c r="I358" s="10">
        <v>33011.376830813599</v>
      </c>
      <c r="J358" s="23">
        <f t="shared" si="11"/>
        <v>0</v>
      </c>
    </row>
    <row r="359" spans="1:10">
      <c r="A359" t="s">
        <v>112</v>
      </c>
      <c r="B359" t="s">
        <v>294</v>
      </c>
      <c r="C359" s="20">
        <v>2050</v>
      </c>
      <c r="D359" t="s">
        <v>292</v>
      </c>
      <c r="E359" s="22">
        <v>16150.7411265873</v>
      </c>
      <c r="F359" s="22">
        <v>10564.6551505717</v>
      </c>
      <c r="G359" s="10">
        <v>10564.6551505717</v>
      </c>
      <c r="H359" s="23">
        <f t="shared" si="10"/>
        <v>0</v>
      </c>
      <c r="I359" s="10">
        <v>16150.7411265873</v>
      </c>
      <c r="J359" s="23">
        <f t="shared" si="11"/>
        <v>0</v>
      </c>
    </row>
    <row r="360" spans="1:10">
      <c r="A360" t="s">
        <v>112</v>
      </c>
      <c r="B360" t="s">
        <v>294</v>
      </c>
      <c r="C360" s="20">
        <v>2050</v>
      </c>
      <c r="D360" t="s">
        <v>233</v>
      </c>
      <c r="E360" s="22">
        <v>652041.048852487</v>
      </c>
      <c r="F360" s="22">
        <v>239665.50238283601</v>
      </c>
      <c r="G360" s="10">
        <v>239665.50238283601</v>
      </c>
      <c r="H360" s="23">
        <f t="shared" si="10"/>
        <v>0</v>
      </c>
      <c r="I360" s="10">
        <v>652041.048852487</v>
      </c>
      <c r="J360" s="23">
        <f t="shared" si="11"/>
        <v>0</v>
      </c>
    </row>
    <row r="361" spans="1:10">
      <c r="A361" t="s">
        <v>112</v>
      </c>
      <c r="B361" t="s">
        <v>294</v>
      </c>
      <c r="C361" s="20">
        <v>2050</v>
      </c>
      <c r="D361" t="s">
        <v>208</v>
      </c>
      <c r="E361" s="22">
        <v>147097.95278152401</v>
      </c>
      <c r="F361" s="22">
        <v>88407.352194463994</v>
      </c>
      <c r="G361" s="10">
        <v>88407.352194463994</v>
      </c>
      <c r="H361" s="23">
        <f t="shared" si="10"/>
        <v>0</v>
      </c>
      <c r="I361" s="10">
        <v>147097.95278152401</v>
      </c>
      <c r="J361" s="23">
        <f t="shared" si="11"/>
        <v>0</v>
      </c>
    </row>
    <row r="362" spans="1:10">
      <c r="A362" t="s">
        <v>112</v>
      </c>
      <c r="B362" t="s">
        <v>294</v>
      </c>
      <c r="C362" s="20">
        <v>2050</v>
      </c>
      <c r="D362" t="s">
        <v>219</v>
      </c>
      <c r="E362" s="22">
        <v>351504.691612483</v>
      </c>
      <c r="F362" s="22">
        <v>307720.04114350502</v>
      </c>
      <c r="G362" s="10">
        <v>307720.04114350502</v>
      </c>
      <c r="H362" s="23">
        <f t="shared" si="10"/>
        <v>0</v>
      </c>
      <c r="I362" s="10">
        <v>351504.691612483</v>
      </c>
      <c r="J362" s="23">
        <f t="shared" si="11"/>
        <v>0</v>
      </c>
    </row>
    <row r="363" spans="1:10">
      <c r="A363" t="s">
        <v>112</v>
      </c>
      <c r="B363" t="s">
        <v>294</v>
      </c>
      <c r="C363" s="20">
        <v>2050</v>
      </c>
      <c r="D363" t="s">
        <v>223</v>
      </c>
      <c r="E363" s="22">
        <v>521384.481349535</v>
      </c>
      <c r="F363" s="22">
        <v>334363.933966043</v>
      </c>
      <c r="G363" s="10">
        <v>334363.933966043</v>
      </c>
      <c r="H363" s="23">
        <f t="shared" si="10"/>
        <v>0</v>
      </c>
      <c r="I363" s="10">
        <v>521384.481349535</v>
      </c>
      <c r="J363" s="23">
        <f t="shared" si="11"/>
        <v>0</v>
      </c>
    </row>
    <row r="364" spans="1:10">
      <c r="A364" t="s">
        <v>112</v>
      </c>
      <c r="B364" t="s">
        <v>294</v>
      </c>
      <c r="C364" s="20">
        <v>2050</v>
      </c>
      <c r="D364" t="s">
        <v>227</v>
      </c>
      <c r="E364" s="22">
        <v>368643.65517464699</v>
      </c>
      <c r="F364" s="22">
        <v>205861.88336447501</v>
      </c>
      <c r="G364" s="10">
        <v>205861.88336447501</v>
      </c>
      <c r="H364" s="23">
        <f t="shared" si="10"/>
        <v>0</v>
      </c>
      <c r="I364" s="10">
        <v>368643.65517464699</v>
      </c>
      <c r="J364" s="23">
        <f t="shared" si="11"/>
        <v>0</v>
      </c>
    </row>
    <row r="365" spans="1:10">
      <c r="A365" t="s">
        <v>112</v>
      </c>
      <c r="B365" t="s">
        <v>294</v>
      </c>
      <c r="C365" s="20">
        <v>2050</v>
      </c>
      <c r="D365" t="s">
        <v>293</v>
      </c>
      <c r="E365" s="22">
        <v>33050.354105419901</v>
      </c>
      <c r="F365" s="22">
        <v>3414.3731958804301</v>
      </c>
      <c r="G365" s="10">
        <v>3414.3731958804301</v>
      </c>
      <c r="H365" s="23">
        <f t="shared" si="10"/>
        <v>0</v>
      </c>
      <c r="I365" s="10">
        <v>33050.354105419901</v>
      </c>
      <c r="J365" s="23">
        <f t="shared" si="11"/>
        <v>0</v>
      </c>
    </row>
  </sheetData>
  <autoFilter ref="A1:J365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7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2.69921875" customWidth="1"/>
    <col min="2" max="2" width="16.69921875" customWidth="1"/>
    <col min="3" max="3" width="12.69921875" customWidth="1"/>
    <col min="4" max="4" width="16.69921875" customWidth="1"/>
    <col min="5" max="5" width="17.69921875" customWidth="1"/>
    <col min="6" max="6" width="16.69921875" customWidth="1"/>
    <col min="7" max="7" width="15.69921875" customWidth="1"/>
    <col min="8" max="8" width="16.69921875" customWidth="1"/>
    <col min="9" max="9" width="15.69921875" customWidth="1"/>
    <col min="10" max="11" width="12.69921875" customWidth="1"/>
    <col min="12" max="12" width="13.69921875" customWidth="1"/>
    <col min="13" max="14" width="12.69921875" customWidth="1"/>
    <col min="15" max="15" width="13.69921875" customWidth="1"/>
    <col min="16" max="17" width="12.69921875" customWidth="1"/>
    <col min="18" max="18" width="15.69921875" customWidth="1"/>
    <col min="19" max="19" width="19.69921875" customWidth="1"/>
  </cols>
  <sheetData>
    <row r="1" spans="1:19" ht="28.05" customHeight="1">
      <c r="A1" s="1" t="s">
        <v>282</v>
      </c>
      <c r="B1" s="1" t="s">
        <v>283</v>
      </c>
      <c r="C1" s="1" t="s">
        <v>42</v>
      </c>
      <c r="D1" s="1" t="s">
        <v>318</v>
      </c>
      <c r="E1" s="1" t="s">
        <v>319</v>
      </c>
      <c r="F1" s="1" t="s">
        <v>288</v>
      </c>
      <c r="G1" s="1" t="s">
        <v>320</v>
      </c>
      <c r="H1" s="1" t="s">
        <v>321</v>
      </c>
      <c r="I1" s="1" t="s">
        <v>290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</row>
    <row r="2" spans="1:19" ht="69">
      <c r="A2" t="s">
        <v>115</v>
      </c>
      <c r="B2" s="14" t="s">
        <v>291</v>
      </c>
      <c r="C2">
        <v>2025</v>
      </c>
      <c r="D2" s="10">
        <v>1067480.8263016201</v>
      </c>
      <c r="E2" s="10">
        <v>1067480.8263016201</v>
      </c>
      <c r="F2" s="23">
        <f t="shared" ref="F2:F27" si="0">E2-D2</f>
        <v>0</v>
      </c>
      <c r="G2" s="10">
        <v>1310435.46710376</v>
      </c>
      <c r="H2" s="10">
        <v>1310435.46710376</v>
      </c>
      <c r="I2" s="23">
        <f t="shared" ref="I2:I27" si="1">H2-G2</f>
        <v>0</v>
      </c>
      <c r="J2" s="10">
        <v>13787600.058176501</v>
      </c>
      <c r="K2" s="10">
        <v>13787600.058176501</v>
      </c>
      <c r="L2" s="23">
        <f t="shared" ref="L2:L27" si="2">K2-J2</f>
        <v>0</v>
      </c>
      <c r="M2" s="10">
        <v>2532778.0562727</v>
      </c>
      <c r="N2" s="10">
        <v>2532778.0562727</v>
      </c>
      <c r="O2" s="23">
        <f t="shared" ref="O2:O27" si="3">N2-M2</f>
        <v>0</v>
      </c>
      <c r="P2" s="10">
        <v>16320378.114449199</v>
      </c>
      <c r="Q2" s="10">
        <v>16320378.114449199</v>
      </c>
      <c r="R2" s="23">
        <f t="shared" ref="R2:R27" si="4">Q2-P2</f>
        <v>0</v>
      </c>
      <c r="S2" s="23">
        <f t="shared" ref="S2:S27" si="5">L2</f>
        <v>0</v>
      </c>
    </row>
    <row r="3" spans="1:19" ht="69">
      <c r="A3" t="s">
        <v>115</v>
      </c>
      <c r="B3" s="14" t="s">
        <v>291</v>
      </c>
      <c r="C3">
        <v>2026</v>
      </c>
      <c r="D3" s="10">
        <v>988228.39842224703</v>
      </c>
      <c r="E3" s="10">
        <v>988264.00625599199</v>
      </c>
      <c r="F3" s="23">
        <f t="shared" si="0"/>
        <v>35.607833744958043</v>
      </c>
      <c r="G3" s="10">
        <v>1333917.18375386</v>
      </c>
      <c r="H3" s="10">
        <v>1335499.77531644</v>
      </c>
      <c r="I3" s="23">
        <f t="shared" si="1"/>
        <v>1582.5915625800844</v>
      </c>
      <c r="J3" s="10">
        <v>13277787.746208301</v>
      </c>
      <c r="K3" s="10">
        <v>13278266.4787963</v>
      </c>
      <c r="L3" s="23">
        <f t="shared" si="2"/>
        <v>478.73258799873292</v>
      </c>
      <c r="M3" s="10">
        <v>2502931.8877749699</v>
      </c>
      <c r="N3" s="10">
        <v>2503113.8082951298</v>
      </c>
      <c r="O3" s="23">
        <f t="shared" si="3"/>
        <v>181.92052015988156</v>
      </c>
      <c r="P3" s="10">
        <v>15780719.633983299</v>
      </c>
      <c r="Q3" s="10">
        <v>15781380.2870914</v>
      </c>
      <c r="R3" s="23">
        <f t="shared" si="4"/>
        <v>660.65310810133815</v>
      </c>
      <c r="S3" s="23">
        <f t="shared" si="5"/>
        <v>478.73258799873292</v>
      </c>
    </row>
    <row r="4" spans="1:19" ht="69">
      <c r="A4" t="s">
        <v>115</v>
      </c>
      <c r="B4" s="14" t="s">
        <v>291</v>
      </c>
      <c r="C4">
        <v>2027</v>
      </c>
      <c r="D4" s="10">
        <v>949264.03338546399</v>
      </c>
      <c r="E4" s="10">
        <v>949562.21612471004</v>
      </c>
      <c r="F4" s="23">
        <f t="shared" si="0"/>
        <v>298.18273924605455</v>
      </c>
      <c r="G4" s="10">
        <v>1359906.4955066</v>
      </c>
      <c r="H4" s="10">
        <v>1363154.3295399901</v>
      </c>
      <c r="I4" s="23">
        <f t="shared" si="1"/>
        <v>3247.8340333900414</v>
      </c>
      <c r="J4" s="10">
        <v>12987806.350498499</v>
      </c>
      <c r="K4" s="10">
        <v>12992035.373119799</v>
      </c>
      <c r="L4" s="23">
        <f t="shared" si="2"/>
        <v>4229.0226213000715</v>
      </c>
      <c r="M4" s="10">
        <v>2482891.1188800801</v>
      </c>
      <c r="N4" s="10">
        <v>2483407.0751191298</v>
      </c>
      <c r="O4" s="23">
        <f t="shared" si="3"/>
        <v>515.95623904978856</v>
      </c>
      <c r="P4" s="10">
        <v>15470697.469378499</v>
      </c>
      <c r="Q4" s="10">
        <v>15475442.4482389</v>
      </c>
      <c r="R4" s="23">
        <f t="shared" si="4"/>
        <v>4744.9788604006171</v>
      </c>
      <c r="S4" s="23">
        <f t="shared" si="5"/>
        <v>4229.0226213000715</v>
      </c>
    </row>
    <row r="5" spans="1:19" ht="69">
      <c r="A5" t="s">
        <v>115</v>
      </c>
      <c r="B5" s="14" t="s">
        <v>291</v>
      </c>
      <c r="C5">
        <v>2028</v>
      </c>
      <c r="D5" s="10">
        <v>926448.706916544</v>
      </c>
      <c r="E5" s="10">
        <v>927155.12728270504</v>
      </c>
      <c r="F5" s="23">
        <f t="shared" si="0"/>
        <v>706.42036616103724</v>
      </c>
      <c r="G5" s="10">
        <v>1387213.4691790601</v>
      </c>
      <c r="H5" s="10">
        <v>1392211.21828385</v>
      </c>
      <c r="I5" s="23">
        <f t="shared" si="1"/>
        <v>4997.7491047899239</v>
      </c>
      <c r="J5" s="10">
        <v>12802365.3948758</v>
      </c>
      <c r="K5" s="10">
        <v>12812693.712838899</v>
      </c>
      <c r="L5" s="23">
        <f t="shared" si="2"/>
        <v>10328.317963099107</v>
      </c>
      <c r="M5" s="10">
        <v>2469844.7066232599</v>
      </c>
      <c r="N5" s="10">
        <v>2470833.5637709401</v>
      </c>
      <c r="O5" s="23">
        <f t="shared" si="3"/>
        <v>988.85714768012986</v>
      </c>
      <c r="P5" s="10">
        <v>15272210.101499001</v>
      </c>
      <c r="Q5" s="10">
        <v>15283527.276609899</v>
      </c>
      <c r="R5" s="23">
        <f t="shared" si="4"/>
        <v>11317.175110898912</v>
      </c>
      <c r="S5" s="23">
        <f t="shared" si="5"/>
        <v>10328.317963099107</v>
      </c>
    </row>
    <row r="6" spans="1:19" ht="69">
      <c r="A6" t="s">
        <v>115</v>
      </c>
      <c r="B6" s="14" t="s">
        <v>291</v>
      </c>
      <c r="C6">
        <v>2029</v>
      </c>
      <c r="D6" s="10">
        <v>913539.815549889</v>
      </c>
      <c r="E6" s="10">
        <v>914778.27531635005</v>
      </c>
      <c r="F6" s="23">
        <f t="shared" si="0"/>
        <v>1238.4597664610483</v>
      </c>
      <c r="G6" s="10">
        <v>1415376.70567496</v>
      </c>
      <c r="H6" s="10">
        <v>1422211.3101251801</v>
      </c>
      <c r="I6" s="23">
        <f t="shared" si="1"/>
        <v>6834.6044502200093</v>
      </c>
      <c r="J6" s="10">
        <v>12696432.0938942</v>
      </c>
      <c r="K6" s="10">
        <v>12714849.6009512</v>
      </c>
      <c r="L6" s="23">
        <f t="shared" si="2"/>
        <v>18417.507056999952</v>
      </c>
      <c r="M6" s="10">
        <v>2462110.36482717</v>
      </c>
      <c r="N6" s="10">
        <v>2463702.1386837601</v>
      </c>
      <c r="O6" s="23">
        <f t="shared" si="3"/>
        <v>1591.7738565900363</v>
      </c>
      <c r="P6" s="10">
        <v>15158542.458721399</v>
      </c>
      <c r="Q6" s="10">
        <v>15178551.739634899</v>
      </c>
      <c r="R6" s="23">
        <f t="shared" si="4"/>
        <v>20009.280913500115</v>
      </c>
      <c r="S6" s="23">
        <f t="shared" si="5"/>
        <v>18417.507056999952</v>
      </c>
    </row>
    <row r="7" spans="1:19" ht="69">
      <c r="A7" t="s">
        <v>115</v>
      </c>
      <c r="B7" s="14" t="s">
        <v>291</v>
      </c>
      <c r="C7">
        <v>2030</v>
      </c>
      <c r="D7" s="10">
        <v>907172.0562322</v>
      </c>
      <c r="E7" s="10">
        <v>909052.97456388897</v>
      </c>
      <c r="F7" s="23">
        <f t="shared" si="0"/>
        <v>1880.9183316889685</v>
      </c>
      <c r="G7" s="10">
        <v>1444111.0665681099</v>
      </c>
      <c r="H7" s="10">
        <v>1452871.08867836</v>
      </c>
      <c r="I7" s="23">
        <f t="shared" si="1"/>
        <v>8760.02211025008</v>
      </c>
      <c r="J7" s="10">
        <v>12636399.225379599</v>
      </c>
      <c r="K7" s="10">
        <v>12664641.188683899</v>
      </c>
      <c r="L7" s="23">
        <f t="shared" si="2"/>
        <v>28241.963304299861</v>
      </c>
      <c r="M7" s="10">
        <v>2458567.2369661098</v>
      </c>
      <c r="N7" s="10">
        <v>2460885.6583369002</v>
      </c>
      <c r="O7" s="23">
        <f t="shared" si="3"/>
        <v>2318.42137079034</v>
      </c>
      <c r="P7" s="10">
        <v>15094966.462345701</v>
      </c>
      <c r="Q7" s="10">
        <v>15125526.847020799</v>
      </c>
      <c r="R7" s="23">
        <f t="shared" si="4"/>
        <v>30560.384675098583</v>
      </c>
      <c r="S7" s="23">
        <f t="shared" si="5"/>
        <v>28241.963304299861</v>
      </c>
    </row>
    <row r="8" spans="1:19" ht="69">
      <c r="A8" t="s">
        <v>115</v>
      </c>
      <c r="B8" s="14" t="s">
        <v>291</v>
      </c>
      <c r="C8">
        <v>2031</v>
      </c>
      <c r="D8" s="10">
        <v>902972.53465186502</v>
      </c>
      <c r="E8" s="10">
        <v>907044.24313282105</v>
      </c>
      <c r="F8" s="23">
        <f t="shared" si="0"/>
        <v>4071.7084809560329</v>
      </c>
      <c r="G8" s="10">
        <v>1464851.4992507901</v>
      </c>
      <c r="H8" s="10">
        <v>1483835.37174252</v>
      </c>
      <c r="I8" s="23">
        <f t="shared" si="1"/>
        <v>18983.872491729911</v>
      </c>
      <c r="J8" s="10">
        <v>12598180.4874299</v>
      </c>
      <c r="K8" s="10">
        <v>12656049.522959501</v>
      </c>
      <c r="L8" s="23">
        <f t="shared" si="2"/>
        <v>57869.035529600456</v>
      </c>
      <c r="M8" s="10">
        <v>2457757.39009888</v>
      </c>
      <c r="N8" s="10">
        <v>2461774.27454268</v>
      </c>
      <c r="O8" s="23">
        <f t="shared" si="3"/>
        <v>4016.8844437999651</v>
      </c>
      <c r="P8" s="10">
        <v>15055937.8775288</v>
      </c>
      <c r="Q8" s="10">
        <v>15117823.7975021</v>
      </c>
      <c r="R8" s="23">
        <f t="shared" si="4"/>
        <v>61885.91997330077</v>
      </c>
      <c r="S8" s="23">
        <f t="shared" si="5"/>
        <v>57869.035529600456</v>
      </c>
    </row>
    <row r="9" spans="1:19" ht="69">
      <c r="A9" t="s">
        <v>115</v>
      </c>
      <c r="B9" s="14" t="s">
        <v>291</v>
      </c>
      <c r="C9">
        <v>2032</v>
      </c>
      <c r="D9" s="10">
        <v>901420.28398342803</v>
      </c>
      <c r="E9" s="10">
        <v>908870.87748812605</v>
      </c>
      <c r="F9" s="23">
        <f t="shared" si="0"/>
        <v>7450.5935046980157</v>
      </c>
      <c r="G9" s="10">
        <v>1485232.86376231</v>
      </c>
      <c r="H9" s="10">
        <v>1514938.2723741599</v>
      </c>
      <c r="I9" s="23">
        <f t="shared" si="1"/>
        <v>29705.408611849882</v>
      </c>
      <c r="J9" s="10">
        <v>12572522.839415601</v>
      </c>
      <c r="K9" s="10">
        <v>12676617.2949754</v>
      </c>
      <c r="L9" s="23">
        <f t="shared" si="2"/>
        <v>104094.45555979945</v>
      </c>
      <c r="M9" s="10">
        <v>2459146.56163562</v>
      </c>
      <c r="N9" s="10">
        <v>2465693.0945592201</v>
      </c>
      <c r="O9" s="23">
        <f t="shared" si="3"/>
        <v>6546.5329236001708</v>
      </c>
      <c r="P9" s="10">
        <v>15031669.401051201</v>
      </c>
      <c r="Q9" s="10">
        <v>15142310.389534701</v>
      </c>
      <c r="R9" s="23">
        <f t="shared" si="4"/>
        <v>110640.98848349974</v>
      </c>
      <c r="S9" s="23">
        <f t="shared" si="5"/>
        <v>104094.45555979945</v>
      </c>
    </row>
    <row r="10" spans="1:19" ht="69">
      <c r="A10" t="s">
        <v>115</v>
      </c>
      <c r="B10" s="14" t="s">
        <v>291</v>
      </c>
      <c r="C10">
        <v>2033</v>
      </c>
      <c r="D10" s="10">
        <v>901875.45426688902</v>
      </c>
      <c r="E10" s="10">
        <v>913563.02322045399</v>
      </c>
      <c r="F10" s="23">
        <f t="shared" si="0"/>
        <v>11687.568953564973</v>
      </c>
      <c r="G10" s="10">
        <v>1505164.2347285401</v>
      </c>
      <c r="H10" s="10">
        <v>1546062.3441206701</v>
      </c>
      <c r="I10" s="23">
        <f t="shared" si="1"/>
        <v>40898.109392130049</v>
      </c>
      <c r="J10" s="10">
        <v>12555272.4647949</v>
      </c>
      <c r="K10" s="10">
        <v>12718239.909793001</v>
      </c>
      <c r="L10" s="23">
        <f t="shared" si="2"/>
        <v>162967.4449981004</v>
      </c>
      <c r="M10" s="10">
        <v>2462306.38152138</v>
      </c>
      <c r="N10" s="10">
        <v>2472136.3291573399</v>
      </c>
      <c r="O10" s="23">
        <f t="shared" si="3"/>
        <v>9829.9476359598339</v>
      </c>
      <c r="P10" s="10">
        <v>15017578.8463163</v>
      </c>
      <c r="Q10" s="10">
        <v>15190376.2389504</v>
      </c>
      <c r="R10" s="23">
        <f t="shared" si="4"/>
        <v>172797.39263409935</v>
      </c>
      <c r="S10" s="23">
        <f t="shared" si="5"/>
        <v>162967.4449981004</v>
      </c>
    </row>
    <row r="11" spans="1:19" ht="69">
      <c r="A11" t="s">
        <v>115</v>
      </c>
      <c r="B11" s="14" t="s">
        <v>291</v>
      </c>
      <c r="C11">
        <v>2034</v>
      </c>
      <c r="D11" s="10">
        <v>904062.59333631396</v>
      </c>
      <c r="E11" s="10">
        <v>920723.39018158906</v>
      </c>
      <c r="F11" s="23">
        <f t="shared" si="0"/>
        <v>16660.796845275094</v>
      </c>
      <c r="G11" s="10">
        <v>1524865.0747638301</v>
      </c>
      <c r="H11" s="10">
        <v>1577410.5030475501</v>
      </c>
      <c r="I11" s="23">
        <f t="shared" si="1"/>
        <v>52545.428283720044</v>
      </c>
      <c r="J11" s="10">
        <v>12560562.2149588</v>
      </c>
      <c r="K11" s="10">
        <v>12793363.473794701</v>
      </c>
      <c r="L11" s="23">
        <f t="shared" si="2"/>
        <v>232801.25883590057</v>
      </c>
      <c r="M11" s="10">
        <v>2466903.58255461</v>
      </c>
      <c r="N11" s="10">
        <v>2480715.1941246698</v>
      </c>
      <c r="O11" s="23">
        <f t="shared" si="3"/>
        <v>13811.611570059787</v>
      </c>
      <c r="P11" s="10">
        <v>15027465.7975135</v>
      </c>
      <c r="Q11" s="10">
        <v>15274078.6679193</v>
      </c>
      <c r="R11" s="23">
        <f t="shared" si="4"/>
        <v>246612.87040580064</v>
      </c>
      <c r="S11" s="23">
        <f t="shared" si="5"/>
        <v>232801.25883590057</v>
      </c>
    </row>
    <row r="12" spans="1:19" ht="69">
      <c r="A12" t="s">
        <v>115</v>
      </c>
      <c r="B12" s="14" t="s">
        <v>291</v>
      </c>
      <c r="C12">
        <v>2035</v>
      </c>
      <c r="D12" s="10">
        <v>907779.26058179</v>
      </c>
      <c r="E12" s="10">
        <v>930075.423534506</v>
      </c>
      <c r="F12" s="23">
        <f t="shared" si="0"/>
        <v>22296.162952715997</v>
      </c>
      <c r="G12" s="10">
        <v>1544452.3446132899</v>
      </c>
      <c r="H12" s="10">
        <v>1609084.37329795</v>
      </c>
      <c r="I12" s="23">
        <f t="shared" si="1"/>
        <v>64632.028684660094</v>
      </c>
      <c r="J12" s="10">
        <v>12572879.7693129</v>
      </c>
      <c r="K12" s="10">
        <v>12885097.6151483</v>
      </c>
      <c r="L12" s="23">
        <f t="shared" si="2"/>
        <v>312217.84583540075</v>
      </c>
      <c r="M12" s="10">
        <v>2472636.6101744599</v>
      </c>
      <c r="N12" s="10">
        <v>2491084.7170732799</v>
      </c>
      <c r="O12" s="23">
        <f t="shared" si="3"/>
        <v>18448.106898820028</v>
      </c>
      <c r="P12" s="10">
        <v>15045516.3794873</v>
      </c>
      <c r="Q12" s="10">
        <v>15376182.332221599</v>
      </c>
      <c r="R12" s="23">
        <f t="shared" si="4"/>
        <v>330665.952734299</v>
      </c>
      <c r="S12" s="23">
        <f t="shared" si="5"/>
        <v>312217.84583540075</v>
      </c>
    </row>
    <row r="13" spans="1:19" ht="69">
      <c r="A13" t="s">
        <v>115</v>
      </c>
      <c r="B13" s="14" t="s">
        <v>291</v>
      </c>
      <c r="C13">
        <v>2036</v>
      </c>
      <c r="D13" s="10">
        <v>913082.20387579105</v>
      </c>
      <c r="E13" s="10">
        <v>941635.34241200495</v>
      </c>
      <c r="F13" s="23">
        <f t="shared" si="0"/>
        <v>28553.138536213897</v>
      </c>
      <c r="G13" s="10">
        <v>1563949.0521175701</v>
      </c>
      <c r="H13" s="10">
        <v>1641090.6390387099</v>
      </c>
      <c r="I13" s="23">
        <f t="shared" si="1"/>
        <v>77141.586921139853</v>
      </c>
      <c r="J13" s="10">
        <v>12593720.7854155</v>
      </c>
      <c r="K13" s="10">
        <v>12994091.2884183</v>
      </c>
      <c r="L13" s="23">
        <f t="shared" si="2"/>
        <v>400370.50300280005</v>
      </c>
      <c r="M13" s="10">
        <v>2479196.3166277702</v>
      </c>
      <c r="N13" s="10">
        <v>2502898.0226320499</v>
      </c>
      <c r="O13" s="23">
        <f t="shared" si="3"/>
        <v>23701.706004279666</v>
      </c>
      <c r="P13" s="10">
        <v>15072917.102043301</v>
      </c>
      <c r="Q13" s="10">
        <v>15496989.3110504</v>
      </c>
      <c r="R13" s="23">
        <f t="shared" si="4"/>
        <v>424072.20900709927</v>
      </c>
      <c r="S13" s="23">
        <f t="shared" si="5"/>
        <v>400370.50300280005</v>
      </c>
    </row>
    <row r="14" spans="1:19" ht="69">
      <c r="A14" t="s">
        <v>115</v>
      </c>
      <c r="B14" s="14" t="s">
        <v>291</v>
      </c>
      <c r="C14">
        <v>2037</v>
      </c>
      <c r="D14" s="10">
        <v>919363.61640949105</v>
      </c>
      <c r="E14" s="10">
        <v>954747.29726063705</v>
      </c>
      <c r="F14" s="23">
        <f t="shared" si="0"/>
        <v>35383.680851145997</v>
      </c>
      <c r="G14" s="10">
        <v>1583320.3610847399</v>
      </c>
      <c r="H14" s="10">
        <v>1673365.51825122</v>
      </c>
      <c r="I14" s="23">
        <f t="shared" si="1"/>
        <v>90045.157166480087</v>
      </c>
      <c r="J14" s="10">
        <v>12617722.657408901</v>
      </c>
      <c r="K14" s="10">
        <v>13114148.947138101</v>
      </c>
      <c r="L14" s="23">
        <f t="shared" si="2"/>
        <v>496426.2897292003</v>
      </c>
      <c r="M14" s="10">
        <v>2486379.6875185599</v>
      </c>
      <c r="N14" s="10">
        <v>2515919.1748640202</v>
      </c>
      <c r="O14" s="23">
        <f t="shared" si="3"/>
        <v>29539.487345460337</v>
      </c>
      <c r="P14" s="10">
        <v>15104102.344927499</v>
      </c>
      <c r="Q14" s="10">
        <v>15630068.122002199</v>
      </c>
      <c r="R14" s="23">
        <f t="shared" si="4"/>
        <v>525965.77707470022</v>
      </c>
      <c r="S14" s="23">
        <f t="shared" si="5"/>
        <v>496426.2897292003</v>
      </c>
    </row>
    <row r="15" spans="1:19" ht="69">
      <c r="A15" t="s">
        <v>115</v>
      </c>
      <c r="B15" s="14" t="s">
        <v>291</v>
      </c>
      <c r="C15">
        <v>2038</v>
      </c>
      <c r="D15" s="10">
        <v>926340.972126598</v>
      </c>
      <c r="E15" s="10">
        <v>969086.36666610895</v>
      </c>
      <c r="F15" s="23">
        <f t="shared" si="0"/>
        <v>42745.394539510948</v>
      </c>
      <c r="G15" s="10">
        <v>1602835.21561394</v>
      </c>
      <c r="H15" s="10">
        <v>1706156.96350708</v>
      </c>
      <c r="I15" s="23">
        <f t="shared" si="1"/>
        <v>103321.74789313995</v>
      </c>
      <c r="J15" s="10">
        <v>12646187.556244301</v>
      </c>
      <c r="K15" s="10">
        <v>13245966.042685101</v>
      </c>
      <c r="L15" s="23">
        <f t="shared" si="2"/>
        <v>599778.48644080013</v>
      </c>
      <c r="M15" s="10">
        <v>2494067.3624545401</v>
      </c>
      <c r="N15" s="10">
        <v>2530000.4411746599</v>
      </c>
      <c r="O15" s="23">
        <f t="shared" si="3"/>
        <v>35933.078720119782</v>
      </c>
      <c r="P15" s="10">
        <v>15140254.918698801</v>
      </c>
      <c r="Q15" s="10">
        <v>15775966.483859699</v>
      </c>
      <c r="R15" s="23">
        <f t="shared" si="4"/>
        <v>635711.56516089849</v>
      </c>
      <c r="S15" s="23">
        <f t="shared" si="5"/>
        <v>599778.48644080013</v>
      </c>
    </row>
    <row r="16" spans="1:19" ht="69">
      <c r="A16" t="s">
        <v>115</v>
      </c>
      <c r="B16" s="14" t="s">
        <v>291</v>
      </c>
      <c r="C16">
        <v>2039</v>
      </c>
      <c r="D16" s="10">
        <v>934326.38666901295</v>
      </c>
      <c r="E16" s="10">
        <v>984958.04233238904</v>
      </c>
      <c r="F16" s="23">
        <f t="shared" si="0"/>
        <v>50631.655663376092</v>
      </c>
      <c r="G16" s="10">
        <v>1622200.1207433599</v>
      </c>
      <c r="H16" s="10">
        <v>1739147.19885034</v>
      </c>
      <c r="I16" s="23">
        <f t="shared" si="1"/>
        <v>116947.07810698007</v>
      </c>
      <c r="J16" s="10">
        <v>12677785.354749</v>
      </c>
      <c r="K16" s="10">
        <v>13387796.965280799</v>
      </c>
      <c r="L16" s="23">
        <f t="shared" si="2"/>
        <v>710011.6105317995</v>
      </c>
      <c r="M16" s="10">
        <v>2502047.0719174398</v>
      </c>
      <c r="N16" s="10">
        <v>2544900.0622273101</v>
      </c>
      <c r="O16" s="23">
        <f t="shared" si="3"/>
        <v>42852.990309870336</v>
      </c>
      <c r="P16" s="10">
        <v>15179832.426666399</v>
      </c>
      <c r="Q16" s="10">
        <v>15932697.0275081</v>
      </c>
      <c r="R16" s="23">
        <f t="shared" si="4"/>
        <v>752864.60084170103</v>
      </c>
      <c r="S16" s="23">
        <f t="shared" si="5"/>
        <v>710011.6105317995</v>
      </c>
    </row>
    <row r="17" spans="1:19" ht="69">
      <c r="A17" t="s">
        <v>115</v>
      </c>
      <c r="B17" s="14" t="s">
        <v>291</v>
      </c>
      <c r="C17">
        <v>2040</v>
      </c>
      <c r="D17" s="10">
        <v>942371.86851727602</v>
      </c>
      <c r="E17" s="10">
        <v>1001338.68824513</v>
      </c>
      <c r="F17" s="23">
        <f t="shared" si="0"/>
        <v>58966.819727853988</v>
      </c>
      <c r="G17" s="10">
        <v>1641334.7148797901</v>
      </c>
      <c r="H17" s="10">
        <v>1772218.56750507</v>
      </c>
      <c r="I17" s="23">
        <f t="shared" si="1"/>
        <v>130883.85262527992</v>
      </c>
      <c r="J17" s="10">
        <v>12705303.389387401</v>
      </c>
      <c r="K17" s="10">
        <v>13531572.1573464</v>
      </c>
      <c r="L17" s="23">
        <f t="shared" si="2"/>
        <v>826268.76795899868</v>
      </c>
      <c r="M17" s="10">
        <v>2510277.6378834601</v>
      </c>
      <c r="N17" s="10">
        <v>2560554.5086399498</v>
      </c>
      <c r="O17" s="23">
        <f t="shared" si="3"/>
        <v>50276.87075648969</v>
      </c>
      <c r="P17" s="10">
        <v>15215581.0272709</v>
      </c>
      <c r="Q17" s="10">
        <v>16092126.6659863</v>
      </c>
      <c r="R17" s="23">
        <f t="shared" si="4"/>
        <v>876545.63871539943</v>
      </c>
      <c r="S17" s="23">
        <f t="shared" si="5"/>
        <v>826268.76795899868</v>
      </c>
    </row>
    <row r="18" spans="1:19" ht="69">
      <c r="A18" t="s">
        <v>115</v>
      </c>
      <c r="B18" s="14" t="s">
        <v>291</v>
      </c>
      <c r="C18">
        <v>2041</v>
      </c>
      <c r="D18" s="10">
        <v>952546.31565658597</v>
      </c>
      <c r="E18" s="10">
        <v>1018505.56120716</v>
      </c>
      <c r="F18" s="23">
        <f t="shared" si="0"/>
        <v>65959.245550574036</v>
      </c>
      <c r="G18" s="10">
        <v>1672869.79710846</v>
      </c>
      <c r="H18" s="10">
        <v>1805252.92460674</v>
      </c>
      <c r="I18" s="23">
        <f t="shared" si="1"/>
        <v>132383.12749828002</v>
      </c>
      <c r="J18" s="10">
        <v>12754155.5463781</v>
      </c>
      <c r="K18" s="10">
        <v>13681285.7749561</v>
      </c>
      <c r="L18" s="23">
        <f t="shared" si="2"/>
        <v>927130.2285779994</v>
      </c>
      <c r="M18" s="10">
        <v>2520017.4304187899</v>
      </c>
      <c r="N18" s="10">
        <v>2576835.8424541601</v>
      </c>
      <c r="O18" s="23">
        <f t="shared" si="3"/>
        <v>56818.412035370246</v>
      </c>
      <c r="P18" s="10">
        <v>15274172.976796901</v>
      </c>
      <c r="Q18" s="10">
        <v>16258121.6174102</v>
      </c>
      <c r="R18" s="23">
        <f t="shared" si="4"/>
        <v>983948.64061329886</v>
      </c>
      <c r="S18" s="23">
        <f t="shared" si="5"/>
        <v>927130.2285779994</v>
      </c>
    </row>
    <row r="19" spans="1:19" ht="69">
      <c r="A19" t="s">
        <v>115</v>
      </c>
      <c r="B19" s="14" t="s">
        <v>291</v>
      </c>
      <c r="C19">
        <v>2042</v>
      </c>
      <c r="D19" s="10">
        <v>964604.91383308498</v>
      </c>
      <c r="E19" s="10">
        <v>1036259.738796</v>
      </c>
      <c r="F19" s="23">
        <f t="shared" si="0"/>
        <v>71654.824962915038</v>
      </c>
      <c r="G19" s="10">
        <v>1704489.1422669301</v>
      </c>
      <c r="H19" s="10">
        <v>1838188.4852774199</v>
      </c>
      <c r="I19" s="23">
        <f t="shared" si="1"/>
        <v>133699.34301048983</v>
      </c>
      <c r="J19" s="10">
        <v>12823628.0795542</v>
      </c>
      <c r="K19" s="10">
        <v>13834068.0419889</v>
      </c>
      <c r="L19" s="23">
        <f t="shared" si="2"/>
        <v>1010439.9624346998</v>
      </c>
      <c r="M19" s="10">
        <v>2530950.5409622602</v>
      </c>
      <c r="N19" s="10">
        <v>2593642.7030007299</v>
      </c>
      <c r="O19" s="23">
        <f t="shared" si="3"/>
        <v>62692.162038469687</v>
      </c>
      <c r="P19" s="10">
        <v>15354578.620516401</v>
      </c>
      <c r="Q19" s="10">
        <v>16427710.7449896</v>
      </c>
      <c r="R19" s="23">
        <f t="shared" si="4"/>
        <v>1073132.1244731992</v>
      </c>
      <c r="S19" s="23">
        <f t="shared" si="5"/>
        <v>1010439.9624346998</v>
      </c>
    </row>
    <row r="20" spans="1:19" ht="69">
      <c r="A20" t="s">
        <v>115</v>
      </c>
      <c r="B20" s="14" t="s">
        <v>291</v>
      </c>
      <c r="C20">
        <v>2043</v>
      </c>
      <c r="D20" s="10">
        <v>977834.15745194105</v>
      </c>
      <c r="E20" s="10">
        <v>1054378.00710536</v>
      </c>
      <c r="F20" s="23">
        <f t="shared" si="0"/>
        <v>76543.849653418991</v>
      </c>
      <c r="G20" s="10">
        <v>1736101.4981577499</v>
      </c>
      <c r="H20" s="10">
        <v>1870955.26888352</v>
      </c>
      <c r="I20" s="23">
        <f t="shared" si="1"/>
        <v>134853.77072577015</v>
      </c>
      <c r="J20" s="10">
        <v>12906815.108577199</v>
      </c>
      <c r="K20" s="10">
        <v>13988769.200849099</v>
      </c>
      <c r="L20" s="23">
        <f t="shared" si="2"/>
        <v>1081954.0922718998</v>
      </c>
      <c r="M20" s="10">
        <v>2542893.0318928999</v>
      </c>
      <c r="N20" s="10">
        <v>2610909.37164379</v>
      </c>
      <c r="O20" s="23">
        <f t="shared" si="3"/>
        <v>68016.339750890154</v>
      </c>
      <c r="P20" s="10">
        <v>15449708.140470101</v>
      </c>
      <c r="Q20" s="10">
        <v>16599678.572492899</v>
      </c>
      <c r="R20" s="23">
        <f t="shared" si="4"/>
        <v>1149970.4320227988</v>
      </c>
      <c r="S20" s="23">
        <f t="shared" si="5"/>
        <v>1081954.0922718998</v>
      </c>
    </row>
    <row r="21" spans="1:19" ht="69">
      <c r="A21" t="s">
        <v>115</v>
      </c>
      <c r="B21" s="14" t="s">
        <v>291</v>
      </c>
      <c r="C21">
        <v>2044</v>
      </c>
      <c r="D21" s="10">
        <v>992097.81942955905</v>
      </c>
      <c r="E21" s="10">
        <v>1072929.3761392499</v>
      </c>
      <c r="F21" s="23">
        <f t="shared" si="0"/>
        <v>80831.556709690834</v>
      </c>
      <c r="G21" s="10">
        <v>1767644.9124394699</v>
      </c>
      <c r="H21" s="10">
        <v>1903492.4042016801</v>
      </c>
      <c r="I21" s="23">
        <f t="shared" si="1"/>
        <v>135847.49176221015</v>
      </c>
      <c r="J21" s="10">
        <v>13002438.5243674</v>
      </c>
      <c r="K21" s="10">
        <v>14147019.8129717</v>
      </c>
      <c r="L21" s="23">
        <f t="shared" si="2"/>
        <v>1144581.2886043005</v>
      </c>
      <c r="M21" s="10">
        <v>2555680.0548748299</v>
      </c>
      <c r="N21" s="10">
        <v>2628550.5495148799</v>
      </c>
      <c r="O21" s="23">
        <f t="shared" si="3"/>
        <v>72870.49464004999</v>
      </c>
      <c r="P21" s="10">
        <v>15558118.5792423</v>
      </c>
      <c r="Q21" s="10">
        <v>16775570.362486601</v>
      </c>
      <c r="R21" s="23">
        <f t="shared" si="4"/>
        <v>1217451.7832443006</v>
      </c>
      <c r="S21" s="23">
        <f t="shared" si="5"/>
        <v>1144581.2886043005</v>
      </c>
    </row>
    <row r="22" spans="1:19" ht="69">
      <c r="A22" t="s">
        <v>115</v>
      </c>
      <c r="B22" s="14" t="s">
        <v>291</v>
      </c>
      <c r="C22">
        <v>2045</v>
      </c>
      <c r="D22" s="10">
        <v>1007524.42814263</v>
      </c>
      <c r="E22" s="10">
        <v>1092185.2477510299</v>
      </c>
      <c r="F22" s="23">
        <f t="shared" si="0"/>
        <v>84660.819608399877</v>
      </c>
      <c r="G22" s="10">
        <v>1799054.2134374699</v>
      </c>
      <c r="H22" s="10">
        <v>1935729.8282681201</v>
      </c>
      <c r="I22" s="23">
        <f t="shared" si="1"/>
        <v>136675.61483065016</v>
      </c>
      <c r="J22" s="10">
        <v>13108312.213499499</v>
      </c>
      <c r="K22" s="10">
        <v>14308477.831449</v>
      </c>
      <c r="L22" s="23">
        <f t="shared" si="2"/>
        <v>1200165.6179495007</v>
      </c>
      <c r="M22" s="10">
        <v>2569106.8851239602</v>
      </c>
      <c r="N22" s="10">
        <v>2646415.1979440101</v>
      </c>
      <c r="O22" s="23">
        <f t="shared" si="3"/>
        <v>77308.312820049934</v>
      </c>
      <c r="P22" s="10">
        <v>15677419.098623401</v>
      </c>
      <c r="Q22" s="10">
        <v>16954893.029392999</v>
      </c>
      <c r="R22" s="23">
        <f t="shared" si="4"/>
        <v>1277473.9307695981</v>
      </c>
      <c r="S22" s="23">
        <f t="shared" si="5"/>
        <v>1200165.6179495007</v>
      </c>
    </row>
    <row r="23" spans="1:19" ht="69">
      <c r="A23" t="s">
        <v>115</v>
      </c>
      <c r="B23" s="14" t="s">
        <v>291</v>
      </c>
      <c r="C23">
        <v>2046</v>
      </c>
      <c r="D23" s="10">
        <v>1023795.3515814299</v>
      </c>
      <c r="E23" s="10">
        <v>1111881.2684410501</v>
      </c>
      <c r="F23" s="23">
        <f t="shared" si="0"/>
        <v>88085.916859620134</v>
      </c>
      <c r="G23" s="10">
        <v>1830239.6340397799</v>
      </c>
      <c r="H23" s="10">
        <v>1967582.1054908701</v>
      </c>
      <c r="I23" s="23">
        <f t="shared" si="1"/>
        <v>137342.47145109018</v>
      </c>
      <c r="J23" s="10">
        <v>13220591.9786701</v>
      </c>
      <c r="K23" s="10">
        <v>14470300.1656259</v>
      </c>
      <c r="L23" s="23">
        <f t="shared" si="2"/>
        <v>1249708.1869558003</v>
      </c>
      <c r="M23" s="10">
        <v>2583010.69451037</v>
      </c>
      <c r="N23" s="10">
        <v>2664384.7701094202</v>
      </c>
      <c r="O23" s="23">
        <f t="shared" si="3"/>
        <v>81374.075599050149</v>
      </c>
      <c r="P23" s="10">
        <v>15803602.673180399</v>
      </c>
      <c r="Q23" s="10">
        <v>17134684.9357353</v>
      </c>
      <c r="R23" s="23">
        <f t="shared" si="4"/>
        <v>1331082.2625549007</v>
      </c>
      <c r="S23" s="23">
        <f t="shared" si="5"/>
        <v>1249708.1869558003</v>
      </c>
    </row>
    <row r="24" spans="1:19" ht="69">
      <c r="A24" t="s">
        <v>115</v>
      </c>
      <c r="B24" s="14" t="s">
        <v>291</v>
      </c>
      <c r="C24">
        <v>2047</v>
      </c>
      <c r="D24" s="10">
        <v>1040314.04593948</v>
      </c>
      <c r="E24" s="10">
        <v>1131441.2253272601</v>
      </c>
      <c r="F24" s="23">
        <f t="shared" si="0"/>
        <v>91127.179387780139</v>
      </c>
      <c r="G24" s="10">
        <v>1861108.4681434799</v>
      </c>
      <c r="H24" s="10">
        <v>1998958.96255833</v>
      </c>
      <c r="I24" s="23">
        <f t="shared" si="1"/>
        <v>137850.49441485014</v>
      </c>
      <c r="J24" s="10">
        <v>13338352.9092212</v>
      </c>
      <c r="K24" s="10">
        <v>14632493.2291192</v>
      </c>
      <c r="L24" s="23">
        <f t="shared" si="2"/>
        <v>1294140.319898</v>
      </c>
      <c r="M24" s="10">
        <v>2597335.0466501098</v>
      </c>
      <c r="N24" s="10">
        <v>2682443.0679199002</v>
      </c>
      <c r="O24" s="23">
        <f t="shared" si="3"/>
        <v>85108.021269790363</v>
      </c>
      <c r="P24" s="10">
        <v>15935687.955871301</v>
      </c>
      <c r="Q24" s="10">
        <v>17314936.297039099</v>
      </c>
      <c r="R24" s="23">
        <f t="shared" si="4"/>
        <v>1379248.3411677983</v>
      </c>
      <c r="S24" s="23">
        <f t="shared" si="5"/>
        <v>1294140.319898</v>
      </c>
    </row>
    <row r="25" spans="1:19" ht="69">
      <c r="A25" t="s">
        <v>115</v>
      </c>
      <c r="B25" s="14" t="s">
        <v>291</v>
      </c>
      <c r="C25">
        <v>2048</v>
      </c>
      <c r="D25" s="10">
        <v>1056947.39308925</v>
      </c>
      <c r="E25" s="10">
        <v>1150761.11400137</v>
      </c>
      <c r="F25" s="23">
        <f t="shared" si="0"/>
        <v>93813.720912120072</v>
      </c>
      <c r="G25" s="10">
        <v>1891634.60783687</v>
      </c>
      <c r="H25" s="10">
        <v>2029820.19324426</v>
      </c>
      <c r="I25" s="23">
        <f t="shared" si="1"/>
        <v>138185.58540739003</v>
      </c>
      <c r="J25" s="10">
        <v>13458243.4908542</v>
      </c>
      <c r="K25" s="10">
        <v>14792197.2880254</v>
      </c>
      <c r="L25" s="23">
        <f t="shared" si="2"/>
        <v>1333953.7971711997</v>
      </c>
      <c r="M25" s="10">
        <v>2612039.5686261598</v>
      </c>
      <c r="N25" s="10">
        <v>2700582.9616072699</v>
      </c>
      <c r="O25" s="23">
        <f t="shared" si="3"/>
        <v>88543.392981110141</v>
      </c>
      <c r="P25" s="10">
        <v>16070283.0594803</v>
      </c>
      <c r="Q25" s="10">
        <v>17492780.249632701</v>
      </c>
      <c r="R25" s="23">
        <f t="shared" si="4"/>
        <v>1422497.1901524011</v>
      </c>
      <c r="S25" s="23">
        <f t="shared" si="5"/>
        <v>1333953.7971711997</v>
      </c>
    </row>
    <row r="26" spans="1:19" ht="69">
      <c r="A26" t="s">
        <v>115</v>
      </c>
      <c r="B26" s="14" t="s">
        <v>291</v>
      </c>
      <c r="C26">
        <v>2049</v>
      </c>
      <c r="D26" s="10">
        <v>1074243.02755515</v>
      </c>
      <c r="E26" s="10">
        <v>1170476.7182638899</v>
      </c>
      <c r="F26" s="23">
        <f t="shared" si="0"/>
        <v>96233.690708739916</v>
      </c>
      <c r="G26" s="10">
        <v>1921753.21561313</v>
      </c>
      <c r="H26" s="10">
        <v>2060139.9049400899</v>
      </c>
      <c r="I26" s="23">
        <f t="shared" si="1"/>
        <v>138386.68932695989</v>
      </c>
      <c r="J26" s="10">
        <v>13582978.9176354</v>
      </c>
      <c r="K26" s="10">
        <v>14953001.269786</v>
      </c>
      <c r="L26" s="23">
        <f t="shared" si="2"/>
        <v>1370022.3521506004</v>
      </c>
      <c r="M26" s="10">
        <v>2626967.6771414601</v>
      </c>
      <c r="N26" s="10">
        <v>2718672.1482817498</v>
      </c>
      <c r="O26" s="23">
        <f t="shared" si="3"/>
        <v>91704.471140289679</v>
      </c>
      <c r="P26" s="10">
        <v>16209946.5947769</v>
      </c>
      <c r="Q26" s="10">
        <v>17671673.418067701</v>
      </c>
      <c r="R26" s="23">
        <f t="shared" si="4"/>
        <v>1461726.8232908007</v>
      </c>
      <c r="S26" s="23">
        <f t="shared" si="5"/>
        <v>1370022.3521506004</v>
      </c>
    </row>
    <row r="27" spans="1:19" ht="69">
      <c r="A27" t="s">
        <v>115</v>
      </c>
      <c r="B27" s="14" t="s">
        <v>291</v>
      </c>
      <c r="C27">
        <v>2050</v>
      </c>
      <c r="D27" s="10">
        <v>1091622.81626996</v>
      </c>
      <c r="E27" s="10">
        <v>1189997.7413977699</v>
      </c>
      <c r="F27" s="23">
        <f t="shared" si="0"/>
        <v>98374.925127809867</v>
      </c>
      <c r="G27" s="10">
        <v>1951392.28658967</v>
      </c>
      <c r="H27" s="10">
        <v>2089872.9250026799</v>
      </c>
      <c r="I27" s="23">
        <f t="shared" si="1"/>
        <v>138480.63841300993</v>
      </c>
      <c r="J27" s="10">
        <v>13708939.444055701</v>
      </c>
      <c r="K27" s="10">
        <v>15111482.948849199</v>
      </c>
      <c r="L27" s="23">
        <f t="shared" si="2"/>
        <v>1402543.5047934987</v>
      </c>
      <c r="M27" s="10">
        <v>2642063.5172792999</v>
      </c>
      <c r="N27" s="10">
        <v>2736683.5330188898</v>
      </c>
      <c r="O27" s="23">
        <f t="shared" si="3"/>
        <v>94620.01573958993</v>
      </c>
      <c r="P27" s="10">
        <v>16351002.961335</v>
      </c>
      <c r="Q27" s="10">
        <v>17848166.481868099</v>
      </c>
      <c r="R27" s="23">
        <f t="shared" si="4"/>
        <v>1497163.5205330998</v>
      </c>
      <c r="S27" s="23">
        <f t="shared" si="5"/>
        <v>1402543.5047934987</v>
      </c>
    </row>
  </sheetData>
  <autoFilter ref="A1:S1" xr:uid="{00000000-0009-0000-0000-000009000000}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"/>
  <sheetViews>
    <sheetView workbookViewId="0">
      <pane ySplit="1" topLeftCell="A3" activePane="bottomLeft" state="frozen"/>
      <selection pane="bottomLeft" activeCell="D51" sqref="D51"/>
    </sheetView>
  </sheetViews>
  <sheetFormatPr defaultColWidth="11.19921875" defaultRowHeight="13.8"/>
  <cols>
    <col min="1" max="2" width="12.69921875" customWidth="1"/>
    <col min="3" max="3" width="16.69921875" customWidth="1"/>
    <col min="4" max="4" width="21.69921875" customWidth="1"/>
    <col min="5" max="5" width="15.69921875" customWidth="1"/>
    <col min="6" max="6" width="19.69921875" customWidth="1"/>
    <col min="7" max="7" width="21.69921875" customWidth="1"/>
    <col min="8" max="9" width="12.69921875" customWidth="1"/>
    <col min="10" max="10" width="20.69921875" customWidth="1"/>
    <col min="11" max="11" width="23.69921875" customWidth="1"/>
    <col min="12" max="12" width="19.69921875" customWidth="1"/>
    <col min="13" max="13" width="13.69921875" customWidth="1"/>
    <col min="14" max="14" width="14.69921875" customWidth="1"/>
  </cols>
  <sheetData>
    <row r="1" spans="1:14" ht="28.05" customHeight="1">
      <c r="A1" s="1" t="s">
        <v>375</v>
      </c>
      <c r="B1" s="1" t="s">
        <v>282</v>
      </c>
      <c r="C1" s="1" t="s">
        <v>283</v>
      </c>
      <c r="D1" s="1" t="s">
        <v>355</v>
      </c>
      <c r="E1" s="1" t="s">
        <v>384</v>
      </c>
      <c r="F1" s="1" t="s">
        <v>385</v>
      </c>
      <c r="G1" s="1" t="s">
        <v>376</v>
      </c>
      <c r="H1" s="1" t="s">
        <v>42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391</v>
      </c>
    </row>
    <row r="2" spans="1:14" ht="69">
      <c r="A2" t="s">
        <v>164</v>
      </c>
      <c r="B2" t="s">
        <v>115</v>
      </c>
      <c r="C2" s="14" t="s">
        <v>291</v>
      </c>
      <c r="D2" t="s">
        <v>366</v>
      </c>
      <c r="E2" t="s">
        <v>367</v>
      </c>
      <c r="G2" t="s">
        <v>383</v>
      </c>
      <c r="H2" s="20">
        <v>2025</v>
      </c>
      <c r="I2" s="30">
        <f>100*(1-(SUMIFS(CVD_40q30_Age!$M$2:$M$2081,CVD_40q30_Age!$A$2:$A$2081,A2,CVD_40q30_Age!$B$2:$B$2081,B2,CVD_40q30_Age!$E$2:$E$2081,G2,CVD_40q30_Age!$F$2:$F$2081,H2,CVD_40q30_Age!$G$2:$G$2081,69))/(SUMIFS(CVD_40q30_Age!$L$2:$L$2081,CVD_40q30_Age!$A$2:$A$2081,A2,CVD_40q30_Age!$B$2:$B$2081,B2,CVD_40q30_Age!$E$2:$E$2081,G2,CVD_40q30_Age!$F$2:$F$2081,H2,CVD_40q30_Age!$G$2:$G$2081,30)))</f>
        <v>14.504478096478934</v>
      </c>
      <c r="J2" s="30">
        <f t="shared" ref="J2:J33" si="0">SUMIFS($I$2:$I$53,$A$2:$A$53,A2,$G$2:$G$53,G2,$H$2:$H$53,H2,$B$2:$B$53,"baseline")</f>
        <v>14.504478096478934</v>
      </c>
      <c r="K2" s="30">
        <f t="shared" ref="K2:K33" si="1">J2-I2</f>
        <v>0</v>
      </c>
      <c r="L2" s="28">
        <f t="shared" ref="L2:L33" si="2">IF(J2=0,"",100*(J2-I2)/J2)</f>
        <v>0</v>
      </c>
      <c r="M2" s="35">
        <v>14.5044780964789</v>
      </c>
      <c r="N2" s="16" t="str">
        <f t="shared" ref="N2:N33" si="3">IF(ABS(I2-M2)&lt;=0.001,"match","mismatch")</f>
        <v>match</v>
      </c>
    </row>
    <row r="3" spans="1:14" ht="69">
      <c r="A3" t="s">
        <v>164</v>
      </c>
      <c r="B3" t="s">
        <v>115</v>
      </c>
      <c r="C3" s="14" t="s">
        <v>291</v>
      </c>
      <c r="D3" t="s">
        <v>366</v>
      </c>
      <c r="E3" t="s">
        <v>367</v>
      </c>
      <c r="G3" t="s">
        <v>383</v>
      </c>
      <c r="H3" s="20">
        <v>2026</v>
      </c>
      <c r="I3" s="30">
        <f>100*(1-(SUMIFS(CVD_40q30_Age!$M$2:$M$2081,CVD_40q30_Age!$A$2:$A$2081,A3,CVD_40q30_Age!$B$2:$B$2081,B3,CVD_40q30_Age!$E$2:$E$2081,G3,CVD_40q30_Age!$F$2:$F$2081,H3,CVD_40q30_Age!$G$2:$G$2081,69))/(SUMIFS(CVD_40q30_Age!$L$2:$L$2081,CVD_40q30_Age!$A$2:$A$2081,A3,CVD_40q30_Age!$B$2:$B$2081,B3,CVD_40q30_Age!$E$2:$E$2081,G3,CVD_40q30_Age!$F$2:$F$2081,H3,CVD_40q30_Age!$G$2:$G$2081,30)))</f>
        <v>13.740436158873791</v>
      </c>
      <c r="J3" s="30">
        <f t="shared" si="0"/>
        <v>13.740525678765547</v>
      </c>
      <c r="K3" s="30">
        <f t="shared" si="1"/>
        <v>8.9519891755429626E-5</v>
      </c>
      <c r="L3" s="28">
        <f t="shared" si="2"/>
        <v>6.5150267062760671E-4</v>
      </c>
      <c r="M3" s="35">
        <v>13.7404361588738</v>
      </c>
      <c r="N3" s="16" t="str">
        <f t="shared" si="3"/>
        <v>match</v>
      </c>
    </row>
    <row r="4" spans="1:14" ht="69">
      <c r="A4" t="s">
        <v>164</v>
      </c>
      <c r="B4" t="s">
        <v>115</v>
      </c>
      <c r="C4" s="14" t="s">
        <v>291</v>
      </c>
      <c r="D4" t="s">
        <v>366</v>
      </c>
      <c r="E4" t="s">
        <v>367</v>
      </c>
      <c r="G4" t="s">
        <v>383</v>
      </c>
      <c r="H4" s="20">
        <v>2027</v>
      </c>
      <c r="I4" s="30">
        <f>100*(1-(SUMIFS(CVD_40q30_Age!$M$2:$M$2081,CVD_40q30_Age!$A$2:$A$2081,A4,CVD_40q30_Age!$B$2:$B$2081,B4,CVD_40q30_Age!$E$2:$E$2081,G4,CVD_40q30_Age!$F$2:$F$2081,H4,CVD_40q30_Age!$G$2:$G$2081,69))/(SUMIFS(CVD_40q30_Age!$L$2:$L$2081,CVD_40q30_Age!$A$2:$A$2081,A4,CVD_40q30_Age!$B$2:$B$2081,B4,CVD_40q30_Age!$E$2:$E$2081,G4,CVD_40q30_Age!$F$2:$F$2081,H4,CVD_40q30_Age!$G$2:$G$2081,30)))</f>
        <v>13.093748085272372</v>
      </c>
      <c r="J4" s="30">
        <f t="shared" si="0"/>
        <v>13.0981162251657</v>
      </c>
      <c r="K4" s="30">
        <f t="shared" si="1"/>
        <v>4.3681398933284044E-3</v>
      </c>
      <c r="L4" s="28">
        <f t="shared" si="2"/>
        <v>3.334937496535418E-2</v>
      </c>
      <c r="M4" s="35">
        <v>13.0937480852724</v>
      </c>
      <c r="N4" s="16" t="str">
        <f t="shared" si="3"/>
        <v>match</v>
      </c>
    </row>
    <row r="5" spans="1:14" ht="69">
      <c r="A5" t="s">
        <v>164</v>
      </c>
      <c r="B5" t="s">
        <v>115</v>
      </c>
      <c r="C5" s="14" t="s">
        <v>291</v>
      </c>
      <c r="D5" t="s">
        <v>366</v>
      </c>
      <c r="E5" t="s">
        <v>367</v>
      </c>
      <c r="G5" t="s">
        <v>383</v>
      </c>
      <c r="H5" s="20">
        <v>2028</v>
      </c>
      <c r="I5" s="30">
        <f>100*(1-(SUMIFS(CVD_40q30_Age!$M$2:$M$2081,CVD_40q30_Age!$A$2:$A$2081,A5,CVD_40q30_Age!$B$2:$B$2081,B5,CVD_40q30_Age!$E$2:$E$2081,G5,CVD_40q30_Age!$F$2:$F$2081,H5,CVD_40q30_Age!$G$2:$G$2081,69))/(SUMIFS(CVD_40q30_Age!$L$2:$L$2081,CVD_40q30_Age!$A$2:$A$2081,A5,CVD_40q30_Age!$B$2:$B$2081,B5,CVD_40q30_Age!$E$2:$E$2081,G5,CVD_40q30_Age!$F$2:$F$2081,H5,CVD_40q30_Age!$G$2:$G$2081,30)))</f>
        <v>12.551954089534956</v>
      </c>
      <c r="J5" s="30">
        <f t="shared" si="0"/>
        <v>12.563550684100155</v>
      </c>
      <c r="K5" s="30">
        <f t="shared" si="1"/>
        <v>1.159659456519968E-2</v>
      </c>
      <c r="L5" s="28">
        <f t="shared" si="2"/>
        <v>9.2303480574769281E-2</v>
      </c>
      <c r="M5" s="35">
        <v>12.551954089535</v>
      </c>
      <c r="N5" s="16" t="str">
        <f t="shared" si="3"/>
        <v>match</v>
      </c>
    </row>
    <row r="6" spans="1:14" ht="69">
      <c r="A6" t="s">
        <v>164</v>
      </c>
      <c r="B6" t="s">
        <v>115</v>
      </c>
      <c r="C6" s="14" t="s">
        <v>291</v>
      </c>
      <c r="D6" t="s">
        <v>366</v>
      </c>
      <c r="E6" t="s">
        <v>367</v>
      </c>
      <c r="G6" t="s">
        <v>383</v>
      </c>
      <c r="H6" s="20">
        <v>2029</v>
      </c>
      <c r="I6" s="30">
        <f>100*(1-(SUMIFS(CVD_40q30_Age!$M$2:$M$2081,CVD_40q30_Age!$A$2:$A$2081,A6,CVD_40q30_Age!$B$2:$B$2081,B6,CVD_40q30_Age!$E$2:$E$2081,G6,CVD_40q30_Age!$F$2:$F$2081,H6,CVD_40q30_Age!$G$2:$G$2081,69))/(SUMIFS(CVD_40q30_Age!$L$2:$L$2081,CVD_40q30_Age!$A$2:$A$2081,A6,CVD_40q30_Age!$B$2:$B$2081,B6,CVD_40q30_Age!$E$2:$E$2081,G6,CVD_40q30_Age!$F$2:$F$2081,H6,CVD_40q30_Age!$G$2:$G$2081,30)))</f>
        <v>12.096710341826999</v>
      </c>
      <c r="J6" s="30">
        <f t="shared" si="0"/>
        <v>12.117750377397552</v>
      </c>
      <c r="K6" s="30">
        <f t="shared" si="1"/>
        <v>2.1040035570553783E-2</v>
      </c>
      <c r="L6" s="28">
        <f t="shared" si="2"/>
        <v>0.17362988108583574</v>
      </c>
      <c r="M6" s="35">
        <v>12.096710341827</v>
      </c>
      <c r="N6" s="16" t="str">
        <f t="shared" si="3"/>
        <v>match</v>
      </c>
    </row>
    <row r="7" spans="1:14" ht="69">
      <c r="A7" t="s">
        <v>164</v>
      </c>
      <c r="B7" t="s">
        <v>115</v>
      </c>
      <c r="C7" s="14" t="s">
        <v>291</v>
      </c>
      <c r="D7" t="s">
        <v>366</v>
      </c>
      <c r="E7" t="s">
        <v>367</v>
      </c>
      <c r="G7" t="s">
        <v>383</v>
      </c>
      <c r="H7" s="20">
        <v>2030</v>
      </c>
      <c r="I7" s="30">
        <f>100*(1-(SUMIFS(CVD_40q30_Age!$M$2:$M$2081,CVD_40q30_Age!$A$2:$A$2081,A7,CVD_40q30_Age!$B$2:$B$2081,B7,CVD_40q30_Age!$E$2:$E$2081,G7,CVD_40q30_Age!$F$2:$F$2081,H7,CVD_40q30_Age!$G$2:$G$2081,69))/(SUMIFS(CVD_40q30_Age!$L$2:$L$2081,CVD_40q30_Age!$A$2:$A$2081,A7,CVD_40q30_Age!$B$2:$B$2081,B7,CVD_40q30_Age!$E$2:$E$2081,G7,CVD_40q30_Age!$F$2:$F$2081,H7,CVD_40q30_Age!$G$2:$G$2081,30)))</f>
        <v>11.714752370687997</v>
      </c>
      <c r="J7" s="30">
        <f t="shared" si="0"/>
        <v>11.746930285566382</v>
      </c>
      <c r="K7" s="30">
        <f t="shared" si="1"/>
        <v>3.2177914878385394E-2</v>
      </c>
      <c r="L7" s="28">
        <f t="shared" si="2"/>
        <v>0.273926158546483</v>
      </c>
      <c r="M7" s="35">
        <v>11.714752370688</v>
      </c>
      <c r="N7" s="16" t="str">
        <f t="shared" si="3"/>
        <v>match</v>
      </c>
    </row>
    <row r="8" spans="1:14" ht="69">
      <c r="A8" t="s">
        <v>164</v>
      </c>
      <c r="B8" t="s">
        <v>115</v>
      </c>
      <c r="C8" s="14" t="s">
        <v>291</v>
      </c>
      <c r="D8" t="s">
        <v>366</v>
      </c>
      <c r="E8" t="s">
        <v>367</v>
      </c>
      <c r="G8" t="s">
        <v>383</v>
      </c>
      <c r="H8" s="20">
        <v>2031</v>
      </c>
      <c r="I8" s="30">
        <f>100*(1-(SUMIFS(CVD_40q30_Age!$M$2:$M$2081,CVD_40q30_Age!$A$2:$A$2081,A8,CVD_40q30_Age!$B$2:$B$2081,B8,CVD_40q30_Age!$E$2:$E$2081,G8,CVD_40q30_Age!$F$2:$F$2081,H8,CVD_40q30_Age!$G$2:$G$2081,69))/(SUMIFS(CVD_40q30_Age!$L$2:$L$2081,CVD_40q30_Age!$A$2:$A$2081,A8,CVD_40q30_Age!$B$2:$B$2081,B8,CVD_40q30_Age!$E$2:$E$2081,G8,CVD_40q30_Age!$F$2:$F$2081,H8,CVD_40q30_Age!$G$2:$G$2081,30)))</f>
        <v>11.365925855988291</v>
      </c>
      <c r="J8" s="30">
        <f t="shared" si="0"/>
        <v>11.413096504740295</v>
      </c>
      <c r="K8" s="30">
        <f t="shared" si="1"/>
        <v>4.7170648752004496E-2</v>
      </c>
      <c r="L8" s="28">
        <f t="shared" si="2"/>
        <v>0.41330281166388738</v>
      </c>
      <c r="M8" s="35">
        <v>11.3659258559883</v>
      </c>
      <c r="N8" s="16" t="str">
        <f t="shared" si="3"/>
        <v>match</v>
      </c>
    </row>
    <row r="9" spans="1:14" ht="69">
      <c r="A9" t="s">
        <v>164</v>
      </c>
      <c r="B9" t="s">
        <v>115</v>
      </c>
      <c r="C9" s="14" t="s">
        <v>291</v>
      </c>
      <c r="D9" t="s">
        <v>366</v>
      </c>
      <c r="E9" t="s">
        <v>367</v>
      </c>
      <c r="G9" t="s">
        <v>383</v>
      </c>
      <c r="H9" s="20">
        <v>2032</v>
      </c>
      <c r="I9" s="30">
        <f>100*(1-(SUMIFS(CVD_40q30_Age!$M$2:$M$2081,CVD_40q30_Age!$A$2:$A$2081,A9,CVD_40q30_Age!$B$2:$B$2081,B9,CVD_40q30_Age!$E$2:$E$2081,G9,CVD_40q30_Age!$F$2:$F$2081,H9,CVD_40q30_Age!$G$2:$G$2081,69))/(SUMIFS(CVD_40q30_Age!$L$2:$L$2081,CVD_40q30_Age!$A$2:$A$2081,A9,CVD_40q30_Age!$B$2:$B$2081,B9,CVD_40q30_Age!$E$2:$E$2081,G9,CVD_40q30_Age!$F$2:$F$2081,H9,CVD_40q30_Age!$G$2:$G$2081,30)))</f>
        <v>11.035674719860255</v>
      </c>
      <c r="J9" s="30">
        <f t="shared" si="0"/>
        <v>11.115398460624116</v>
      </c>
      <c r="K9" s="30">
        <f t="shared" si="1"/>
        <v>7.9723740763860462E-2</v>
      </c>
      <c r="L9" s="28">
        <f t="shared" si="2"/>
        <v>0.71723691279515389</v>
      </c>
      <c r="M9" s="35">
        <v>11.0356747198603</v>
      </c>
      <c r="N9" s="16" t="str">
        <f t="shared" si="3"/>
        <v>match</v>
      </c>
    </row>
    <row r="10" spans="1:14" ht="69">
      <c r="A10" t="s">
        <v>164</v>
      </c>
      <c r="B10" t="s">
        <v>115</v>
      </c>
      <c r="C10" s="14" t="s">
        <v>291</v>
      </c>
      <c r="D10" t="s">
        <v>366</v>
      </c>
      <c r="E10" t="s">
        <v>367</v>
      </c>
      <c r="G10" t="s">
        <v>383</v>
      </c>
      <c r="H10" s="20">
        <v>2033</v>
      </c>
      <c r="I10" s="30">
        <f>100*(1-(SUMIFS(CVD_40q30_Age!$M$2:$M$2081,CVD_40q30_Age!$A$2:$A$2081,A10,CVD_40q30_Age!$B$2:$B$2081,B10,CVD_40q30_Age!$E$2:$E$2081,G10,CVD_40q30_Age!$F$2:$F$2081,H10,CVD_40q30_Age!$G$2:$G$2081,69))/(SUMIFS(CVD_40q30_Age!$L$2:$L$2081,CVD_40q30_Age!$A$2:$A$2081,A10,CVD_40q30_Age!$B$2:$B$2081,B10,CVD_40q30_Age!$E$2:$E$2081,G10,CVD_40q30_Age!$F$2:$F$2081,H10,CVD_40q30_Age!$G$2:$G$2081,30)))</f>
        <v>10.726588773565137</v>
      </c>
      <c r="J10" s="30">
        <f t="shared" si="0"/>
        <v>10.851472170226694</v>
      </c>
      <c r="K10" s="30">
        <f t="shared" si="1"/>
        <v>0.12488339666155746</v>
      </c>
      <c r="L10" s="28">
        <f t="shared" si="2"/>
        <v>1.1508428967288091</v>
      </c>
      <c r="M10" s="35">
        <v>10.7265887735651</v>
      </c>
      <c r="N10" s="16" t="str">
        <f t="shared" si="3"/>
        <v>match</v>
      </c>
    </row>
    <row r="11" spans="1:14" ht="69">
      <c r="A11" t="s">
        <v>164</v>
      </c>
      <c r="B11" t="s">
        <v>115</v>
      </c>
      <c r="C11" s="14" t="s">
        <v>291</v>
      </c>
      <c r="D11" t="s">
        <v>366</v>
      </c>
      <c r="E11" t="s">
        <v>367</v>
      </c>
      <c r="G11" t="s">
        <v>383</v>
      </c>
      <c r="H11" s="20">
        <v>2034</v>
      </c>
      <c r="I11" s="30">
        <f>100*(1-(SUMIFS(CVD_40q30_Age!$M$2:$M$2081,CVD_40q30_Age!$A$2:$A$2081,A11,CVD_40q30_Age!$B$2:$B$2081,B11,CVD_40q30_Age!$E$2:$E$2081,G11,CVD_40q30_Age!$F$2:$F$2081,H11,CVD_40q30_Age!$G$2:$G$2081,69))/(SUMIFS(CVD_40q30_Age!$L$2:$L$2081,CVD_40q30_Age!$A$2:$A$2081,A11,CVD_40q30_Age!$B$2:$B$2081,B11,CVD_40q30_Age!$E$2:$E$2081,G11,CVD_40q30_Age!$F$2:$F$2081,H11,CVD_40q30_Age!$G$2:$G$2081,30)))</f>
        <v>10.446095604428551</v>
      </c>
      <c r="J11" s="30">
        <f t="shared" si="0"/>
        <v>10.625758395811735</v>
      </c>
      <c r="K11" s="30">
        <f t="shared" si="1"/>
        <v>0.17966279138318342</v>
      </c>
      <c r="L11" s="28">
        <f t="shared" si="2"/>
        <v>1.6908232305940589</v>
      </c>
      <c r="M11" s="35">
        <v>10.4460956044285</v>
      </c>
      <c r="N11" s="16" t="str">
        <f t="shared" si="3"/>
        <v>match</v>
      </c>
    </row>
    <row r="12" spans="1:14" ht="69">
      <c r="A12" t="s">
        <v>164</v>
      </c>
      <c r="B12" t="s">
        <v>115</v>
      </c>
      <c r="C12" s="14" t="s">
        <v>291</v>
      </c>
      <c r="D12" t="s">
        <v>366</v>
      </c>
      <c r="E12" t="s">
        <v>367</v>
      </c>
      <c r="G12" t="s">
        <v>383</v>
      </c>
      <c r="H12" s="20">
        <v>2035</v>
      </c>
      <c r="I12" s="30">
        <f>100*(1-(SUMIFS(CVD_40q30_Age!$M$2:$M$2081,CVD_40q30_Age!$A$2:$A$2081,A12,CVD_40q30_Age!$B$2:$B$2081,B12,CVD_40q30_Age!$E$2:$E$2081,G12,CVD_40q30_Age!$F$2:$F$2081,H12,CVD_40q30_Age!$G$2:$G$2081,69))/(SUMIFS(CVD_40q30_Age!$L$2:$L$2081,CVD_40q30_Age!$A$2:$A$2081,A12,CVD_40q30_Age!$B$2:$B$2081,B12,CVD_40q30_Age!$E$2:$E$2081,G12,CVD_40q30_Age!$F$2:$F$2081,H12,CVD_40q30_Age!$G$2:$G$2081,30)))</f>
        <v>10.189222750181148</v>
      </c>
      <c r="J12" s="30">
        <f t="shared" si="0"/>
        <v>10.431087930714511</v>
      </c>
      <c r="K12" s="30">
        <f t="shared" si="1"/>
        <v>0.24186518053336314</v>
      </c>
      <c r="L12" s="28">
        <f t="shared" si="2"/>
        <v>2.3186956350083783</v>
      </c>
      <c r="M12" s="35">
        <v>10.1892227501812</v>
      </c>
      <c r="N12" s="16" t="str">
        <f t="shared" si="3"/>
        <v>match</v>
      </c>
    </row>
    <row r="13" spans="1:14" ht="69">
      <c r="A13" t="s">
        <v>164</v>
      </c>
      <c r="B13" t="s">
        <v>115</v>
      </c>
      <c r="C13" s="14" t="s">
        <v>291</v>
      </c>
      <c r="D13" t="s">
        <v>366</v>
      </c>
      <c r="E13" t="s">
        <v>367</v>
      </c>
      <c r="G13" t="s">
        <v>383</v>
      </c>
      <c r="H13" s="20">
        <v>2036</v>
      </c>
      <c r="I13" s="30">
        <f>100*(1-(SUMIFS(CVD_40q30_Age!$M$2:$M$2081,CVD_40q30_Age!$A$2:$A$2081,A13,CVD_40q30_Age!$B$2:$B$2081,B13,CVD_40q30_Age!$E$2:$E$2081,G13,CVD_40q30_Age!$F$2:$F$2081,H13,CVD_40q30_Age!$G$2:$G$2081,69))/(SUMIFS(CVD_40q30_Age!$L$2:$L$2081,CVD_40q30_Age!$A$2:$A$2081,A13,CVD_40q30_Age!$B$2:$B$2081,B13,CVD_40q30_Age!$E$2:$E$2081,G13,CVD_40q30_Age!$F$2:$F$2081,H13,CVD_40q30_Age!$G$2:$G$2081,30)))</f>
        <v>9.9563928809744411</v>
      </c>
      <c r="J13" s="30">
        <f t="shared" si="0"/>
        <v>10.266492979267328</v>
      </c>
      <c r="K13" s="30">
        <f t="shared" si="1"/>
        <v>0.31010009829288698</v>
      </c>
      <c r="L13" s="28">
        <f t="shared" si="2"/>
        <v>3.020506602586869</v>
      </c>
      <c r="M13" s="35">
        <v>9.9563928809744393</v>
      </c>
      <c r="N13" s="16" t="str">
        <f t="shared" si="3"/>
        <v>match</v>
      </c>
    </row>
    <row r="14" spans="1:14" ht="69">
      <c r="A14" t="s">
        <v>164</v>
      </c>
      <c r="B14" t="s">
        <v>115</v>
      </c>
      <c r="C14" s="14" t="s">
        <v>291</v>
      </c>
      <c r="D14" t="s">
        <v>366</v>
      </c>
      <c r="E14" t="s">
        <v>367</v>
      </c>
      <c r="G14" t="s">
        <v>383</v>
      </c>
      <c r="H14" s="20">
        <v>2037</v>
      </c>
      <c r="I14" s="30">
        <f>100*(1-(SUMIFS(CVD_40q30_Age!$M$2:$M$2081,CVD_40q30_Age!$A$2:$A$2081,A14,CVD_40q30_Age!$B$2:$B$2081,B14,CVD_40q30_Age!$E$2:$E$2081,G14,CVD_40q30_Age!$F$2:$F$2081,H14,CVD_40q30_Age!$G$2:$G$2081,69))/(SUMIFS(CVD_40q30_Age!$L$2:$L$2081,CVD_40q30_Age!$A$2:$A$2081,A14,CVD_40q30_Age!$B$2:$B$2081,B14,CVD_40q30_Age!$E$2:$E$2081,G14,CVD_40q30_Age!$F$2:$F$2081,H14,CVD_40q30_Age!$G$2:$G$2081,30)))</f>
        <v>9.7409352344600908</v>
      </c>
      <c r="J14" s="30">
        <f t="shared" si="0"/>
        <v>10.124060477160867</v>
      </c>
      <c r="K14" s="30">
        <f t="shared" si="1"/>
        <v>0.38312524270077652</v>
      </c>
      <c r="L14" s="28">
        <f t="shared" si="2"/>
        <v>3.7843041689160075</v>
      </c>
      <c r="M14" s="35">
        <v>9.7409352344600997</v>
      </c>
      <c r="N14" s="16" t="str">
        <f t="shared" si="3"/>
        <v>match</v>
      </c>
    </row>
    <row r="15" spans="1:14" ht="69">
      <c r="A15" t="s">
        <v>164</v>
      </c>
      <c r="B15" t="s">
        <v>115</v>
      </c>
      <c r="C15" s="14" t="s">
        <v>291</v>
      </c>
      <c r="D15" t="s">
        <v>366</v>
      </c>
      <c r="E15" t="s">
        <v>367</v>
      </c>
      <c r="G15" t="s">
        <v>383</v>
      </c>
      <c r="H15" s="20">
        <v>2038</v>
      </c>
      <c r="I15" s="30">
        <f>100*(1-(SUMIFS(CVD_40q30_Age!$M$2:$M$2081,CVD_40q30_Age!$A$2:$A$2081,A15,CVD_40q30_Age!$B$2:$B$2081,B15,CVD_40q30_Age!$E$2:$E$2081,G15,CVD_40q30_Age!$F$2:$F$2081,H15,CVD_40q30_Age!$G$2:$G$2081,69))/(SUMIFS(CVD_40q30_Age!$L$2:$L$2081,CVD_40q30_Age!$A$2:$A$2081,A15,CVD_40q30_Age!$B$2:$B$2081,B15,CVD_40q30_Age!$E$2:$E$2081,G15,CVD_40q30_Age!$F$2:$F$2081,H15,CVD_40q30_Age!$G$2:$G$2081,30)))</f>
        <v>9.5412073711491185</v>
      </c>
      <c r="J15" s="30">
        <f t="shared" si="0"/>
        <v>10.001228916146488</v>
      </c>
      <c r="K15" s="30">
        <f t="shared" si="1"/>
        <v>0.46002154499736925</v>
      </c>
      <c r="L15" s="28">
        <f t="shared" si="2"/>
        <v>4.5996501915348356</v>
      </c>
      <c r="M15" s="35">
        <v>9.5412073711491097</v>
      </c>
      <c r="N15" s="16" t="str">
        <f t="shared" si="3"/>
        <v>match</v>
      </c>
    </row>
    <row r="16" spans="1:14" ht="69">
      <c r="A16" t="s">
        <v>164</v>
      </c>
      <c r="B16" t="s">
        <v>115</v>
      </c>
      <c r="C16" s="14" t="s">
        <v>291</v>
      </c>
      <c r="D16" t="s">
        <v>366</v>
      </c>
      <c r="E16" t="s">
        <v>367</v>
      </c>
      <c r="G16" t="s">
        <v>383</v>
      </c>
      <c r="H16" s="20">
        <v>2039</v>
      </c>
      <c r="I16" s="30">
        <f>100*(1-(SUMIFS(CVD_40q30_Age!$M$2:$M$2081,CVD_40q30_Age!$A$2:$A$2081,A16,CVD_40q30_Age!$B$2:$B$2081,B16,CVD_40q30_Age!$E$2:$E$2081,G16,CVD_40q30_Age!$F$2:$F$2081,H16,CVD_40q30_Age!$G$2:$G$2081,69))/(SUMIFS(CVD_40q30_Age!$L$2:$L$2081,CVD_40q30_Age!$A$2:$A$2081,A16,CVD_40q30_Age!$B$2:$B$2081,B16,CVD_40q30_Age!$E$2:$E$2081,G16,CVD_40q30_Age!$F$2:$F$2081,H16,CVD_40q30_Age!$G$2:$G$2081,30)))</f>
        <v>9.3595117607103706</v>
      </c>
      <c r="J16" s="30">
        <f t="shared" si="0"/>
        <v>9.8998183244627604</v>
      </c>
      <c r="K16" s="30">
        <f t="shared" si="1"/>
        <v>0.54030656375238983</v>
      </c>
      <c r="L16" s="28">
        <f t="shared" si="2"/>
        <v>5.4577422134836091</v>
      </c>
      <c r="M16" s="35">
        <v>9.3595117607103795</v>
      </c>
      <c r="N16" s="16" t="str">
        <f t="shared" si="3"/>
        <v>match</v>
      </c>
    </row>
    <row r="17" spans="1:14" ht="69">
      <c r="A17" t="s">
        <v>164</v>
      </c>
      <c r="B17" t="s">
        <v>115</v>
      </c>
      <c r="C17" s="14" t="s">
        <v>291</v>
      </c>
      <c r="D17" t="s">
        <v>366</v>
      </c>
      <c r="E17" t="s">
        <v>367</v>
      </c>
      <c r="G17" t="s">
        <v>383</v>
      </c>
      <c r="H17" s="20">
        <v>2040</v>
      </c>
      <c r="I17" s="30">
        <f>100*(1-(SUMIFS(CVD_40q30_Age!$M$2:$M$2081,CVD_40q30_Age!$A$2:$A$2081,A17,CVD_40q30_Age!$B$2:$B$2081,B17,CVD_40q30_Age!$E$2:$E$2081,G17,CVD_40q30_Age!$F$2:$F$2081,H17,CVD_40q30_Age!$G$2:$G$2081,69))/(SUMIFS(CVD_40q30_Age!$L$2:$L$2081,CVD_40q30_Age!$A$2:$A$2081,A17,CVD_40q30_Age!$B$2:$B$2081,B17,CVD_40q30_Age!$E$2:$E$2081,G17,CVD_40q30_Age!$F$2:$F$2081,H17,CVD_40q30_Age!$G$2:$G$2081,30)))</f>
        <v>9.1790281676356607</v>
      </c>
      <c r="J17" s="30">
        <f t="shared" si="0"/>
        <v>9.8020398428883766</v>
      </c>
      <c r="K17" s="30">
        <f t="shared" si="1"/>
        <v>0.62301167525271595</v>
      </c>
      <c r="L17" s="28">
        <f t="shared" si="2"/>
        <v>6.3559390212510349</v>
      </c>
      <c r="M17" s="35">
        <v>9.1790281676356607</v>
      </c>
      <c r="N17" s="16" t="str">
        <f t="shared" si="3"/>
        <v>match</v>
      </c>
    </row>
    <row r="18" spans="1:14" ht="69">
      <c r="A18" t="s">
        <v>164</v>
      </c>
      <c r="B18" t="s">
        <v>115</v>
      </c>
      <c r="C18" s="14" t="s">
        <v>291</v>
      </c>
      <c r="D18" t="s">
        <v>366</v>
      </c>
      <c r="E18" t="s">
        <v>367</v>
      </c>
      <c r="G18" t="s">
        <v>383</v>
      </c>
      <c r="H18" s="20">
        <v>2041</v>
      </c>
      <c r="I18" s="30">
        <f>100*(1-(SUMIFS(CVD_40q30_Age!$M$2:$M$2081,CVD_40q30_Age!$A$2:$A$2081,A18,CVD_40q30_Age!$B$2:$B$2081,B18,CVD_40q30_Age!$E$2:$E$2081,G18,CVD_40q30_Age!$F$2:$F$2081,H18,CVD_40q30_Age!$G$2:$G$2081,69))/(SUMIFS(CVD_40q30_Age!$L$2:$L$2081,CVD_40q30_Age!$A$2:$A$2081,A18,CVD_40q30_Age!$B$2:$B$2081,B18,CVD_40q30_Age!$E$2:$E$2081,G18,CVD_40q30_Age!$F$2:$F$2081,H18,CVD_40q30_Age!$G$2:$G$2081,30)))</f>
        <v>9.0048818875628989</v>
      </c>
      <c r="J18" s="30">
        <f t="shared" si="0"/>
        <v>9.7108313548631369</v>
      </c>
      <c r="K18" s="30">
        <f t="shared" si="1"/>
        <v>0.705949467300238</v>
      </c>
      <c r="L18" s="28">
        <f t="shared" si="2"/>
        <v>7.2697119484698076</v>
      </c>
      <c r="M18" s="35">
        <v>9.0048818875629095</v>
      </c>
      <c r="N18" s="16" t="str">
        <f t="shared" si="3"/>
        <v>match</v>
      </c>
    </row>
    <row r="19" spans="1:14" ht="69">
      <c r="A19" t="s">
        <v>164</v>
      </c>
      <c r="B19" t="s">
        <v>115</v>
      </c>
      <c r="C19" s="14" t="s">
        <v>291</v>
      </c>
      <c r="D19" t="s">
        <v>366</v>
      </c>
      <c r="E19" t="s">
        <v>367</v>
      </c>
      <c r="G19" t="s">
        <v>383</v>
      </c>
      <c r="H19" s="20">
        <v>2042</v>
      </c>
      <c r="I19" s="30">
        <f>100*(1-(SUMIFS(CVD_40q30_Age!$M$2:$M$2081,CVD_40q30_Age!$A$2:$A$2081,A19,CVD_40q30_Age!$B$2:$B$2081,B19,CVD_40q30_Age!$E$2:$E$2081,G19,CVD_40q30_Age!$F$2:$F$2081,H19,CVD_40q30_Age!$G$2:$G$2081,69))/(SUMIFS(CVD_40q30_Age!$L$2:$L$2081,CVD_40q30_Age!$A$2:$A$2081,A19,CVD_40q30_Age!$B$2:$B$2081,B19,CVD_40q30_Age!$E$2:$E$2081,G19,CVD_40q30_Age!$F$2:$F$2081,H19,CVD_40q30_Age!$G$2:$G$2081,30)))</f>
        <v>8.8524891670313188</v>
      </c>
      <c r="J19" s="30">
        <f t="shared" si="0"/>
        <v>9.6236320982594492</v>
      </c>
      <c r="K19" s="30">
        <f t="shared" si="1"/>
        <v>0.77114293122813038</v>
      </c>
      <c r="L19" s="28">
        <f t="shared" si="2"/>
        <v>8.0130134169156459</v>
      </c>
      <c r="M19" s="35">
        <v>8.8524891670313099</v>
      </c>
      <c r="N19" s="16" t="str">
        <f t="shared" si="3"/>
        <v>match</v>
      </c>
    </row>
    <row r="20" spans="1:14" ht="69">
      <c r="A20" t="s">
        <v>164</v>
      </c>
      <c r="B20" t="s">
        <v>115</v>
      </c>
      <c r="C20" s="14" t="s">
        <v>291</v>
      </c>
      <c r="D20" t="s">
        <v>366</v>
      </c>
      <c r="E20" t="s">
        <v>367</v>
      </c>
      <c r="G20" t="s">
        <v>383</v>
      </c>
      <c r="H20" s="20">
        <v>2043</v>
      </c>
      <c r="I20" s="30">
        <f>100*(1-(SUMIFS(CVD_40q30_Age!$M$2:$M$2081,CVD_40q30_Age!$A$2:$A$2081,A20,CVD_40q30_Age!$B$2:$B$2081,B20,CVD_40q30_Age!$E$2:$E$2081,G20,CVD_40q30_Age!$F$2:$F$2081,H20,CVD_40q30_Age!$G$2:$G$2081,69))/(SUMIFS(CVD_40q30_Age!$L$2:$L$2081,CVD_40q30_Age!$A$2:$A$2081,A20,CVD_40q30_Age!$B$2:$B$2081,B20,CVD_40q30_Age!$E$2:$E$2081,G20,CVD_40q30_Age!$F$2:$F$2081,H20,CVD_40q30_Age!$G$2:$G$2081,30)))</f>
        <v>8.7164586825741246</v>
      </c>
      <c r="J20" s="30">
        <f t="shared" si="0"/>
        <v>9.5398334683556403</v>
      </c>
      <c r="K20" s="30">
        <f t="shared" si="1"/>
        <v>0.82337478578151568</v>
      </c>
      <c r="L20" s="28">
        <f t="shared" si="2"/>
        <v>8.6309136161832711</v>
      </c>
      <c r="M20" s="35">
        <v>8.7164586825741406</v>
      </c>
      <c r="N20" s="16" t="str">
        <f t="shared" si="3"/>
        <v>match</v>
      </c>
    </row>
    <row r="21" spans="1:14" ht="69">
      <c r="A21" t="s">
        <v>164</v>
      </c>
      <c r="B21" t="s">
        <v>115</v>
      </c>
      <c r="C21" s="14" t="s">
        <v>291</v>
      </c>
      <c r="D21" t="s">
        <v>366</v>
      </c>
      <c r="E21" t="s">
        <v>367</v>
      </c>
      <c r="G21" t="s">
        <v>383</v>
      </c>
      <c r="H21" s="20">
        <v>2044</v>
      </c>
      <c r="I21" s="30">
        <f>100*(1-(SUMIFS(CVD_40q30_Age!$M$2:$M$2081,CVD_40q30_Age!$A$2:$A$2081,A21,CVD_40q30_Age!$B$2:$B$2081,B21,CVD_40q30_Age!$E$2:$E$2081,G21,CVD_40q30_Age!$F$2:$F$2081,H21,CVD_40q30_Age!$G$2:$G$2081,69))/(SUMIFS(CVD_40q30_Age!$L$2:$L$2081,CVD_40q30_Age!$A$2:$A$2081,A21,CVD_40q30_Age!$B$2:$B$2081,B21,CVD_40q30_Age!$E$2:$E$2081,G21,CVD_40q30_Age!$F$2:$F$2081,H21,CVD_40q30_Age!$G$2:$G$2081,30)))</f>
        <v>8.5956461614838169</v>
      </c>
      <c r="J21" s="30">
        <f t="shared" si="0"/>
        <v>9.4615502254039257</v>
      </c>
      <c r="K21" s="30">
        <f t="shared" si="1"/>
        <v>0.86590406392010877</v>
      </c>
      <c r="L21" s="28">
        <f t="shared" si="2"/>
        <v>9.1518201911055463</v>
      </c>
      <c r="M21" s="35">
        <v>8.5956461614838204</v>
      </c>
      <c r="N21" s="16" t="str">
        <f t="shared" si="3"/>
        <v>match</v>
      </c>
    </row>
    <row r="22" spans="1:14" ht="69">
      <c r="A22" t="s">
        <v>164</v>
      </c>
      <c r="B22" t="s">
        <v>115</v>
      </c>
      <c r="C22" s="14" t="s">
        <v>291</v>
      </c>
      <c r="D22" t="s">
        <v>366</v>
      </c>
      <c r="E22" t="s">
        <v>367</v>
      </c>
      <c r="G22" t="s">
        <v>383</v>
      </c>
      <c r="H22" s="20">
        <v>2045</v>
      </c>
      <c r="I22" s="30">
        <f>100*(1-(SUMIFS(CVD_40q30_Age!$M$2:$M$2081,CVD_40q30_Age!$A$2:$A$2081,A22,CVD_40q30_Age!$B$2:$B$2081,B22,CVD_40q30_Age!$E$2:$E$2081,G22,CVD_40q30_Age!$F$2:$F$2081,H22,CVD_40q30_Age!$G$2:$G$2081,69))/(SUMIFS(CVD_40q30_Age!$L$2:$L$2081,CVD_40q30_Age!$A$2:$A$2081,A22,CVD_40q30_Age!$B$2:$B$2081,B22,CVD_40q30_Age!$E$2:$E$2081,G22,CVD_40q30_Age!$F$2:$F$2081,H22,CVD_40q30_Age!$G$2:$G$2081,30)))</f>
        <v>8.4903141710907182</v>
      </c>
      <c r="J22" s="30">
        <f t="shared" si="0"/>
        <v>9.3914575791279375</v>
      </c>
      <c r="K22" s="30">
        <f t="shared" si="1"/>
        <v>0.90114340803721937</v>
      </c>
      <c r="L22" s="28">
        <f t="shared" si="2"/>
        <v>9.5953519509044831</v>
      </c>
      <c r="M22" s="35">
        <v>8.49031417109072</v>
      </c>
      <c r="N22" s="16" t="str">
        <f t="shared" si="3"/>
        <v>match</v>
      </c>
    </row>
    <row r="23" spans="1:14" ht="69">
      <c r="A23" t="s">
        <v>164</v>
      </c>
      <c r="B23" t="s">
        <v>115</v>
      </c>
      <c r="C23" s="14" t="s">
        <v>291</v>
      </c>
      <c r="D23" t="s">
        <v>366</v>
      </c>
      <c r="E23" t="s">
        <v>367</v>
      </c>
      <c r="G23" t="s">
        <v>383</v>
      </c>
      <c r="H23" s="20">
        <v>2046</v>
      </c>
      <c r="I23" s="30">
        <f>100*(1-(SUMIFS(CVD_40q30_Age!$M$2:$M$2081,CVD_40q30_Age!$A$2:$A$2081,A23,CVD_40q30_Age!$B$2:$B$2081,B23,CVD_40q30_Age!$E$2:$E$2081,G23,CVD_40q30_Age!$F$2:$F$2081,H23,CVD_40q30_Age!$G$2:$G$2081,69))/(SUMIFS(CVD_40q30_Age!$L$2:$L$2081,CVD_40q30_Age!$A$2:$A$2081,A23,CVD_40q30_Age!$B$2:$B$2081,B23,CVD_40q30_Age!$E$2:$E$2081,G23,CVD_40q30_Age!$F$2:$F$2081,H23,CVD_40q30_Age!$G$2:$G$2081,30)))</f>
        <v>8.3952714392949819</v>
      </c>
      <c r="J23" s="30">
        <f t="shared" si="0"/>
        <v>9.3257242143741195</v>
      </c>
      <c r="K23" s="30">
        <f t="shared" si="1"/>
        <v>0.9304527750791376</v>
      </c>
      <c r="L23" s="28">
        <f t="shared" si="2"/>
        <v>9.9772709731753899</v>
      </c>
      <c r="M23" s="35">
        <v>8.3952714392949694</v>
      </c>
      <c r="N23" s="16" t="str">
        <f t="shared" si="3"/>
        <v>match</v>
      </c>
    </row>
    <row r="24" spans="1:14" ht="69">
      <c r="A24" t="s">
        <v>164</v>
      </c>
      <c r="B24" t="s">
        <v>115</v>
      </c>
      <c r="C24" s="14" t="s">
        <v>291</v>
      </c>
      <c r="D24" t="s">
        <v>366</v>
      </c>
      <c r="E24" t="s">
        <v>367</v>
      </c>
      <c r="G24" t="s">
        <v>383</v>
      </c>
      <c r="H24" s="20">
        <v>2047</v>
      </c>
      <c r="I24" s="30">
        <f>100*(1-(SUMIFS(CVD_40q30_Age!$M$2:$M$2081,CVD_40q30_Age!$A$2:$A$2081,A24,CVD_40q30_Age!$B$2:$B$2081,B24,CVD_40q30_Age!$E$2:$E$2081,G24,CVD_40q30_Age!$F$2:$F$2081,H24,CVD_40q30_Age!$G$2:$G$2081,69))/(SUMIFS(CVD_40q30_Age!$L$2:$L$2081,CVD_40q30_Age!$A$2:$A$2081,A24,CVD_40q30_Age!$B$2:$B$2081,B24,CVD_40q30_Age!$E$2:$E$2081,G24,CVD_40q30_Age!$F$2:$F$2081,H24,CVD_40q30_Age!$G$2:$G$2081,30)))</f>
        <v>8.3079469401584838</v>
      </c>
      <c r="J24" s="30">
        <f t="shared" si="0"/>
        <v>9.2627864020676132</v>
      </c>
      <c r="K24" s="30">
        <f t="shared" si="1"/>
        <v>0.95483946190912938</v>
      </c>
      <c r="L24" s="28">
        <f t="shared" si="2"/>
        <v>10.308339418212135</v>
      </c>
      <c r="M24" s="35">
        <v>8.3079469401584696</v>
      </c>
      <c r="N24" s="16" t="str">
        <f t="shared" si="3"/>
        <v>match</v>
      </c>
    </row>
    <row r="25" spans="1:14" ht="69">
      <c r="A25" t="s">
        <v>164</v>
      </c>
      <c r="B25" t="s">
        <v>115</v>
      </c>
      <c r="C25" s="14" t="s">
        <v>291</v>
      </c>
      <c r="D25" t="s">
        <v>366</v>
      </c>
      <c r="E25" t="s">
        <v>367</v>
      </c>
      <c r="G25" t="s">
        <v>383</v>
      </c>
      <c r="H25" s="20">
        <v>2048</v>
      </c>
      <c r="I25" s="30">
        <f>100*(1-(SUMIFS(CVD_40q30_Age!$M$2:$M$2081,CVD_40q30_Age!$A$2:$A$2081,A25,CVD_40q30_Age!$B$2:$B$2081,B25,CVD_40q30_Age!$E$2:$E$2081,G25,CVD_40q30_Age!$F$2:$F$2081,H25,CVD_40q30_Age!$G$2:$G$2081,69))/(SUMIFS(CVD_40q30_Age!$L$2:$L$2081,CVD_40q30_Age!$A$2:$A$2081,A25,CVD_40q30_Age!$B$2:$B$2081,B25,CVD_40q30_Age!$E$2:$E$2081,G25,CVD_40q30_Age!$F$2:$F$2081,H25,CVD_40q30_Age!$G$2:$G$2081,30)))</f>
        <v>8.2239821977965093</v>
      </c>
      <c r="J25" s="30">
        <f t="shared" si="0"/>
        <v>9.1988734353995909</v>
      </c>
      <c r="K25" s="30">
        <f t="shared" si="1"/>
        <v>0.97489123760308161</v>
      </c>
      <c r="L25" s="28">
        <f t="shared" si="2"/>
        <v>10.597941633281458</v>
      </c>
      <c r="M25" s="35">
        <v>8.2239821977965306</v>
      </c>
      <c r="N25" s="16" t="str">
        <f t="shared" si="3"/>
        <v>match</v>
      </c>
    </row>
    <row r="26" spans="1:14" ht="69">
      <c r="A26" t="s">
        <v>164</v>
      </c>
      <c r="B26" t="s">
        <v>115</v>
      </c>
      <c r="C26" s="14" t="s">
        <v>291</v>
      </c>
      <c r="D26" t="s">
        <v>366</v>
      </c>
      <c r="E26" t="s">
        <v>367</v>
      </c>
      <c r="G26" t="s">
        <v>383</v>
      </c>
      <c r="H26" s="20">
        <v>2049</v>
      </c>
      <c r="I26" s="30">
        <f>100*(1-(SUMIFS(CVD_40q30_Age!$M$2:$M$2081,CVD_40q30_Age!$A$2:$A$2081,A26,CVD_40q30_Age!$B$2:$B$2081,B26,CVD_40q30_Age!$E$2:$E$2081,G26,CVD_40q30_Age!$F$2:$F$2081,H26,CVD_40q30_Age!$G$2:$G$2081,69))/(SUMIFS(CVD_40q30_Age!$L$2:$L$2081,CVD_40q30_Age!$A$2:$A$2081,A26,CVD_40q30_Age!$B$2:$B$2081,B26,CVD_40q30_Age!$E$2:$E$2081,G26,CVD_40q30_Age!$F$2:$F$2081,H26,CVD_40q30_Age!$G$2:$G$2081,30)))</f>
        <v>8.1484326885904128</v>
      </c>
      <c r="J26" s="30">
        <f t="shared" si="0"/>
        <v>9.1403407788967819</v>
      </c>
      <c r="K26" s="30">
        <f t="shared" si="1"/>
        <v>0.99190809030636906</v>
      </c>
      <c r="L26" s="28">
        <f t="shared" si="2"/>
        <v>10.851981499382237</v>
      </c>
      <c r="M26" s="35">
        <v>8.1484326885904093</v>
      </c>
      <c r="N26" s="16" t="str">
        <f t="shared" si="3"/>
        <v>match</v>
      </c>
    </row>
    <row r="27" spans="1:14" ht="69">
      <c r="A27" t="s">
        <v>164</v>
      </c>
      <c r="B27" t="s">
        <v>115</v>
      </c>
      <c r="C27" s="14" t="s">
        <v>291</v>
      </c>
      <c r="D27" t="s">
        <v>366</v>
      </c>
      <c r="E27" t="s">
        <v>367</v>
      </c>
      <c r="G27" t="s">
        <v>383</v>
      </c>
      <c r="H27" s="20">
        <v>2050</v>
      </c>
      <c r="I27" s="30">
        <f>100*(1-(SUMIFS(CVD_40q30_Age!$M$2:$M$2081,CVD_40q30_Age!$A$2:$A$2081,A27,CVD_40q30_Age!$B$2:$B$2081,B27,CVD_40q30_Age!$E$2:$E$2081,G27,CVD_40q30_Age!$F$2:$F$2081,H27,CVD_40q30_Age!$G$2:$G$2081,69))/(SUMIFS(CVD_40q30_Age!$L$2:$L$2081,CVD_40q30_Age!$A$2:$A$2081,A27,CVD_40q30_Age!$B$2:$B$2081,B27,CVD_40q30_Age!$E$2:$E$2081,G27,CVD_40q30_Age!$F$2:$F$2081,H27,CVD_40q30_Age!$G$2:$G$2081,30)))</f>
        <v>8.0775537862305171</v>
      </c>
      <c r="J27" s="30">
        <f t="shared" si="0"/>
        <v>9.0836246402182788</v>
      </c>
      <c r="K27" s="30">
        <f t="shared" si="1"/>
        <v>1.0060708539877616</v>
      </c>
      <c r="L27" s="28">
        <f t="shared" si="2"/>
        <v>11.0756542001232</v>
      </c>
      <c r="M27" s="35">
        <v>8.07755378623051</v>
      </c>
      <c r="N27" s="16" t="str">
        <f t="shared" si="3"/>
        <v>match</v>
      </c>
    </row>
    <row r="28" spans="1:14" ht="27.6">
      <c r="A28" t="s">
        <v>164</v>
      </c>
      <c r="B28" t="s">
        <v>112</v>
      </c>
      <c r="C28" s="14" t="s">
        <v>294</v>
      </c>
      <c r="D28" t="s">
        <v>112</v>
      </c>
      <c r="G28" t="s">
        <v>383</v>
      </c>
      <c r="H28" s="20">
        <v>2025</v>
      </c>
      <c r="I28" s="30">
        <f>100*(1-(SUMIFS(CVD_40q30_Age!$M$2:$M$2081,CVD_40q30_Age!$A$2:$A$2081,A28,CVD_40q30_Age!$B$2:$B$2081,B28,CVD_40q30_Age!$E$2:$E$2081,G28,CVD_40q30_Age!$F$2:$F$2081,H28,CVD_40q30_Age!$G$2:$G$2081,69))/(SUMIFS(CVD_40q30_Age!$L$2:$L$2081,CVD_40q30_Age!$A$2:$A$2081,A28,CVD_40q30_Age!$B$2:$B$2081,B28,CVD_40q30_Age!$E$2:$E$2081,G28,CVD_40q30_Age!$F$2:$F$2081,H28,CVD_40q30_Age!$G$2:$G$2081,30)))</f>
        <v>14.504478096478934</v>
      </c>
      <c r="J28" s="30">
        <f t="shared" si="0"/>
        <v>14.504478096478934</v>
      </c>
      <c r="K28" s="30">
        <f t="shared" si="1"/>
        <v>0</v>
      </c>
      <c r="L28" s="28">
        <f t="shared" si="2"/>
        <v>0</v>
      </c>
      <c r="M28" s="35">
        <v>14.5044780964789</v>
      </c>
      <c r="N28" s="16" t="str">
        <f t="shared" si="3"/>
        <v>match</v>
      </c>
    </row>
    <row r="29" spans="1:14" ht="27.6">
      <c r="A29" t="s">
        <v>164</v>
      </c>
      <c r="B29" t="s">
        <v>112</v>
      </c>
      <c r="C29" s="14" t="s">
        <v>294</v>
      </c>
      <c r="D29" t="s">
        <v>112</v>
      </c>
      <c r="G29" t="s">
        <v>383</v>
      </c>
      <c r="H29" s="20">
        <v>2026</v>
      </c>
      <c r="I29" s="30">
        <f>100*(1-(SUMIFS(CVD_40q30_Age!$M$2:$M$2081,CVD_40q30_Age!$A$2:$A$2081,A29,CVD_40q30_Age!$B$2:$B$2081,B29,CVD_40q30_Age!$E$2:$E$2081,G29,CVD_40q30_Age!$F$2:$F$2081,H29,CVD_40q30_Age!$G$2:$G$2081,69))/(SUMIFS(CVD_40q30_Age!$L$2:$L$2081,CVD_40q30_Age!$A$2:$A$2081,A29,CVD_40q30_Age!$B$2:$B$2081,B29,CVD_40q30_Age!$E$2:$E$2081,G29,CVD_40q30_Age!$F$2:$F$2081,H29,CVD_40q30_Age!$G$2:$G$2081,30)))</f>
        <v>13.740525678765547</v>
      </c>
      <c r="J29" s="30">
        <f t="shared" si="0"/>
        <v>13.740525678765547</v>
      </c>
      <c r="K29" s="30">
        <f t="shared" si="1"/>
        <v>0</v>
      </c>
      <c r="L29" s="28">
        <f t="shared" si="2"/>
        <v>0</v>
      </c>
      <c r="M29" s="35">
        <v>13.7405256787656</v>
      </c>
      <c r="N29" s="16" t="str">
        <f t="shared" si="3"/>
        <v>match</v>
      </c>
    </row>
    <row r="30" spans="1:14" ht="27.6">
      <c r="A30" t="s">
        <v>164</v>
      </c>
      <c r="B30" t="s">
        <v>112</v>
      </c>
      <c r="C30" s="14" t="s">
        <v>294</v>
      </c>
      <c r="D30" t="s">
        <v>112</v>
      </c>
      <c r="G30" t="s">
        <v>383</v>
      </c>
      <c r="H30" s="20">
        <v>2027</v>
      </c>
      <c r="I30" s="30">
        <f>100*(1-(SUMIFS(CVD_40q30_Age!$M$2:$M$2081,CVD_40q30_Age!$A$2:$A$2081,A30,CVD_40q30_Age!$B$2:$B$2081,B30,CVD_40q30_Age!$E$2:$E$2081,G30,CVD_40q30_Age!$F$2:$F$2081,H30,CVD_40q30_Age!$G$2:$G$2081,69))/(SUMIFS(CVD_40q30_Age!$L$2:$L$2081,CVD_40q30_Age!$A$2:$A$2081,A30,CVD_40q30_Age!$B$2:$B$2081,B30,CVD_40q30_Age!$E$2:$E$2081,G30,CVD_40q30_Age!$F$2:$F$2081,H30,CVD_40q30_Age!$G$2:$G$2081,30)))</f>
        <v>13.0981162251657</v>
      </c>
      <c r="J30" s="30">
        <f t="shared" si="0"/>
        <v>13.0981162251657</v>
      </c>
      <c r="K30" s="30">
        <f t="shared" si="1"/>
        <v>0</v>
      </c>
      <c r="L30" s="28">
        <f t="shared" si="2"/>
        <v>0</v>
      </c>
      <c r="M30" s="35">
        <v>13.0981162251657</v>
      </c>
      <c r="N30" s="16" t="str">
        <f t="shared" si="3"/>
        <v>match</v>
      </c>
    </row>
    <row r="31" spans="1:14" ht="27.6">
      <c r="A31" t="s">
        <v>164</v>
      </c>
      <c r="B31" t="s">
        <v>112</v>
      </c>
      <c r="C31" s="14" t="s">
        <v>294</v>
      </c>
      <c r="D31" t="s">
        <v>112</v>
      </c>
      <c r="G31" t="s">
        <v>383</v>
      </c>
      <c r="H31" s="20">
        <v>2028</v>
      </c>
      <c r="I31" s="30">
        <f>100*(1-(SUMIFS(CVD_40q30_Age!$M$2:$M$2081,CVD_40q30_Age!$A$2:$A$2081,A31,CVD_40q30_Age!$B$2:$B$2081,B31,CVD_40q30_Age!$E$2:$E$2081,G31,CVD_40q30_Age!$F$2:$F$2081,H31,CVD_40q30_Age!$G$2:$G$2081,69))/(SUMIFS(CVD_40q30_Age!$L$2:$L$2081,CVD_40q30_Age!$A$2:$A$2081,A31,CVD_40q30_Age!$B$2:$B$2081,B31,CVD_40q30_Age!$E$2:$E$2081,G31,CVD_40q30_Age!$F$2:$F$2081,H31,CVD_40q30_Age!$G$2:$G$2081,30)))</f>
        <v>12.563550684100155</v>
      </c>
      <c r="J31" s="30">
        <f t="shared" si="0"/>
        <v>12.563550684100155</v>
      </c>
      <c r="K31" s="30">
        <f t="shared" si="1"/>
        <v>0</v>
      </c>
      <c r="L31" s="28">
        <f t="shared" si="2"/>
        <v>0</v>
      </c>
      <c r="M31" s="35">
        <v>12.5635506841002</v>
      </c>
      <c r="N31" s="16" t="str">
        <f t="shared" si="3"/>
        <v>match</v>
      </c>
    </row>
    <row r="32" spans="1:14" ht="27.6">
      <c r="A32" t="s">
        <v>164</v>
      </c>
      <c r="B32" t="s">
        <v>112</v>
      </c>
      <c r="C32" s="14" t="s">
        <v>294</v>
      </c>
      <c r="D32" t="s">
        <v>112</v>
      </c>
      <c r="G32" t="s">
        <v>383</v>
      </c>
      <c r="H32" s="20">
        <v>2029</v>
      </c>
      <c r="I32" s="30">
        <f>100*(1-(SUMIFS(CVD_40q30_Age!$M$2:$M$2081,CVD_40q30_Age!$A$2:$A$2081,A32,CVD_40q30_Age!$B$2:$B$2081,B32,CVD_40q30_Age!$E$2:$E$2081,G32,CVD_40q30_Age!$F$2:$F$2081,H32,CVD_40q30_Age!$G$2:$G$2081,69))/(SUMIFS(CVD_40q30_Age!$L$2:$L$2081,CVD_40q30_Age!$A$2:$A$2081,A32,CVD_40q30_Age!$B$2:$B$2081,B32,CVD_40q30_Age!$E$2:$E$2081,G32,CVD_40q30_Age!$F$2:$F$2081,H32,CVD_40q30_Age!$G$2:$G$2081,30)))</f>
        <v>12.117750377397552</v>
      </c>
      <c r="J32" s="30">
        <f t="shared" si="0"/>
        <v>12.117750377397552</v>
      </c>
      <c r="K32" s="30">
        <f t="shared" si="1"/>
        <v>0</v>
      </c>
      <c r="L32" s="28">
        <f t="shared" si="2"/>
        <v>0</v>
      </c>
      <c r="M32" s="35">
        <v>12.117750377397501</v>
      </c>
      <c r="N32" s="16" t="str">
        <f t="shared" si="3"/>
        <v>match</v>
      </c>
    </row>
    <row r="33" spans="1:14" ht="27.6">
      <c r="A33" t="s">
        <v>164</v>
      </c>
      <c r="B33" t="s">
        <v>112</v>
      </c>
      <c r="C33" s="14" t="s">
        <v>294</v>
      </c>
      <c r="D33" t="s">
        <v>112</v>
      </c>
      <c r="G33" t="s">
        <v>383</v>
      </c>
      <c r="H33" s="20">
        <v>2030</v>
      </c>
      <c r="I33" s="30">
        <f>100*(1-(SUMIFS(CVD_40q30_Age!$M$2:$M$2081,CVD_40q30_Age!$A$2:$A$2081,A33,CVD_40q30_Age!$B$2:$B$2081,B33,CVD_40q30_Age!$E$2:$E$2081,G33,CVD_40q30_Age!$F$2:$F$2081,H33,CVD_40q30_Age!$G$2:$G$2081,69))/(SUMIFS(CVD_40q30_Age!$L$2:$L$2081,CVD_40q30_Age!$A$2:$A$2081,A33,CVD_40q30_Age!$B$2:$B$2081,B33,CVD_40q30_Age!$E$2:$E$2081,G33,CVD_40q30_Age!$F$2:$F$2081,H33,CVD_40q30_Age!$G$2:$G$2081,30)))</f>
        <v>11.746930285566382</v>
      </c>
      <c r="J33" s="30">
        <f t="shared" si="0"/>
        <v>11.746930285566382</v>
      </c>
      <c r="K33" s="30">
        <f t="shared" si="1"/>
        <v>0</v>
      </c>
      <c r="L33" s="28">
        <f t="shared" si="2"/>
        <v>0</v>
      </c>
      <c r="M33" s="35">
        <v>11.7469302855664</v>
      </c>
      <c r="N33" s="16" t="str">
        <f t="shared" si="3"/>
        <v>match</v>
      </c>
    </row>
    <row r="34" spans="1:14" ht="27.6">
      <c r="A34" t="s">
        <v>164</v>
      </c>
      <c r="B34" t="s">
        <v>112</v>
      </c>
      <c r="C34" s="14" t="s">
        <v>294</v>
      </c>
      <c r="D34" t="s">
        <v>112</v>
      </c>
      <c r="G34" t="s">
        <v>383</v>
      </c>
      <c r="H34" s="20">
        <v>2031</v>
      </c>
      <c r="I34" s="30">
        <f>100*(1-(SUMIFS(CVD_40q30_Age!$M$2:$M$2081,CVD_40q30_Age!$A$2:$A$2081,A34,CVD_40q30_Age!$B$2:$B$2081,B34,CVD_40q30_Age!$E$2:$E$2081,G34,CVD_40q30_Age!$F$2:$F$2081,H34,CVD_40q30_Age!$G$2:$G$2081,69))/(SUMIFS(CVD_40q30_Age!$L$2:$L$2081,CVD_40q30_Age!$A$2:$A$2081,A34,CVD_40q30_Age!$B$2:$B$2081,B34,CVD_40q30_Age!$E$2:$E$2081,G34,CVD_40q30_Age!$F$2:$F$2081,H34,CVD_40q30_Age!$G$2:$G$2081,30)))</f>
        <v>11.413096504740295</v>
      </c>
      <c r="J34" s="30">
        <f t="shared" ref="J34:J53" si="4">SUMIFS($I$2:$I$53,$A$2:$A$53,A34,$G$2:$G$53,G34,$H$2:$H$53,H34,$B$2:$B$53,"baseline")</f>
        <v>11.413096504740295</v>
      </c>
      <c r="K34" s="30">
        <f t="shared" ref="K34:K53" si="5">J34-I34</f>
        <v>0</v>
      </c>
      <c r="L34" s="28">
        <f t="shared" ref="L34:L53" si="6">IF(J34=0,"",100*(J34-I34)/J34)</f>
        <v>0</v>
      </c>
      <c r="M34" s="35">
        <v>11.413096504740301</v>
      </c>
      <c r="N34" s="16" t="str">
        <f t="shared" ref="N34:N53" si="7">IF(ABS(I34-M34)&lt;=0.001,"match","mismatch")</f>
        <v>match</v>
      </c>
    </row>
    <row r="35" spans="1:14" ht="27.6">
      <c r="A35" t="s">
        <v>164</v>
      </c>
      <c r="B35" t="s">
        <v>112</v>
      </c>
      <c r="C35" s="14" t="s">
        <v>294</v>
      </c>
      <c r="D35" t="s">
        <v>112</v>
      </c>
      <c r="G35" t="s">
        <v>383</v>
      </c>
      <c r="H35" s="20">
        <v>2032</v>
      </c>
      <c r="I35" s="30">
        <f>100*(1-(SUMIFS(CVD_40q30_Age!$M$2:$M$2081,CVD_40q30_Age!$A$2:$A$2081,A35,CVD_40q30_Age!$B$2:$B$2081,B35,CVD_40q30_Age!$E$2:$E$2081,G35,CVD_40q30_Age!$F$2:$F$2081,H35,CVD_40q30_Age!$G$2:$G$2081,69))/(SUMIFS(CVD_40q30_Age!$L$2:$L$2081,CVD_40q30_Age!$A$2:$A$2081,A35,CVD_40q30_Age!$B$2:$B$2081,B35,CVD_40q30_Age!$E$2:$E$2081,G35,CVD_40q30_Age!$F$2:$F$2081,H35,CVD_40q30_Age!$G$2:$G$2081,30)))</f>
        <v>11.115398460624116</v>
      </c>
      <c r="J35" s="30">
        <f t="shared" si="4"/>
        <v>11.115398460624116</v>
      </c>
      <c r="K35" s="30">
        <f t="shared" si="5"/>
        <v>0</v>
      </c>
      <c r="L35" s="28">
        <f t="shared" si="6"/>
        <v>0</v>
      </c>
      <c r="M35" s="35">
        <v>11.1153984606241</v>
      </c>
      <c r="N35" s="16" t="str">
        <f t="shared" si="7"/>
        <v>match</v>
      </c>
    </row>
    <row r="36" spans="1:14" ht="27.6">
      <c r="A36" t="s">
        <v>164</v>
      </c>
      <c r="B36" t="s">
        <v>112</v>
      </c>
      <c r="C36" s="14" t="s">
        <v>294</v>
      </c>
      <c r="D36" t="s">
        <v>112</v>
      </c>
      <c r="G36" t="s">
        <v>383</v>
      </c>
      <c r="H36" s="20">
        <v>2033</v>
      </c>
      <c r="I36" s="30">
        <f>100*(1-(SUMIFS(CVD_40q30_Age!$M$2:$M$2081,CVD_40q30_Age!$A$2:$A$2081,A36,CVD_40q30_Age!$B$2:$B$2081,B36,CVD_40q30_Age!$E$2:$E$2081,G36,CVD_40q30_Age!$F$2:$F$2081,H36,CVD_40q30_Age!$G$2:$G$2081,69))/(SUMIFS(CVD_40q30_Age!$L$2:$L$2081,CVD_40q30_Age!$A$2:$A$2081,A36,CVD_40q30_Age!$B$2:$B$2081,B36,CVD_40q30_Age!$E$2:$E$2081,G36,CVD_40q30_Age!$F$2:$F$2081,H36,CVD_40q30_Age!$G$2:$G$2081,30)))</f>
        <v>10.851472170226694</v>
      </c>
      <c r="J36" s="30">
        <f t="shared" si="4"/>
        <v>10.851472170226694</v>
      </c>
      <c r="K36" s="30">
        <f t="shared" si="5"/>
        <v>0</v>
      </c>
      <c r="L36" s="28">
        <f t="shared" si="6"/>
        <v>0</v>
      </c>
      <c r="M36" s="35">
        <v>10.8514721702267</v>
      </c>
      <c r="N36" s="16" t="str">
        <f t="shared" si="7"/>
        <v>match</v>
      </c>
    </row>
    <row r="37" spans="1:14" ht="27.6">
      <c r="A37" t="s">
        <v>164</v>
      </c>
      <c r="B37" t="s">
        <v>112</v>
      </c>
      <c r="C37" s="14" t="s">
        <v>294</v>
      </c>
      <c r="D37" t="s">
        <v>112</v>
      </c>
      <c r="G37" t="s">
        <v>383</v>
      </c>
      <c r="H37" s="20">
        <v>2034</v>
      </c>
      <c r="I37" s="30">
        <f>100*(1-(SUMIFS(CVD_40q30_Age!$M$2:$M$2081,CVD_40q30_Age!$A$2:$A$2081,A37,CVD_40q30_Age!$B$2:$B$2081,B37,CVD_40q30_Age!$E$2:$E$2081,G37,CVD_40q30_Age!$F$2:$F$2081,H37,CVD_40q30_Age!$G$2:$G$2081,69))/(SUMIFS(CVD_40q30_Age!$L$2:$L$2081,CVD_40q30_Age!$A$2:$A$2081,A37,CVD_40q30_Age!$B$2:$B$2081,B37,CVD_40q30_Age!$E$2:$E$2081,G37,CVD_40q30_Age!$F$2:$F$2081,H37,CVD_40q30_Age!$G$2:$G$2081,30)))</f>
        <v>10.625758395811735</v>
      </c>
      <c r="J37" s="30">
        <f t="shared" si="4"/>
        <v>10.625758395811735</v>
      </c>
      <c r="K37" s="30">
        <f t="shared" si="5"/>
        <v>0</v>
      </c>
      <c r="L37" s="28">
        <f t="shared" si="6"/>
        <v>0</v>
      </c>
      <c r="M37" s="35">
        <v>10.625758395811699</v>
      </c>
      <c r="N37" s="16" t="str">
        <f t="shared" si="7"/>
        <v>match</v>
      </c>
    </row>
    <row r="38" spans="1:14" ht="27.6">
      <c r="A38" t="s">
        <v>164</v>
      </c>
      <c r="B38" t="s">
        <v>112</v>
      </c>
      <c r="C38" s="14" t="s">
        <v>294</v>
      </c>
      <c r="D38" t="s">
        <v>112</v>
      </c>
      <c r="G38" t="s">
        <v>383</v>
      </c>
      <c r="H38" s="20">
        <v>2035</v>
      </c>
      <c r="I38" s="30">
        <f>100*(1-(SUMIFS(CVD_40q30_Age!$M$2:$M$2081,CVD_40q30_Age!$A$2:$A$2081,A38,CVD_40q30_Age!$B$2:$B$2081,B38,CVD_40q30_Age!$E$2:$E$2081,G38,CVD_40q30_Age!$F$2:$F$2081,H38,CVD_40q30_Age!$G$2:$G$2081,69))/(SUMIFS(CVD_40q30_Age!$L$2:$L$2081,CVD_40q30_Age!$A$2:$A$2081,A38,CVD_40q30_Age!$B$2:$B$2081,B38,CVD_40q30_Age!$E$2:$E$2081,G38,CVD_40q30_Age!$F$2:$F$2081,H38,CVD_40q30_Age!$G$2:$G$2081,30)))</f>
        <v>10.431087930714511</v>
      </c>
      <c r="J38" s="30">
        <f t="shared" si="4"/>
        <v>10.431087930714511</v>
      </c>
      <c r="K38" s="30">
        <f t="shared" si="5"/>
        <v>0</v>
      </c>
      <c r="L38" s="28">
        <f t="shared" si="6"/>
        <v>0</v>
      </c>
      <c r="M38" s="35">
        <v>10.431087930714501</v>
      </c>
      <c r="N38" s="16" t="str">
        <f t="shared" si="7"/>
        <v>match</v>
      </c>
    </row>
    <row r="39" spans="1:14" ht="27.6">
      <c r="A39" t="s">
        <v>164</v>
      </c>
      <c r="B39" t="s">
        <v>112</v>
      </c>
      <c r="C39" s="14" t="s">
        <v>294</v>
      </c>
      <c r="D39" t="s">
        <v>112</v>
      </c>
      <c r="G39" t="s">
        <v>383</v>
      </c>
      <c r="H39" s="20">
        <v>2036</v>
      </c>
      <c r="I39" s="30">
        <f>100*(1-(SUMIFS(CVD_40q30_Age!$M$2:$M$2081,CVD_40q30_Age!$A$2:$A$2081,A39,CVD_40q30_Age!$B$2:$B$2081,B39,CVD_40q30_Age!$E$2:$E$2081,G39,CVD_40q30_Age!$F$2:$F$2081,H39,CVD_40q30_Age!$G$2:$G$2081,69))/(SUMIFS(CVD_40q30_Age!$L$2:$L$2081,CVD_40q30_Age!$A$2:$A$2081,A39,CVD_40q30_Age!$B$2:$B$2081,B39,CVD_40q30_Age!$E$2:$E$2081,G39,CVD_40q30_Age!$F$2:$F$2081,H39,CVD_40q30_Age!$G$2:$G$2081,30)))</f>
        <v>10.266492979267328</v>
      </c>
      <c r="J39" s="30">
        <f t="shared" si="4"/>
        <v>10.266492979267328</v>
      </c>
      <c r="K39" s="30">
        <f t="shared" si="5"/>
        <v>0</v>
      </c>
      <c r="L39" s="28">
        <f t="shared" si="6"/>
        <v>0</v>
      </c>
      <c r="M39" s="35">
        <v>10.2664929792673</v>
      </c>
      <c r="N39" s="16" t="str">
        <f t="shared" si="7"/>
        <v>match</v>
      </c>
    </row>
    <row r="40" spans="1:14" ht="27.6">
      <c r="A40" t="s">
        <v>164</v>
      </c>
      <c r="B40" t="s">
        <v>112</v>
      </c>
      <c r="C40" s="14" t="s">
        <v>294</v>
      </c>
      <c r="D40" t="s">
        <v>112</v>
      </c>
      <c r="G40" t="s">
        <v>383</v>
      </c>
      <c r="H40" s="20">
        <v>2037</v>
      </c>
      <c r="I40" s="30">
        <f>100*(1-(SUMIFS(CVD_40q30_Age!$M$2:$M$2081,CVD_40q30_Age!$A$2:$A$2081,A40,CVD_40q30_Age!$B$2:$B$2081,B40,CVD_40q30_Age!$E$2:$E$2081,G40,CVD_40q30_Age!$F$2:$F$2081,H40,CVD_40q30_Age!$G$2:$G$2081,69))/(SUMIFS(CVD_40q30_Age!$L$2:$L$2081,CVD_40q30_Age!$A$2:$A$2081,A40,CVD_40q30_Age!$B$2:$B$2081,B40,CVD_40q30_Age!$E$2:$E$2081,G40,CVD_40q30_Age!$F$2:$F$2081,H40,CVD_40q30_Age!$G$2:$G$2081,30)))</f>
        <v>10.124060477160867</v>
      </c>
      <c r="J40" s="30">
        <f t="shared" si="4"/>
        <v>10.124060477160867</v>
      </c>
      <c r="K40" s="30">
        <f t="shared" si="5"/>
        <v>0</v>
      </c>
      <c r="L40" s="28">
        <f t="shared" si="6"/>
        <v>0</v>
      </c>
      <c r="M40" s="35">
        <v>10.124060477160899</v>
      </c>
      <c r="N40" s="16" t="str">
        <f t="shared" si="7"/>
        <v>match</v>
      </c>
    </row>
    <row r="41" spans="1:14" ht="27.6">
      <c r="A41" t="s">
        <v>164</v>
      </c>
      <c r="B41" t="s">
        <v>112</v>
      </c>
      <c r="C41" s="14" t="s">
        <v>294</v>
      </c>
      <c r="D41" t="s">
        <v>112</v>
      </c>
      <c r="G41" t="s">
        <v>383</v>
      </c>
      <c r="H41" s="20">
        <v>2038</v>
      </c>
      <c r="I41" s="30">
        <f>100*(1-(SUMIFS(CVD_40q30_Age!$M$2:$M$2081,CVD_40q30_Age!$A$2:$A$2081,A41,CVD_40q30_Age!$B$2:$B$2081,B41,CVD_40q30_Age!$E$2:$E$2081,G41,CVD_40q30_Age!$F$2:$F$2081,H41,CVD_40q30_Age!$G$2:$G$2081,69))/(SUMIFS(CVD_40q30_Age!$L$2:$L$2081,CVD_40q30_Age!$A$2:$A$2081,A41,CVD_40q30_Age!$B$2:$B$2081,B41,CVD_40q30_Age!$E$2:$E$2081,G41,CVD_40q30_Age!$F$2:$F$2081,H41,CVD_40q30_Age!$G$2:$G$2081,30)))</f>
        <v>10.001228916146488</v>
      </c>
      <c r="J41" s="30">
        <f t="shared" si="4"/>
        <v>10.001228916146488</v>
      </c>
      <c r="K41" s="30">
        <f t="shared" si="5"/>
        <v>0</v>
      </c>
      <c r="L41" s="28">
        <f t="shared" si="6"/>
        <v>0</v>
      </c>
      <c r="M41" s="35">
        <v>10.0012289161465</v>
      </c>
      <c r="N41" s="16" t="str">
        <f t="shared" si="7"/>
        <v>match</v>
      </c>
    </row>
    <row r="42" spans="1:14" ht="27.6">
      <c r="A42" t="s">
        <v>164</v>
      </c>
      <c r="B42" t="s">
        <v>112</v>
      </c>
      <c r="C42" s="14" t="s">
        <v>294</v>
      </c>
      <c r="D42" t="s">
        <v>112</v>
      </c>
      <c r="G42" t="s">
        <v>383</v>
      </c>
      <c r="H42" s="20">
        <v>2039</v>
      </c>
      <c r="I42" s="30">
        <f>100*(1-(SUMIFS(CVD_40q30_Age!$M$2:$M$2081,CVD_40q30_Age!$A$2:$A$2081,A42,CVD_40q30_Age!$B$2:$B$2081,B42,CVD_40q30_Age!$E$2:$E$2081,G42,CVD_40q30_Age!$F$2:$F$2081,H42,CVD_40q30_Age!$G$2:$G$2081,69))/(SUMIFS(CVD_40q30_Age!$L$2:$L$2081,CVD_40q30_Age!$A$2:$A$2081,A42,CVD_40q30_Age!$B$2:$B$2081,B42,CVD_40q30_Age!$E$2:$E$2081,G42,CVD_40q30_Age!$F$2:$F$2081,H42,CVD_40q30_Age!$G$2:$G$2081,30)))</f>
        <v>9.8998183244627604</v>
      </c>
      <c r="J42" s="30">
        <f t="shared" si="4"/>
        <v>9.8998183244627604</v>
      </c>
      <c r="K42" s="30">
        <f t="shared" si="5"/>
        <v>0</v>
      </c>
      <c r="L42" s="28">
        <f t="shared" si="6"/>
        <v>0</v>
      </c>
      <c r="M42" s="35">
        <v>9.8998183244627693</v>
      </c>
      <c r="N42" s="16" t="str">
        <f t="shared" si="7"/>
        <v>match</v>
      </c>
    </row>
    <row r="43" spans="1:14" ht="27.6">
      <c r="A43" t="s">
        <v>164</v>
      </c>
      <c r="B43" t="s">
        <v>112</v>
      </c>
      <c r="C43" s="14" t="s">
        <v>294</v>
      </c>
      <c r="D43" t="s">
        <v>112</v>
      </c>
      <c r="G43" t="s">
        <v>383</v>
      </c>
      <c r="H43" s="20">
        <v>2040</v>
      </c>
      <c r="I43" s="30">
        <f>100*(1-(SUMIFS(CVD_40q30_Age!$M$2:$M$2081,CVD_40q30_Age!$A$2:$A$2081,A43,CVD_40q30_Age!$B$2:$B$2081,B43,CVD_40q30_Age!$E$2:$E$2081,G43,CVD_40q30_Age!$F$2:$F$2081,H43,CVD_40q30_Age!$G$2:$G$2081,69))/(SUMIFS(CVD_40q30_Age!$L$2:$L$2081,CVD_40q30_Age!$A$2:$A$2081,A43,CVD_40q30_Age!$B$2:$B$2081,B43,CVD_40q30_Age!$E$2:$E$2081,G43,CVD_40q30_Age!$F$2:$F$2081,H43,CVD_40q30_Age!$G$2:$G$2081,30)))</f>
        <v>9.8020398428883766</v>
      </c>
      <c r="J43" s="30">
        <f t="shared" si="4"/>
        <v>9.8020398428883766</v>
      </c>
      <c r="K43" s="30">
        <f t="shared" si="5"/>
        <v>0</v>
      </c>
      <c r="L43" s="28">
        <f t="shared" si="6"/>
        <v>0</v>
      </c>
      <c r="M43" s="35">
        <v>9.8020398428883802</v>
      </c>
      <c r="N43" s="16" t="str">
        <f t="shared" si="7"/>
        <v>match</v>
      </c>
    </row>
    <row r="44" spans="1:14" ht="27.6">
      <c r="A44" t="s">
        <v>164</v>
      </c>
      <c r="B44" t="s">
        <v>112</v>
      </c>
      <c r="C44" s="14" t="s">
        <v>294</v>
      </c>
      <c r="D44" t="s">
        <v>112</v>
      </c>
      <c r="G44" t="s">
        <v>383</v>
      </c>
      <c r="H44" s="20">
        <v>2041</v>
      </c>
      <c r="I44" s="30">
        <f>100*(1-(SUMIFS(CVD_40q30_Age!$M$2:$M$2081,CVD_40q30_Age!$A$2:$A$2081,A44,CVD_40q30_Age!$B$2:$B$2081,B44,CVD_40q30_Age!$E$2:$E$2081,G44,CVD_40q30_Age!$F$2:$F$2081,H44,CVD_40q30_Age!$G$2:$G$2081,69))/(SUMIFS(CVD_40q30_Age!$L$2:$L$2081,CVD_40q30_Age!$A$2:$A$2081,A44,CVD_40q30_Age!$B$2:$B$2081,B44,CVD_40q30_Age!$E$2:$E$2081,G44,CVD_40q30_Age!$F$2:$F$2081,H44,CVD_40q30_Age!$G$2:$G$2081,30)))</f>
        <v>9.7108313548631369</v>
      </c>
      <c r="J44" s="30">
        <f t="shared" si="4"/>
        <v>9.7108313548631369</v>
      </c>
      <c r="K44" s="30">
        <f t="shared" si="5"/>
        <v>0</v>
      </c>
      <c r="L44" s="28">
        <f t="shared" si="6"/>
        <v>0</v>
      </c>
      <c r="M44" s="35">
        <v>9.7108313548631404</v>
      </c>
      <c r="N44" s="16" t="str">
        <f t="shared" si="7"/>
        <v>match</v>
      </c>
    </row>
    <row r="45" spans="1:14" ht="27.6">
      <c r="A45" t="s">
        <v>164</v>
      </c>
      <c r="B45" t="s">
        <v>112</v>
      </c>
      <c r="C45" s="14" t="s">
        <v>294</v>
      </c>
      <c r="D45" t="s">
        <v>112</v>
      </c>
      <c r="G45" t="s">
        <v>383</v>
      </c>
      <c r="H45" s="20">
        <v>2042</v>
      </c>
      <c r="I45" s="30">
        <f>100*(1-(SUMIFS(CVD_40q30_Age!$M$2:$M$2081,CVD_40q30_Age!$A$2:$A$2081,A45,CVD_40q30_Age!$B$2:$B$2081,B45,CVD_40q30_Age!$E$2:$E$2081,G45,CVD_40q30_Age!$F$2:$F$2081,H45,CVD_40q30_Age!$G$2:$G$2081,69))/(SUMIFS(CVD_40q30_Age!$L$2:$L$2081,CVD_40q30_Age!$A$2:$A$2081,A45,CVD_40q30_Age!$B$2:$B$2081,B45,CVD_40q30_Age!$E$2:$E$2081,G45,CVD_40q30_Age!$F$2:$F$2081,H45,CVD_40q30_Age!$G$2:$G$2081,30)))</f>
        <v>9.6236320982594492</v>
      </c>
      <c r="J45" s="30">
        <f t="shared" si="4"/>
        <v>9.6236320982594492</v>
      </c>
      <c r="K45" s="30">
        <f t="shared" si="5"/>
        <v>0</v>
      </c>
      <c r="L45" s="28">
        <f t="shared" si="6"/>
        <v>0</v>
      </c>
      <c r="M45" s="35">
        <v>9.6236320982594492</v>
      </c>
      <c r="N45" s="16" t="str">
        <f t="shared" si="7"/>
        <v>match</v>
      </c>
    </row>
    <row r="46" spans="1:14" ht="27.6">
      <c r="A46" t="s">
        <v>164</v>
      </c>
      <c r="B46" t="s">
        <v>112</v>
      </c>
      <c r="C46" s="14" t="s">
        <v>294</v>
      </c>
      <c r="D46" t="s">
        <v>112</v>
      </c>
      <c r="G46" t="s">
        <v>383</v>
      </c>
      <c r="H46" s="20">
        <v>2043</v>
      </c>
      <c r="I46" s="30">
        <f>100*(1-(SUMIFS(CVD_40q30_Age!$M$2:$M$2081,CVD_40q30_Age!$A$2:$A$2081,A46,CVD_40q30_Age!$B$2:$B$2081,B46,CVD_40q30_Age!$E$2:$E$2081,G46,CVD_40q30_Age!$F$2:$F$2081,H46,CVD_40q30_Age!$G$2:$G$2081,69))/(SUMIFS(CVD_40q30_Age!$L$2:$L$2081,CVD_40q30_Age!$A$2:$A$2081,A46,CVD_40q30_Age!$B$2:$B$2081,B46,CVD_40q30_Age!$E$2:$E$2081,G46,CVD_40q30_Age!$F$2:$F$2081,H46,CVD_40q30_Age!$G$2:$G$2081,30)))</f>
        <v>9.5398334683556403</v>
      </c>
      <c r="J46" s="30">
        <f t="shared" si="4"/>
        <v>9.5398334683556403</v>
      </c>
      <c r="K46" s="30">
        <f t="shared" si="5"/>
        <v>0</v>
      </c>
      <c r="L46" s="28">
        <f t="shared" si="6"/>
        <v>0</v>
      </c>
      <c r="M46" s="35">
        <v>9.5398334683556492</v>
      </c>
      <c r="N46" s="16" t="str">
        <f t="shared" si="7"/>
        <v>match</v>
      </c>
    </row>
    <row r="47" spans="1:14" ht="27.6">
      <c r="A47" t="s">
        <v>164</v>
      </c>
      <c r="B47" t="s">
        <v>112</v>
      </c>
      <c r="C47" s="14" t="s">
        <v>294</v>
      </c>
      <c r="D47" t="s">
        <v>112</v>
      </c>
      <c r="G47" t="s">
        <v>383</v>
      </c>
      <c r="H47" s="20">
        <v>2044</v>
      </c>
      <c r="I47" s="30">
        <f>100*(1-(SUMIFS(CVD_40q30_Age!$M$2:$M$2081,CVD_40q30_Age!$A$2:$A$2081,A47,CVD_40q30_Age!$B$2:$B$2081,B47,CVD_40q30_Age!$E$2:$E$2081,G47,CVD_40q30_Age!$F$2:$F$2081,H47,CVD_40q30_Age!$G$2:$G$2081,69))/(SUMIFS(CVD_40q30_Age!$L$2:$L$2081,CVD_40q30_Age!$A$2:$A$2081,A47,CVD_40q30_Age!$B$2:$B$2081,B47,CVD_40q30_Age!$E$2:$E$2081,G47,CVD_40q30_Age!$F$2:$F$2081,H47,CVD_40q30_Age!$G$2:$G$2081,30)))</f>
        <v>9.4615502254039257</v>
      </c>
      <c r="J47" s="30">
        <f t="shared" si="4"/>
        <v>9.4615502254039257</v>
      </c>
      <c r="K47" s="30">
        <f t="shared" si="5"/>
        <v>0</v>
      </c>
      <c r="L47" s="28">
        <f t="shared" si="6"/>
        <v>0</v>
      </c>
      <c r="M47" s="35">
        <v>9.4615502254039292</v>
      </c>
      <c r="N47" s="16" t="str">
        <f t="shared" si="7"/>
        <v>match</v>
      </c>
    </row>
    <row r="48" spans="1:14" ht="27.6">
      <c r="A48" t="s">
        <v>164</v>
      </c>
      <c r="B48" t="s">
        <v>112</v>
      </c>
      <c r="C48" s="14" t="s">
        <v>294</v>
      </c>
      <c r="D48" t="s">
        <v>112</v>
      </c>
      <c r="G48" t="s">
        <v>383</v>
      </c>
      <c r="H48" s="20">
        <v>2045</v>
      </c>
      <c r="I48" s="30">
        <f>100*(1-(SUMIFS(CVD_40q30_Age!$M$2:$M$2081,CVD_40q30_Age!$A$2:$A$2081,A48,CVD_40q30_Age!$B$2:$B$2081,B48,CVD_40q30_Age!$E$2:$E$2081,G48,CVD_40q30_Age!$F$2:$F$2081,H48,CVD_40q30_Age!$G$2:$G$2081,69))/(SUMIFS(CVD_40q30_Age!$L$2:$L$2081,CVD_40q30_Age!$A$2:$A$2081,A48,CVD_40q30_Age!$B$2:$B$2081,B48,CVD_40q30_Age!$E$2:$E$2081,G48,CVD_40q30_Age!$F$2:$F$2081,H48,CVD_40q30_Age!$G$2:$G$2081,30)))</f>
        <v>9.3914575791279375</v>
      </c>
      <c r="J48" s="30">
        <f t="shared" si="4"/>
        <v>9.3914575791279375</v>
      </c>
      <c r="K48" s="30">
        <f t="shared" si="5"/>
        <v>0</v>
      </c>
      <c r="L48" s="28">
        <f t="shared" si="6"/>
        <v>0</v>
      </c>
      <c r="M48" s="35">
        <v>9.3914575791279304</v>
      </c>
      <c r="N48" s="16" t="str">
        <f t="shared" si="7"/>
        <v>match</v>
      </c>
    </row>
    <row r="49" spans="1:14" ht="27.6">
      <c r="A49" t="s">
        <v>164</v>
      </c>
      <c r="B49" t="s">
        <v>112</v>
      </c>
      <c r="C49" s="14" t="s">
        <v>294</v>
      </c>
      <c r="D49" t="s">
        <v>112</v>
      </c>
      <c r="G49" t="s">
        <v>383</v>
      </c>
      <c r="H49" s="20">
        <v>2046</v>
      </c>
      <c r="I49" s="30">
        <f>100*(1-(SUMIFS(CVD_40q30_Age!$M$2:$M$2081,CVD_40q30_Age!$A$2:$A$2081,A49,CVD_40q30_Age!$B$2:$B$2081,B49,CVD_40q30_Age!$E$2:$E$2081,G49,CVD_40q30_Age!$F$2:$F$2081,H49,CVD_40q30_Age!$G$2:$G$2081,69))/(SUMIFS(CVD_40q30_Age!$L$2:$L$2081,CVD_40q30_Age!$A$2:$A$2081,A49,CVD_40q30_Age!$B$2:$B$2081,B49,CVD_40q30_Age!$E$2:$E$2081,G49,CVD_40q30_Age!$F$2:$F$2081,H49,CVD_40q30_Age!$G$2:$G$2081,30)))</f>
        <v>9.3257242143741195</v>
      </c>
      <c r="J49" s="30">
        <f t="shared" si="4"/>
        <v>9.3257242143741195</v>
      </c>
      <c r="K49" s="30">
        <f t="shared" si="5"/>
        <v>0</v>
      </c>
      <c r="L49" s="28">
        <f t="shared" si="6"/>
        <v>0</v>
      </c>
      <c r="M49" s="35">
        <v>9.3257242143741195</v>
      </c>
      <c r="N49" s="16" t="str">
        <f t="shared" si="7"/>
        <v>match</v>
      </c>
    </row>
    <row r="50" spans="1:14" ht="27.6">
      <c r="A50" t="s">
        <v>164</v>
      </c>
      <c r="B50" t="s">
        <v>112</v>
      </c>
      <c r="C50" s="14" t="s">
        <v>294</v>
      </c>
      <c r="D50" t="s">
        <v>112</v>
      </c>
      <c r="G50" t="s">
        <v>383</v>
      </c>
      <c r="H50" s="20">
        <v>2047</v>
      </c>
      <c r="I50" s="30">
        <f>100*(1-(SUMIFS(CVD_40q30_Age!$M$2:$M$2081,CVD_40q30_Age!$A$2:$A$2081,A50,CVD_40q30_Age!$B$2:$B$2081,B50,CVD_40q30_Age!$E$2:$E$2081,G50,CVD_40q30_Age!$F$2:$F$2081,H50,CVD_40q30_Age!$G$2:$G$2081,69))/(SUMIFS(CVD_40q30_Age!$L$2:$L$2081,CVD_40q30_Age!$A$2:$A$2081,A50,CVD_40q30_Age!$B$2:$B$2081,B50,CVD_40q30_Age!$E$2:$E$2081,G50,CVD_40q30_Age!$F$2:$F$2081,H50,CVD_40q30_Age!$G$2:$G$2081,30)))</f>
        <v>9.2627864020676132</v>
      </c>
      <c r="J50" s="30">
        <f t="shared" si="4"/>
        <v>9.2627864020676132</v>
      </c>
      <c r="K50" s="30">
        <f t="shared" si="5"/>
        <v>0</v>
      </c>
      <c r="L50" s="28">
        <f t="shared" si="6"/>
        <v>0</v>
      </c>
      <c r="M50" s="35">
        <v>9.2627864020676096</v>
      </c>
      <c r="N50" s="16" t="str">
        <f t="shared" si="7"/>
        <v>match</v>
      </c>
    </row>
    <row r="51" spans="1:14" ht="27.6">
      <c r="A51" t="s">
        <v>164</v>
      </c>
      <c r="B51" t="s">
        <v>112</v>
      </c>
      <c r="C51" s="14" t="s">
        <v>294</v>
      </c>
      <c r="D51" t="s">
        <v>112</v>
      </c>
      <c r="G51" t="s">
        <v>383</v>
      </c>
      <c r="H51" s="20">
        <v>2048</v>
      </c>
      <c r="I51" s="30">
        <f>100*(1-(SUMIFS(CVD_40q30_Age!$M$2:$M$2081,CVD_40q30_Age!$A$2:$A$2081,A51,CVD_40q30_Age!$B$2:$B$2081,B51,CVD_40q30_Age!$E$2:$E$2081,G51,CVD_40q30_Age!$F$2:$F$2081,H51,CVD_40q30_Age!$G$2:$G$2081,69))/(SUMIFS(CVD_40q30_Age!$L$2:$L$2081,CVD_40q30_Age!$A$2:$A$2081,A51,CVD_40q30_Age!$B$2:$B$2081,B51,CVD_40q30_Age!$E$2:$E$2081,G51,CVD_40q30_Age!$F$2:$F$2081,H51,CVD_40q30_Age!$G$2:$G$2081,30)))</f>
        <v>9.1988734353995909</v>
      </c>
      <c r="J51" s="30">
        <f t="shared" si="4"/>
        <v>9.1988734353995909</v>
      </c>
      <c r="K51" s="30">
        <f t="shared" si="5"/>
        <v>0</v>
      </c>
      <c r="L51" s="28">
        <f t="shared" si="6"/>
        <v>0</v>
      </c>
      <c r="M51" s="35">
        <v>9.1988734353995891</v>
      </c>
      <c r="N51" s="16" t="str">
        <f t="shared" si="7"/>
        <v>match</v>
      </c>
    </row>
    <row r="52" spans="1:14" ht="27.6">
      <c r="A52" t="s">
        <v>164</v>
      </c>
      <c r="B52" t="s">
        <v>112</v>
      </c>
      <c r="C52" s="14" t="s">
        <v>294</v>
      </c>
      <c r="D52" t="s">
        <v>112</v>
      </c>
      <c r="G52" t="s">
        <v>383</v>
      </c>
      <c r="H52" s="20">
        <v>2049</v>
      </c>
      <c r="I52" s="30">
        <f>100*(1-(SUMIFS(CVD_40q30_Age!$M$2:$M$2081,CVD_40q30_Age!$A$2:$A$2081,A52,CVD_40q30_Age!$B$2:$B$2081,B52,CVD_40q30_Age!$E$2:$E$2081,G52,CVD_40q30_Age!$F$2:$F$2081,H52,CVD_40q30_Age!$G$2:$G$2081,69))/(SUMIFS(CVD_40q30_Age!$L$2:$L$2081,CVD_40q30_Age!$A$2:$A$2081,A52,CVD_40q30_Age!$B$2:$B$2081,B52,CVD_40q30_Age!$E$2:$E$2081,G52,CVD_40q30_Age!$F$2:$F$2081,H52,CVD_40q30_Age!$G$2:$G$2081,30)))</f>
        <v>9.1403407788967819</v>
      </c>
      <c r="J52" s="30">
        <f t="shared" si="4"/>
        <v>9.1403407788967819</v>
      </c>
      <c r="K52" s="30">
        <f t="shared" si="5"/>
        <v>0</v>
      </c>
      <c r="L52" s="28">
        <f t="shared" si="6"/>
        <v>0</v>
      </c>
      <c r="M52" s="35">
        <v>9.1403407788967801</v>
      </c>
      <c r="N52" s="16" t="str">
        <f t="shared" si="7"/>
        <v>match</v>
      </c>
    </row>
    <row r="53" spans="1:14" ht="27.6">
      <c r="A53" t="s">
        <v>164</v>
      </c>
      <c r="B53" t="s">
        <v>112</v>
      </c>
      <c r="C53" s="14" t="s">
        <v>294</v>
      </c>
      <c r="D53" t="s">
        <v>112</v>
      </c>
      <c r="G53" t="s">
        <v>383</v>
      </c>
      <c r="H53" s="20">
        <v>2050</v>
      </c>
      <c r="I53" s="30">
        <f>100*(1-(SUMIFS(CVD_40q30_Age!$M$2:$M$2081,CVD_40q30_Age!$A$2:$A$2081,A53,CVD_40q30_Age!$B$2:$B$2081,B53,CVD_40q30_Age!$E$2:$E$2081,G53,CVD_40q30_Age!$F$2:$F$2081,H53,CVD_40q30_Age!$G$2:$G$2081,69))/(SUMIFS(CVD_40q30_Age!$L$2:$L$2081,CVD_40q30_Age!$A$2:$A$2081,A53,CVD_40q30_Age!$B$2:$B$2081,B53,CVD_40q30_Age!$E$2:$E$2081,G53,CVD_40q30_Age!$F$2:$F$2081,H53,CVD_40q30_Age!$G$2:$G$2081,30)))</f>
        <v>9.0836246402182788</v>
      </c>
      <c r="J53" s="30">
        <f t="shared" si="4"/>
        <v>9.0836246402182788</v>
      </c>
      <c r="K53" s="30">
        <f t="shared" si="5"/>
        <v>0</v>
      </c>
      <c r="L53" s="28">
        <f t="shared" si="6"/>
        <v>0</v>
      </c>
      <c r="M53" s="35">
        <v>9.0836246402182699</v>
      </c>
      <c r="N53" s="16" t="str">
        <f t="shared" si="7"/>
        <v>match</v>
      </c>
    </row>
  </sheetData>
  <autoFilter ref="A1:N1" xr:uid="{00000000-0009-0000-0000-00000A000000}"/>
  <conditionalFormatting sqref="N2:N53">
    <cfRule type="containsText" dxfId="9" priority="1" operator="containsText" text="mismatch">
      <formula>NOT(ISERROR(SEARCH("mismatch", N2)))</formula>
    </cfRule>
    <cfRule type="containsText" dxfId="8" priority="2" operator="containsText" text="match">
      <formula>NOT(ISERROR(SEARCH("match", N2)))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81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2" width="11.69921875" customWidth="1"/>
    <col min="3" max="3" width="16.69921875" customWidth="1"/>
    <col min="4" max="5" width="21.69921875" customWidth="1"/>
    <col min="6" max="7" width="11.69921875" customWidth="1"/>
    <col min="8" max="9" width="12.69921875" customWidth="1"/>
    <col min="10" max="13" width="11.69921875" customWidth="1"/>
  </cols>
  <sheetData>
    <row r="1" spans="1:13" ht="28.05" customHeight="1">
      <c r="A1" s="1" t="s">
        <v>375</v>
      </c>
      <c r="B1" s="1" t="s">
        <v>282</v>
      </c>
      <c r="C1" s="1" t="s">
        <v>283</v>
      </c>
      <c r="D1" s="1" t="s">
        <v>355</v>
      </c>
      <c r="E1" s="1" t="s">
        <v>376</v>
      </c>
      <c r="F1" s="1" t="s">
        <v>42</v>
      </c>
      <c r="G1" s="1" t="s">
        <v>377</v>
      </c>
      <c r="H1" s="1" t="s">
        <v>378</v>
      </c>
      <c r="I1" s="1" t="s">
        <v>334</v>
      </c>
      <c r="J1" s="1" t="s">
        <v>379</v>
      </c>
      <c r="K1" s="1" t="s">
        <v>380</v>
      </c>
      <c r="L1" s="1" t="s">
        <v>381</v>
      </c>
      <c r="M1" s="1" t="s">
        <v>382</v>
      </c>
    </row>
    <row r="2" spans="1:13" ht="69">
      <c r="A2" t="s">
        <v>164</v>
      </c>
      <c r="B2" t="s">
        <v>115</v>
      </c>
      <c r="C2" s="14" t="s">
        <v>291</v>
      </c>
      <c r="D2" t="s">
        <v>366</v>
      </c>
      <c r="E2" t="s">
        <v>383</v>
      </c>
      <c r="F2" s="20">
        <v>2025</v>
      </c>
      <c r="G2" s="20">
        <v>30</v>
      </c>
      <c r="H2" s="11">
        <v>917.59068509722897</v>
      </c>
      <c r="I2" s="10">
        <v>4325986.8886659499</v>
      </c>
      <c r="J2" s="34">
        <f t="shared" ref="J2:J65" si="0">IF(I2&gt;0,H2/I2,0)</f>
        <v>2.1211129592216496E-4</v>
      </c>
      <c r="K2" s="34">
        <f t="shared" ref="K2:K65" si="1">1-EXP(-J2)</f>
        <v>2.1208880191170287E-4</v>
      </c>
      <c r="L2" s="34">
        <f t="shared" ref="L2:L65" si="2">IF(G2=30,1,M1)</f>
        <v>1</v>
      </c>
      <c r="M2" s="34">
        <f t="shared" ref="M2:M65" si="3">L2*(1-K2)</f>
        <v>0.9997879111980883</v>
      </c>
    </row>
    <row r="3" spans="1:13" ht="69">
      <c r="A3" t="s">
        <v>164</v>
      </c>
      <c r="B3" t="s">
        <v>115</v>
      </c>
      <c r="C3" s="14" t="s">
        <v>291</v>
      </c>
      <c r="D3" t="s">
        <v>366</v>
      </c>
      <c r="E3" t="s">
        <v>383</v>
      </c>
      <c r="F3" s="20">
        <v>2025</v>
      </c>
      <c r="G3" s="20">
        <v>31</v>
      </c>
      <c r="H3" s="11">
        <v>1309.8670336812499</v>
      </c>
      <c r="I3" s="10">
        <v>4272907.5190614397</v>
      </c>
      <c r="J3" s="34">
        <f t="shared" si="0"/>
        <v>3.0655169292523494E-4</v>
      </c>
      <c r="K3" s="34">
        <f t="shared" si="1"/>
        <v>3.0650471075599484E-4</v>
      </c>
      <c r="L3" s="34">
        <f t="shared" si="2"/>
        <v>0.9997879111980883</v>
      </c>
      <c r="M3" s="34">
        <f t="shared" si="3"/>
        <v>0.99948147149354916</v>
      </c>
    </row>
    <row r="4" spans="1:13" ht="69">
      <c r="A4" t="s">
        <v>164</v>
      </c>
      <c r="B4" t="s">
        <v>115</v>
      </c>
      <c r="C4" s="14" t="s">
        <v>291</v>
      </c>
      <c r="D4" t="s">
        <v>366</v>
      </c>
      <c r="E4" t="s">
        <v>383</v>
      </c>
      <c r="F4" s="20">
        <v>2025</v>
      </c>
      <c r="G4" s="20">
        <v>32</v>
      </c>
      <c r="H4" s="11">
        <v>1349.75707427824</v>
      </c>
      <c r="I4" s="10">
        <v>4222809.0648328802</v>
      </c>
      <c r="J4" s="34">
        <f t="shared" si="0"/>
        <v>3.1963488132079619E-4</v>
      </c>
      <c r="K4" s="34">
        <f t="shared" si="1"/>
        <v>3.1958380353436233E-4</v>
      </c>
      <c r="L4" s="34">
        <f t="shared" si="2"/>
        <v>0.99948147149354916</v>
      </c>
      <c r="M4" s="34">
        <f t="shared" si="3"/>
        <v>0.99916205340332709</v>
      </c>
    </row>
    <row r="5" spans="1:13" ht="69">
      <c r="A5" t="s">
        <v>164</v>
      </c>
      <c r="B5" t="s">
        <v>115</v>
      </c>
      <c r="C5" s="14" t="s">
        <v>291</v>
      </c>
      <c r="D5" t="s">
        <v>366</v>
      </c>
      <c r="E5" t="s">
        <v>383</v>
      </c>
      <c r="F5" s="20">
        <v>2025</v>
      </c>
      <c r="G5" s="20">
        <v>33</v>
      </c>
      <c r="H5" s="11">
        <v>1419.1929988879699</v>
      </c>
      <c r="I5" s="10">
        <v>4208311.4907758702</v>
      </c>
      <c r="J5" s="34">
        <f t="shared" si="0"/>
        <v>3.3723573029198912E-4</v>
      </c>
      <c r="K5" s="34">
        <f t="shared" si="1"/>
        <v>3.3717887271478286E-4</v>
      </c>
      <c r="L5" s="34">
        <f t="shared" si="2"/>
        <v>0.99916205340332709</v>
      </c>
      <c r="M5" s="34">
        <f t="shared" si="3"/>
        <v>0.99882515706850117</v>
      </c>
    </row>
    <row r="6" spans="1:13" ht="69">
      <c r="A6" t="s">
        <v>164</v>
      </c>
      <c r="B6" t="s">
        <v>115</v>
      </c>
      <c r="C6" s="14" t="s">
        <v>291</v>
      </c>
      <c r="D6" t="s">
        <v>366</v>
      </c>
      <c r="E6" t="s">
        <v>383</v>
      </c>
      <c r="F6" s="20">
        <v>2025</v>
      </c>
      <c r="G6" s="20">
        <v>34</v>
      </c>
      <c r="H6" s="11">
        <v>1510.9798592869299</v>
      </c>
      <c r="I6" s="10">
        <v>4188390.2319187401</v>
      </c>
      <c r="J6" s="34">
        <f t="shared" si="0"/>
        <v>3.6075431743969478E-4</v>
      </c>
      <c r="K6" s="34">
        <f t="shared" si="1"/>
        <v>3.6068925342525038E-4</v>
      </c>
      <c r="L6" s="34">
        <f t="shared" si="2"/>
        <v>0.99882515706850117</v>
      </c>
      <c r="M6" s="34">
        <f t="shared" si="3"/>
        <v>0.99846489156829576</v>
      </c>
    </row>
    <row r="7" spans="1:13" ht="69">
      <c r="A7" t="s">
        <v>164</v>
      </c>
      <c r="B7" t="s">
        <v>115</v>
      </c>
      <c r="C7" s="14" t="s">
        <v>291</v>
      </c>
      <c r="D7" t="s">
        <v>366</v>
      </c>
      <c r="E7" t="s">
        <v>383</v>
      </c>
      <c r="F7" s="20">
        <v>2025</v>
      </c>
      <c r="G7" s="20">
        <v>35</v>
      </c>
      <c r="H7" s="11">
        <v>1631.10903285003</v>
      </c>
      <c r="I7" s="10">
        <v>4172291.59254628</v>
      </c>
      <c r="J7" s="34">
        <f t="shared" si="0"/>
        <v>3.9093840798758536E-4</v>
      </c>
      <c r="K7" s="34">
        <f t="shared" si="1"/>
        <v>3.9086200152527173E-4</v>
      </c>
      <c r="L7" s="34">
        <f t="shared" si="2"/>
        <v>0.99846489156829576</v>
      </c>
      <c r="M7" s="34">
        <f t="shared" si="3"/>
        <v>0.99807462958232462</v>
      </c>
    </row>
    <row r="8" spans="1:13" ht="69">
      <c r="A8" t="s">
        <v>164</v>
      </c>
      <c r="B8" t="s">
        <v>115</v>
      </c>
      <c r="C8" s="14" t="s">
        <v>291</v>
      </c>
      <c r="D8" t="s">
        <v>366</v>
      </c>
      <c r="E8" t="s">
        <v>383</v>
      </c>
      <c r="F8" s="20">
        <v>2025</v>
      </c>
      <c r="G8" s="20">
        <v>36</v>
      </c>
      <c r="H8" s="11">
        <v>2229.7429922383799</v>
      </c>
      <c r="I8" s="10">
        <v>4179862.94602308</v>
      </c>
      <c r="J8" s="34">
        <f t="shared" si="0"/>
        <v>5.334488285937373E-4</v>
      </c>
      <c r="K8" s="34">
        <f t="shared" si="1"/>
        <v>5.3330657006434024E-4</v>
      </c>
      <c r="L8" s="34">
        <f t="shared" si="2"/>
        <v>0.99807462958232462</v>
      </c>
      <c r="M8" s="34">
        <f t="shared" si="3"/>
        <v>0.99754234982495382</v>
      </c>
    </row>
    <row r="9" spans="1:13" ht="69">
      <c r="A9" t="s">
        <v>164</v>
      </c>
      <c r="B9" t="s">
        <v>115</v>
      </c>
      <c r="C9" s="14" t="s">
        <v>291</v>
      </c>
      <c r="D9" t="s">
        <v>366</v>
      </c>
      <c r="E9" t="s">
        <v>383</v>
      </c>
      <c r="F9" s="20">
        <v>2025</v>
      </c>
      <c r="G9" s="20">
        <v>37</v>
      </c>
      <c r="H9" s="11">
        <v>2512.8458217985799</v>
      </c>
      <c r="I9" s="10">
        <v>4141888.9709310699</v>
      </c>
      <c r="J9" s="34">
        <f t="shared" si="0"/>
        <v>6.0669077308311056E-4</v>
      </c>
      <c r="K9" s="34">
        <f t="shared" si="1"/>
        <v>6.0650677344820103E-4</v>
      </c>
      <c r="L9" s="34">
        <f t="shared" si="2"/>
        <v>0.99754234982495382</v>
      </c>
      <c r="M9" s="34">
        <f t="shared" si="3"/>
        <v>0.99693733363298354</v>
      </c>
    </row>
    <row r="10" spans="1:13" ht="69">
      <c r="A10" t="s">
        <v>164</v>
      </c>
      <c r="B10" t="s">
        <v>115</v>
      </c>
      <c r="C10" s="14" t="s">
        <v>291</v>
      </c>
      <c r="D10" t="s">
        <v>366</v>
      </c>
      <c r="E10" t="s">
        <v>383</v>
      </c>
      <c r="F10" s="20">
        <v>2025</v>
      </c>
      <c r="G10" s="20">
        <v>38</v>
      </c>
      <c r="H10" s="11">
        <v>2815.5381500438002</v>
      </c>
      <c r="I10" s="10">
        <v>4095336.7609212901</v>
      </c>
      <c r="J10" s="34">
        <f t="shared" si="0"/>
        <v>6.8749856590802425E-4</v>
      </c>
      <c r="K10" s="34">
        <f t="shared" si="1"/>
        <v>6.8726229291782293E-4</v>
      </c>
      <c r="L10" s="34">
        <f t="shared" si="2"/>
        <v>0.99693733363298354</v>
      </c>
      <c r="M10" s="34">
        <f t="shared" si="3"/>
        <v>0.99625217619517559</v>
      </c>
    </row>
    <row r="11" spans="1:13" ht="69">
      <c r="A11" t="s">
        <v>164</v>
      </c>
      <c r="B11" t="s">
        <v>115</v>
      </c>
      <c r="C11" s="14" t="s">
        <v>291</v>
      </c>
      <c r="D11" t="s">
        <v>366</v>
      </c>
      <c r="E11" t="s">
        <v>383</v>
      </c>
      <c r="F11" s="20">
        <v>2025</v>
      </c>
      <c r="G11" s="20">
        <v>39</v>
      </c>
      <c r="H11" s="11">
        <v>3074.2181237702998</v>
      </c>
      <c r="I11" s="10">
        <v>4111651.3578595598</v>
      </c>
      <c r="J11" s="34">
        <f t="shared" si="0"/>
        <v>7.4768453261335704E-4</v>
      </c>
      <c r="K11" s="34">
        <f t="shared" si="1"/>
        <v>7.4740508618342805E-4</v>
      </c>
      <c r="L11" s="34">
        <f t="shared" si="2"/>
        <v>0.99625217619517559</v>
      </c>
      <c r="M11" s="34">
        <f t="shared" si="3"/>
        <v>0.99550757225156605</v>
      </c>
    </row>
    <row r="12" spans="1:13" ht="69">
      <c r="A12" t="s">
        <v>164</v>
      </c>
      <c r="B12" t="s">
        <v>115</v>
      </c>
      <c r="C12" s="14" t="s">
        <v>291</v>
      </c>
      <c r="D12" t="s">
        <v>366</v>
      </c>
      <c r="E12" t="s">
        <v>383</v>
      </c>
      <c r="F12" s="20">
        <v>2025</v>
      </c>
      <c r="G12" s="20">
        <v>40</v>
      </c>
      <c r="H12" s="11">
        <v>3465.9808665665901</v>
      </c>
      <c r="I12" s="10">
        <v>4186115.0552511001</v>
      </c>
      <c r="J12" s="34">
        <f t="shared" si="0"/>
        <v>8.2797076067434711E-4</v>
      </c>
      <c r="K12" s="34">
        <f t="shared" si="1"/>
        <v>8.2762808746505989E-4</v>
      </c>
      <c r="L12" s="34">
        <f t="shared" si="2"/>
        <v>0.99550757225156605</v>
      </c>
      <c r="M12" s="34">
        <f t="shared" si="3"/>
        <v>0.99468366222348648</v>
      </c>
    </row>
    <row r="13" spans="1:13" ht="69">
      <c r="A13" t="s">
        <v>164</v>
      </c>
      <c r="B13" t="s">
        <v>115</v>
      </c>
      <c r="C13" s="14" t="s">
        <v>291</v>
      </c>
      <c r="D13" t="s">
        <v>366</v>
      </c>
      <c r="E13" t="s">
        <v>383</v>
      </c>
      <c r="F13" s="20">
        <v>2025</v>
      </c>
      <c r="G13" s="20">
        <v>41</v>
      </c>
      <c r="H13" s="11">
        <v>4701.8657668140104</v>
      </c>
      <c r="I13" s="10">
        <v>4219085.5376769099</v>
      </c>
      <c r="J13" s="34">
        <f t="shared" si="0"/>
        <v>1.1144276940644646E-3</v>
      </c>
      <c r="K13" s="34">
        <f t="shared" si="1"/>
        <v>1.1138069501346326E-3</v>
      </c>
      <c r="L13" s="34">
        <f t="shared" si="2"/>
        <v>0.99468366222348648</v>
      </c>
      <c r="M13" s="34">
        <f t="shared" si="3"/>
        <v>0.99357577664731656</v>
      </c>
    </row>
    <row r="14" spans="1:13" ht="69">
      <c r="A14" t="s">
        <v>164</v>
      </c>
      <c r="B14" t="s">
        <v>115</v>
      </c>
      <c r="C14" s="14" t="s">
        <v>291</v>
      </c>
      <c r="D14" t="s">
        <v>366</v>
      </c>
      <c r="E14" t="s">
        <v>383</v>
      </c>
      <c r="F14" s="20">
        <v>2025</v>
      </c>
      <c r="G14" s="20">
        <v>42</v>
      </c>
      <c r="H14" s="11">
        <v>5031.61378237189</v>
      </c>
      <c r="I14" s="10">
        <v>4191595.4753991398</v>
      </c>
      <c r="J14" s="34">
        <f t="shared" si="0"/>
        <v>1.2004053854678715E-3</v>
      </c>
      <c r="K14" s="34">
        <f t="shared" si="1"/>
        <v>1.1996851871286518E-3</v>
      </c>
      <c r="L14" s="34">
        <f t="shared" si="2"/>
        <v>0.99357577664731656</v>
      </c>
      <c r="M14" s="34">
        <f t="shared" si="3"/>
        <v>0.99238379850578295</v>
      </c>
    </row>
    <row r="15" spans="1:13" ht="69">
      <c r="A15" t="s">
        <v>164</v>
      </c>
      <c r="B15" t="s">
        <v>115</v>
      </c>
      <c r="C15" s="14" t="s">
        <v>291</v>
      </c>
      <c r="D15" t="s">
        <v>366</v>
      </c>
      <c r="E15" t="s">
        <v>383</v>
      </c>
      <c r="F15" s="20">
        <v>2025</v>
      </c>
      <c r="G15" s="20">
        <v>43</v>
      </c>
      <c r="H15" s="11">
        <v>5401.9240104237297</v>
      </c>
      <c r="I15" s="10">
        <v>4139440.4420393198</v>
      </c>
      <c r="J15" s="34">
        <f t="shared" si="0"/>
        <v>1.3049889438105891E-3</v>
      </c>
      <c r="K15" s="34">
        <f t="shared" si="1"/>
        <v>1.3041378160165706E-3</v>
      </c>
      <c r="L15" s="34">
        <f t="shared" si="2"/>
        <v>0.99238379850578295</v>
      </c>
      <c r="M15" s="34">
        <f t="shared" si="3"/>
        <v>0.99108959326614943</v>
      </c>
    </row>
    <row r="16" spans="1:13" ht="69">
      <c r="A16" t="s">
        <v>164</v>
      </c>
      <c r="B16" t="s">
        <v>115</v>
      </c>
      <c r="C16" s="14" t="s">
        <v>291</v>
      </c>
      <c r="D16" t="s">
        <v>366</v>
      </c>
      <c r="E16" t="s">
        <v>383</v>
      </c>
      <c r="F16" s="20">
        <v>2025</v>
      </c>
      <c r="G16" s="20">
        <v>44</v>
      </c>
      <c r="H16" s="11">
        <v>5382.08056177863</v>
      </c>
      <c r="I16" s="10">
        <v>4079738.5720242099</v>
      </c>
      <c r="J16" s="34">
        <f t="shared" si="0"/>
        <v>1.3192219223763272E-3</v>
      </c>
      <c r="K16" s="34">
        <f t="shared" si="1"/>
        <v>1.3183521316604274E-3</v>
      </c>
      <c r="L16" s="34">
        <f t="shared" si="2"/>
        <v>0.99108959326614943</v>
      </c>
      <c r="M16" s="34">
        <f t="shared" si="3"/>
        <v>0.98978298818820054</v>
      </c>
    </row>
    <row r="17" spans="1:13" ht="69">
      <c r="A17" t="s">
        <v>164</v>
      </c>
      <c r="B17" t="s">
        <v>115</v>
      </c>
      <c r="C17" s="14" t="s">
        <v>291</v>
      </c>
      <c r="D17" t="s">
        <v>366</v>
      </c>
      <c r="E17" t="s">
        <v>383</v>
      </c>
      <c r="F17" s="20">
        <v>2025</v>
      </c>
      <c r="G17" s="20">
        <v>45</v>
      </c>
      <c r="H17" s="11">
        <v>5502.70969436221</v>
      </c>
      <c r="I17" s="10">
        <v>4025863.72277551</v>
      </c>
      <c r="J17" s="34">
        <f t="shared" si="0"/>
        <v>1.3668395338947373E-3</v>
      </c>
      <c r="K17" s="34">
        <f t="shared" si="1"/>
        <v>1.3659058341933816E-3</v>
      </c>
      <c r="L17" s="34">
        <f t="shared" si="2"/>
        <v>0.98978298818820054</v>
      </c>
      <c r="M17" s="34">
        <f t="shared" si="3"/>
        <v>0.98843103783004893</v>
      </c>
    </row>
    <row r="18" spans="1:13" ht="69">
      <c r="A18" t="s">
        <v>164</v>
      </c>
      <c r="B18" t="s">
        <v>115</v>
      </c>
      <c r="C18" s="14" t="s">
        <v>291</v>
      </c>
      <c r="D18" t="s">
        <v>366</v>
      </c>
      <c r="E18" t="s">
        <v>383</v>
      </c>
      <c r="F18" s="20">
        <v>2025</v>
      </c>
      <c r="G18" s="20">
        <v>46</v>
      </c>
      <c r="H18" s="11">
        <v>6546.4338251416302</v>
      </c>
      <c r="I18" s="10">
        <v>3958714.5785337202</v>
      </c>
      <c r="J18" s="34">
        <f t="shared" si="0"/>
        <v>1.6536766405539605E-3</v>
      </c>
      <c r="K18" s="34">
        <f t="shared" si="1"/>
        <v>1.6523100707301897E-3</v>
      </c>
      <c r="L18" s="34">
        <f t="shared" si="2"/>
        <v>0.98843103783004893</v>
      </c>
      <c r="M18" s="34">
        <f t="shared" si="3"/>
        <v>0.98679784327202003</v>
      </c>
    </row>
    <row r="19" spans="1:13" ht="69">
      <c r="A19" t="s">
        <v>164</v>
      </c>
      <c r="B19" t="s">
        <v>115</v>
      </c>
      <c r="C19" s="14" t="s">
        <v>291</v>
      </c>
      <c r="D19" t="s">
        <v>366</v>
      </c>
      <c r="E19" t="s">
        <v>383</v>
      </c>
      <c r="F19" s="20">
        <v>2025</v>
      </c>
      <c r="G19" s="20">
        <v>47</v>
      </c>
      <c r="H19" s="11">
        <v>6840.4572084255597</v>
      </c>
      <c r="I19" s="10">
        <v>3867221.8343678401</v>
      </c>
      <c r="J19" s="34">
        <f t="shared" si="0"/>
        <v>1.7688297960139498E-3</v>
      </c>
      <c r="K19" s="34">
        <f t="shared" si="1"/>
        <v>1.7672663385561727E-3</v>
      </c>
      <c r="L19" s="34">
        <f t="shared" si="2"/>
        <v>0.98679784327202003</v>
      </c>
      <c r="M19" s="34">
        <f t="shared" si="3"/>
        <v>0.98505390866064557</v>
      </c>
    </row>
    <row r="20" spans="1:13" ht="69">
      <c r="A20" t="s">
        <v>164</v>
      </c>
      <c r="B20" t="s">
        <v>115</v>
      </c>
      <c r="C20" s="14" t="s">
        <v>291</v>
      </c>
      <c r="D20" t="s">
        <v>366</v>
      </c>
      <c r="E20" t="s">
        <v>383</v>
      </c>
      <c r="F20" s="20">
        <v>2025</v>
      </c>
      <c r="G20" s="20">
        <v>48</v>
      </c>
      <c r="H20" s="11">
        <v>7181.08740770039</v>
      </c>
      <c r="I20" s="10">
        <v>3779945.0449384302</v>
      </c>
      <c r="J20" s="34">
        <f t="shared" si="0"/>
        <v>1.8997861932718548E-3</v>
      </c>
      <c r="K20" s="34">
        <f t="shared" si="1"/>
        <v>1.897982741720039E-3</v>
      </c>
      <c r="L20" s="34">
        <f t="shared" si="2"/>
        <v>0.98505390866064557</v>
      </c>
      <c r="M20" s="34">
        <f t="shared" si="3"/>
        <v>0.98318429334234381</v>
      </c>
    </row>
    <row r="21" spans="1:13" ht="69">
      <c r="A21" t="s">
        <v>164</v>
      </c>
      <c r="B21" t="s">
        <v>115</v>
      </c>
      <c r="C21" s="14" t="s">
        <v>291</v>
      </c>
      <c r="D21" t="s">
        <v>366</v>
      </c>
      <c r="E21" t="s">
        <v>383</v>
      </c>
      <c r="F21" s="20">
        <v>2025</v>
      </c>
      <c r="G21" s="20">
        <v>49</v>
      </c>
      <c r="H21" s="11">
        <v>7517.2164470293401</v>
      </c>
      <c r="I21" s="10">
        <v>3708728.3520107502</v>
      </c>
      <c r="J21" s="34">
        <f t="shared" si="0"/>
        <v>2.0268986384386319E-3</v>
      </c>
      <c r="K21" s="34">
        <f t="shared" si="1"/>
        <v>2.0248458665478308E-3</v>
      </c>
      <c r="L21" s="34">
        <f t="shared" si="2"/>
        <v>0.98318429334234381</v>
      </c>
      <c r="M21" s="34">
        <f t="shared" si="3"/>
        <v>0.98119349668991485</v>
      </c>
    </row>
    <row r="22" spans="1:13" ht="69">
      <c r="A22" t="s">
        <v>164</v>
      </c>
      <c r="B22" t="s">
        <v>115</v>
      </c>
      <c r="C22" s="14" t="s">
        <v>291</v>
      </c>
      <c r="D22" t="s">
        <v>366</v>
      </c>
      <c r="E22" t="s">
        <v>383</v>
      </c>
      <c r="F22" s="20">
        <v>2025</v>
      </c>
      <c r="G22" s="20">
        <v>50</v>
      </c>
      <c r="H22" s="11">
        <v>7886.9055691549302</v>
      </c>
      <c r="I22" s="10">
        <v>3624871.1799817998</v>
      </c>
      <c r="J22" s="34">
        <f t="shared" si="0"/>
        <v>2.1757754076089761E-3</v>
      </c>
      <c r="K22" s="34">
        <f t="shared" si="1"/>
        <v>2.1734101240497017E-3</v>
      </c>
      <c r="L22" s="34">
        <f t="shared" si="2"/>
        <v>0.98119349668991485</v>
      </c>
      <c r="M22" s="34">
        <f t="shared" si="3"/>
        <v>0.97906096081055727</v>
      </c>
    </row>
    <row r="23" spans="1:13" ht="69">
      <c r="A23" t="s">
        <v>164</v>
      </c>
      <c r="B23" t="s">
        <v>115</v>
      </c>
      <c r="C23" s="14" t="s">
        <v>291</v>
      </c>
      <c r="D23" t="s">
        <v>366</v>
      </c>
      <c r="E23" t="s">
        <v>383</v>
      </c>
      <c r="F23" s="20">
        <v>2025</v>
      </c>
      <c r="G23" s="20">
        <v>51</v>
      </c>
      <c r="H23" s="11">
        <v>8898.9533991590306</v>
      </c>
      <c r="I23" s="10">
        <v>3557342.5560414898</v>
      </c>
      <c r="J23" s="34">
        <f t="shared" si="0"/>
        <v>2.5015733680316507E-3</v>
      </c>
      <c r="K23" s="34">
        <f t="shared" si="1"/>
        <v>2.4984470408294657E-3</v>
      </c>
      <c r="L23" s="34">
        <f t="shared" si="2"/>
        <v>0.97906096081055727</v>
      </c>
      <c r="M23" s="34">
        <f t="shared" si="3"/>
        <v>0.97661482885022843</v>
      </c>
    </row>
    <row r="24" spans="1:13" ht="69">
      <c r="A24" t="s">
        <v>164</v>
      </c>
      <c r="B24" t="s">
        <v>115</v>
      </c>
      <c r="C24" s="14" t="s">
        <v>291</v>
      </c>
      <c r="D24" t="s">
        <v>366</v>
      </c>
      <c r="E24" t="s">
        <v>383</v>
      </c>
      <c r="F24" s="20">
        <v>2025</v>
      </c>
      <c r="G24" s="20">
        <v>52</v>
      </c>
      <c r="H24" s="11">
        <v>9774.8668806352198</v>
      </c>
      <c r="I24" s="10">
        <v>3491434.4181458498</v>
      </c>
      <c r="J24" s="34">
        <f t="shared" si="0"/>
        <v>2.7996707685050059E-3</v>
      </c>
      <c r="K24" s="34">
        <f t="shared" si="1"/>
        <v>2.7957553451167794E-3</v>
      </c>
      <c r="L24" s="34">
        <f t="shared" si="2"/>
        <v>0.97661482885022843</v>
      </c>
      <c r="M24" s="34">
        <f t="shared" si="3"/>
        <v>0.97388445272235014</v>
      </c>
    </row>
    <row r="25" spans="1:13" ht="69">
      <c r="A25" t="s">
        <v>164</v>
      </c>
      <c r="B25" t="s">
        <v>115</v>
      </c>
      <c r="C25" s="14" t="s">
        <v>291</v>
      </c>
      <c r="D25" t="s">
        <v>366</v>
      </c>
      <c r="E25" t="s">
        <v>383</v>
      </c>
      <c r="F25" s="20">
        <v>2025</v>
      </c>
      <c r="G25" s="20">
        <v>53</v>
      </c>
      <c r="H25" s="11">
        <v>10509.9629781244</v>
      </c>
      <c r="I25" s="10">
        <v>3403336.7950920402</v>
      </c>
      <c r="J25" s="34">
        <f t="shared" si="0"/>
        <v>3.0881348543819825E-3</v>
      </c>
      <c r="K25" s="34">
        <f t="shared" si="1"/>
        <v>3.0833714705280624E-3</v>
      </c>
      <c r="L25" s="34">
        <f t="shared" si="2"/>
        <v>0.97388445272235014</v>
      </c>
      <c r="M25" s="34">
        <f t="shared" si="3"/>
        <v>0.97088160518523525</v>
      </c>
    </row>
    <row r="26" spans="1:13" ht="69">
      <c r="A26" t="s">
        <v>164</v>
      </c>
      <c r="B26" t="s">
        <v>115</v>
      </c>
      <c r="C26" s="14" t="s">
        <v>291</v>
      </c>
      <c r="D26" t="s">
        <v>366</v>
      </c>
      <c r="E26" t="s">
        <v>383</v>
      </c>
      <c r="F26" s="20">
        <v>2025</v>
      </c>
      <c r="G26" s="20">
        <v>54</v>
      </c>
      <c r="H26" s="11">
        <v>11305.101406579</v>
      </c>
      <c r="I26" s="10">
        <v>3326094.6925646001</v>
      </c>
      <c r="J26" s="34">
        <f t="shared" si="0"/>
        <v>3.3989114717182483E-3</v>
      </c>
      <c r="K26" s="34">
        <f t="shared" si="1"/>
        <v>3.3931417109417383E-3</v>
      </c>
      <c r="L26" s="34">
        <f t="shared" si="2"/>
        <v>0.97088160518523525</v>
      </c>
      <c r="M26" s="34">
        <f t="shared" si="3"/>
        <v>0.96758726631429515</v>
      </c>
    </row>
    <row r="27" spans="1:13" ht="69">
      <c r="A27" t="s">
        <v>164</v>
      </c>
      <c r="B27" t="s">
        <v>115</v>
      </c>
      <c r="C27" s="14" t="s">
        <v>291</v>
      </c>
      <c r="D27" t="s">
        <v>366</v>
      </c>
      <c r="E27" t="s">
        <v>383</v>
      </c>
      <c r="F27" s="20">
        <v>2025</v>
      </c>
      <c r="G27" s="20">
        <v>55</v>
      </c>
      <c r="H27" s="11">
        <v>12154.717251423301</v>
      </c>
      <c r="I27" s="10">
        <v>3246660.0017613098</v>
      </c>
      <c r="J27" s="34">
        <f t="shared" si="0"/>
        <v>3.7437604322070614E-3</v>
      </c>
      <c r="K27" s="34">
        <f t="shared" si="1"/>
        <v>3.7367612982047715E-3</v>
      </c>
      <c r="L27" s="34">
        <f t="shared" si="2"/>
        <v>0.96758726631429515</v>
      </c>
      <c r="M27" s="34">
        <f t="shared" si="3"/>
        <v>0.96397162366489608</v>
      </c>
    </row>
    <row r="28" spans="1:13" ht="69">
      <c r="A28" t="s">
        <v>164</v>
      </c>
      <c r="B28" t="s">
        <v>115</v>
      </c>
      <c r="C28" s="14" t="s">
        <v>291</v>
      </c>
      <c r="D28" t="s">
        <v>366</v>
      </c>
      <c r="E28" t="s">
        <v>383</v>
      </c>
      <c r="F28" s="20">
        <v>2025</v>
      </c>
      <c r="G28" s="20">
        <v>56</v>
      </c>
      <c r="H28" s="11">
        <v>13299.2312306</v>
      </c>
      <c r="I28" s="10">
        <v>3151194.3645884902</v>
      </c>
      <c r="J28" s="34">
        <f t="shared" si="0"/>
        <v>4.220377955752256E-3</v>
      </c>
      <c r="K28" s="34">
        <f t="shared" si="1"/>
        <v>4.2114846761068803E-3</v>
      </c>
      <c r="L28" s="34">
        <f t="shared" si="2"/>
        <v>0.96397162366489608</v>
      </c>
      <c r="M28" s="34">
        <f t="shared" si="3"/>
        <v>0.95991187194362948</v>
      </c>
    </row>
    <row r="29" spans="1:13" ht="69">
      <c r="A29" t="s">
        <v>164</v>
      </c>
      <c r="B29" t="s">
        <v>115</v>
      </c>
      <c r="C29" s="14" t="s">
        <v>291</v>
      </c>
      <c r="D29" t="s">
        <v>366</v>
      </c>
      <c r="E29" t="s">
        <v>383</v>
      </c>
      <c r="F29" s="20">
        <v>2025</v>
      </c>
      <c r="G29" s="20">
        <v>57</v>
      </c>
      <c r="H29" s="11">
        <v>14351.675078404</v>
      </c>
      <c r="I29" s="10">
        <v>3049212.3527183598</v>
      </c>
      <c r="J29" s="34">
        <f t="shared" si="0"/>
        <v>4.7066827161478418E-3</v>
      </c>
      <c r="K29" s="34">
        <f t="shared" si="1"/>
        <v>4.6956236423728592E-3</v>
      </c>
      <c r="L29" s="34">
        <f t="shared" si="2"/>
        <v>0.95991187194362948</v>
      </c>
      <c r="M29" s="34">
        <f t="shared" si="3"/>
        <v>0.95540448706313663</v>
      </c>
    </row>
    <row r="30" spans="1:13" ht="69">
      <c r="A30" t="s">
        <v>164</v>
      </c>
      <c r="B30" t="s">
        <v>115</v>
      </c>
      <c r="C30" s="14" t="s">
        <v>291</v>
      </c>
      <c r="D30" t="s">
        <v>366</v>
      </c>
      <c r="E30" t="s">
        <v>383</v>
      </c>
      <c r="F30" s="20">
        <v>2025</v>
      </c>
      <c r="G30" s="20">
        <v>58</v>
      </c>
      <c r="H30" s="11">
        <v>15595.0944384551</v>
      </c>
      <c r="I30" s="10">
        <v>2949517.4934811001</v>
      </c>
      <c r="J30" s="34">
        <f t="shared" si="0"/>
        <v>5.2873374960218829E-3</v>
      </c>
      <c r="K30" s="34">
        <f t="shared" si="1"/>
        <v>5.2733841300069972E-3</v>
      </c>
      <c r="L30" s="34">
        <f t="shared" si="2"/>
        <v>0.95540448706313663</v>
      </c>
      <c r="M30" s="34">
        <f t="shared" si="3"/>
        <v>0.95036627220332037</v>
      </c>
    </row>
    <row r="31" spans="1:13" ht="69">
      <c r="A31" t="s">
        <v>164</v>
      </c>
      <c r="B31" t="s">
        <v>115</v>
      </c>
      <c r="C31" s="14" t="s">
        <v>291</v>
      </c>
      <c r="D31" t="s">
        <v>366</v>
      </c>
      <c r="E31" t="s">
        <v>383</v>
      </c>
      <c r="F31" s="20">
        <v>2025</v>
      </c>
      <c r="G31" s="20">
        <v>59</v>
      </c>
      <c r="H31" s="11">
        <v>16202.064651662</v>
      </c>
      <c r="I31" s="10">
        <v>2836556.0141030601</v>
      </c>
      <c r="J31" s="34">
        <f t="shared" si="0"/>
        <v>5.7118789726368973E-3</v>
      </c>
      <c r="K31" s="34">
        <f t="shared" si="1"/>
        <v>5.6955972065136917E-3</v>
      </c>
      <c r="L31" s="34">
        <f t="shared" si="2"/>
        <v>0.95036627220332037</v>
      </c>
      <c r="M31" s="34">
        <f t="shared" si="3"/>
        <v>0.94495336871819435</v>
      </c>
    </row>
    <row r="32" spans="1:13" ht="69">
      <c r="A32" t="s">
        <v>164</v>
      </c>
      <c r="B32" t="s">
        <v>115</v>
      </c>
      <c r="C32" s="14" t="s">
        <v>291</v>
      </c>
      <c r="D32" t="s">
        <v>366</v>
      </c>
      <c r="E32" t="s">
        <v>383</v>
      </c>
      <c r="F32" s="20">
        <v>2025</v>
      </c>
      <c r="G32" s="20">
        <v>60</v>
      </c>
      <c r="H32" s="11">
        <v>16946.805939228201</v>
      </c>
      <c r="I32" s="10">
        <v>2711118.0986436098</v>
      </c>
      <c r="J32" s="34">
        <f t="shared" si="0"/>
        <v>6.2508549324010636E-3</v>
      </c>
      <c r="K32" s="34">
        <f t="shared" si="1"/>
        <v>6.2313589819787962E-3</v>
      </c>
      <c r="L32" s="34">
        <f t="shared" si="2"/>
        <v>0.94495336871819435</v>
      </c>
      <c r="M32" s="34">
        <f t="shared" si="3"/>
        <v>0.93906502505648115</v>
      </c>
    </row>
    <row r="33" spans="1:13" ht="69">
      <c r="A33" t="s">
        <v>164</v>
      </c>
      <c r="B33" t="s">
        <v>115</v>
      </c>
      <c r="C33" s="14" t="s">
        <v>291</v>
      </c>
      <c r="D33" t="s">
        <v>366</v>
      </c>
      <c r="E33" t="s">
        <v>383</v>
      </c>
      <c r="F33" s="20">
        <v>2025</v>
      </c>
      <c r="G33" s="20">
        <v>61</v>
      </c>
      <c r="H33" s="11">
        <v>18450.210281466902</v>
      </c>
      <c r="I33" s="10">
        <v>2587587.36436335</v>
      </c>
      <c r="J33" s="34">
        <f t="shared" si="0"/>
        <v>7.1302753041563071E-3</v>
      </c>
      <c r="K33" s="34">
        <f t="shared" si="1"/>
        <v>7.1049152018345385E-3</v>
      </c>
      <c r="L33" s="34">
        <f t="shared" si="2"/>
        <v>0.93906502505648115</v>
      </c>
      <c r="M33" s="34">
        <f t="shared" si="3"/>
        <v>0.9323930476844462</v>
      </c>
    </row>
    <row r="34" spans="1:13" ht="69">
      <c r="A34" t="s">
        <v>164</v>
      </c>
      <c r="B34" t="s">
        <v>115</v>
      </c>
      <c r="C34" s="14" t="s">
        <v>291</v>
      </c>
      <c r="D34" t="s">
        <v>366</v>
      </c>
      <c r="E34" t="s">
        <v>383</v>
      </c>
      <c r="F34" s="20">
        <v>2025</v>
      </c>
      <c r="G34" s="20">
        <v>62</v>
      </c>
      <c r="H34" s="11">
        <v>19677.323731390399</v>
      </c>
      <c r="I34" s="10">
        <v>2464801.4290322</v>
      </c>
      <c r="J34" s="34">
        <f t="shared" si="0"/>
        <v>7.9833302186605223E-3</v>
      </c>
      <c r="K34" s="34">
        <f t="shared" si="1"/>
        <v>7.9515480700027563E-3</v>
      </c>
      <c r="L34" s="34">
        <f t="shared" si="2"/>
        <v>0.9323930476844462</v>
      </c>
      <c r="M34" s="34">
        <f t="shared" si="3"/>
        <v>0.92497907954564695</v>
      </c>
    </row>
    <row r="35" spans="1:13" ht="69">
      <c r="A35" t="s">
        <v>164</v>
      </c>
      <c r="B35" t="s">
        <v>115</v>
      </c>
      <c r="C35" s="14" t="s">
        <v>291</v>
      </c>
      <c r="D35" t="s">
        <v>366</v>
      </c>
      <c r="E35" t="s">
        <v>383</v>
      </c>
      <c r="F35" s="20">
        <v>2025</v>
      </c>
      <c r="G35" s="20">
        <v>63</v>
      </c>
      <c r="H35" s="11">
        <v>20920.762293209202</v>
      </c>
      <c r="I35" s="10">
        <v>2342092.6212101402</v>
      </c>
      <c r="J35" s="34">
        <f t="shared" si="0"/>
        <v>8.9325085198379613E-3</v>
      </c>
      <c r="K35" s="34">
        <f t="shared" si="1"/>
        <v>8.8927321878579102E-3</v>
      </c>
      <c r="L35" s="34">
        <f t="shared" si="2"/>
        <v>0.92497907954564695</v>
      </c>
      <c r="M35" s="34">
        <f t="shared" si="3"/>
        <v>0.9167534883118762</v>
      </c>
    </row>
    <row r="36" spans="1:13" ht="69">
      <c r="A36" t="s">
        <v>164</v>
      </c>
      <c r="B36" t="s">
        <v>115</v>
      </c>
      <c r="C36" s="14" t="s">
        <v>291</v>
      </c>
      <c r="D36" t="s">
        <v>366</v>
      </c>
      <c r="E36" t="s">
        <v>383</v>
      </c>
      <c r="F36" s="20">
        <v>2025</v>
      </c>
      <c r="G36" s="20">
        <v>64</v>
      </c>
      <c r="H36" s="11">
        <v>22271.339267920699</v>
      </c>
      <c r="I36" s="10">
        <v>2218148.70530253</v>
      </c>
      <c r="J36" s="34">
        <f t="shared" si="0"/>
        <v>1.0040507750756569E-2</v>
      </c>
      <c r="K36" s="34">
        <f t="shared" si="1"/>
        <v>9.9902701304696029E-3</v>
      </c>
      <c r="L36" s="34">
        <f t="shared" si="2"/>
        <v>0.9167534883118762</v>
      </c>
      <c r="M36" s="34">
        <f t="shared" si="3"/>
        <v>0.9075948733205903</v>
      </c>
    </row>
    <row r="37" spans="1:13" ht="69">
      <c r="A37" t="s">
        <v>164</v>
      </c>
      <c r="B37" t="s">
        <v>115</v>
      </c>
      <c r="C37" s="14" t="s">
        <v>291</v>
      </c>
      <c r="D37" t="s">
        <v>366</v>
      </c>
      <c r="E37" t="s">
        <v>383</v>
      </c>
      <c r="F37" s="20">
        <v>2025</v>
      </c>
      <c r="G37" s="20">
        <v>65</v>
      </c>
      <c r="H37" s="11">
        <v>23438.241492724101</v>
      </c>
      <c r="I37" s="10">
        <v>2089504.47083457</v>
      </c>
      <c r="J37" s="34">
        <f t="shared" si="0"/>
        <v>1.1217129142280621E-2</v>
      </c>
      <c r="K37" s="34">
        <f t="shared" si="1"/>
        <v>1.1154451721657632E-2</v>
      </c>
      <c r="L37" s="34">
        <f t="shared" si="2"/>
        <v>0.9075948733205903</v>
      </c>
      <c r="M37" s="34">
        <f t="shared" si="3"/>
        <v>0.8974711501233118</v>
      </c>
    </row>
    <row r="38" spans="1:13" ht="69">
      <c r="A38" t="s">
        <v>164</v>
      </c>
      <c r="B38" t="s">
        <v>115</v>
      </c>
      <c r="C38" s="14" t="s">
        <v>291</v>
      </c>
      <c r="D38" t="s">
        <v>366</v>
      </c>
      <c r="E38" t="s">
        <v>383</v>
      </c>
      <c r="F38" s="20">
        <v>2025</v>
      </c>
      <c r="G38" s="20">
        <v>66</v>
      </c>
      <c r="H38" s="11">
        <v>24126.781892882598</v>
      </c>
      <c r="I38" s="10">
        <v>1956080.13586195</v>
      </c>
      <c r="J38" s="34">
        <f t="shared" si="0"/>
        <v>1.2334250243920141E-2</v>
      </c>
      <c r="K38" s="34">
        <f t="shared" si="1"/>
        <v>1.2258495159973903E-2</v>
      </c>
      <c r="L38" s="34">
        <f t="shared" si="2"/>
        <v>0.8974711501233118</v>
      </c>
      <c r="M38" s="34">
        <f t="shared" si="3"/>
        <v>0.88646950437330896</v>
      </c>
    </row>
    <row r="39" spans="1:13" ht="69">
      <c r="A39" t="s">
        <v>164</v>
      </c>
      <c r="B39" t="s">
        <v>115</v>
      </c>
      <c r="C39" s="14" t="s">
        <v>291</v>
      </c>
      <c r="D39" t="s">
        <v>366</v>
      </c>
      <c r="E39" t="s">
        <v>383</v>
      </c>
      <c r="F39" s="20">
        <v>2025</v>
      </c>
      <c r="G39" s="20">
        <v>67</v>
      </c>
      <c r="H39" s="11">
        <v>20820.780548218499</v>
      </c>
      <c r="I39" s="10">
        <v>1821534.82128253</v>
      </c>
      <c r="J39" s="34">
        <f t="shared" si="0"/>
        <v>1.1430350002070634E-2</v>
      </c>
      <c r="K39" s="34">
        <f t="shared" si="1"/>
        <v>1.1365271743249306E-2</v>
      </c>
      <c r="L39" s="34">
        <f t="shared" si="2"/>
        <v>0.88646950437330896</v>
      </c>
      <c r="M39" s="34">
        <f t="shared" si="3"/>
        <v>0.87639453756400276</v>
      </c>
    </row>
    <row r="40" spans="1:13" ht="69">
      <c r="A40" t="s">
        <v>164</v>
      </c>
      <c r="B40" t="s">
        <v>115</v>
      </c>
      <c r="C40" s="14" t="s">
        <v>291</v>
      </c>
      <c r="D40" t="s">
        <v>366</v>
      </c>
      <c r="E40" t="s">
        <v>383</v>
      </c>
      <c r="F40" s="20">
        <v>2025</v>
      </c>
      <c r="G40" s="20">
        <v>68</v>
      </c>
      <c r="H40" s="11">
        <v>20444.7848920998</v>
      </c>
      <c r="I40" s="10">
        <v>1697547.8816679099</v>
      </c>
      <c r="J40" s="34">
        <f t="shared" si="0"/>
        <v>1.2043716181962399E-2</v>
      </c>
      <c r="K40" s="34">
        <f t="shared" si="1"/>
        <v>1.1971480916720401E-2</v>
      </c>
      <c r="L40" s="34">
        <f t="shared" si="2"/>
        <v>0.87639453756400276</v>
      </c>
      <c r="M40" s="34">
        <f t="shared" si="3"/>
        <v>0.86590279708203732</v>
      </c>
    </row>
    <row r="41" spans="1:13" ht="69">
      <c r="A41" t="s">
        <v>164</v>
      </c>
      <c r="B41" t="s">
        <v>115</v>
      </c>
      <c r="C41" s="14" t="s">
        <v>291</v>
      </c>
      <c r="D41" t="s">
        <v>366</v>
      </c>
      <c r="E41" t="s">
        <v>383</v>
      </c>
      <c r="F41" s="20">
        <v>2025</v>
      </c>
      <c r="G41" s="20">
        <v>69</v>
      </c>
      <c r="H41" s="11">
        <v>20115.647148754299</v>
      </c>
      <c r="I41" s="10">
        <v>1580975.5137741701</v>
      </c>
      <c r="J41" s="34">
        <f t="shared" si="0"/>
        <v>1.2723566540719784E-2</v>
      </c>
      <c r="K41" s="34">
        <f t="shared" si="1"/>
        <v>1.2642964179949923E-2</v>
      </c>
      <c r="L41" s="34">
        <f t="shared" si="2"/>
        <v>0.86590279708203732</v>
      </c>
      <c r="M41" s="34">
        <f t="shared" si="3"/>
        <v>0.85495521903521066</v>
      </c>
    </row>
    <row r="42" spans="1:13" ht="69">
      <c r="A42" t="s">
        <v>164</v>
      </c>
      <c r="B42" t="s">
        <v>115</v>
      </c>
      <c r="C42" s="14" t="s">
        <v>291</v>
      </c>
      <c r="D42" t="s">
        <v>366</v>
      </c>
      <c r="E42" t="s">
        <v>383</v>
      </c>
      <c r="F42" s="20">
        <v>2026</v>
      </c>
      <c r="G42" s="20">
        <v>30</v>
      </c>
      <c r="H42" s="11">
        <v>921.47371888861903</v>
      </c>
      <c r="I42" s="10">
        <v>4382720.6847421201</v>
      </c>
      <c r="J42" s="34">
        <f t="shared" si="0"/>
        <v>2.1025152757204253E-4</v>
      </c>
      <c r="K42" s="34">
        <f t="shared" si="1"/>
        <v>2.1022942626858221E-4</v>
      </c>
      <c r="L42" s="34">
        <f t="shared" si="2"/>
        <v>1</v>
      </c>
      <c r="M42" s="34">
        <f t="shared" si="3"/>
        <v>0.99978977057373142</v>
      </c>
    </row>
    <row r="43" spans="1:13" ht="69">
      <c r="A43" t="s">
        <v>164</v>
      </c>
      <c r="B43" t="s">
        <v>115</v>
      </c>
      <c r="C43" s="14" t="s">
        <v>291</v>
      </c>
      <c r="D43" t="s">
        <v>366</v>
      </c>
      <c r="E43" t="s">
        <v>383</v>
      </c>
      <c r="F43" s="20">
        <v>2026</v>
      </c>
      <c r="G43" s="20">
        <v>31</v>
      </c>
      <c r="H43" s="11">
        <v>1300.9510019218101</v>
      </c>
      <c r="I43" s="10">
        <v>4319604.7020792998</v>
      </c>
      <c r="J43" s="34">
        <f t="shared" si="0"/>
        <v>3.0117362389562631E-4</v>
      </c>
      <c r="K43" s="34">
        <f t="shared" si="1"/>
        <v>3.0112827567241318E-4</v>
      </c>
      <c r="L43" s="34">
        <f t="shared" si="2"/>
        <v>0.99978977057373142</v>
      </c>
      <c r="M43" s="34">
        <f t="shared" si="3"/>
        <v>0.99948870560408365</v>
      </c>
    </row>
    <row r="44" spans="1:13" ht="69">
      <c r="A44" t="s">
        <v>164</v>
      </c>
      <c r="B44" t="s">
        <v>115</v>
      </c>
      <c r="C44" s="14" t="s">
        <v>291</v>
      </c>
      <c r="D44" t="s">
        <v>366</v>
      </c>
      <c r="E44" t="s">
        <v>383</v>
      </c>
      <c r="F44" s="20">
        <v>2026</v>
      </c>
      <c r="G44" s="20">
        <v>32</v>
      </c>
      <c r="H44" s="11">
        <v>1324.9740400170499</v>
      </c>
      <c r="I44" s="10">
        <v>4266455.7837115899</v>
      </c>
      <c r="J44" s="34">
        <f t="shared" si="0"/>
        <v>3.1055614008130959E-4</v>
      </c>
      <c r="K44" s="34">
        <f t="shared" si="1"/>
        <v>3.1050792251474668E-4</v>
      </c>
      <c r="L44" s="34">
        <f t="shared" si="2"/>
        <v>0.99948870560408365</v>
      </c>
      <c r="M44" s="34">
        <f t="shared" si="3"/>
        <v>0.99917835644252961</v>
      </c>
    </row>
    <row r="45" spans="1:13" ht="69">
      <c r="A45" t="s">
        <v>164</v>
      </c>
      <c r="B45" t="s">
        <v>115</v>
      </c>
      <c r="C45" s="14" t="s">
        <v>291</v>
      </c>
      <c r="D45" t="s">
        <v>366</v>
      </c>
      <c r="E45" t="s">
        <v>383</v>
      </c>
      <c r="F45" s="20">
        <v>2026</v>
      </c>
      <c r="G45" s="20">
        <v>33</v>
      </c>
      <c r="H45" s="11">
        <v>1385.0176222564901</v>
      </c>
      <c r="I45" s="10">
        <v>4216175.8797302702</v>
      </c>
      <c r="J45" s="34">
        <f t="shared" si="0"/>
        <v>3.2850091214531985E-4</v>
      </c>
      <c r="K45" s="34">
        <f t="shared" si="1"/>
        <v>3.284469616284813E-4</v>
      </c>
      <c r="L45" s="34">
        <f t="shared" si="2"/>
        <v>0.99917835644252961</v>
      </c>
      <c r="M45" s="34">
        <f t="shared" si="3"/>
        <v>0.99885017934723108</v>
      </c>
    </row>
    <row r="46" spans="1:13" ht="69">
      <c r="A46" t="s">
        <v>164</v>
      </c>
      <c r="B46" t="s">
        <v>115</v>
      </c>
      <c r="C46" s="14" t="s">
        <v>291</v>
      </c>
      <c r="D46" t="s">
        <v>366</v>
      </c>
      <c r="E46" t="s">
        <v>383</v>
      </c>
      <c r="F46" s="20">
        <v>2026</v>
      </c>
      <c r="G46" s="20">
        <v>34</v>
      </c>
      <c r="H46" s="11">
        <v>1461.5865017323299</v>
      </c>
      <c r="I46" s="10">
        <v>4201385.4768012799</v>
      </c>
      <c r="J46" s="34">
        <f t="shared" si="0"/>
        <v>3.4788202839343061E-4</v>
      </c>
      <c r="K46" s="34">
        <f t="shared" si="1"/>
        <v>3.4782152445689274E-4</v>
      </c>
      <c r="L46" s="34">
        <f t="shared" si="2"/>
        <v>0.99885017934723108</v>
      </c>
      <c r="M46" s="34">
        <f t="shared" si="3"/>
        <v>0.99850275775514652</v>
      </c>
    </row>
    <row r="47" spans="1:13" ht="69">
      <c r="A47" t="s">
        <v>164</v>
      </c>
      <c r="B47" t="s">
        <v>115</v>
      </c>
      <c r="C47" s="14" t="s">
        <v>291</v>
      </c>
      <c r="D47" t="s">
        <v>366</v>
      </c>
      <c r="E47" t="s">
        <v>383</v>
      </c>
      <c r="F47" s="20">
        <v>2026</v>
      </c>
      <c r="G47" s="20">
        <v>35</v>
      </c>
      <c r="H47" s="11">
        <v>1579.5088362762599</v>
      </c>
      <c r="I47" s="10">
        <v>4181111.1197778201</v>
      </c>
      <c r="J47" s="34">
        <f t="shared" si="0"/>
        <v>3.7777250855753226E-4</v>
      </c>
      <c r="K47" s="34">
        <f t="shared" si="1"/>
        <v>3.7770116150803723E-4</v>
      </c>
      <c r="L47" s="34">
        <f t="shared" si="2"/>
        <v>0.99850275775514652</v>
      </c>
      <c r="M47" s="34">
        <f t="shared" si="3"/>
        <v>0.99812562210377342</v>
      </c>
    </row>
    <row r="48" spans="1:13" ht="69">
      <c r="A48" t="s">
        <v>164</v>
      </c>
      <c r="B48" t="s">
        <v>115</v>
      </c>
      <c r="C48" s="14" t="s">
        <v>291</v>
      </c>
      <c r="D48" t="s">
        <v>366</v>
      </c>
      <c r="E48" t="s">
        <v>383</v>
      </c>
      <c r="F48" s="20">
        <v>2026</v>
      </c>
      <c r="G48" s="20">
        <v>36</v>
      </c>
      <c r="H48" s="11">
        <v>2124.21692920846</v>
      </c>
      <c r="I48" s="10">
        <v>4164574.1507378202</v>
      </c>
      <c r="J48" s="34">
        <f t="shared" si="0"/>
        <v>5.1006822122067906E-4</v>
      </c>
      <c r="K48" s="34">
        <f t="shared" si="1"/>
        <v>5.0993815854005753E-4</v>
      </c>
      <c r="L48" s="34">
        <f t="shared" si="2"/>
        <v>0.99812562210377342</v>
      </c>
      <c r="M48" s="34">
        <f t="shared" si="3"/>
        <v>0.99761663976204618</v>
      </c>
    </row>
    <row r="49" spans="1:13" ht="69">
      <c r="A49" t="s">
        <v>164</v>
      </c>
      <c r="B49" t="s">
        <v>115</v>
      </c>
      <c r="C49" s="14" t="s">
        <v>291</v>
      </c>
      <c r="D49" t="s">
        <v>366</v>
      </c>
      <c r="E49" t="s">
        <v>383</v>
      </c>
      <c r="F49" s="20">
        <v>2026</v>
      </c>
      <c r="G49" s="20">
        <v>37</v>
      </c>
      <c r="H49" s="11">
        <v>2336.63085383527</v>
      </c>
      <c r="I49" s="10">
        <v>4171610.5175144202</v>
      </c>
      <c r="J49" s="34">
        <f t="shared" si="0"/>
        <v>5.6012680091417307E-4</v>
      </c>
      <c r="K49" s="34">
        <f t="shared" si="1"/>
        <v>5.5996995918272674E-4</v>
      </c>
      <c r="L49" s="34">
        <f t="shared" si="2"/>
        <v>0.99761663976204618</v>
      </c>
      <c r="M49" s="34">
        <f t="shared" si="3"/>
        <v>0.99705800441299863</v>
      </c>
    </row>
    <row r="50" spans="1:13" ht="69">
      <c r="A50" t="s">
        <v>164</v>
      </c>
      <c r="B50" t="s">
        <v>115</v>
      </c>
      <c r="C50" s="14" t="s">
        <v>291</v>
      </c>
      <c r="D50" t="s">
        <v>366</v>
      </c>
      <c r="E50" t="s">
        <v>383</v>
      </c>
      <c r="F50" s="20">
        <v>2026</v>
      </c>
      <c r="G50" s="20">
        <v>38</v>
      </c>
      <c r="H50" s="11">
        <v>2640.1333819072302</v>
      </c>
      <c r="I50" s="10">
        <v>4132993.2030490302</v>
      </c>
      <c r="J50" s="34">
        <f t="shared" si="0"/>
        <v>6.3879451337096958E-4</v>
      </c>
      <c r="K50" s="34">
        <f t="shared" si="1"/>
        <v>6.3859052759307477E-4</v>
      </c>
      <c r="L50" s="34">
        <f t="shared" si="2"/>
        <v>0.99705800441299863</v>
      </c>
      <c r="M50" s="34">
        <f t="shared" si="3"/>
        <v>0.99642129261591961</v>
      </c>
    </row>
    <row r="51" spans="1:13" ht="69">
      <c r="A51" t="s">
        <v>164</v>
      </c>
      <c r="B51" t="s">
        <v>115</v>
      </c>
      <c r="C51" s="14" t="s">
        <v>291</v>
      </c>
      <c r="D51" t="s">
        <v>366</v>
      </c>
      <c r="E51" t="s">
        <v>383</v>
      </c>
      <c r="F51" s="20">
        <v>2026</v>
      </c>
      <c r="G51" s="20">
        <v>39</v>
      </c>
      <c r="H51" s="11">
        <v>2853.3887189383399</v>
      </c>
      <c r="I51" s="10">
        <v>4085756.02599061</v>
      </c>
      <c r="J51" s="34">
        <f t="shared" si="0"/>
        <v>6.9837471958363517E-4</v>
      </c>
      <c r="K51" s="34">
        <f t="shared" si="1"/>
        <v>6.9813091271864192E-4</v>
      </c>
      <c r="L51" s="34">
        <f t="shared" si="2"/>
        <v>0.99642129261591961</v>
      </c>
      <c r="M51" s="34">
        <f t="shared" si="3"/>
        <v>0.9957256601094534</v>
      </c>
    </row>
    <row r="52" spans="1:13" ht="69">
      <c r="A52" t="s">
        <v>164</v>
      </c>
      <c r="B52" t="s">
        <v>115</v>
      </c>
      <c r="C52" s="14" t="s">
        <v>291</v>
      </c>
      <c r="D52" t="s">
        <v>366</v>
      </c>
      <c r="E52" t="s">
        <v>383</v>
      </c>
      <c r="F52" s="20">
        <v>2026</v>
      </c>
      <c r="G52" s="20">
        <v>40</v>
      </c>
      <c r="H52" s="11">
        <v>3183.2872876556698</v>
      </c>
      <c r="I52" s="10">
        <v>4101297.9342499599</v>
      </c>
      <c r="J52" s="34">
        <f t="shared" si="0"/>
        <v>7.7616582328048436E-4</v>
      </c>
      <c r="K52" s="34">
        <f t="shared" si="1"/>
        <v>7.7586468450407953E-4</v>
      </c>
      <c r="L52" s="34">
        <f t="shared" si="2"/>
        <v>0.9957256601094534</v>
      </c>
      <c r="M52" s="34">
        <f t="shared" si="3"/>
        <v>0.99495311173431999</v>
      </c>
    </row>
    <row r="53" spans="1:13" ht="69">
      <c r="A53" t="s">
        <v>164</v>
      </c>
      <c r="B53" t="s">
        <v>115</v>
      </c>
      <c r="C53" s="14" t="s">
        <v>291</v>
      </c>
      <c r="D53" t="s">
        <v>366</v>
      </c>
      <c r="E53" t="s">
        <v>383</v>
      </c>
      <c r="F53" s="20">
        <v>2026</v>
      </c>
      <c r="G53" s="20">
        <v>41</v>
      </c>
      <c r="H53" s="11">
        <v>4336.2543412554396</v>
      </c>
      <c r="I53" s="10">
        <v>4174690.8931197398</v>
      </c>
      <c r="J53" s="34">
        <f t="shared" si="0"/>
        <v>1.0387006971946044E-3</v>
      </c>
      <c r="K53" s="34">
        <f t="shared" si="1"/>
        <v>1.0381614343525358E-3</v>
      </c>
      <c r="L53" s="34">
        <f t="shared" si="2"/>
        <v>0.99495311173431999</v>
      </c>
      <c r="M53" s="34">
        <f t="shared" si="3"/>
        <v>0.9939201897847284</v>
      </c>
    </row>
    <row r="54" spans="1:13" ht="69">
      <c r="A54" t="s">
        <v>164</v>
      </c>
      <c r="B54" t="s">
        <v>115</v>
      </c>
      <c r="C54" s="14" t="s">
        <v>291</v>
      </c>
      <c r="D54" t="s">
        <v>366</v>
      </c>
      <c r="E54" t="s">
        <v>383</v>
      </c>
      <c r="F54" s="20">
        <v>2026</v>
      </c>
      <c r="G54" s="20">
        <v>42</v>
      </c>
      <c r="H54" s="11">
        <v>4916.87177696041</v>
      </c>
      <c r="I54" s="10">
        <v>4206485.88342488</v>
      </c>
      <c r="J54" s="34">
        <f t="shared" si="0"/>
        <v>1.1688787061748418E-3</v>
      </c>
      <c r="K54" s="34">
        <f t="shared" si="1"/>
        <v>1.168195833550989E-3</v>
      </c>
      <c r="L54" s="34">
        <f t="shared" si="2"/>
        <v>0.9939201897847284</v>
      </c>
      <c r="M54" s="34">
        <f t="shared" si="3"/>
        <v>0.9927590963601397</v>
      </c>
    </row>
    <row r="55" spans="1:13" ht="69">
      <c r="A55" t="s">
        <v>164</v>
      </c>
      <c r="B55" t="s">
        <v>115</v>
      </c>
      <c r="C55" s="14" t="s">
        <v>291</v>
      </c>
      <c r="D55" t="s">
        <v>366</v>
      </c>
      <c r="E55" t="s">
        <v>383</v>
      </c>
      <c r="F55" s="20">
        <v>2026</v>
      </c>
      <c r="G55" s="20">
        <v>43</v>
      </c>
      <c r="H55" s="11">
        <v>5319.1267396716503</v>
      </c>
      <c r="I55" s="10">
        <v>4178078.7273808699</v>
      </c>
      <c r="J55" s="34">
        <f t="shared" si="0"/>
        <v>1.273103521198145E-3</v>
      </c>
      <c r="K55" s="34">
        <f t="shared" si="1"/>
        <v>1.272293468706942E-3</v>
      </c>
      <c r="L55" s="34">
        <f t="shared" si="2"/>
        <v>0.9927590963601397</v>
      </c>
      <c r="M55" s="34">
        <f t="shared" si="3"/>
        <v>0.99149601544584132</v>
      </c>
    </row>
    <row r="56" spans="1:13" ht="69">
      <c r="A56" t="s">
        <v>164</v>
      </c>
      <c r="B56" t="s">
        <v>115</v>
      </c>
      <c r="C56" s="14" t="s">
        <v>291</v>
      </c>
      <c r="D56" t="s">
        <v>366</v>
      </c>
      <c r="E56" t="s">
        <v>383</v>
      </c>
      <c r="F56" s="20">
        <v>2026</v>
      </c>
      <c r="G56" s="20">
        <v>44</v>
      </c>
      <c r="H56" s="11">
        <v>5401.10243365729</v>
      </c>
      <c r="I56" s="10">
        <v>4124945.1165071502</v>
      </c>
      <c r="J56" s="34">
        <f t="shared" si="0"/>
        <v>1.3093755870940513E-3</v>
      </c>
      <c r="K56" s="34">
        <f t="shared" si="1"/>
        <v>1.308518728903918E-3</v>
      </c>
      <c r="L56" s="34">
        <f t="shared" si="2"/>
        <v>0.99149601544584132</v>
      </c>
      <c r="M56" s="34">
        <f t="shared" si="3"/>
        <v>0.99019862433999684</v>
      </c>
    </row>
    <row r="57" spans="1:13" ht="69">
      <c r="A57" t="s">
        <v>164</v>
      </c>
      <c r="B57" t="s">
        <v>115</v>
      </c>
      <c r="C57" s="14" t="s">
        <v>291</v>
      </c>
      <c r="D57" t="s">
        <v>366</v>
      </c>
      <c r="E57" t="s">
        <v>383</v>
      </c>
      <c r="F57" s="20">
        <v>2026</v>
      </c>
      <c r="G57" s="20">
        <v>45</v>
      </c>
      <c r="H57" s="11">
        <v>5552.7296000586202</v>
      </c>
      <c r="I57" s="10">
        <v>4064604.3896963601</v>
      </c>
      <c r="J57" s="34">
        <f t="shared" si="0"/>
        <v>1.3661180935922348E-3</v>
      </c>
      <c r="K57" s="34">
        <f t="shared" si="1"/>
        <v>1.3651853790505042E-3</v>
      </c>
      <c r="L57" s="34">
        <f t="shared" si="2"/>
        <v>0.99019862433999684</v>
      </c>
      <c r="M57" s="34">
        <f t="shared" si="3"/>
        <v>0.98884681965569199</v>
      </c>
    </row>
    <row r="58" spans="1:13" ht="69">
      <c r="A58" t="s">
        <v>164</v>
      </c>
      <c r="B58" t="s">
        <v>115</v>
      </c>
      <c r="C58" s="14" t="s">
        <v>291</v>
      </c>
      <c r="D58" t="s">
        <v>366</v>
      </c>
      <c r="E58" t="s">
        <v>383</v>
      </c>
      <c r="F58" s="20">
        <v>2026</v>
      </c>
      <c r="G58" s="20">
        <v>46</v>
      </c>
      <c r="H58" s="11">
        <v>6612.96664425981</v>
      </c>
      <c r="I58" s="10">
        <v>4009850.69818926</v>
      </c>
      <c r="J58" s="34">
        <f t="shared" si="0"/>
        <v>1.6491802667979751E-3</v>
      </c>
      <c r="K58" s="34">
        <f t="shared" si="1"/>
        <v>1.6478211162858081E-3</v>
      </c>
      <c r="L58" s="34">
        <f t="shared" si="2"/>
        <v>0.98884681965569199</v>
      </c>
      <c r="M58" s="34">
        <f t="shared" si="3"/>
        <v>0.98721737698549128</v>
      </c>
    </row>
    <row r="59" spans="1:13" ht="69">
      <c r="A59" t="s">
        <v>164</v>
      </c>
      <c r="B59" t="s">
        <v>115</v>
      </c>
      <c r="C59" s="14" t="s">
        <v>291</v>
      </c>
      <c r="D59" t="s">
        <v>366</v>
      </c>
      <c r="E59" t="s">
        <v>383</v>
      </c>
      <c r="F59" s="20">
        <v>2026</v>
      </c>
      <c r="G59" s="20">
        <v>47</v>
      </c>
      <c r="H59" s="11">
        <v>6910.4427816653997</v>
      </c>
      <c r="I59" s="10">
        <v>3941798.6500215302</v>
      </c>
      <c r="J59" s="34">
        <f t="shared" si="0"/>
        <v>1.7531191710230189E-3</v>
      </c>
      <c r="K59" s="34">
        <f t="shared" si="1"/>
        <v>1.7515833552296245E-3</v>
      </c>
      <c r="L59" s="34">
        <f t="shared" si="2"/>
        <v>0.98721737698549128</v>
      </c>
      <c r="M59" s="34">
        <f t="shared" si="3"/>
        <v>0.98548818345997002</v>
      </c>
    </row>
    <row r="60" spans="1:13" ht="69">
      <c r="A60" t="s">
        <v>164</v>
      </c>
      <c r="B60" t="s">
        <v>115</v>
      </c>
      <c r="C60" s="14" t="s">
        <v>291</v>
      </c>
      <c r="D60" t="s">
        <v>366</v>
      </c>
      <c r="E60" t="s">
        <v>383</v>
      </c>
      <c r="F60" s="20">
        <v>2026</v>
      </c>
      <c r="G60" s="20">
        <v>48</v>
      </c>
      <c r="H60" s="11">
        <v>7288.8023336989399</v>
      </c>
      <c r="I60" s="10">
        <v>3849275.4894583998</v>
      </c>
      <c r="J60" s="34">
        <f t="shared" si="0"/>
        <v>1.8935517485459291E-3</v>
      </c>
      <c r="K60" s="34">
        <f t="shared" si="1"/>
        <v>1.8917601104653237E-3</v>
      </c>
      <c r="L60" s="34">
        <f t="shared" si="2"/>
        <v>0.98548818345997002</v>
      </c>
      <c r="M60" s="34">
        <f t="shared" si="3"/>
        <v>0.98362387622516556</v>
      </c>
    </row>
    <row r="61" spans="1:13" ht="69">
      <c r="A61" t="s">
        <v>164</v>
      </c>
      <c r="B61" t="s">
        <v>115</v>
      </c>
      <c r="C61" s="14" t="s">
        <v>291</v>
      </c>
      <c r="D61" t="s">
        <v>366</v>
      </c>
      <c r="E61" t="s">
        <v>383</v>
      </c>
      <c r="F61" s="20">
        <v>2026</v>
      </c>
      <c r="G61" s="20">
        <v>49</v>
      </c>
      <c r="H61" s="11">
        <v>7471.2754957555399</v>
      </c>
      <c r="I61" s="10">
        <v>3760865.1690847599</v>
      </c>
      <c r="J61" s="34">
        <f t="shared" si="0"/>
        <v>1.986584245872803E-3</v>
      </c>
      <c r="K61" s="34">
        <f t="shared" si="1"/>
        <v>1.9846122934225052E-3</v>
      </c>
      <c r="L61" s="34">
        <f t="shared" si="2"/>
        <v>0.98362387622516556</v>
      </c>
      <c r="M61" s="34">
        <f t="shared" si="3"/>
        <v>0.98167176418830515</v>
      </c>
    </row>
    <row r="62" spans="1:13" ht="69">
      <c r="A62" t="s">
        <v>164</v>
      </c>
      <c r="B62" t="s">
        <v>115</v>
      </c>
      <c r="C62" s="14" t="s">
        <v>291</v>
      </c>
      <c r="D62" t="s">
        <v>366</v>
      </c>
      <c r="E62" t="s">
        <v>383</v>
      </c>
      <c r="F62" s="20">
        <v>2026</v>
      </c>
      <c r="G62" s="20">
        <v>50</v>
      </c>
      <c r="H62" s="11">
        <v>7878.1356448956603</v>
      </c>
      <c r="I62" s="10">
        <v>3688482.0781312799</v>
      </c>
      <c r="J62" s="34">
        <f t="shared" si="0"/>
        <v>2.1358747251625557E-3</v>
      </c>
      <c r="K62" s="34">
        <f t="shared" si="1"/>
        <v>2.1335953678377484E-3</v>
      </c>
      <c r="L62" s="34">
        <f t="shared" si="2"/>
        <v>0.98167176418830515</v>
      </c>
      <c r="M62" s="34">
        <f t="shared" si="3"/>
        <v>0.97957727385949589</v>
      </c>
    </row>
    <row r="63" spans="1:13" ht="69">
      <c r="A63" t="s">
        <v>164</v>
      </c>
      <c r="B63" t="s">
        <v>115</v>
      </c>
      <c r="C63" s="14" t="s">
        <v>291</v>
      </c>
      <c r="D63" t="s">
        <v>366</v>
      </c>
      <c r="E63" t="s">
        <v>383</v>
      </c>
      <c r="F63" s="20">
        <v>2026</v>
      </c>
      <c r="G63" s="20">
        <v>51</v>
      </c>
      <c r="H63" s="11">
        <v>8768.9516080646899</v>
      </c>
      <c r="I63" s="10">
        <v>3603422.4386088802</v>
      </c>
      <c r="J63" s="34">
        <f t="shared" si="0"/>
        <v>2.4335064116018518E-3</v>
      </c>
      <c r="K63" s="34">
        <f t="shared" si="1"/>
        <v>2.4305478352656396E-3</v>
      </c>
      <c r="L63" s="34">
        <f t="shared" si="2"/>
        <v>0.97957727385949589</v>
      </c>
      <c r="M63" s="34">
        <f t="shared" si="3"/>
        <v>0.97719636443704128</v>
      </c>
    </row>
    <row r="64" spans="1:13" ht="69">
      <c r="A64" t="s">
        <v>164</v>
      </c>
      <c r="B64" t="s">
        <v>115</v>
      </c>
      <c r="C64" s="14" t="s">
        <v>291</v>
      </c>
      <c r="D64" t="s">
        <v>366</v>
      </c>
      <c r="E64" t="s">
        <v>383</v>
      </c>
      <c r="F64" s="20">
        <v>2026</v>
      </c>
      <c r="G64" s="20">
        <v>52</v>
      </c>
      <c r="H64" s="11">
        <v>9325.5509055113398</v>
      </c>
      <c r="I64" s="10">
        <v>3534552.4196641501</v>
      </c>
      <c r="J64" s="34">
        <f t="shared" si="0"/>
        <v>2.6383965487764486E-3</v>
      </c>
      <c r="K64" s="34">
        <f t="shared" si="1"/>
        <v>2.6349190396238731E-3</v>
      </c>
      <c r="L64" s="34">
        <f t="shared" si="2"/>
        <v>0.97719636443704128</v>
      </c>
      <c r="M64" s="34">
        <f t="shared" si="3"/>
        <v>0.97462153113093486</v>
      </c>
    </row>
    <row r="65" spans="1:13" ht="69">
      <c r="A65" t="s">
        <v>164</v>
      </c>
      <c r="B65" t="s">
        <v>115</v>
      </c>
      <c r="C65" s="14" t="s">
        <v>291</v>
      </c>
      <c r="D65" t="s">
        <v>366</v>
      </c>
      <c r="E65" t="s">
        <v>383</v>
      </c>
      <c r="F65" s="20">
        <v>2026</v>
      </c>
      <c r="G65" s="20">
        <v>53</v>
      </c>
      <c r="H65" s="11">
        <v>10195.5776874193</v>
      </c>
      <c r="I65" s="10">
        <v>3466820.1760089099</v>
      </c>
      <c r="J65" s="34">
        <f t="shared" si="0"/>
        <v>2.9409017975534869E-3</v>
      </c>
      <c r="K65" s="34">
        <f t="shared" si="1"/>
        <v>2.9365815820097119E-3</v>
      </c>
      <c r="L65" s="34">
        <f t="shared" si="2"/>
        <v>0.97462153113093486</v>
      </c>
      <c r="M65" s="34">
        <f t="shared" si="3"/>
        <v>0.97175947549318564</v>
      </c>
    </row>
    <row r="66" spans="1:13" ht="69">
      <c r="A66" t="s">
        <v>164</v>
      </c>
      <c r="B66" t="s">
        <v>115</v>
      </c>
      <c r="C66" s="14" t="s">
        <v>291</v>
      </c>
      <c r="D66" t="s">
        <v>366</v>
      </c>
      <c r="E66" t="s">
        <v>383</v>
      </c>
      <c r="F66" s="20">
        <v>2026</v>
      </c>
      <c r="G66" s="20">
        <v>54</v>
      </c>
      <c r="H66" s="11">
        <v>11026.789784888801</v>
      </c>
      <c r="I66" s="10">
        <v>3377075.6806735001</v>
      </c>
      <c r="J66" s="34">
        <f t="shared" ref="J66:J129" si="4">IF(I66&gt;0,H66/I66,0)</f>
        <v>3.2651888283089041E-3</v>
      </c>
      <c r="K66" s="34">
        <f t="shared" ref="K66:K129" si="5">1-EXP(-J66)</f>
        <v>3.2598638964792537E-3</v>
      </c>
      <c r="L66" s="34">
        <f t="shared" ref="L66:L129" si="6">IF(G66=30,1,M65)</f>
        <v>0.97175947549318564</v>
      </c>
      <c r="M66" s="34">
        <f t="shared" ref="M66:M129" si="7">L66*(1-K66)</f>
        <v>0.9685916718629638</v>
      </c>
    </row>
    <row r="67" spans="1:13" ht="69">
      <c r="A67" t="s">
        <v>164</v>
      </c>
      <c r="B67" t="s">
        <v>115</v>
      </c>
      <c r="C67" s="14" t="s">
        <v>291</v>
      </c>
      <c r="D67" t="s">
        <v>366</v>
      </c>
      <c r="E67" t="s">
        <v>383</v>
      </c>
      <c r="F67" s="20">
        <v>2026</v>
      </c>
      <c r="G67" s="20">
        <v>55</v>
      </c>
      <c r="H67" s="11">
        <v>11865.032122491701</v>
      </c>
      <c r="I67" s="10">
        <v>3298016.2836388401</v>
      </c>
      <c r="J67" s="34">
        <f t="shared" si="4"/>
        <v>3.5976269072269442E-3</v>
      </c>
      <c r="K67" s="34">
        <f t="shared" si="5"/>
        <v>3.591163201202674E-3</v>
      </c>
      <c r="L67" s="34">
        <f t="shared" si="6"/>
        <v>0.9685916718629638</v>
      </c>
      <c r="M67" s="34">
        <f t="shared" si="7"/>
        <v>0.96511330109397819</v>
      </c>
    </row>
    <row r="68" spans="1:13" ht="69">
      <c r="A68" t="s">
        <v>164</v>
      </c>
      <c r="B68" t="s">
        <v>115</v>
      </c>
      <c r="C68" s="14" t="s">
        <v>291</v>
      </c>
      <c r="D68" t="s">
        <v>366</v>
      </c>
      <c r="E68" t="s">
        <v>383</v>
      </c>
      <c r="F68" s="20">
        <v>2026</v>
      </c>
      <c r="G68" s="20">
        <v>56</v>
      </c>
      <c r="H68" s="11">
        <v>12942.7475729363</v>
      </c>
      <c r="I68" s="10">
        <v>3216647.9930529101</v>
      </c>
      <c r="J68" s="34">
        <f t="shared" si="4"/>
        <v>4.0236754537298254E-3</v>
      </c>
      <c r="K68" s="34">
        <f t="shared" si="5"/>
        <v>4.0155913179322766E-3</v>
      </c>
      <c r="L68" s="34">
        <f t="shared" si="6"/>
        <v>0.96511330109397819</v>
      </c>
      <c r="M68" s="34">
        <f t="shared" si="7"/>
        <v>0.96123780050128427</v>
      </c>
    </row>
    <row r="69" spans="1:13" ht="69">
      <c r="A69" t="s">
        <v>164</v>
      </c>
      <c r="B69" t="s">
        <v>115</v>
      </c>
      <c r="C69" s="14" t="s">
        <v>291</v>
      </c>
      <c r="D69" t="s">
        <v>366</v>
      </c>
      <c r="E69" t="s">
        <v>383</v>
      </c>
      <c r="F69" s="20">
        <v>2026</v>
      </c>
      <c r="G69" s="20">
        <v>57</v>
      </c>
      <c r="H69" s="11">
        <v>13863.1494791555</v>
      </c>
      <c r="I69" s="10">
        <v>3119233.31002719</v>
      </c>
      <c r="J69" s="34">
        <f t="shared" si="4"/>
        <v>4.4444092830730432E-3</v>
      </c>
      <c r="K69" s="34">
        <f t="shared" si="5"/>
        <v>4.4345475114612176E-3</v>
      </c>
      <c r="L69" s="34">
        <f t="shared" si="6"/>
        <v>0.96123780050128427</v>
      </c>
      <c r="M69" s="34">
        <f t="shared" si="7"/>
        <v>0.95697514580514886</v>
      </c>
    </row>
    <row r="70" spans="1:13" ht="69">
      <c r="A70" t="s">
        <v>164</v>
      </c>
      <c r="B70" t="s">
        <v>115</v>
      </c>
      <c r="C70" s="14" t="s">
        <v>291</v>
      </c>
      <c r="D70" t="s">
        <v>366</v>
      </c>
      <c r="E70" t="s">
        <v>383</v>
      </c>
      <c r="F70" s="20">
        <v>2026</v>
      </c>
      <c r="G70" s="20">
        <v>58</v>
      </c>
      <c r="H70" s="11">
        <v>14966.737867718</v>
      </c>
      <c r="I70" s="10">
        <v>3015150.5668734801</v>
      </c>
      <c r="J70" s="34">
        <f t="shared" si="4"/>
        <v>4.9638442710466558E-3</v>
      </c>
      <c r="K70" s="34">
        <f t="shared" si="5"/>
        <v>4.951544755448567E-3</v>
      </c>
      <c r="L70" s="34">
        <f t="shared" si="6"/>
        <v>0.95697514580514886</v>
      </c>
      <c r="M70" s="34">
        <f t="shared" si="7"/>
        <v>0.95223664054084278</v>
      </c>
    </row>
    <row r="71" spans="1:13" ht="69">
      <c r="A71" t="s">
        <v>164</v>
      </c>
      <c r="B71" t="s">
        <v>115</v>
      </c>
      <c r="C71" s="14" t="s">
        <v>291</v>
      </c>
      <c r="D71" t="s">
        <v>366</v>
      </c>
      <c r="E71" t="s">
        <v>383</v>
      </c>
      <c r="F71" s="20">
        <v>2026</v>
      </c>
      <c r="G71" s="20">
        <v>59</v>
      </c>
      <c r="H71" s="11">
        <v>15515.112777807401</v>
      </c>
      <c r="I71" s="10">
        <v>2913103.1873548301</v>
      </c>
      <c r="J71" s="34">
        <f t="shared" si="4"/>
        <v>5.3259743235856702E-3</v>
      </c>
      <c r="K71" s="34">
        <f t="shared" si="5"/>
        <v>5.3118164682808278E-3</v>
      </c>
      <c r="L71" s="34">
        <f t="shared" si="6"/>
        <v>0.95223664054084278</v>
      </c>
      <c r="M71" s="34">
        <f t="shared" si="7"/>
        <v>0.94717853427191756</v>
      </c>
    </row>
    <row r="72" spans="1:13" ht="69">
      <c r="A72" t="s">
        <v>164</v>
      </c>
      <c r="B72" t="s">
        <v>115</v>
      </c>
      <c r="C72" s="14" t="s">
        <v>291</v>
      </c>
      <c r="D72" t="s">
        <v>366</v>
      </c>
      <c r="E72" t="s">
        <v>383</v>
      </c>
      <c r="F72" s="20">
        <v>2026</v>
      </c>
      <c r="G72" s="20">
        <v>60</v>
      </c>
      <c r="H72" s="11">
        <v>16287.772888331399</v>
      </c>
      <c r="I72" s="10">
        <v>2798514.85427916</v>
      </c>
      <c r="J72" s="34">
        <f t="shared" si="4"/>
        <v>5.8201488062234333E-3</v>
      </c>
      <c r="K72" s="34">
        <f t="shared" si="5"/>
        <v>5.8032445511533304E-3</v>
      </c>
      <c r="L72" s="34">
        <f t="shared" si="6"/>
        <v>0.94717853427191756</v>
      </c>
      <c r="M72" s="34">
        <f t="shared" si="7"/>
        <v>0.94168182560393465</v>
      </c>
    </row>
    <row r="73" spans="1:13" ht="69">
      <c r="A73" t="s">
        <v>164</v>
      </c>
      <c r="B73" t="s">
        <v>115</v>
      </c>
      <c r="C73" s="14" t="s">
        <v>291</v>
      </c>
      <c r="D73" t="s">
        <v>366</v>
      </c>
      <c r="E73" t="s">
        <v>383</v>
      </c>
      <c r="F73" s="20">
        <v>2026</v>
      </c>
      <c r="G73" s="20">
        <v>61</v>
      </c>
      <c r="H73" s="11">
        <v>17606.953655683599</v>
      </c>
      <c r="I73" s="10">
        <v>2671395.75590517</v>
      </c>
      <c r="J73" s="34">
        <f t="shared" si="4"/>
        <v>6.5909192289323286E-3</v>
      </c>
      <c r="K73" s="34">
        <f t="shared" si="5"/>
        <v>6.5692467607603167E-3</v>
      </c>
      <c r="L73" s="34">
        <f t="shared" si="6"/>
        <v>0.94168182560393465</v>
      </c>
      <c r="M73" s="34">
        <f t="shared" si="7"/>
        <v>0.93549568532141913</v>
      </c>
    </row>
    <row r="74" spans="1:13" ht="69">
      <c r="A74" t="s">
        <v>164</v>
      </c>
      <c r="B74" t="s">
        <v>115</v>
      </c>
      <c r="C74" s="14" t="s">
        <v>291</v>
      </c>
      <c r="D74" t="s">
        <v>366</v>
      </c>
      <c r="E74" t="s">
        <v>383</v>
      </c>
      <c r="F74" s="20">
        <v>2026</v>
      </c>
      <c r="G74" s="20">
        <v>62</v>
      </c>
      <c r="H74" s="11">
        <v>18531.203399811999</v>
      </c>
      <c r="I74" s="10">
        <v>2545899.3032479002</v>
      </c>
      <c r="J74" s="34">
        <f t="shared" si="4"/>
        <v>7.27884381608143E-3</v>
      </c>
      <c r="K74" s="34">
        <f t="shared" si="5"/>
        <v>7.2524171897340173E-3</v>
      </c>
      <c r="L74" s="34">
        <f t="shared" si="6"/>
        <v>0.93549568532141913</v>
      </c>
      <c r="M74" s="34">
        <f t="shared" si="7"/>
        <v>0.92871108033227212</v>
      </c>
    </row>
    <row r="75" spans="1:13" ht="69">
      <c r="A75" t="s">
        <v>164</v>
      </c>
      <c r="B75" t="s">
        <v>115</v>
      </c>
      <c r="C75" s="14" t="s">
        <v>291</v>
      </c>
      <c r="D75" t="s">
        <v>366</v>
      </c>
      <c r="E75" t="s">
        <v>383</v>
      </c>
      <c r="F75" s="20">
        <v>2026</v>
      </c>
      <c r="G75" s="20">
        <v>63</v>
      </c>
      <c r="H75" s="11">
        <v>19450.6925863248</v>
      </c>
      <c r="I75" s="10">
        <v>2420908.6322728298</v>
      </c>
      <c r="J75" s="34">
        <f t="shared" si="4"/>
        <v>8.0344595938194666E-3</v>
      </c>
      <c r="K75" s="34">
        <f t="shared" si="5"/>
        <v>8.0022695907864261E-3</v>
      </c>
      <c r="L75" s="34">
        <f t="shared" si="6"/>
        <v>0.92871108033227212</v>
      </c>
      <c r="M75" s="34">
        <f t="shared" si="7"/>
        <v>0.92127928389550273</v>
      </c>
    </row>
    <row r="76" spans="1:13" ht="69">
      <c r="A76" t="s">
        <v>164</v>
      </c>
      <c r="B76" t="s">
        <v>115</v>
      </c>
      <c r="C76" s="14" t="s">
        <v>291</v>
      </c>
      <c r="D76" t="s">
        <v>366</v>
      </c>
      <c r="E76" t="s">
        <v>383</v>
      </c>
      <c r="F76" s="20">
        <v>2026</v>
      </c>
      <c r="G76" s="20">
        <v>64</v>
      </c>
      <c r="H76" s="11">
        <v>20730.957553067201</v>
      </c>
      <c r="I76" s="10">
        <v>2295992.0445635198</v>
      </c>
      <c r="J76" s="34">
        <f t="shared" si="4"/>
        <v>9.0291939826857136E-3</v>
      </c>
      <c r="K76" s="34">
        <f t="shared" si="5"/>
        <v>8.9885532204529994E-3</v>
      </c>
      <c r="L76" s="34">
        <f t="shared" si="6"/>
        <v>0.92127928389550273</v>
      </c>
      <c r="M76" s="34">
        <f t="shared" si="7"/>
        <v>0.91299831602130721</v>
      </c>
    </row>
    <row r="77" spans="1:13" ht="69">
      <c r="A77" t="s">
        <v>164</v>
      </c>
      <c r="B77" t="s">
        <v>115</v>
      </c>
      <c r="C77" s="14" t="s">
        <v>291</v>
      </c>
      <c r="D77" t="s">
        <v>366</v>
      </c>
      <c r="E77" t="s">
        <v>383</v>
      </c>
      <c r="F77" s="20">
        <v>2026</v>
      </c>
      <c r="G77" s="20">
        <v>65</v>
      </c>
      <c r="H77" s="11">
        <v>21641.4666547833</v>
      </c>
      <c r="I77" s="10">
        <v>2169761.6213844498</v>
      </c>
      <c r="J77" s="34">
        <f t="shared" si="4"/>
        <v>9.9741217843896737E-3</v>
      </c>
      <c r="K77" s="34">
        <f t="shared" si="5"/>
        <v>9.924545196257073E-3</v>
      </c>
      <c r="L77" s="34">
        <f t="shared" si="6"/>
        <v>0.91299831602130721</v>
      </c>
      <c r="M77" s="34">
        <f t="shared" si="7"/>
        <v>0.90393722296984713</v>
      </c>
    </row>
    <row r="78" spans="1:13" ht="69">
      <c r="A78" t="s">
        <v>164</v>
      </c>
      <c r="B78" t="s">
        <v>115</v>
      </c>
      <c r="C78" s="14" t="s">
        <v>291</v>
      </c>
      <c r="D78" t="s">
        <v>366</v>
      </c>
      <c r="E78" t="s">
        <v>383</v>
      </c>
      <c r="F78" s="20">
        <v>2026</v>
      </c>
      <c r="G78" s="20">
        <v>66</v>
      </c>
      <c r="H78" s="11">
        <v>22030.717029294501</v>
      </c>
      <c r="I78" s="10">
        <v>2039116.6076837999</v>
      </c>
      <c r="J78" s="34">
        <f t="shared" si="4"/>
        <v>1.0804049629274925E-2</v>
      </c>
      <c r="K78" s="34">
        <f t="shared" si="5"/>
        <v>1.0745895506845349E-2</v>
      </c>
      <c r="L78" s="34">
        <f t="shared" si="6"/>
        <v>0.90393722296984713</v>
      </c>
      <c r="M78" s="34">
        <f t="shared" si="7"/>
        <v>0.89422360802706524</v>
      </c>
    </row>
    <row r="79" spans="1:13" ht="69">
      <c r="A79" t="s">
        <v>164</v>
      </c>
      <c r="B79" t="s">
        <v>115</v>
      </c>
      <c r="C79" s="14" t="s">
        <v>291</v>
      </c>
      <c r="D79" t="s">
        <v>366</v>
      </c>
      <c r="E79" t="s">
        <v>383</v>
      </c>
      <c r="F79" s="20">
        <v>2026</v>
      </c>
      <c r="G79" s="20">
        <v>67</v>
      </c>
      <c r="H79" s="11">
        <v>22688.8428682265</v>
      </c>
      <c r="I79" s="10">
        <v>1903872.08389444</v>
      </c>
      <c r="J79" s="34">
        <f t="shared" si="4"/>
        <v>1.1917209701302854E-2</v>
      </c>
      <c r="K79" s="34">
        <f t="shared" si="5"/>
        <v>1.1846480999496811E-2</v>
      </c>
      <c r="L79" s="34">
        <f t="shared" si="6"/>
        <v>0.89422360802706524</v>
      </c>
      <c r="M79" s="34">
        <f t="shared" si="7"/>
        <v>0.88363020504527112</v>
      </c>
    </row>
    <row r="80" spans="1:13" ht="69">
      <c r="A80" t="s">
        <v>164</v>
      </c>
      <c r="B80" t="s">
        <v>115</v>
      </c>
      <c r="C80" s="14" t="s">
        <v>291</v>
      </c>
      <c r="D80" t="s">
        <v>366</v>
      </c>
      <c r="E80" t="s">
        <v>383</v>
      </c>
      <c r="F80" s="20">
        <v>2026</v>
      </c>
      <c r="G80" s="20">
        <v>68</v>
      </c>
      <c r="H80" s="11">
        <v>20983.689783915801</v>
      </c>
      <c r="I80" s="10">
        <v>1772127.3459622201</v>
      </c>
      <c r="J80" s="34">
        <f t="shared" si="4"/>
        <v>1.1840960431950329E-2</v>
      </c>
      <c r="K80" s="34">
        <f t="shared" si="5"/>
        <v>1.1771132143053809E-2</v>
      </c>
      <c r="L80" s="34">
        <f t="shared" si="6"/>
        <v>0.88363020504527112</v>
      </c>
      <c r="M80" s="34">
        <f t="shared" si="7"/>
        <v>0.87322887713608954</v>
      </c>
    </row>
    <row r="81" spans="1:13" ht="69">
      <c r="A81" t="s">
        <v>164</v>
      </c>
      <c r="B81" t="s">
        <v>115</v>
      </c>
      <c r="C81" s="14" t="s">
        <v>291</v>
      </c>
      <c r="D81" t="s">
        <v>366</v>
      </c>
      <c r="E81" t="s">
        <v>383</v>
      </c>
      <c r="F81" s="20">
        <v>2026</v>
      </c>
      <c r="G81" s="20">
        <v>69</v>
      </c>
      <c r="H81" s="11">
        <v>20190.334640327299</v>
      </c>
      <c r="I81" s="10">
        <v>1647966.3614979901</v>
      </c>
      <c r="J81" s="34">
        <f t="shared" si="4"/>
        <v>1.2251666728181529E-2</v>
      </c>
      <c r="K81" s="34">
        <f t="shared" si="5"/>
        <v>1.2176920625553644E-2</v>
      </c>
      <c r="L81" s="34">
        <f t="shared" si="6"/>
        <v>0.87322887713608954</v>
      </c>
      <c r="M81" s="34">
        <f t="shared" si="7"/>
        <v>0.86259563841126208</v>
      </c>
    </row>
    <row r="82" spans="1:13" ht="69">
      <c r="A82" t="s">
        <v>164</v>
      </c>
      <c r="B82" t="s">
        <v>115</v>
      </c>
      <c r="C82" s="14" t="s">
        <v>291</v>
      </c>
      <c r="D82" t="s">
        <v>366</v>
      </c>
      <c r="E82" t="s">
        <v>383</v>
      </c>
      <c r="F82" s="20">
        <v>2027</v>
      </c>
      <c r="G82" s="20">
        <v>30</v>
      </c>
      <c r="H82" s="11">
        <v>921.93344003411198</v>
      </c>
      <c r="I82" s="10">
        <v>4437767.1368307397</v>
      </c>
      <c r="J82" s="34">
        <f t="shared" si="4"/>
        <v>2.0774714211176858E-4</v>
      </c>
      <c r="K82" s="34">
        <f t="shared" si="5"/>
        <v>2.0772556416848165E-4</v>
      </c>
      <c r="L82" s="34">
        <f t="shared" si="6"/>
        <v>1</v>
      </c>
      <c r="M82" s="34">
        <f t="shared" si="7"/>
        <v>0.99979227443583152</v>
      </c>
    </row>
    <row r="83" spans="1:13" ht="69">
      <c r="A83" t="s">
        <v>164</v>
      </c>
      <c r="B83" t="s">
        <v>115</v>
      </c>
      <c r="C83" s="14" t="s">
        <v>291</v>
      </c>
      <c r="D83" t="s">
        <v>366</v>
      </c>
      <c r="E83" t="s">
        <v>383</v>
      </c>
      <c r="F83" s="20">
        <v>2027</v>
      </c>
      <c r="G83" s="20">
        <v>31</v>
      </c>
      <c r="H83" s="11">
        <v>1303.5923134167899</v>
      </c>
      <c r="I83" s="10">
        <v>4376375.1798866699</v>
      </c>
      <c r="J83" s="34">
        <f t="shared" si="4"/>
        <v>2.9787032871586382E-4</v>
      </c>
      <c r="K83" s="34">
        <f t="shared" si="5"/>
        <v>2.9782596975402864E-4</v>
      </c>
      <c r="L83" s="34">
        <f t="shared" si="6"/>
        <v>0.99979227443583152</v>
      </c>
      <c r="M83" s="34">
        <f t="shared" si="7"/>
        <v>0.99949451033214509</v>
      </c>
    </row>
    <row r="84" spans="1:13" ht="69">
      <c r="A84" t="s">
        <v>164</v>
      </c>
      <c r="B84" t="s">
        <v>115</v>
      </c>
      <c r="C84" s="14" t="s">
        <v>291</v>
      </c>
      <c r="D84" t="s">
        <v>366</v>
      </c>
      <c r="E84" t="s">
        <v>383</v>
      </c>
      <c r="F84" s="20">
        <v>2027</v>
      </c>
      <c r="G84" s="20">
        <v>32</v>
      </c>
      <c r="H84" s="11">
        <v>1315.80288194128</v>
      </c>
      <c r="I84" s="10">
        <v>4313218.6063306704</v>
      </c>
      <c r="J84" s="34">
        <f t="shared" si="4"/>
        <v>3.0506287810453834E-4</v>
      </c>
      <c r="K84" s="34">
        <f t="shared" si="5"/>
        <v>3.0501635115609549E-4</v>
      </c>
      <c r="L84" s="34">
        <f t="shared" si="6"/>
        <v>0.99949451033214509</v>
      </c>
      <c r="M84" s="34">
        <f t="shared" si="7"/>
        <v>0.99918964816360301</v>
      </c>
    </row>
    <row r="85" spans="1:13" ht="69">
      <c r="A85" t="s">
        <v>164</v>
      </c>
      <c r="B85" t="s">
        <v>115</v>
      </c>
      <c r="C85" s="14" t="s">
        <v>291</v>
      </c>
      <c r="D85" t="s">
        <v>366</v>
      </c>
      <c r="E85" t="s">
        <v>383</v>
      </c>
      <c r="F85" s="20">
        <v>2027</v>
      </c>
      <c r="G85" s="20">
        <v>33</v>
      </c>
      <c r="H85" s="11">
        <v>1360.7843905986799</v>
      </c>
      <c r="I85" s="10">
        <v>4259904.9468567697</v>
      </c>
      <c r="J85" s="34">
        <f t="shared" si="4"/>
        <v>3.19440083188418E-4</v>
      </c>
      <c r="K85" s="34">
        <f t="shared" si="5"/>
        <v>3.1938906763728792E-4</v>
      </c>
      <c r="L85" s="34">
        <f t="shared" si="6"/>
        <v>0.99918964816360301</v>
      </c>
      <c r="M85" s="34">
        <f t="shared" si="7"/>
        <v>0.99887051791348325</v>
      </c>
    </row>
    <row r="86" spans="1:13" ht="69">
      <c r="A86" t="s">
        <v>164</v>
      </c>
      <c r="B86" t="s">
        <v>115</v>
      </c>
      <c r="C86" s="14" t="s">
        <v>291</v>
      </c>
      <c r="D86" t="s">
        <v>366</v>
      </c>
      <c r="E86" t="s">
        <v>383</v>
      </c>
      <c r="F86" s="20">
        <v>2027</v>
      </c>
      <c r="G86" s="20">
        <v>34</v>
      </c>
      <c r="H86" s="11">
        <v>1428.04366572756</v>
      </c>
      <c r="I86" s="10">
        <v>4209387.9050365901</v>
      </c>
      <c r="J86" s="34">
        <f t="shared" si="4"/>
        <v>3.3925209506562373E-4</v>
      </c>
      <c r="K86" s="34">
        <f t="shared" si="5"/>
        <v>3.3919455558062417E-4</v>
      </c>
      <c r="L86" s="34">
        <f t="shared" si="6"/>
        <v>0.99887051791348325</v>
      </c>
      <c r="M86" s="34">
        <f t="shared" si="7"/>
        <v>0.99853170647207701</v>
      </c>
    </row>
    <row r="87" spans="1:13" ht="69">
      <c r="A87" t="s">
        <v>164</v>
      </c>
      <c r="B87" t="s">
        <v>115</v>
      </c>
      <c r="C87" s="14" t="s">
        <v>291</v>
      </c>
      <c r="D87" t="s">
        <v>366</v>
      </c>
      <c r="E87" t="s">
        <v>383</v>
      </c>
      <c r="F87" s="20">
        <v>2027</v>
      </c>
      <c r="G87" s="20">
        <v>35</v>
      </c>
      <c r="H87" s="11">
        <v>1530.83194820105</v>
      </c>
      <c r="I87" s="10">
        <v>4194253.8957304098</v>
      </c>
      <c r="J87" s="34">
        <f t="shared" si="4"/>
        <v>3.6498313794483886E-4</v>
      </c>
      <c r="K87" s="34">
        <f t="shared" si="5"/>
        <v>3.6491653970205373E-4</v>
      </c>
      <c r="L87" s="34">
        <f t="shared" si="6"/>
        <v>0.99853170647207701</v>
      </c>
      <c r="M87" s="34">
        <f t="shared" si="7"/>
        <v>0.99816732573696842</v>
      </c>
    </row>
    <row r="88" spans="1:13" ht="69">
      <c r="A88" t="s">
        <v>164</v>
      </c>
      <c r="B88" t="s">
        <v>115</v>
      </c>
      <c r="C88" s="14" t="s">
        <v>291</v>
      </c>
      <c r="D88" t="s">
        <v>366</v>
      </c>
      <c r="E88" t="s">
        <v>383</v>
      </c>
      <c r="F88" s="20">
        <v>2027</v>
      </c>
      <c r="G88" s="20">
        <v>36</v>
      </c>
      <c r="H88" s="11">
        <v>2053.0565453929798</v>
      </c>
      <c r="I88" s="10">
        <v>4173553.8123172298</v>
      </c>
      <c r="J88" s="34">
        <f t="shared" si="4"/>
        <v>4.9192046819520631E-4</v>
      </c>
      <c r="K88" s="34">
        <f t="shared" si="5"/>
        <v>4.9179949515887333E-4</v>
      </c>
      <c r="L88" s="34">
        <f t="shared" si="6"/>
        <v>0.99816732573696842</v>
      </c>
      <c r="M88" s="34">
        <f t="shared" si="7"/>
        <v>0.9976764275500869</v>
      </c>
    </row>
    <row r="89" spans="1:13" ht="69">
      <c r="A89" t="s">
        <v>164</v>
      </c>
      <c r="B89" t="s">
        <v>115</v>
      </c>
      <c r="C89" s="14" t="s">
        <v>291</v>
      </c>
      <c r="D89" t="s">
        <v>366</v>
      </c>
      <c r="E89" t="s">
        <v>383</v>
      </c>
      <c r="F89" s="20">
        <v>2027</v>
      </c>
      <c r="G89" s="20">
        <v>37</v>
      </c>
      <c r="H89" s="11">
        <v>2232.0442602769699</v>
      </c>
      <c r="I89" s="10">
        <v>4156569.3069164902</v>
      </c>
      <c r="J89" s="34">
        <f t="shared" si="4"/>
        <v>5.3699195068463562E-4</v>
      </c>
      <c r="K89" s="34">
        <f t="shared" si="5"/>
        <v>5.3684779631146817E-4</v>
      </c>
      <c r="L89" s="34">
        <f t="shared" si="6"/>
        <v>0.9976764275500869</v>
      </c>
      <c r="M89" s="34">
        <f t="shared" si="7"/>
        <v>0.9971408271585247</v>
      </c>
    </row>
    <row r="90" spans="1:13" ht="69">
      <c r="A90" t="s">
        <v>164</v>
      </c>
      <c r="B90" t="s">
        <v>115</v>
      </c>
      <c r="C90" s="14" t="s">
        <v>291</v>
      </c>
      <c r="D90" t="s">
        <v>366</v>
      </c>
      <c r="E90" t="s">
        <v>383</v>
      </c>
      <c r="F90" s="20">
        <v>2027</v>
      </c>
      <c r="G90" s="20">
        <v>38</v>
      </c>
      <c r="H90" s="11">
        <v>2467.7217796545501</v>
      </c>
      <c r="I90" s="10">
        <v>4162971.5988642098</v>
      </c>
      <c r="J90" s="34">
        <f t="shared" si="4"/>
        <v>5.9277891310328002E-4</v>
      </c>
      <c r="K90" s="34">
        <f t="shared" si="5"/>
        <v>5.9260325439403072E-4</v>
      </c>
      <c r="L90" s="34">
        <f t="shared" si="6"/>
        <v>0.9971408271585247</v>
      </c>
      <c r="M90" s="34">
        <f t="shared" si="7"/>
        <v>0.99654991825926142</v>
      </c>
    </row>
    <row r="91" spans="1:13" ht="69">
      <c r="A91" t="s">
        <v>164</v>
      </c>
      <c r="B91" t="s">
        <v>115</v>
      </c>
      <c r="C91" s="14" t="s">
        <v>291</v>
      </c>
      <c r="D91" t="s">
        <v>366</v>
      </c>
      <c r="E91" t="s">
        <v>383</v>
      </c>
      <c r="F91" s="20">
        <v>2027</v>
      </c>
      <c r="G91" s="20">
        <v>39</v>
      </c>
      <c r="H91" s="11">
        <v>2687.57943041409</v>
      </c>
      <c r="I91" s="10">
        <v>4123657.2105556098</v>
      </c>
      <c r="J91" s="34">
        <f t="shared" si="4"/>
        <v>6.5174656698779605E-4</v>
      </c>
      <c r="K91" s="34">
        <f t="shared" si="5"/>
        <v>6.5153422632724389E-4</v>
      </c>
      <c r="L91" s="34">
        <f t="shared" si="6"/>
        <v>0.99654991825926142</v>
      </c>
      <c r="M91" s="34">
        <f t="shared" si="7"/>
        <v>0.99590063187927191</v>
      </c>
    </row>
    <row r="92" spans="1:13" ht="69">
      <c r="A92" t="s">
        <v>164</v>
      </c>
      <c r="B92" t="s">
        <v>115</v>
      </c>
      <c r="C92" s="14" t="s">
        <v>291</v>
      </c>
      <c r="D92" t="s">
        <v>366</v>
      </c>
      <c r="E92" t="s">
        <v>383</v>
      </c>
      <c r="F92" s="20">
        <v>2027</v>
      </c>
      <c r="G92" s="20">
        <v>40</v>
      </c>
      <c r="H92" s="11">
        <v>2967.6761238580102</v>
      </c>
      <c r="I92" s="10">
        <v>4075807.7687547798</v>
      </c>
      <c r="J92" s="34">
        <f t="shared" si="4"/>
        <v>7.2811974760151157E-4</v>
      </c>
      <c r="K92" s="34">
        <f t="shared" si="5"/>
        <v>7.2785473274283863E-4</v>
      </c>
      <c r="L92" s="34">
        <f t="shared" si="6"/>
        <v>0.99590063187927191</v>
      </c>
      <c r="M92" s="34">
        <f t="shared" si="7"/>
        <v>0.995175760891017</v>
      </c>
    </row>
    <row r="93" spans="1:13" ht="69">
      <c r="A93" t="s">
        <v>164</v>
      </c>
      <c r="B93" t="s">
        <v>115</v>
      </c>
      <c r="C93" s="14" t="s">
        <v>291</v>
      </c>
      <c r="D93" t="s">
        <v>366</v>
      </c>
      <c r="E93" t="s">
        <v>383</v>
      </c>
      <c r="F93" s="20">
        <v>2027</v>
      </c>
      <c r="G93" s="20">
        <v>41</v>
      </c>
      <c r="H93" s="11">
        <v>3993.0346697514401</v>
      </c>
      <c r="I93" s="10">
        <v>4090462.7566106902</v>
      </c>
      <c r="J93" s="34">
        <f t="shared" si="4"/>
        <v>9.7618164675823183E-4</v>
      </c>
      <c r="K93" s="34">
        <f t="shared" si="5"/>
        <v>9.7570533645552349E-4</v>
      </c>
      <c r="L93" s="34">
        <f t="shared" si="6"/>
        <v>0.995175760891017</v>
      </c>
      <c r="M93" s="34">
        <f t="shared" si="7"/>
        <v>0.99420476259040447</v>
      </c>
    </row>
    <row r="94" spans="1:13" ht="69">
      <c r="A94" t="s">
        <v>164</v>
      </c>
      <c r="B94" t="s">
        <v>115</v>
      </c>
      <c r="C94" s="14" t="s">
        <v>291</v>
      </c>
      <c r="D94" t="s">
        <v>366</v>
      </c>
      <c r="E94" t="s">
        <v>383</v>
      </c>
      <c r="F94" s="20">
        <v>2027</v>
      </c>
      <c r="G94" s="20">
        <v>42</v>
      </c>
      <c r="H94" s="11">
        <v>4556.2387446909297</v>
      </c>
      <c r="I94" s="10">
        <v>4162692.3672818001</v>
      </c>
      <c r="J94" s="34">
        <f t="shared" si="4"/>
        <v>1.0945413070882564E-3</v>
      </c>
      <c r="K94" s="34">
        <f t="shared" si="5"/>
        <v>1.0939425152391991E-3</v>
      </c>
      <c r="L94" s="34">
        <f t="shared" si="6"/>
        <v>0.99420476259040447</v>
      </c>
      <c r="M94" s="34">
        <f t="shared" si="7"/>
        <v>0.99311715973175352</v>
      </c>
    </row>
    <row r="95" spans="1:13" ht="69">
      <c r="A95" t="s">
        <v>164</v>
      </c>
      <c r="B95" t="s">
        <v>115</v>
      </c>
      <c r="C95" s="14" t="s">
        <v>291</v>
      </c>
      <c r="D95" t="s">
        <v>366</v>
      </c>
      <c r="E95" t="s">
        <v>383</v>
      </c>
      <c r="F95" s="20">
        <v>2027</v>
      </c>
      <c r="G95" s="20">
        <v>43</v>
      </c>
      <c r="H95" s="11">
        <v>5204.2024377479202</v>
      </c>
      <c r="I95" s="10">
        <v>4193226.3987743701</v>
      </c>
      <c r="J95" s="34">
        <f t="shared" si="4"/>
        <v>1.2410974135021772E-3</v>
      </c>
      <c r="K95" s="34">
        <f t="shared" si="5"/>
        <v>1.2403275706235339E-3</v>
      </c>
      <c r="L95" s="34">
        <f t="shared" si="6"/>
        <v>0.99311715973175352</v>
      </c>
      <c r="M95" s="34">
        <f t="shared" si="7"/>
        <v>0.99188536913767889</v>
      </c>
    </row>
    <row r="96" spans="1:13" ht="69">
      <c r="A96" t="s">
        <v>164</v>
      </c>
      <c r="B96" t="s">
        <v>115</v>
      </c>
      <c r="C96" s="14" t="s">
        <v>291</v>
      </c>
      <c r="D96" t="s">
        <v>366</v>
      </c>
      <c r="E96" t="s">
        <v>383</v>
      </c>
      <c r="F96" s="20">
        <v>2027</v>
      </c>
      <c r="G96" s="20">
        <v>44</v>
      </c>
      <c r="H96" s="11">
        <v>5328.6351238582401</v>
      </c>
      <c r="I96" s="10">
        <v>4163762.70999284</v>
      </c>
      <c r="J96" s="34">
        <f t="shared" si="4"/>
        <v>1.2797643609876615E-3</v>
      </c>
      <c r="K96" s="34">
        <f t="shared" si="5"/>
        <v>1.2789458117984376E-3</v>
      </c>
      <c r="L96" s="34">
        <f t="shared" si="6"/>
        <v>0.99188536913767889</v>
      </c>
      <c r="M96" s="34">
        <f t="shared" si="7"/>
        <v>0.99061680149903608</v>
      </c>
    </row>
    <row r="97" spans="1:13" ht="69">
      <c r="A97" t="s">
        <v>164</v>
      </c>
      <c r="B97" t="s">
        <v>115</v>
      </c>
      <c r="C97" s="14" t="s">
        <v>291</v>
      </c>
      <c r="D97" t="s">
        <v>366</v>
      </c>
      <c r="E97" t="s">
        <v>383</v>
      </c>
      <c r="F97" s="20">
        <v>2027</v>
      </c>
      <c r="G97" s="20">
        <v>45</v>
      </c>
      <c r="H97" s="11">
        <v>5573.5450454944903</v>
      </c>
      <c r="I97" s="10">
        <v>4109873.9705290501</v>
      </c>
      <c r="J97" s="34">
        <f t="shared" si="4"/>
        <v>1.3561352697092624E-3</v>
      </c>
      <c r="K97" s="34">
        <f t="shared" si="5"/>
        <v>1.355216133812176E-3</v>
      </c>
      <c r="L97" s="34">
        <f t="shared" si="6"/>
        <v>0.99061680149903608</v>
      </c>
      <c r="M97" s="34">
        <f t="shared" si="7"/>
        <v>0.98927430162721919</v>
      </c>
    </row>
    <row r="98" spans="1:13" ht="69">
      <c r="A98" t="s">
        <v>164</v>
      </c>
      <c r="B98" t="s">
        <v>115</v>
      </c>
      <c r="C98" s="14" t="s">
        <v>291</v>
      </c>
      <c r="D98" t="s">
        <v>366</v>
      </c>
      <c r="E98" t="s">
        <v>383</v>
      </c>
      <c r="F98" s="20">
        <v>2027</v>
      </c>
      <c r="G98" s="20">
        <v>46</v>
      </c>
      <c r="H98" s="11">
        <v>6666.7562976024801</v>
      </c>
      <c r="I98" s="10">
        <v>4048641.1465842398</v>
      </c>
      <c r="J98" s="34">
        <f t="shared" si="4"/>
        <v>1.646665154116485E-3</v>
      </c>
      <c r="K98" s="34">
        <f t="shared" si="5"/>
        <v>1.6453101449024343E-3</v>
      </c>
      <c r="L98" s="34">
        <f t="shared" si="6"/>
        <v>0.98927430162721919</v>
      </c>
      <c r="M98" s="34">
        <f t="shared" si="7"/>
        <v>0.98764663858266066</v>
      </c>
    </row>
    <row r="99" spans="1:13" ht="69">
      <c r="A99" t="s">
        <v>164</v>
      </c>
      <c r="B99" t="s">
        <v>115</v>
      </c>
      <c r="C99" s="14" t="s">
        <v>291</v>
      </c>
      <c r="D99" t="s">
        <v>366</v>
      </c>
      <c r="E99" t="s">
        <v>383</v>
      </c>
      <c r="F99" s="20">
        <v>2027</v>
      </c>
      <c r="G99" s="20">
        <v>47</v>
      </c>
      <c r="H99" s="11">
        <v>6973.1010861910199</v>
      </c>
      <c r="I99" s="10">
        <v>3992947.5697838101</v>
      </c>
      <c r="J99" s="34">
        <f t="shared" si="4"/>
        <v>1.7463542819743472E-3</v>
      </c>
      <c r="K99" s="34">
        <f t="shared" si="5"/>
        <v>1.744830292606192E-3</v>
      </c>
      <c r="L99" s="34">
        <f t="shared" si="6"/>
        <v>0.98764663858266066</v>
      </c>
      <c r="M99" s="34">
        <f t="shared" si="7"/>
        <v>0.98592336280927095</v>
      </c>
    </row>
    <row r="100" spans="1:13" ht="69">
      <c r="A100" t="s">
        <v>164</v>
      </c>
      <c r="B100" t="s">
        <v>115</v>
      </c>
      <c r="C100" s="14" t="s">
        <v>291</v>
      </c>
      <c r="D100" t="s">
        <v>366</v>
      </c>
      <c r="E100" t="s">
        <v>383</v>
      </c>
      <c r="F100" s="20">
        <v>2027</v>
      </c>
      <c r="G100" s="20">
        <v>48</v>
      </c>
      <c r="H100" s="11">
        <v>7364.05299158856</v>
      </c>
      <c r="I100" s="10">
        <v>3923785.4852058301</v>
      </c>
      <c r="J100" s="34">
        <f t="shared" si="4"/>
        <v>1.8767725757062542E-3</v>
      </c>
      <c r="K100" s="34">
        <f t="shared" si="5"/>
        <v>1.8750125392906769E-3</v>
      </c>
      <c r="L100" s="34">
        <f t="shared" si="6"/>
        <v>0.98592336280927095</v>
      </c>
      <c r="M100" s="34">
        <f t="shared" si="7"/>
        <v>0.98407474414122398</v>
      </c>
    </row>
    <row r="101" spans="1:13" ht="69">
      <c r="A101" t="s">
        <v>164</v>
      </c>
      <c r="B101" t="s">
        <v>115</v>
      </c>
      <c r="C101" s="14" t="s">
        <v>291</v>
      </c>
      <c r="D101" t="s">
        <v>366</v>
      </c>
      <c r="E101" t="s">
        <v>383</v>
      </c>
      <c r="F101" s="20">
        <v>2027</v>
      </c>
      <c r="G101" s="20">
        <v>49</v>
      </c>
      <c r="H101" s="11">
        <v>7578.5450496001704</v>
      </c>
      <c r="I101" s="10">
        <v>3830095.12200438</v>
      </c>
      <c r="J101" s="34">
        <f t="shared" si="4"/>
        <v>1.9786832462881853E-3</v>
      </c>
      <c r="K101" s="34">
        <f t="shared" si="5"/>
        <v>1.9767269431077983E-3</v>
      </c>
      <c r="L101" s="34">
        <f t="shared" si="6"/>
        <v>0.98407474414122398</v>
      </c>
      <c r="M101" s="34">
        <f t="shared" si="7"/>
        <v>0.98212949708044806</v>
      </c>
    </row>
    <row r="102" spans="1:13" ht="69">
      <c r="A102" t="s">
        <v>164</v>
      </c>
      <c r="B102" t="s">
        <v>115</v>
      </c>
      <c r="C102" s="14" t="s">
        <v>291</v>
      </c>
      <c r="D102" t="s">
        <v>366</v>
      </c>
      <c r="E102" t="s">
        <v>383</v>
      </c>
      <c r="F102" s="20">
        <v>2027</v>
      </c>
      <c r="G102" s="20">
        <v>50</v>
      </c>
      <c r="H102" s="11">
        <v>7840.54802757176</v>
      </c>
      <c r="I102" s="10">
        <v>3740704.7609632998</v>
      </c>
      <c r="J102" s="34">
        <f t="shared" si="4"/>
        <v>2.0960082467328099E-3</v>
      </c>
      <c r="K102" s="34">
        <f t="shared" si="5"/>
        <v>2.0938131553587258E-3</v>
      </c>
      <c r="L102" s="34">
        <f t="shared" si="6"/>
        <v>0.98212949708044806</v>
      </c>
      <c r="M102" s="34">
        <f t="shared" si="7"/>
        <v>0.98007310141919513</v>
      </c>
    </row>
    <row r="103" spans="1:13" ht="69">
      <c r="A103" t="s">
        <v>164</v>
      </c>
      <c r="B103" t="s">
        <v>115</v>
      </c>
      <c r="C103" s="14" t="s">
        <v>291</v>
      </c>
      <c r="D103" t="s">
        <v>366</v>
      </c>
      <c r="E103" t="s">
        <v>383</v>
      </c>
      <c r="F103" s="20">
        <v>2027</v>
      </c>
      <c r="G103" s="20">
        <v>51</v>
      </c>
      <c r="H103" s="11">
        <v>8752.3487865361494</v>
      </c>
      <c r="I103" s="10">
        <v>3667029.6810381501</v>
      </c>
      <c r="J103" s="34">
        <f t="shared" si="4"/>
        <v>2.386767915131335E-3</v>
      </c>
      <c r="K103" s="34">
        <f t="shared" si="5"/>
        <v>2.3839218493407754E-3</v>
      </c>
      <c r="L103" s="34">
        <f t="shared" si="6"/>
        <v>0.98007310141919513</v>
      </c>
      <c r="M103" s="34">
        <f t="shared" si="7"/>
        <v>0.97773668373877076</v>
      </c>
    </row>
    <row r="104" spans="1:13" ht="69">
      <c r="A104" t="s">
        <v>164</v>
      </c>
      <c r="B104" t="s">
        <v>115</v>
      </c>
      <c r="C104" s="14" t="s">
        <v>291</v>
      </c>
      <c r="D104" t="s">
        <v>366</v>
      </c>
      <c r="E104" t="s">
        <v>383</v>
      </c>
      <c r="F104" s="20">
        <v>2027</v>
      </c>
      <c r="G104" s="20">
        <v>52</v>
      </c>
      <c r="H104" s="11">
        <v>9205.7267629966409</v>
      </c>
      <c r="I104" s="10">
        <v>3580801.8980773301</v>
      </c>
      <c r="J104" s="34">
        <f t="shared" si="4"/>
        <v>2.5708562006570507E-3</v>
      </c>
      <c r="K104" s="34">
        <f t="shared" si="5"/>
        <v>2.5675543799629219E-3</v>
      </c>
      <c r="L104" s="34">
        <f t="shared" si="6"/>
        <v>0.97773668373877076</v>
      </c>
      <c r="M104" s="34">
        <f t="shared" si="7"/>
        <v>0.97522629163398689</v>
      </c>
    </row>
    <row r="105" spans="1:13" ht="69">
      <c r="A105" t="s">
        <v>164</v>
      </c>
      <c r="B105" t="s">
        <v>115</v>
      </c>
      <c r="C105" s="14" t="s">
        <v>291</v>
      </c>
      <c r="D105" t="s">
        <v>366</v>
      </c>
      <c r="E105" t="s">
        <v>383</v>
      </c>
      <c r="F105" s="20">
        <v>2027</v>
      </c>
      <c r="G105" s="20">
        <v>53</v>
      </c>
      <c r="H105" s="11">
        <v>9807.9817190329995</v>
      </c>
      <c r="I105" s="10">
        <v>3510417.9536632099</v>
      </c>
      <c r="J105" s="34">
        <f t="shared" si="4"/>
        <v>2.7939640944458261E-3</v>
      </c>
      <c r="K105" s="34">
        <f t="shared" si="5"/>
        <v>2.7900646092845482E-3</v>
      </c>
      <c r="L105" s="34">
        <f t="shared" si="6"/>
        <v>0.97522629163398689</v>
      </c>
      <c r="M105" s="34">
        <f t="shared" si="7"/>
        <v>0.97250534727165505</v>
      </c>
    </row>
    <row r="106" spans="1:13" ht="69">
      <c r="A106" t="s">
        <v>164</v>
      </c>
      <c r="B106" t="s">
        <v>115</v>
      </c>
      <c r="C106" s="14" t="s">
        <v>291</v>
      </c>
      <c r="D106" t="s">
        <v>366</v>
      </c>
      <c r="E106" t="s">
        <v>383</v>
      </c>
      <c r="F106" s="20">
        <v>2027</v>
      </c>
      <c r="G106" s="20">
        <v>54</v>
      </c>
      <c r="H106" s="11">
        <v>10762.895386734401</v>
      </c>
      <c r="I106" s="10">
        <v>3440801.6219587401</v>
      </c>
      <c r="J106" s="34">
        <f t="shared" si="4"/>
        <v>3.128019737623648E-3</v>
      </c>
      <c r="K106" s="34">
        <f t="shared" si="5"/>
        <v>3.1231325809196742E-3</v>
      </c>
      <c r="L106" s="34">
        <f t="shared" si="6"/>
        <v>0.97250534727165505</v>
      </c>
      <c r="M106" s="34">
        <f t="shared" si="7"/>
        <v>0.96946808413647234</v>
      </c>
    </row>
    <row r="107" spans="1:13" ht="69">
      <c r="A107" t="s">
        <v>164</v>
      </c>
      <c r="B107" t="s">
        <v>115</v>
      </c>
      <c r="C107" s="14" t="s">
        <v>291</v>
      </c>
      <c r="D107" t="s">
        <v>366</v>
      </c>
      <c r="E107" t="s">
        <v>383</v>
      </c>
      <c r="F107" s="20">
        <v>2027</v>
      </c>
      <c r="G107" s="20">
        <v>55</v>
      </c>
      <c r="H107" s="11">
        <v>11629.7456597645</v>
      </c>
      <c r="I107" s="10">
        <v>3349258.89148243</v>
      </c>
      <c r="J107" s="34">
        <f t="shared" si="4"/>
        <v>3.4723340406262256E-3</v>
      </c>
      <c r="K107" s="34">
        <f t="shared" si="5"/>
        <v>3.4663124604435991E-3</v>
      </c>
      <c r="L107" s="34">
        <f t="shared" si="6"/>
        <v>0.96946808413647234</v>
      </c>
      <c r="M107" s="34">
        <f t="shared" si="7"/>
        <v>0.96610760483642766</v>
      </c>
    </row>
    <row r="108" spans="1:13" ht="69">
      <c r="A108" t="s">
        <v>164</v>
      </c>
      <c r="B108" t="s">
        <v>115</v>
      </c>
      <c r="C108" s="14" t="s">
        <v>291</v>
      </c>
      <c r="D108" t="s">
        <v>366</v>
      </c>
      <c r="E108" t="s">
        <v>383</v>
      </c>
      <c r="F108" s="20">
        <v>2027</v>
      </c>
      <c r="G108" s="20">
        <v>56</v>
      </c>
      <c r="H108" s="11">
        <v>12678.5142480988</v>
      </c>
      <c r="I108" s="10">
        <v>3268263.3177052499</v>
      </c>
      <c r="J108" s="34">
        <f t="shared" si="4"/>
        <v>3.8792817516921439E-3</v>
      </c>
      <c r="K108" s="34">
        <f t="shared" si="5"/>
        <v>3.8717670585820541E-3</v>
      </c>
      <c r="L108" s="34">
        <f t="shared" si="6"/>
        <v>0.96610760483642766</v>
      </c>
      <c r="M108" s="34">
        <f t="shared" si="7"/>
        <v>0.96236706123697635</v>
      </c>
    </row>
    <row r="109" spans="1:13" ht="69">
      <c r="A109" t="s">
        <v>164</v>
      </c>
      <c r="B109" t="s">
        <v>115</v>
      </c>
      <c r="C109" s="14" t="s">
        <v>291</v>
      </c>
      <c r="D109" t="s">
        <v>366</v>
      </c>
      <c r="E109" t="s">
        <v>383</v>
      </c>
      <c r="F109" s="20">
        <v>2027</v>
      </c>
      <c r="G109" s="20">
        <v>57</v>
      </c>
      <c r="H109" s="11">
        <v>13572.8340976769</v>
      </c>
      <c r="I109" s="10">
        <v>3184897.2118922202</v>
      </c>
      <c r="J109" s="34">
        <f t="shared" si="4"/>
        <v>4.2616239064157957E-3</v>
      </c>
      <c r="K109" s="34">
        <f t="shared" si="5"/>
        <v>4.2525560730609646E-3</v>
      </c>
      <c r="L109" s="34">
        <f t="shared" si="6"/>
        <v>0.96236706123697635</v>
      </c>
      <c r="M109" s="34">
        <f t="shared" si="7"/>
        <v>0.95827454134619916</v>
      </c>
    </row>
    <row r="110" spans="1:13" ht="69">
      <c r="A110" t="s">
        <v>164</v>
      </c>
      <c r="B110" t="s">
        <v>115</v>
      </c>
      <c r="C110" s="14" t="s">
        <v>291</v>
      </c>
      <c r="D110" t="s">
        <v>366</v>
      </c>
      <c r="E110" t="s">
        <v>383</v>
      </c>
      <c r="F110" s="20">
        <v>2027</v>
      </c>
      <c r="G110" s="20">
        <v>58</v>
      </c>
      <c r="H110" s="11">
        <v>14492.3443298644</v>
      </c>
      <c r="I110" s="10">
        <v>3085450.9152119099</v>
      </c>
      <c r="J110" s="34">
        <f t="shared" si="4"/>
        <v>4.6969939655867321E-3</v>
      </c>
      <c r="K110" s="34">
        <f t="shared" si="5"/>
        <v>4.6859803398222599E-3</v>
      </c>
      <c r="L110" s="34">
        <f t="shared" si="6"/>
        <v>0.95827454134619916</v>
      </c>
      <c r="M110" s="34">
        <f t="shared" si="7"/>
        <v>0.95378408568529871</v>
      </c>
    </row>
    <row r="111" spans="1:13" ht="69">
      <c r="A111" t="s">
        <v>164</v>
      </c>
      <c r="B111" t="s">
        <v>115</v>
      </c>
      <c r="C111" s="14" t="s">
        <v>291</v>
      </c>
      <c r="D111" t="s">
        <v>366</v>
      </c>
      <c r="E111" t="s">
        <v>383</v>
      </c>
      <c r="F111" s="20">
        <v>2027</v>
      </c>
      <c r="G111" s="20">
        <v>59</v>
      </c>
      <c r="H111" s="11">
        <v>14945.524351001601</v>
      </c>
      <c r="I111" s="10">
        <v>2979158.4439942301</v>
      </c>
      <c r="J111" s="34">
        <f t="shared" si="4"/>
        <v>5.0166933487981163E-3</v>
      </c>
      <c r="K111" s="34">
        <f t="shared" si="5"/>
        <v>5.0041307590530382E-3</v>
      </c>
      <c r="L111" s="34">
        <f t="shared" si="6"/>
        <v>0.95378408568529871</v>
      </c>
      <c r="M111" s="34">
        <f t="shared" si="7"/>
        <v>0.94901122540462568</v>
      </c>
    </row>
    <row r="112" spans="1:13" ht="69">
      <c r="A112" t="s">
        <v>164</v>
      </c>
      <c r="B112" t="s">
        <v>115</v>
      </c>
      <c r="C112" s="14" t="s">
        <v>291</v>
      </c>
      <c r="D112" t="s">
        <v>366</v>
      </c>
      <c r="E112" t="s">
        <v>383</v>
      </c>
      <c r="F112" s="20">
        <v>2027</v>
      </c>
      <c r="G112" s="20">
        <v>60</v>
      </c>
      <c r="H112" s="11">
        <v>15690.7314054738</v>
      </c>
      <c r="I112" s="10">
        <v>2875440.6159924702</v>
      </c>
      <c r="J112" s="34">
        <f t="shared" si="4"/>
        <v>5.4568094079933136E-3</v>
      </c>
      <c r="K112" s="34">
        <f t="shared" si="5"/>
        <v>5.4419480676575205E-3</v>
      </c>
      <c r="L112" s="34">
        <f t="shared" si="6"/>
        <v>0.94901122540462568</v>
      </c>
      <c r="M112" s="34">
        <f t="shared" si="7"/>
        <v>0.9438467556003497</v>
      </c>
    </row>
    <row r="113" spans="1:13" ht="69">
      <c r="A113" t="s">
        <v>164</v>
      </c>
      <c r="B113" t="s">
        <v>115</v>
      </c>
      <c r="C113" s="14" t="s">
        <v>291</v>
      </c>
      <c r="D113" t="s">
        <v>366</v>
      </c>
      <c r="E113" t="s">
        <v>383</v>
      </c>
      <c r="F113" s="20">
        <v>2027</v>
      </c>
      <c r="G113" s="20">
        <v>61</v>
      </c>
      <c r="H113" s="11">
        <v>17006.495922395301</v>
      </c>
      <c r="I113" s="10">
        <v>2759002.46469355</v>
      </c>
      <c r="J113" s="34">
        <f t="shared" si="4"/>
        <v>6.1640017143965329E-3</v>
      </c>
      <c r="K113" s="34">
        <f t="shared" si="5"/>
        <v>6.1450432292081691E-3</v>
      </c>
      <c r="L113" s="34">
        <f t="shared" si="6"/>
        <v>0.9438467556003497</v>
      </c>
      <c r="M113" s="34">
        <f t="shared" si="7"/>
        <v>0.93804677648543766</v>
      </c>
    </row>
    <row r="114" spans="1:13" ht="69">
      <c r="A114" t="s">
        <v>164</v>
      </c>
      <c r="B114" t="s">
        <v>115</v>
      </c>
      <c r="C114" s="14" t="s">
        <v>291</v>
      </c>
      <c r="D114" t="s">
        <v>366</v>
      </c>
      <c r="E114" t="s">
        <v>383</v>
      </c>
      <c r="F114" s="20">
        <v>2027</v>
      </c>
      <c r="G114" s="20">
        <v>62</v>
      </c>
      <c r="H114" s="11">
        <v>17837.137846396101</v>
      </c>
      <c r="I114" s="10">
        <v>2630048.0426102802</v>
      </c>
      <c r="J114" s="34">
        <f t="shared" si="4"/>
        <v>6.7820578017628265E-3</v>
      </c>
      <c r="K114" s="34">
        <f t="shared" si="5"/>
        <v>6.7591115513198075E-3</v>
      </c>
      <c r="L114" s="34">
        <f t="shared" si="6"/>
        <v>0.93804677648543766</v>
      </c>
      <c r="M114" s="34">
        <f t="shared" si="7"/>
        <v>0.93170641368281659</v>
      </c>
    </row>
    <row r="115" spans="1:13" ht="69">
      <c r="A115" t="s">
        <v>164</v>
      </c>
      <c r="B115" t="s">
        <v>115</v>
      </c>
      <c r="C115" s="14" t="s">
        <v>291</v>
      </c>
      <c r="D115" t="s">
        <v>366</v>
      </c>
      <c r="E115" t="s">
        <v>383</v>
      </c>
      <c r="F115" s="20">
        <v>2027</v>
      </c>
      <c r="G115" s="20">
        <v>63</v>
      </c>
      <c r="H115" s="11">
        <v>18719.636164678199</v>
      </c>
      <c r="I115" s="10">
        <v>2502653.1565342601</v>
      </c>
      <c r="J115" s="34">
        <f t="shared" si="4"/>
        <v>7.4799163103374828E-3</v>
      </c>
      <c r="K115" s="34">
        <f t="shared" si="5"/>
        <v>7.4520113552555278E-3</v>
      </c>
      <c r="L115" s="34">
        <f t="shared" si="6"/>
        <v>0.93170641368281659</v>
      </c>
      <c r="M115" s="34">
        <f t="shared" si="7"/>
        <v>0.92476332690828789</v>
      </c>
    </row>
    <row r="116" spans="1:13" ht="69">
      <c r="A116" t="s">
        <v>164</v>
      </c>
      <c r="B116" t="s">
        <v>115</v>
      </c>
      <c r="C116" s="14" t="s">
        <v>291</v>
      </c>
      <c r="D116" t="s">
        <v>366</v>
      </c>
      <c r="E116" t="s">
        <v>383</v>
      </c>
      <c r="F116" s="20">
        <v>2027</v>
      </c>
      <c r="G116" s="20">
        <v>64</v>
      </c>
      <c r="H116" s="11">
        <v>19785.717084170101</v>
      </c>
      <c r="I116" s="10">
        <v>2375729.87952318</v>
      </c>
      <c r="J116" s="34">
        <f t="shared" si="4"/>
        <v>8.3282688215973386E-3</v>
      </c>
      <c r="K116" s="34">
        <f t="shared" si="5"/>
        <v>8.293684865570583E-3</v>
      </c>
      <c r="L116" s="34">
        <f t="shared" si="6"/>
        <v>0.92476332690828789</v>
      </c>
      <c r="M116" s="34">
        <f t="shared" si="7"/>
        <v>0.91709363129967392</v>
      </c>
    </row>
    <row r="117" spans="1:13" ht="69">
      <c r="A117" t="s">
        <v>164</v>
      </c>
      <c r="B117" t="s">
        <v>115</v>
      </c>
      <c r="C117" s="14" t="s">
        <v>291</v>
      </c>
      <c r="D117" t="s">
        <v>366</v>
      </c>
      <c r="E117" t="s">
        <v>383</v>
      </c>
      <c r="F117" s="20">
        <v>2027</v>
      </c>
      <c r="G117" s="20">
        <v>65</v>
      </c>
      <c r="H117" s="11">
        <v>20778.5333793137</v>
      </c>
      <c r="I117" s="10">
        <v>2248531.9024339002</v>
      </c>
      <c r="J117" s="34">
        <f t="shared" si="4"/>
        <v>9.2409333204577573E-3</v>
      </c>
      <c r="K117" s="34">
        <f t="shared" si="5"/>
        <v>9.1983671142071843E-3</v>
      </c>
      <c r="L117" s="34">
        <f t="shared" si="6"/>
        <v>0.91709363129967392</v>
      </c>
      <c r="M117" s="34">
        <f t="shared" si="7"/>
        <v>0.90865786740087817</v>
      </c>
    </row>
    <row r="118" spans="1:13" ht="69">
      <c r="A118" t="s">
        <v>164</v>
      </c>
      <c r="B118" t="s">
        <v>115</v>
      </c>
      <c r="C118" s="14" t="s">
        <v>291</v>
      </c>
      <c r="D118" t="s">
        <v>366</v>
      </c>
      <c r="E118" t="s">
        <v>383</v>
      </c>
      <c r="F118" s="20">
        <v>2027</v>
      </c>
      <c r="G118" s="20">
        <v>66</v>
      </c>
      <c r="H118" s="11">
        <v>21088.405697429898</v>
      </c>
      <c r="I118" s="10">
        <v>2120437.53612117</v>
      </c>
      <c r="J118" s="34">
        <f t="shared" si="4"/>
        <v>9.9453086158840867E-3</v>
      </c>
      <c r="K118" s="34">
        <f t="shared" si="5"/>
        <v>9.8960175743609824E-3</v>
      </c>
      <c r="L118" s="34">
        <f t="shared" si="6"/>
        <v>0.90865786740087817</v>
      </c>
      <c r="M118" s="34">
        <f t="shared" si="7"/>
        <v>0.89966577317599772</v>
      </c>
    </row>
    <row r="119" spans="1:13" ht="69">
      <c r="A119" t="s">
        <v>164</v>
      </c>
      <c r="B119" t="s">
        <v>115</v>
      </c>
      <c r="C119" s="14" t="s">
        <v>291</v>
      </c>
      <c r="D119" t="s">
        <v>366</v>
      </c>
      <c r="E119" t="s">
        <v>383</v>
      </c>
      <c r="F119" s="20">
        <v>2027</v>
      </c>
      <c r="G119" s="20">
        <v>67</v>
      </c>
      <c r="H119" s="11">
        <v>21602.796586193901</v>
      </c>
      <c r="I119" s="10">
        <v>1988090.41711275</v>
      </c>
      <c r="J119" s="34">
        <f t="shared" si="4"/>
        <v>1.0866103674282108E-2</v>
      </c>
      <c r="K119" s="34">
        <f t="shared" si="5"/>
        <v>1.0807280820945953E-2</v>
      </c>
      <c r="L119" s="34">
        <f t="shared" si="6"/>
        <v>0.89966577317599772</v>
      </c>
      <c r="M119" s="34">
        <f t="shared" si="7"/>
        <v>0.88994283252029127</v>
      </c>
    </row>
    <row r="120" spans="1:13" ht="69">
      <c r="A120" t="s">
        <v>164</v>
      </c>
      <c r="B120" t="s">
        <v>115</v>
      </c>
      <c r="C120" s="14" t="s">
        <v>291</v>
      </c>
      <c r="D120" t="s">
        <v>366</v>
      </c>
      <c r="E120" t="s">
        <v>383</v>
      </c>
      <c r="F120" s="20">
        <v>2027</v>
      </c>
      <c r="G120" s="20">
        <v>68</v>
      </c>
      <c r="H120" s="11">
        <v>21965.643600373998</v>
      </c>
      <c r="I120" s="10">
        <v>1851514.9589827601</v>
      </c>
      <c r="J120" s="34">
        <f t="shared" si="4"/>
        <v>1.1863605796867085E-2</v>
      </c>
      <c r="K120" s="34">
        <f t="shared" si="5"/>
        <v>1.1793510693001497E-2</v>
      </c>
      <c r="L120" s="34">
        <f t="shared" si="6"/>
        <v>0.88994283252029127</v>
      </c>
      <c r="M120" s="34">
        <f t="shared" si="7"/>
        <v>0.87944728220880319</v>
      </c>
    </row>
    <row r="121" spans="1:13" ht="69">
      <c r="A121" t="s">
        <v>164</v>
      </c>
      <c r="B121" t="s">
        <v>115</v>
      </c>
      <c r="C121" s="14" t="s">
        <v>291</v>
      </c>
      <c r="D121" t="s">
        <v>366</v>
      </c>
      <c r="E121" t="s">
        <v>383</v>
      </c>
      <c r="F121" s="20">
        <v>2027</v>
      </c>
      <c r="G121" s="20">
        <v>69</v>
      </c>
      <c r="H121" s="11">
        <v>20442.2335247466</v>
      </c>
      <c r="I121" s="10">
        <v>1720936.00933491</v>
      </c>
      <c r="J121" s="34">
        <f t="shared" si="4"/>
        <v>1.1878555282626057E-2</v>
      </c>
      <c r="K121" s="34">
        <f t="shared" si="5"/>
        <v>1.1808283761415184E-2</v>
      </c>
      <c r="L121" s="34">
        <f t="shared" si="6"/>
        <v>0.87944728220880319</v>
      </c>
      <c r="M121" s="34">
        <f t="shared" si="7"/>
        <v>0.86906251914727628</v>
      </c>
    </row>
    <row r="122" spans="1:13" ht="69">
      <c r="A122" t="s">
        <v>164</v>
      </c>
      <c r="B122" t="s">
        <v>115</v>
      </c>
      <c r="C122" s="14" t="s">
        <v>291</v>
      </c>
      <c r="D122" t="s">
        <v>366</v>
      </c>
      <c r="E122" t="s">
        <v>383</v>
      </c>
      <c r="F122" s="20">
        <v>2028</v>
      </c>
      <c r="G122" s="20">
        <v>30</v>
      </c>
      <c r="H122" s="11">
        <v>898.85089842798095</v>
      </c>
      <c r="I122" s="10">
        <v>4433727.4327325197</v>
      </c>
      <c r="J122" s="34">
        <f t="shared" si="4"/>
        <v>2.0273030132436816E-4</v>
      </c>
      <c r="K122" s="34">
        <f t="shared" si="5"/>
        <v>2.0270975292546733E-4</v>
      </c>
      <c r="L122" s="34">
        <f t="shared" si="6"/>
        <v>1</v>
      </c>
      <c r="M122" s="34">
        <f t="shared" si="7"/>
        <v>0.99979729024707453</v>
      </c>
    </row>
    <row r="123" spans="1:13" ht="69">
      <c r="A123" t="s">
        <v>164</v>
      </c>
      <c r="B123" t="s">
        <v>115</v>
      </c>
      <c r="C123" s="14" t="s">
        <v>291</v>
      </c>
      <c r="D123" t="s">
        <v>366</v>
      </c>
      <c r="E123" t="s">
        <v>383</v>
      </c>
      <c r="F123" s="20">
        <v>2028</v>
      </c>
      <c r="G123" s="20">
        <v>31</v>
      </c>
      <c r="H123" s="11">
        <v>1301.3069064348499</v>
      </c>
      <c r="I123" s="10">
        <v>4431466.7957008397</v>
      </c>
      <c r="J123" s="34">
        <f t="shared" si="4"/>
        <v>2.9365150782519793E-4</v>
      </c>
      <c r="K123" s="34">
        <f t="shared" si="5"/>
        <v>2.9360839644121395E-4</v>
      </c>
      <c r="L123" s="34">
        <f t="shared" si="6"/>
        <v>0.99979729024707453</v>
      </c>
      <c r="M123" s="34">
        <f t="shared" si="7"/>
        <v>0.99950374136791886</v>
      </c>
    </row>
    <row r="124" spans="1:13" ht="69">
      <c r="A124" t="s">
        <v>164</v>
      </c>
      <c r="B124" t="s">
        <v>115</v>
      </c>
      <c r="C124" s="14" t="s">
        <v>291</v>
      </c>
      <c r="D124" t="s">
        <v>366</v>
      </c>
      <c r="E124" t="s">
        <v>383</v>
      </c>
      <c r="F124" s="20">
        <v>2028</v>
      </c>
      <c r="G124" s="20">
        <v>32</v>
      </c>
      <c r="H124" s="11">
        <v>1317.07351849467</v>
      </c>
      <c r="I124" s="10">
        <v>4370032.8321855702</v>
      </c>
      <c r="J124" s="34">
        <f t="shared" si="4"/>
        <v>3.0138755681521191E-4</v>
      </c>
      <c r="K124" s="34">
        <f t="shared" si="5"/>
        <v>3.0134214414789806E-4</v>
      </c>
      <c r="L124" s="34">
        <f t="shared" si="6"/>
        <v>0.99950374136791886</v>
      </c>
      <c r="M124" s="34">
        <f t="shared" si="7"/>
        <v>0.99920254876741121</v>
      </c>
    </row>
    <row r="125" spans="1:13" ht="69">
      <c r="A125" t="s">
        <v>164</v>
      </c>
      <c r="B125" t="s">
        <v>115</v>
      </c>
      <c r="C125" s="14" t="s">
        <v>291</v>
      </c>
      <c r="D125" t="s">
        <v>366</v>
      </c>
      <c r="E125" t="s">
        <v>383</v>
      </c>
      <c r="F125" s="20">
        <v>2028</v>
      </c>
      <c r="G125" s="20">
        <v>33</v>
      </c>
      <c r="H125" s="11">
        <v>1350.9071813288299</v>
      </c>
      <c r="I125" s="10">
        <v>4306735.4176259097</v>
      </c>
      <c r="J125" s="34">
        <f t="shared" si="4"/>
        <v>3.1367313065020332E-4</v>
      </c>
      <c r="K125" s="34">
        <f t="shared" si="5"/>
        <v>3.1362394037715013E-4</v>
      </c>
      <c r="L125" s="34">
        <f t="shared" si="6"/>
        <v>0.99920254876741121</v>
      </c>
      <c r="M125" s="34">
        <f t="shared" si="7"/>
        <v>0.99888917492683194</v>
      </c>
    </row>
    <row r="126" spans="1:13" ht="69">
      <c r="A126" t="s">
        <v>164</v>
      </c>
      <c r="B126" t="s">
        <v>115</v>
      </c>
      <c r="C126" s="14" t="s">
        <v>291</v>
      </c>
      <c r="D126" t="s">
        <v>366</v>
      </c>
      <c r="E126" t="s">
        <v>383</v>
      </c>
      <c r="F126" s="20">
        <v>2028</v>
      </c>
      <c r="G126" s="20">
        <v>34</v>
      </c>
      <c r="H126" s="11">
        <v>1404.4814981504301</v>
      </c>
      <c r="I126" s="10">
        <v>4253201.4478031304</v>
      </c>
      <c r="J126" s="34">
        <f t="shared" si="4"/>
        <v>3.3021748802325711E-4</v>
      </c>
      <c r="K126" s="34">
        <f t="shared" si="5"/>
        <v>3.3016297222943081E-4</v>
      </c>
      <c r="L126" s="34">
        <f t="shared" si="6"/>
        <v>0.99888917492683194</v>
      </c>
      <c r="M126" s="34">
        <f t="shared" si="7"/>
        <v>0.99855937870791034</v>
      </c>
    </row>
    <row r="127" spans="1:13" ht="69">
      <c r="A127" t="s">
        <v>164</v>
      </c>
      <c r="B127" t="s">
        <v>115</v>
      </c>
      <c r="C127" s="14" t="s">
        <v>291</v>
      </c>
      <c r="D127" t="s">
        <v>366</v>
      </c>
      <c r="E127" t="s">
        <v>383</v>
      </c>
      <c r="F127" s="20">
        <v>2028</v>
      </c>
      <c r="G127" s="20">
        <v>35</v>
      </c>
      <c r="H127" s="11">
        <v>1496.9084074234599</v>
      </c>
      <c r="I127" s="10">
        <v>4202398.6774261296</v>
      </c>
      <c r="J127" s="34">
        <f t="shared" si="4"/>
        <v>3.5620333107954462E-4</v>
      </c>
      <c r="K127" s="34">
        <f t="shared" si="5"/>
        <v>3.5613989820493241E-4</v>
      </c>
      <c r="L127" s="34">
        <f t="shared" si="6"/>
        <v>0.99855937870791034</v>
      </c>
      <c r="M127" s="34">
        <f t="shared" si="7"/>
        <v>0.99820375187242572</v>
      </c>
    </row>
    <row r="128" spans="1:13" ht="69">
      <c r="A128" t="s">
        <v>164</v>
      </c>
      <c r="B128" t="s">
        <v>115</v>
      </c>
      <c r="C128" s="14" t="s">
        <v>291</v>
      </c>
      <c r="D128" t="s">
        <v>366</v>
      </c>
      <c r="E128" t="s">
        <v>383</v>
      </c>
      <c r="F128" s="20">
        <v>2028</v>
      </c>
      <c r="G128" s="20">
        <v>36</v>
      </c>
      <c r="H128" s="11">
        <v>1985.7253212323001</v>
      </c>
      <c r="I128" s="10">
        <v>4186849.25727261</v>
      </c>
      <c r="J128" s="34">
        <f t="shared" si="4"/>
        <v>4.7427676498815191E-4</v>
      </c>
      <c r="K128" s="34">
        <f t="shared" si="5"/>
        <v>4.7416431354163624E-4</v>
      </c>
      <c r="L128" s="34">
        <f t="shared" si="6"/>
        <v>0.99820375187242572</v>
      </c>
      <c r="M128" s="34">
        <f t="shared" si="7"/>
        <v>0.99773043927564442</v>
      </c>
    </row>
    <row r="129" spans="1:13" ht="69">
      <c r="A129" t="s">
        <v>164</v>
      </c>
      <c r="B129" t="s">
        <v>115</v>
      </c>
      <c r="C129" s="14" t="s">
        <v>291</v>
      </c>
      <c r="D129" t="s">
        <v>366</v>
      </c>
      <c r="E129" t="s">
        <v>383</v>
      </c>
      <c r="F129" s="20">
        <v>2028</v>
      </c>
      <c r="G129" s="20">
        <v>37</v>
      </c>
      <c r="H129" s="11">
        <v>2161.4925060782398</v>
      </c>
      <c r="I129" s="10">
        <v>4165727.6040826398</v>
      </c>
      <c r="J129" s="34">
        <f t="shared" si="4"/>
        <v>5.1887514295458482E-4</v>
      </c>
      <c r="K129" s="34">
        <f t="shared" si="5"/>
        <v>5.1874055052747448E-4</v>
      </c>
      <c r="L129" s="34">
        <f t="shared" si="6"/>
        <v>0.99773043927564442</v>
      </c>
      <c r="M129" s="34">
        <f t="shared" si="7"/>
        <v>0.99721287603829656</v>
      </c>
    </row>
    <row r="130" spans="1:13" ht="69">
      <c r="A130" t="s">
        <v>164</v>
      </c>
      <c r="B130" t="s">
        <v>115</v>
      </c>
      <c r="C130" s="14" t="s">
        <v>291</v>
      </c>
      <c r="D130" t="s">
        <v>366</v>
      </c>
      <c r="E130" t="s">
        <v>383</v>
      </c>
      <c r="F130" s="20">
        <v>2028</v>
      </c>
      <c r="G130" s="20">
        <v>38</v>
      </c>
      <c r="H130" s="11">
        <v>2363.1864715201</v>
      </c>
      <c r="I130" s="10">
        <v>4148185.3729202501</v>
      </c>
      <c r="J130" s="34">
        <f t="shared" ref="J130:J193" si="8">IF(I130&gt;0,H130/I130,0)</f>
        <v>5.6969162635479278E-4</v>
      </c>
      <c r="K130" s="34">
        <f t="shared" ref="K130:K193" si="9">1-EXP(-J130)</f>
        <v>5.6952938289123178E-4</v>
      </c>
      <c r="L130" s="34">
        <f t="shared" ref="L130:L193" si="10">IF(G130=30,1,M129)</f>
        <v>0.99721287603829656</v>
      </c>
      <c r="M130" s="34">
        <f t="shared" ref="M130:M193" si="11">L130*(1-K130)</f>
        <v>0.99664493400439524</v>
      </c>
    </row>
    <row r="131" spans="1:13" ht="69">
      <c r="A131" t="s">
        <v>164</v>
      </c>
      <c r="B131" t="s">
        <v>115</v>
      </c>
      <c r="C131" s="14" t="s">
        <v>291</v>
      </c>
      <c r="D131" t="s">
        <v>366</v>
      </c>
      <c r="E131" t="s">
        <v>383</v>
      </c>
      <c r="F131" s="20">
        <v>2028</v>
      </c>
      <c r="G131" s="20">
        <v>39</v>
      </c>
      <c r="H131" s="11">
        <v>2523.9255282008598</v>
      </c>
      <c r="I131" s="10">
        <v>4153893.7714526202</v>
      </c>
      <c r="J131" s="34">
        <f t="shared" si="8"/>
        <v>6.0760473595795417E-4</v>
      </c>
      <c r="K131" s="34">
        <f t="shared" si="9"/>
        <v>6.0742018158099764E-4</v>
      </c>
      <c r="L131" s="34">
        <f t="shared" si="10"/>
        <v>0.99664493400439524</v>
      </c>
      <c r="M131" s="34">
        <f t="shared" si="11"/>
        <v>0.9960395517576105</v>
      </c>
    </row>
    <row r="132" spans="1:13" ht="69">
      <c r="A132" t="s">
        <v>164</v>
      </c>
      <c r="B132" t="s">
        <v>115</v>
      </c>
      <c r="C132" s="14" t="s">
        <v>291</v>
      </c>
      <c r="D132" t="s">
        <v>366</v>
      </c>
      <c r="E132" t="s">
        <v>383</v>
      </c>
      <c r="F132" s="20">
        <v>2028</v>
      </c>
      <c r="G132" s="20">
        <v>40</v>
      </c>
      <c r="H132" s="11">
        <v>2807.9346663153001</v>
      </c>
      <c r="I132" s="10">
        <v>4113948.0157471402</v>
      </c>
      <c r="J132" s="34">
        <f t="shared" si="8"/>
        <v>6.8254014284265256E-4</v>
      </c>
      <c r="K132" s="34">
        <f t="shared" si="9"/>
        <v>6.8230726530515984E-4</v>
      </c>
      <c r="L132" s="34">
        <f t="shared" si="10"/>
        <v>0.9960395517576105</v>
      </c>
      <c r="M132" s="34">
        <f t="shared" si="11"/>
        <v>0.99535994673491501</v>
      </c>
    </row>
    <row r="133" spans="1:13" ht="69">
      <c r="A133" t="s">
        <v>164</v>
      </c>
      <c r="B133" t="s">
        <v>115</v>
      </c>
      <c r="C133" s="14" t="s">
        <v>291</v>
      </c>
      <c r="D133" t="s">
        <v>366</v>
      </c>
      <c r="E133" t="s">
        <v>383</v>
      </c>
      <c r="F133" s="20">
        <v>2028</v>
      </c>
      <c r="G133" s="20">
        <v>41</v>
      </c>
      <c r="H133" s="11">
        <v>3733.23316983317</v>
      </c>
      <c r="I133" s="10">
        <v>4065382.0982461302</v>
      </c>
      <c r="J133" s="34">
        <f t="shared" si="8"/>
        <v>9.1829822624637071E-4</v>
      </c>
      <c r="K133" s="34">
        <f t="shared" si="9"/>
        <v>9.1787671946308436E-4</v>
      </c>
      <c r="L133" s="34">
        <f t="shared" si="10"/>
        <v>0.99535994673491501</v>
      </c>
      <c r="M133" s="34">
        <f t="shared" si="11"/>
        <v>0.994446329012321</v>
      </c>
    </row>
    <row r="134" spans="1:13" ht="69">
      <c r="A134" t="s">
        <v>164</v>
      </c>
      <c r="B134" t="s">
        <v>115</v>
      </c>
      <c r="C134" s="14" t="s">
        <v>291</v>
      </c>
      <c r="D134" t="s">
        <v>366</v>
      </c>
      <c r="E134" t="s">
        <v>383</v>
      </c>
      <c r="F134" s="20">
        <v>2028</v>
      </c>
      <c r="G134" s="20">
        <v>42</v>
      </c>
      <c r="H134" s="11">
        <v>4214.03908730488</v>
      </c>
      <c r="I134" s="10">
        <v>4079110.9932974498</v>
      </c>
      <c r="J134" s="34">
        <f t="shared" si="8"/>
        <v>1.0330778187279375E-3</v>
      </c>
      <c r="K134" s="34">
        <f t="shared" si="9"/>
        <v>1.0325443775494048E-3</v>
      </c>
      <c r="L134" s="34">
        <f t="shared" si="10"/>
        <v>0.994446329012321</v>
      </c>
      <c r="M134" s="34">
        <f t="shared" si="11"/>
        <v>0.9934195190465247</v>
      </c>
    </row>
    <row r="135" spans="1:13" ht="69">
      <c r="A135" t="s">
        <v>164</v>
      </c>
      <c r="B135" t="s">
        <v>115</v>
      </c>
      <c r="C135" s="14" t="s">
        <v>291</v>
      </c>
      <c r="D135" t="s">
        <v>366</v>
      </c>
      <c r="E135" t="s">
        <v>383</v>
      </c>
      <c r="F135" s="20">
        <v>2028</v>
      </c>
      <c r="G135" s="20">
        <v>43</v>
      </c>
      <c r="H135" s="11">
        <v>4844.9860239611799</v>
      </c>
      <c r="I135" s="10">
        <v>4150042.6076704999</v>
      </c>
      <c r="J135" s="34">
        <f t="shared" si="8"/>
        <v>1.1674545256490187E-3</v>
      </c>
      <c r="K135" s="34">
        <f t="shared" si="9"/>
        <v>1.1667733157338933E-3</v>
      </c>
      <c r="L135" s="34">
        <f t="shared" si="10"/>
        <v>0.9934195190465247</v>
      </c>
      <c r="M135" s="34">
        <f t="shared" si="11"/>
        <v>0.99226042366037204</v>
      </c>
    </row>
    <row r="136" spans="1:13" ht="69">
      <c r="A136" t="s">
        <v>164</v>
      </c>
      <c r="B136" t="s">
        <v>115</v>
      </c>
      <c r="C136" s="14" t="s">
        <v>291</v>
      </c>
      <c r="D136" t="s">
        <v>366</v>
      </c>
      <c r="E136" t="s">
        <v>383</v>
      </c>
      <c r="F136" s="20">
        <v>2028</v>
      </c>
      <c r="G136" s="20">
        <v>44</v>
      </c>
      <c r="H136" s="11">
        <v>5224.4131523782398</v>
      </c>
      <c r="I136" s="10">
        <v>4179177.53239313</v>
      </c>
      <c r="J136" s="34">
        <f t="shared" si="8"/>
        <v>1.2501055798379962E-3</v>
      </c>
      <c r="K136" s="34">
        <f t="shared" si="9"/>
        <v>1.2493245233592409E-3</v>
      </c>
      <c r="L136" s="34">
        <f t="shared" si="10"/>
        <v>0.99226042366037204</v>
      </c>
      <c r="M136" s="34">
        <f t="shared" si="11"/>
        <v>0.99102076837953434</v>
      </c>
    </row>
    <row r="137" spans="1:13" ht="69">
      <c r="A137" t="s">
        <v>164</v>
      </c>
      <c r="B137" t="s">
        <v>115</v>
      </c>
      <c r="C137" s="14" t="s">
        <v>291</v>
      </c>
      <c r="D137" t="s">
        <v>366</v>
      </c>
      <c r="E137" t="s">
        <v>383</v>
      </c>
      <c r="F137" s="20">
        <v>2028</v>
      </c>
      <c r="G137" s="20">
        <v>45</v>
      </c>
      <c r="H137" s="11">
        <v>5507.3565955776303</v>
      </c>
      <c r="I137" s="10">
        <v>4148868.4874689099</v>
      </c>
      <c r="J137" s="34">
        <f t="shared" si="8"/>
        <v>1.3274358086335703E-3</v>
      </c>
      <c r="K137" s="34">
        <f t="shared" si="9"/>
        <v>1.326555155433895E-3</v>
      </c>
      <c r="L137" s="34">
        <f t="shared" si="10"/>
        <v>0.99102076837953434</v>
      </c>
      <c r="M137" s="34">
        <f t="shared" si="11"/>
        <v>0.98970612467009844</v>
      </c>
    </row>
    <row r="138" spans="1:13" ht="69">
      <c r="A138" t="s">
        <v>164</v>
      </c>
      <c r="B138" t="s">
        <v>115</v>
      </c>
      <c r="C138" s="14" t="s">
        <v>291</v>
      </c>
      <c r="D138" t="s">
        <v>366</v>
      </c>
      <c r="E138" t="s">
        <v>383</v>
      </c>
      <c r="F138" s="20">
        <v>2028</v>
      </c>
      <c r="G138" s="20">
        <v>46</v>
      </c>
      <c r="H138" s="11">
        <v>6690.4792500129397</v>
      </c>
      <c r="I138" s="10">
        <v>4093980.4721355801</v>
      </c>
      <c r="J138" s="34">
        <f t="shared" si="8"/>
        <v>1.6342235375937015E-3</v>
      </c>
      <c r="K138" s="34">
        <f t="shared" si="9"/>
        <v>1.6328889214276554E-3</v>
      </c>
      <c r="L138" s="34">
        <f t="shared" si="10"/>
        <v>0.98970612467009844</v>
      </c>
      <c r="M138" s="34">
        <f t="shared" si="11"/>
        <v>0.98809004450365556</v>
      </c>
    </row>
    <row r="139" spans="1:13" ht="69">
      <c r="A139" t="s">
        <v>164</v>
      </c>
      <c r="B139" t="s">
        <v>115</v>
      </c>
      <c r="C139" s="14" t="s">
        <v>291</v>
      </c>
      <c r="D139" t="s">
        <v>366</v>
      </c>
      <c r="E139" t="s">
        <v>383</v>
      </c>
      <c r="F139" s="20">
        <v>2028</v>
      </c>
      <c r="G139" s="20">
        <v>47</v>
      </c>
      <c r="H139" s="11">
        <v>7025.0585417919801</v>
      </c>
      <c r="I139" s="10">
        <v>4031798.4962643399</v>
      </c>
      <c r="J139" s="34">
        <f t="shared" si="8"/>
        <v>1.7424131062852082E-3</v>
      </c>
      <c r="K139" s="34">
        <f t="shared" si="9"/>
        <v>1.7408959858468132E-3</v>
      </c>
      <c r="L139" s="34">
        <f t="shared" si="10"/>
        <v>0.98809004450365556</v>
      </c>
      <c r="M139" s="34">
        <f t="shared" si="11"/>
        <v>0.98636988251152391</v>
      </c>
    </row>
    <row r="140" spans="1:13" ht="69">
      <c r="A140" t="s">
        <v>164</v>
      </c>
      <c r="B140" t="s">
        <v>115</v>
      </c>
      <c r="C140" s="14" t="s">
        <v>291</v>
      </c>
      <c r="D140" t="s">
        <v>366</v>
      </c>
      <c r="E140" t="s">
        <v>383</v>
      </c>
      <c r="F140" s="20">
        <v>2028</v>
      </c>
      <c r="G140" s="20">
        <v>48</v>
      </c>
      <c r="H140" s="11">
        <v>7425.4667477752801</v>
      </c>
      <c r="I140" s="10">
        <v>3974959.9719299399</v>
      </c>
      <c r="J140" s="34">
        <f t="shared" si="8"/>
        <v>1.8680607604131508E-3</v>
      </c>
      <c r="K140" s="34">
        <f t="shared" si="9"/>
        <v>1.8663170208836899E-3</v>
      </c>
      <c r="L140" s="34">
        <f t="shared" si="10"/>
        <v>0.98636988251152391</v>
      </c>
      <c r="M140" s="34">
        <f t="shared" si="11"/>
        <v>0.98452900361090556</v>
      </c>
    </row>
    <row r="141" spans="1:13" ht="69">
      <c r="A141" t="s">
        <v>164</v>
      </c>
      <c r="B141" t="s">
        <v>115</v>
      </c>
      <c r="C141" s="14" t="s">
        <v>291</v>
      </c>
      <c r="D141" t="s">
        <v>366</v>
      </c>
      <c r="E141" t="s">
        <v>383</v>
      </c>
      <c r="F141" s="20">
        <v>2028</v>
      </c>
      <c r="G141" s="20">
        <v>49</v>
      </c>
      <c r="H141" s="11">
        <v>7659.9812551905698</v>
      </c>
      <c r="I141" s="10">
        <v>3904535.8523534001</v>
      </c>
      <c r="J141" s="34">
        <f t="shared" si="8"/>
        <v>1.9618160889913797E-3</v>
      </c>
      <c r="K141" s="34">
        <f t="shared" si="9"/>
        <v>1.9598929856051717E-3</v>
      </c>
      <c r="L141" s="34">
        <f t="shared" si="10"/>
        <v>0.98452900361090556</v>
      </c>
      <c r="M141" s="34">
        <f t="shared" si="11"/>
        <v>0.9825994321226037</v>
      </c>
    </row>
    <row r="142" spans="1:13" ht="69">
      <c r="A142" t="s">
        <v>164</v>
      </c>
      <c r="B142" t="s">
        <v>115</v>
      </c>
      <c r="C142" s="14" t="s">
        <v>291</v>
      </c>
      <c r="D142" t="s">
        <v>366</v>
      </c>
      <c r="E142" t="s">
        <v>383</v>
      </c>
      <c r="F142" s="20">
        <v>2028</v>
      </c>
      <c r="G142" s="20">
        <v>50</v>
      </c>
      <c r="H142" s="11">
        <v>7952.7156735592598</v>
      </c>
      <c r="I142" s="10">
        <v>3809836.1491445201</v>
      </c>
      <c r="J142" s="34">
        <f t="shared" si="8"/>
        <v>2.0874167187859257E-3</v>
      </c>
      <c r="K142" s="34">
        <f t="shared" si="9"/>
        <v>2.0852395796360224E-3</v>
      </c>
      <c r="L142" s="34">
        <f t="shared" si="10"/>
        <v>0.9825994321226037</v>
      </c>
      <c r="M142" s="34">
        <f t="shared" si="11"/>
        <v>0.98055047689581376</v>
      </c>
    </row>
    <row r="143" spans="1:13" ht="69">
      <c r="A143" t="s">
        <v>164</v>
      </c>
      <c r="B143" t="s">
        <v>115</v>
      </c>
      <c r="C143" s="14" t="s">
        <v>291</v>
      </c>
      <c r="D143" t="s">
        <v>366</v>
      </c>
      <c r="E143" t="s">
        <v>383</v>
      </c>
      <c r="F143" s="20">
        <v>2028</v>
      </c>
      <c r="G143" s="20">
        <v>51</v>
      </c>
      <c r="H143" s="11">
        <v>8708.4413027982791</v>
      </c>
      <c r="I143" s="10">
        <v>3719332.9015781302</v>
      </c>
      <c r="J143" s="34">
        <f t="shared" si="8"/>
        <v>2.3413987220942895E-3</v>
      </c>
      <c r="K143" s="34">
        <f t="shared" si="9"/>
        <v>2.3386597861704272E-3</v>
      </c>
      <c r="L143" s="34">
        <f t="shared" si="10"/>
        <v>0.98055047689581376</v>
      </c>
      <c r="M143" s="34">
        <f t="shared" si="11"/>
        <v>0.97825730292718727</v>
      </c>
    </row>
    <row r="144" spans="1:13" ht="69">
      <c r="A144" t="s">
        <v>164</v>
      </c>
      <c r="B144" t="s">
        <v>115</v>
      </c>
      <c r="C144" s="14" t="s">
        <v>291</v>
      </c>
      <c r="D144" t="s">
        <v>366</v>
      </c>
      <c r="E144" t="s">
        <v>383</v>
      </c>
      <c r="F144" s="20">
        <v>2028</v>
      </c>
      <c r="G144" s="20">
        <v>52</v>
      </c>
      <c r="H144" s="11">
        <v>9203.4739096954108</v>
      </c>
      <c r="I144" s="10">
        <v>3644407.9653581199</v>
      </c>
      <c r="J144" s="34">
        <f t="shared" si="8"/>
        <v>2.5253687285229677E-3</v>
      </c>
      <c r="K144" s="34">
        <f t="shared" si="9"/>
        <v>2.5221826674727277E-3</v>
      </c>
      <c r="L144" s="34">
        <f t="shared" si="10"/>
        <v>0.97825730292718727</v>
      </c>
      <c r="M144" s="34">
        <f t="shared" si="11"/>
        <v>0.97578995931341572</v>
      </c>
    </row>
    <row r="145" spans="1:13" ht="69">
      <c r="A145" t="s">
        <v>164</v>
      </c>
      <c r="B145" t="s">
        <v>115</v>
      </c>
      <c r="C145" s="14" t="s">
        <v>291</v>
      </c>
      <c r="D145" t="s">
        <v>366</v>
      </c>
      <c r="E145" t="s">
        <v>383</v>
      </c>
      <c r="F145" s="20">
        <v>2028</v>
      </c>
      <c r="G145" s="20">
        <v>53</v>
      </c>
      <c r="H145" s="11">
        <v>9702.4120514531005</v>
      </c>
      <c r="I145" s="10">
        <v>3556830.2098307102</v>
      </c>
      <c r="J145" s="34">
        <f t="shared" si="8"/>
        <v>2.7278254735456976E-3</v>
      </c>
      <c r="K145" s="34">
        <f t="shared" si="9"/>
        <v>2.7241083383054976E-3</v>
      </c>
      <c r="L145" s="34">
        <f t="shared" si="10"/>
        <v>0.97578995931341572</v>
      </c>
      <c r="M145" s="34">
        <f t="shared" si="11"/>
        <v>0.97313180174881531</v>
      </c>
    </row>
    <row r="146" spans="1:13" ht="69">
      <c r="A146" t="s">
        <v>164</v>
      </c>
      <c r="B146" t="s">
        <v>115</v>
      </c>
      <c r="C146" s="14" t="s">
        <v>291</v>
      </c>
      <c r="D146" t="s">
        <v>366</v>
      </c>
      <c r="E146" t="s">
        <v>383</v>
      </c>
      <c r="F146" s="20">
        <v>2028</v>
      </c>
      <c r="G146" s="20">
        <v>54</v>
      </c>
      <c r="H146" s="11">
        <v>10430.277685279199</v>
      </c>
      <c r="I146" s="10">
        <v>3484820.63165071</v>
      </c>
      <c r="J146" s="34">
        <f t="shared" si="8"/>
        <v>2.99306012784323E-3</v>
      </c>
      <c r="K146" s="34">
        <f t="shared" si="9"/>
        <v>2.9885853888796943E-3</v>
      </c>
      <c r="L146" s="34">
        <f t="shared" si="10"/>
        <v>0.97313180174881531</v>
      </c>
      <c r="M146" s="34">
        <f t="shared" si="11"/>
        <v>0.97022351426465459</v>
      </c>
    </row>
    <row r="147" spans="1:13" ht="69">
      <c r="A147" t="s">
        <v>164</v>
      </c>
      <c r="B147" t="s">
        <v>115</v>
      </c>
      <c r="C147" s="14" t="s">
        <v>291</v>
      </c>
      <c r="D147" t="s">
        <v>366</v>
      </c>
      <c r="E147" t="s">
        <v>383</v>
      </c>
      <c r="F147" s="20">
        <v>2028</v>
      </c>
      <c r="G147" s="20">
        <v>55</v>
      </c>
      <c r="H147" s="11">
        <v>11420.395757529701</v>
      </c>
      <c r="I147" s="10">
        <v>3413175.4175080401</v>
      </c>
      <c r="J147" s="34">
        <f t="shared" si="8"/>
        <v>3.3459738690687435E-3</v>
      </c>
      <c r="K147" s="34">
        <f t="shared" si="9"/>
        <v>3.3403823366148222E-3</v>
      </c>
      <c r="L147" s="34">
        <f t="shared" si="10"/>
        <v>0.97022351426465459</v>
      </c>
      <c r="M147" s="34">
        <f t="shared" si="11"/>
        <v>0.96698259677503662</v>
      </c>
    </row>
    <row r="148" spans="1:13" ht="69">
      <c r="A148" t="s">
        <v>164</v>
      </c>
      <c r="B148" t="s">
        <v>115</v>
      </c>
      <c r="C148" s="14" t="s">
        <v>291</v>
      </c>
      <c r="D148" t="s">
        <v>366</v>
      </c>
      <c r="E148" t="s">
        <v>383</v>
      </c>
      <c r="F148" s="20">
        <v>2028</v>
      </c>
      <c r="G148" s="20">
        <v>56</v>
      </c>
      <c r="H148" s="11">
        <v>12469.2507105036</v>
      </c>
      <c r="I148" s="10">
        <v>3319728.3020643401</v>
      </c>
      <c r="J148" s="34">
        <f t="shared" si="8"/>
        <v>3.7561057941849401E-3</v>
      </c>
      <c r="K148" s="34">
        <f t="shared" si="9"/>
        <v>3.7490604525928228E-3</v>
      </c>
      <c r="L148" s="34">
        <f t="shared" si="10"/>
        <v>0.96698259677503662</v>
      </c>
      <c r="M148" s="34">
        <f t="shared" si="11"/>
        <v>0.96335732056312184</v>
      </c>
    </row>
    <row r="149" spans="1:13" ht="69">
      <c r="A149" t="s">
        <v>164</v>
      </c>
      <c r="B149" t="s">
        <v>115</v>
      </c>
      <c r="C149" s="14" t="s">
        <v>291</v>
      </c>
      <c r="D149" t="s">
        <v>366</v>
      </c>
      <c r="E149" t="s">
        <v>383</v>
      </c>
      <c r="F149" s="20">
        <v>2028</v>
      </c>
      <c r="G149" s="20">
        <v>57</v>
      </c>
      <c r="H149" s="11">
        <v>13366.031899493801</v>
      </c>
      <c r="I149" s="10">
        <v>3236726.9594290298</v>
      </c>
      <c r="J149" s="34">
        <f t="shared" si="8"/>
        <v>4.12949008891736E-3</v>
      </c>
      <c r="K149" s="34">
        <f t="shared" si="9"/>
        <v>4.1209754690982869E-3</v>
      </c>
      <c r="L149" s="34">
        <f t="shared" si="10"/>
        <v>0.96335732056312184</v>
      </c>
      <c r="M149" s="34">
        <f t="shared" si="11"/>
        <v>0.95938734867710496</v>
      </c>
    </row>
    <row r="150" spans="1:13" ht="69">
      <c r="A150" t="s">
        <v>164</v>
      </c>
      <c r="B150" t="s">
        <v>115</v>
      </c>
      <c r="C150" s="14" t="s">
        <v>291</v>
      </c>
      <c r="D150" t="s">
        <v>366</v>
      </c>
      <c r="E150" t="s">
        <v>383</v>
      </c>
      <c r="F150" s="20">
        <v>2028</v>
      </c>
      <c r="G150" s="20">
        <v>58</v>
      </c>
      <c r="H150" s="11">
        <v>14273.4042974605</v>
      </c>
      <c r="I150" s="10">
        <v>3151255.8911897801</v>
      </c>
      <c r="J150" s="34">
        <f t="shared" si="8"/>
        <v>4.5294335941951924E-3</v>
      </c>
      <c r="K150" s="34">
        <f t="shared" si="9"/>
        <v>4.5191911798002637E-3</v>
      </c>
      <c r="L150" s="34">
        <f t="shared" si="10"/>
        <v>0.95938734867710496</v>
      </c>
      <c r="M150" s="34">
        <f t="shared" si="11"/>
        <v>0.95505169383295141</v>
      </c>
    </row>
    <row r="151" spans="1:13" ht="69">
      <c r="A151" t="s">
        <v>164</v>
      </c>
      <c r="B151" t="s">
        <v>115</v>
      </c>
      <c r="C151" s="14" t="s">
        <v>291</v>
      </c>
      <c r="D151" t="s">
        <v>366</v>
      </c>
      <c r="E151" t="s">
        <v>383</v>
      </c>
      <c r="F151" s="20">
        <v>2028</v>
      </c>
      <c r="G151" s="20">
        <v>59</v>
      </c>
      <c r="H151" s="11">
        <v>14518.493473730899</v>
      </c>
      <c r="I151" s="10">
        <v>3049715.6086956202</v>
      </c>
      <c r="J151" s="34">
        <f t="shared" si="8"/>
        <v>4.7606056880630052E-3</v>
      </c>
      <c r="K151" s="34">
        <f t="shared" si="9"/>
        <v>4.749291965315483E-3</v>
      </c>
      <c r="L151" s="34">
        <f t="shared" si="10"/>
        <v>0.95505169383295141</v>
      </c>
      <c r="M151" s="34">
        <f t="shared" si="11"/>
        <v>0.95051587449696961</v>
      </c>
    </row>
    <row r="152" spans="1:13" ht="69">
      <c r="A152" t="s">
        <v>164</v>
      </c>
      <c r="B152" t="s">
        <v>115</v>
      </c>
      <c r="C152" s="14" t="s">
        <v>291</v>
      </c>
      <c r="D152" t="s">
        <v>366</v>
      </c>
      <c r="E152" t="s">
        <v>383</v>
      </c>
      <c r="F152" s="20">
        <v>2028</v>
      </c>
      <c r="G152" s="20">
        <v>60</v>
      </c>
      <c r="H152" s="11">
        <v>15193.3894803245</v>
      </c>
      <c r="I152" s="10">
        <v>2941848.8676751899</v>
      </c>
      <c r="J152" s="34">
        <f t="shared" si="8"/>
        <v>5.1645717246960919E-3</v>
      </c>
      <c r="K152" s="34">
        <f t="shared" si="9"/>
        <v>5.1512582534660734E-3</v>
      </c>
      <c r="L152" s="34">
        <f t="shared" si="10"/>
        <v>0.95051587449696961</v>
      </c>
      <c r="M152" s="34">
        <f t="shared" si="11"/>
        <v>0.94561952175341657</v>
      </c>
    </row>
    <row r="153" spans="1:13" ht="69">
      <c r="A153" t="s">
        <v>164</v>
      </c>
      <c r="B153" t="s">
        <v>115</v>
      </c>
      <c r="C153" s="14" t="s">
        <v>291</v>
      </c>
      <c r="D153" t="s">
        <v>366</v>
      </c>
      <c r="E153" t="s">
        <v>383</v>
      </c>
      <c r="F153" s="20">
        <v>2028</v>
      </c>
      <c r="G153" s="20">
        <v>61</v>
      </c>
      <c r="H153" s="11">
        <v>16456.894841863701</v>
      </c>
      <c r="I153" s="10">
        <v>2836196.4706884599</v>
      </c>
      <c r="J153" s="34">
        <f t="shared" si="8"/>
        <v>5.8024523378202167E-3</v>
      </c>
      <c r="K153" s="34">
        <f t="shared" si="9"/>
        <v>5.7856506240091532E-3</v>
      </c>
      <c r="L153" s="34">
        <f t="shared" si="10"/>
        <v>0.94561952175341657</v>
      </c>
      <c r="M153" s="34">
        <f t="shared" si="11"/>
        <v>0.94014849757730867</v>
      </c>
    </row>
    <row r="154" spans="1:13" ht="69">
      <c r="A154" t="s">
        <v>164</v>
      </c>
      <c r="B154" t="s">
        <v>115</v>
      </c>
      <c r="C154" s="14" t="s">
        <v>291</v>
      </c>
      <c r="D154" t="s">
        <v>366</v>
      </c>
      <c r="E154" t="s">
        <v>383</v>
      </c>
      <c r="F154" s="20">
        <v>2028</v>
      </c>
      <c r="G154" s="20">
        <v>62</v>
      </c>
      <c r="H154" s="11">
        <v>17369.134887892698</v>
      </c>
      <c r="I154" s="10">
        <v>2717750.1725981501</v>
      </c>
      <c r="J154" s="34">
        <f t="shared" si="8"/>
        <v>6.3909976211271573E-3</v>
      </c>
      <c r="K154" s="34">
        <f t="shared" si="9"/>
        <v>6.3706186329638426E-3</v>
      </c>
      <c r="L154" s="34">
        <f t="shared" si="10"/>
        <v>0.94014849757730867</v>
      </c>
      <c r="M154" s="34">
        <f t="shared" si="11"/>
        <v>0.93415917004088966</v>
      </c>
    </row>
    <row r="155" spans="1:13" ht="69">
      <c r="A155" t="s">
        <v>164</v>
      </c>
      <c r="B155" t="s">
        <v>115</v>
      </c>
      <c r="C155" s="14" t="s">
        <v>291</v>
      </c>
      <c r="D155" t="s">
        <v>366</v>
      </c>
      <c r="E155" t="s">
        <v>383</v>
      </c>
      <c r="F155" s="20">
        <v>2028</v>
      </c>
      <c r="G155" s="20">
        <v>63</v>
      </c>
      <c r="H155" s="11">
        <v>18178.095115451</v>
      </c>
      <c r="I155" s="10">
        <v>2586957.4118849998</v>
      </c>
      <c r="J155" s="34">
        <f t="shared" si="8"/>
        <v>7.0268242654236189E-3</v>
      </c>
      <c r="K155" s="34">
        <f t="shared" si="9"/>
        <v>7.0021938607364165E-3</v>
      </c>
      <c r="L155" s="34">
        <f t="shared" si="10"/>
        <v>0.93415917004088966</v>
      </c>
      <c r="M155" s="34">
        <f t="shared" si="11"/>
        <v>0.92761800643547876</v>
      </c>
    </row>
    <row r="156" spans="1:13" ht="69">
      <c r="A156" t="s">
        <v>164</v>
      </c>
      <c r="B156" t="s">
        <v>115</v>
      </c>
      <c r="C156" s="14" t="s">
        <v>291</v>
      </c>
      <c r="D156" t="s">
        <v>366</v>
      </c>
      <c r="E156" t="s">
        <v>383</v>
      </c>
      <c r="F156" s="20">
        <v>2028</v>
      </c>
      <c r="G156" s="20">
        <v>64</v>
      </c>
      <c r="H156" s="11">
        <v>19349.351793228601</v>
      </c>
      <c r="I156" s="10">
        <v>2457660.5853421199</v>
      </c>
      <c r="J156" s="34">
        <f t="shared" si="8"/>
        <v>7.8730773112573905E-3</v>
      </c>
      <c r="K156" s="34">
        <f t="shared" si="9"/>
        <v>7.8421658141476502E-3</v>
      </c>
      <c r="L156" s="34">
        <f t="shared" si="10"/>
        <v>0.92761800643547876</v>
      </c>
      <c r="M156" s="34">
        <f t="shared" si="11"/>
        <v>0.92034347221682267</v>
      </c>
    </row>
    <row r="157" spans="1:13" ht="69">
      <c r="A157" t="s">
        <v>164</v>
      </c>
      <c r="B157" t="s">
        <v>115</v>
      </c>
      <c r="C157" s="14" t="s">
        <v>291</v>
      </c>
      <c r="D157" t="s">
        <v>366</v>
      </c>
      <c r="E157" t="s">
        <v>383</v>
      </c>
      <c r="F157" s="20">
        <v>2028</v>
      </c>
      <c r="G157" s="20">
        <v>65</v>
      </c>
      <c r="H157" s="11">
        <v>20224.0512657945</v>
      </c>
      <c r="I157" s="10">
        <v>2328614.4537868202</v>
      </c>
      <c r="J157" s="34">
        <f t="shared" si="8"/>
        <v>8.6850149164478096E-3</v>
      </c>
      <c r="K157" s="34">
        <f t="shared" si="9"/>
        <v>8.6474091221083738E-3</v>
      </c>
      <c r="L157" s="34">
        <f t="shared" si="10"/>
        <v>0.92034347221682267</v>
      </c>
      <c r="M157" s="34">
        <f t="shared" si="11"/>
        <v>0.912384885679702</v>
      </c>
    </row>
    <row r="158" spans="1:13" ht="69">
      <c r="A158" t="s">
        <v>164</v>
      </c>
      <c r="B158" t="s">
        <v>115</v>
      </c>
      <c r="C158" s="14" t="s">
        <v>291</v>
      </c>
      <c r="D158" t="s">
        <v>366</v>
      </c>
      <c r="E158" t="s">
        <v>383</v>
      </c>
      <c r="F158" s="20">
        <v>2028</v>
      </c>
      <c r="G158" s="20">
        <v>66</v>
      </c>
      <c r="H158" s="11">
        <v>20685.563976216101</v>
      </c>
      <c r="I158" s="10">
        <v>2199398.1677383501</v>
      </c>
      <c r="J158" s="34">
        <f t="shared" si="8"/>
        <v>9.4051019409037463E-3</v>
      </c>
      <c r="K158" s="34">
        <f t="shared" si="9"/>
        <v>9.3610123004305157E-3</v>
      </c>
      <c r="L158" s="34">
        <f t="shared" si="10"/>
        <v>0.912384885679702</v>
      </c>
      <c r="M158" s="34">
        <f t="shared" si="11"/>
        <v>0.90384403954212744</v>
      </c>
    </row>
    <row r="159" spans="1:13" ht="69">
      <c r="A159" t="s">
        <v>164</v>
      </c>
      <c r="B159" t="s">
        <v>115</v>
      </c>
      <c r="C159" s="14" t="s">
        <v>291</v>
      </c>
      <c r="D159" t="s">
        <v>366</v>
      </c>
      <c r="E159" t="s">
        <v>383</v>
      </c>
      <c r="F159" s="20">
        <v>2028</v>
      </c>
      <c r="G159" s="20">
        <v>67</v>
      </c>
      <c r="H159" s="11">
        <v>21200.084483314</v>
      </c>
      <c r="I159" s="10">
        <v>2069509.5901981301</v>
      </c>
      <c r="J159" s="34">
        <f t="shared" si="8"/>
        <v>1.0244013646384867E-2</v>
      </c>
      <c r="K159" s="34">
        <f t="shared" si="9"/>
        <v>1.0191722448165019E-2</v>
      </c>
      <c r="L159" s="34">
        <f t="shared" si="10"/>
        <v>0.90384403954212744</v>
      </c>
      <c r="M159" s="34">
        <f t="shared" si="11"/>
        <v>0.89463231195468584</v>
      </c>
    </row>
    <row r="160" spans="1:13" ht="69">
      <c r="A160" t="s">
        <v>164</v>
      </c>
      <c r="B160" t="s">
        <v>115</v>
      </c>
      <c r="C160" s="14" t="s">
        <v>291</v>
      </c>
      <c r="D160" t="s">
        <v>366</v>
      </c>
      <c r="E160" t="s">
        <v>383</v>
      </c>
      <c r="F160" s="20">
        <v>2028</v>
      </c>
      <c r="G160" s="20">
        <v>68</v>
      </c>
      <c r="H160" s="11">
        <v>21522.4141911529</v>
      </c>
      <c r="I160" s="10">
        <v>1935816.8400679601</v>
      </c>
      <c r="J160" s="34">
        <f t="shared" si="8"/>
        <v>1.1118001324132152E-2</v>
      </c>
      <c r="K160" s="34">
        <f t="shared" si="9"/>
        <v>1.1056424761451966E-2</v>
      </c>
      <c r="L160" s="34">
        <f t="shared" si="10"/>
        <v>0.89463231195468584</v>
      </c>
      <c r="M160" s="34">
        <f t="shared" si="11"/>
        <v>0.884740877108395</v>
      </c>
    </row>
    <row r="161" spans="1:13" ht="69">
      <c r="A161" t="s">
        <v>164</v>
      </c>
      <c r="B161" t="s">
        <v>115</v>
      </c>
      <c r="C161" s="14" t="s">
        <v>291</v>
      </c>
      <c r="D161" t="s">
        <v>366</v>
      </c>
      <c r="E161" t="s">
        <v>383</v>
      </c>
      <c r="F161" s="20">
        <v>2028</v>
      </c>
      <c r="G161" s="20">
        <v>69</v>
      </c>
      <c r="H161" s="11">
        <v>20976.144618767699</v>
      </c>
      <c r="I161" s="10">
        <v>1798233.88901013</v>
      </c>
      <c r="J161" s="34">
        <f t="shared" si="8"/>
        <v>1.1664858919055514E-2</v>
      </c>
      <c r="K161" s="34">
        <f t="shared" si="9"/>
        <v>1.1597088220088536E-2</v>
      </c>
      <c r="L161" s="34">
        <f t="shared" si="10"/>
        <v>0.884740877108395</v>
      </c>
      <c r="M161" s="34">
        <f t="shared" si="11"/>
        <v>0.87448045910465044</v>
      </c>
    </row>
    <row r="162" spans="1:13" ht="69">
      <c r="A162" t="s">
        <v>164</v>
      </c>
      <c r="B162" t="s">
        <v>115</v>
      </c>
      <c r="C162" s="14" t="s">
        <v>291</v>
      </c>
      <c r="D162" t="s">
        <v>366</v>
      </c>
      <c r="E162" t="s">
        <v>383</v>
      </c>
      <c r="F162" s="20">
        <v>2029</v>
      </c>
      <c r="G162" s="20">
        <v>30</v>
      </c>
      <c r="H162" s="11">
        <v>867.20041510343594</v>
      </c>
      <c r="I162" s="10">
        <v>4383726.9681673003</v>
      </c>
      <c r="J162" s="34">
        <f t="shared" si="8"/>
        <v>1.9782263389135876E-4</v>
      </c>
      <c r="K162" s="34">
        <f t="shared" si="9"/>
        <v>1.9780306828431904E-4</v>
      </c>
      <c r="L162" s="34">
        <f t="shared" si="10"/>
        <v>1</v>
      </c>
      <c r="M162" s="34">
        <f t="shared" si="11"/>
        <v>0.99980219693171568</v>
      </c>
    </row>
    <row r="163" spans="1:13" ht="69">
      <c r="A163" t="s">
        <v>164</v>
      </c>
      <c r="B163" t="s">
        <v>115</v>
      </c>
      <c r="C163" s="14" t="s">
        <v>291</v>
      </c>
      <c r="D163" t="s">
        <v>366</v>
      </c>
      <c r="E163" t="s">
        <v>383</v>
      </c>
      <c r="F163" s="20">
        <v>2029</v>
      </c>
      <c r="G163" s="20">
        <v>31</v>
      </c>
      <c r="H163" s="11">
        <v>1270.62265420371</v>
      </c>
      <c r="I163" s="10">
        <v>4427570.8414062196</v>
      </c>
      <c r="J163" s="34">
        <f t="shared" si="8"/>
        <v>2.8697963278666674E-4</v>
      </c>
      <c r="K163" s="34">
        <f t="shared" si="9"/>
        <v>2.8693845807070684E-4</v>
      </c>
      <c r="L163" s="34">
        <f t="shared" si="10"/>
        <v>0.99980219693171568</v>
      </c>
      <c r="M163" s="34">
        <f t="shared" si="11"/>
        <v>0.99951531523095238</v>
      </c>
    </row>
    <row r="164" spans="1:13" ht="69">
      <c r="A164" t="s">
        <v>164</v>
      </c>
      <c r="B164" t="s">
        <v>115</v>
      </c>
      <c r="C164" s="14" t="s">
        <v>291</v>
      </c>
      <c r="D164" t="s">
        <v>366</v>
      </c>
      <c r="E164" t="s">
        <v>383</v>
      </c>
      <c r="F164" s="20">
        <v>2029</v>
      </c>
      <c r="G164" s="20">
        <v>32</v>
      </c>
      <c r="H164" s="11">
        <v>1317.9117517064301</v>
      </c>
      <c r="I164" s="10">
        <v>4425180.4230532805</v>
      </c>
      <c r="J164" s="34">
        <f t="shared" si="8"/>
        <v>2.9782102100078871E-4</v>
      </c>
      <c r="K164" s="34">
        <f t="shared" si="9"/>
        <v>2.9777667672281627E-4</v>
      </c>
      <c r="L164" s="34">
        <f t="shared" si="10"/>
        <v>0.99951531523095238</v>
      </c>
      <c r="M164" s="34">
        <f t="shared" si="11"/>
        <v>0.99921768288204937</v>
      </c>
    </row>
    <row r="165" spans="1:13" ht="69">
      <c r="A165" t="s">
        <v>164</v>
      </c>
      <c r="B165" t="s">
        <v>115</v>
      </c>
      <c r="C165" s="14" t="s">
        <v>291</v>
      </c>
      <c r="D165" t="s">
        <v>366</v>
      </c>
      <c r="E165" t="s">
        <v>383</v>
      </c>
      <c r="F165" s="20">
        <v>2029</v>
      </c>
      <c r="G165" s="20">
        <v>33</v>
      </c>
      <c r="H165" s="11">
        <v>1355.2006224296799</v>
      </c>
      <c r="I165" s="10">
        <v>4363598.7957883002</v>
      </c>
      <c r="J165" s="34">
        <f t="shared" si="8"/>
        <v>3.105694830921911E-4</v>
      </c>
      <c r="K165" s="34">
        <f t="shared" si="9"/>
        <v>3.1052126138242375E-4</v>
      </c>
      <c r="L165" s="34">
        <f t="shared" si="10"/>
        <v>0.99921768288204937</v>
      </c>
      <c r="M165" s="34">
        <f t="shared" si="11"/>
        <v>0.99890740454676519</v>
      </c>
    </row>
    <row r="166" spans="1:13" ht="69">
      <c r="A166" t="s">
        <v>164</v>
      </c>
      <c r="B166" t="s">
        <v>115</v>
      </c>
      <c r="C166" s="14" t="s">
        <v>291</v>
      </c>
      <c r="D166" t="s">
        <v>366</v>
      </c>
      <c r="E166" t="s">
        <v>383</v>
      </c>
      <c r="F166" s="20">
        <v>2029</v>
      </c>
      <c r="G166" s="20">
        <v>34</v>
      </c>
      <c r="H166" s="11">
        <v>1398.26244316202</v>
      </c>
      <c r="I166" s="10">
        <v>4300105.0841627996</v>
      </c>
      <c r="J166" s="34">
        <f t="shared" si="8"/>
        <v>3.2516936581661511E-4</v>
      </c>
      <c r="K166" s="34">
        <f t="shared" si="9"/>
        <v>3.251165039882542E-4</v>
      </c>
      <c r="L166" s="34">
        <f t="shared" si="10"/>
        <v>0.99890740454676519</v>
      </c>
      <c r="M166" s="34">
        <f t="shared" si="11"/>
        <v>0.99858264326359092</v>
      </c>
    </row>
    <row r="167" spans="1:13" ht="69">
      <c r="A167" t="s">
        <v>164</v>
      </c>
      <c r="B167" t="s">
        <v>115</v>
      </c>
      <c r="C167" s="14" t="s">
        <v>291</v>
      </c>
      <c r="D167" t="s">
        <v>366</v>
      </c>
      <c r="E167" t="s">
        <v>383</v>
      </c>
      <c r="F167" s="20">
        <v>2029</v>
      </c>
      <c r="G167" s="20">
        <v>35</v>
      </c>
      <c r="H167" s="11">
        <v>1477.63376695585</v>
      </c>
      <c r="I167" s="10">
        <v>4246301.6383574102</v>
      </c>
      <c r="J167" s="34">
        <f t="shared" si="8"/>
        <v>3.4798134772343693E-4</v>
      </c>
      <c r="K167" s="34">
        <f t="shared" si="9"/>
        <v>3.479208092365127E-4</v>
      </c>
      <c r="L167" s="34">
        <f t="shared" si="10"/>
        <v>0.99858264326359092</v>
      </c>
      <c r="M167" s="34">
        <f t="shared" si="11"/>
        <v>0.99823521558225714</v>
      </c>
    </row>
    <row r="168" spans="1:13" ht="69">
      <c r="A168" t="s">
        <v>164</v>
      </c>
      <c r="B168" t="s">
        <v>115</v>
      </c>
      <c r="C168" s="14" t="s">
        <v>291</v>
      </c>
      <c r="D168" t="s">
        <v>366</v>
      </c>
      <c r="E168" t="s">
        <v>383</v>
      </c>
      <c r="F168" s="20">
        <v>2029</v>
      </c>
      <c r="G168" s="20">
        <v>36</v>
      </c>
      <c r="H168" s="11">
        <v>1939.38966961079</v>
      </c>
      <c r="I168" s="10">
        <v>4195144.6960285101</v>
      </c>
      <c r="J168" s="34">
        <f t="shared" si="8"/>
        <v>4.6229386830132116E-4</v>
      </c>
      <c r="K168" s="34">
        <f t="shared" si="9"/>
        <v>4.6218702695566272E-4</v>
      </c>
      <c r="L168" s="34">
        <f t="shared" si="10"/>
        <v>0.99823521558225714</v>
      </c>
      <c r="M168" s="34">
        <f t="shared" si="11"/>
        <v>0.99777384421576476</v>
      </c>
    </row>
    <row r="169" spans="1:13" ht="69">
      <c r="A169" t="s">
        <v>164</v>
      </c>
      <c r="B169" t="s">
        <v>115</v>
      </c>
      <c r="C169" s="14" t="s">
        <v>291</v>
      </c>
      <c r="D169" t="s">
        <v>366</v>
      </c>
      <c r="E169" t="s">
        <v>383</v>
      </c>
      <c r="F169" s="20">
        <v>2029</v>
      </c>
      <c r="G169" s="20">
        <v>37</v>
      </c>
      <c r="H169" s="11">
        <v>2100.29071072749</v>
      </c>
      <c r="I169" s="10">
        <v>4179194.8668402098</v>
      </c>
      <c r="J169" s="34">
        <f t="shared" si="8"/>
        <v>5.0255869315695974E-4</v>
      </c>
      <c r="K169" s="34">
        <f t="shared" si="9"/>
        <v>5.0243243168912599E-4</v>
      </c>
      <c r="L169" s="34">
        <f t="shared" si="10"/>
        <v>0.99777384421576476</v>
      </c>
      <c r="M169" s="34">
        <f t="shared" si="11"/>
        <v>0.99727253027693963</v>
      </c>
    </row>
    <row r="170" spans="1:13" ht="69">
      <c r="A170" t="s">
        <v>164</v>
      </c>
      <c r="B170" t="s">
        <v>115</v>
      </c>
      <c r="C170" s="14" t="s">
        <v>291</v>
      </c>
      <c r="D170" t="s">
        <v>366</v>
      </c>
      <c r="E170" t="s">
        <v>383</v>
      </c>
      <c r="F170" s="20">
        <v>2029</v>
      </c>
      <c r="G170" s="20">
        <v>38</v>
      </c>
      <c r="H170" s="11">
        <v>2298.6464882724599</v>
      </c>
      <c r="I170" s="10">
        <v>4157529.58249564</v>
      </c>
      <c r="J170" s="34">
        <f t="shared" si="8"/>
        <v>5.5288758448055386E-4</v>
      </c>
      <c r="K170" s="34">
        <f t="shared" si="9"/>
        <v>5.5273477030437501E-4</v>
      </c>
      <c r="L170" s="34">
        <f t="shared" si="10"/>
        <v>0.99727253027693963</v>
      </c>
      <c r="M170" s="34">
        <f t="shared" si="11"/>
        <v>0.9967213030739861</v>
      </c>
    </row>
    <row r="171" spans="1:13" ht="69">
      <c r="A171" t="s">
        <v>164</v>
      </c>
      <c r="B171" t="s">
        <v>115</v>
      </c>
      <c r="C171" s="14" t="s">
        <v>291</v>
      </c>
      <c r="D171" t="s">
        <v>366</v>
      </c>
      <c r="E171" t="s">
        <v>383</v>
      </c>
      <c r="F171" s="20">
        <v>2029</v>
      </c>
      <c r="G171" s="20">
        <v>39</v>
      </c>
      <c r="H171" s="11">
        <v>2428.06378209893</v>
      </c>
      <c r="I171" s="10">
        <v>4139371.9979002499</v>
      </c>
      <c r="J171" s="34">
        <f t="shared" si="8"/>
        <v>5.8657781502377581E-4</v>
      </c>
      <c r="K171" s="34">
        <f t="shared" si="9"/>
        <v>5.8640581188995622E-4</v>
      </c>
      <c r="L171" s="34">
        <f t="shared" si="10"/>
        <v>0.9967213030739861</v>
      </c>
      <c r="M171" s="34">
        <f t="shared" si="11"/>
        <v>0.99613681990902903</v>
      </c>
    </row>
    <row r="172" spans="1:13" ht="69">
      <c r="A172" t="s">
        <v>164</v>
      </c>
      <c r="B172" t="s">
        <v>115</v>
      </c>
      <c r="C172" s="14" t="s">
        <v>291</v>
      </c>
      <c r="D172" t="s">
        <v>366</v>
      </c>
      <c r="E172" t="s">
        <v>383</v>
      </c>
      <c r="F172" s="20">
        <v>2029</v>
      </c>
      <c r="G172" s="20">
        <v>40</v>
      </c>
      <c r="H172" s="11">
        <v>2655.3407336458199</v>
      </c>
      <c r="I172" s="10">
        <v>4144439.23517418</v>
      </c>
      <c r="J172" s="34">
        <f t="shared" si="8"/>
        <v>6.4069964185015321E-4</v>
      </c>
      <c r="K172" s="34">
        <f t="shared" si="9"/>
        <v>6.4049443766167613E-4</v>
      </c>
      <c r="L172" s="34">
        <f t="shared" si="10"/>
        <v>0.99613681990902903</v>
      </c>
      <c r="M172" s="34">
        <f t="shared" si="11"/>
        <v>0.99549879981672729</v>
      </c>
    </row>
    <row r="173" spans="1:13" ht="69">
      <c r="A173" t="s">
        <v>164</v>
      </c>
      <c r="B173" t="s">
        <v>115</v>
      </c>
      <c r="C173" s="14" t="s">
        <v>291</v>
      </c>
      <c r="D173" t="s">
        <v>366</v>
      </c>
      <c r="E173" t="s">
        <v>383</v>
      </c>
      <c r="F173" s="20">
        <v>2029</v>
      </c>
      <c r="G173" s="20">
        <v>41</v>
      </c>
      <c r="H173" s="11">
        <v>3551.6166807172499</v>
      </c>
      <c r="I173" s="10">
        <v>4103759.38710842</v>
      </c>
      <c r="J173" s="34">
        <f t="shared" si="8"/>
        <v>8.6545441525502805E-4</v>
      </c>
      <c r="K173" s="34">
        <f t="shared" si="9"/>
        <v>8.6508001759844078E-4</v>
      </c>
      <c r="L173" s="34">
        <f t="shared" si="10"/>
        <v>0.99549879981672729</v>
      </c>
      <c r="M173" s="34">
        <f t="shared" si="11"/>
        <v>0.99463761369746262</v>
      </c>
    </row>
    <row r="174" spans="1:13" ht="69">
      <c r="A174" t="s">
        <v>164</v>
      </c>
      <c r="B174" t="s">
        <v>115</v>
      </c>
      <c r="C174" s="14" t="s">
        <v>291</v>
      </c>
      <c r="D174" t="s">
        <v>366</v>
      </c>
      <c r="E174" t="s">
        <v>383</v>
      </c>
      <c r="F174" s="20">
        <v>2029</v>
      </c>
      <c r="G174" s="20">
        <v>42</v>
      </c>
      <c r="H174" s="11">
        <v>3965.2502046153099</v>
      </c>
      <c r="I174" s="10">
        <v>4054484.9522860101</v>
      </c>
      <c r="J174" s="34">
        <f t="shared" si="8"/>
        <v>9.7799110152810222E-4</v>
      </c>
      <c r="K174" s="34">
        <f t="shared" si="9"/>
        <v>9.7751302409532226E-4</v>
      </c>
      <c r="L174" s="34">
        <f t="shared" si="10"/>
        <v>0.99463761369746262</v>
      </c>
      <c r="M174" s="34">
        <f t="shared" si="11"/>
        <v>0.99366534247581828</v>
      </c>
    </row>
    <row r="175" spans="1:13" ht="69">
      <c r="A175" t="s">
        <v>164</v>
      </c>
      <c r="B175" t="s">
        <v>115</v>
      </c>
      <c r="C175" s="14" t="s">
        <v>291</v>
      </c>
      <c r="D175" t="s">
        <v>366</v>
      </c>
      <c r="E175" t="s">
        <v>383</v>
      </c>
      <c r="F175" s="20">
        <v>2029</v>
      </c>
      <c r="G175" s="20">
        <v>43</v>
      </c>
      <c r="H175" s="11">
        <v>4508.0246705467698</v>
      </c>
      <c r="I175" s="10">
        <v>4067123.7978050201</v>
      </c>
      <c r="J175" s="34">
        <f t="shared" si="8"/>
        <v>1.1084060615464174E-3</v>
      </c>
      <c r="K175" s="34">
        <f t="shared" si="9"/>
        <v>1.1077920064428426E-3</v>
      </c>
      <c r="L175" s="34">
        <f t="shared" si="10"/>
        <v>0.99366534247581828</v>
      </c>
      <c r="M175" s="34">
        <f t="shared" si="11"/>
        <v>0.99256456795234427</v>
      </c>
    </row>
    <row r="176" spans="1:13" ht="69">
      <c r="A176" t="s">
        <v>164</v>
      </c>
      <c r="B176" t="s">
        <v>115</v>
      </c>
      <c r="C176" s="14" t="s">
        <v>291</v>
      </c>
      <c r="D176" t="s">
        <v>366</v>
      </c>
      <c r="E176" t="s">
        <v>383</v>
      </c>
      <c r="F176" s="20">
        <v>2029</v>
      </c>
      <c r="G176" s="20">
        <v>44</v>
      </c>
      <c r="H176" s="11">
        <v>4894.4847243287604</v>
      </c>
      <c r="I176" s="10">
        <v>4136616.7894611</v>
      </c>
      <c r="J176" s="34">
        <f t="shared" si="8"/>
        <v>1.1832096066521048E-3</v>
      </c>
      <c r="K176" s="34">
        <f t="shared" si="9"/>
        <v>1.1825098901631081E-3</v>
      </c>
      <c r="L176" s="34">
        <f t="shared" si="10"/>
        <v>0.99256456795234427</v>
      </c>
      <c r="M176" s="34">
        <f t="shared" si="11"/>
        <v>0.99139085053411513</v>
      </c>
    </row>
    <row r="177" spans="1:13" ht="69">
      <c r="A177" t="s">
        <v>164</v>
      </c>
      <c r="B177" t="s">
        <v>115</v>
      </c>
      <c r="C177" s="14" t="s">
        <v>291</v>
      </c>
      <c r="D177" t="s">
        <v>366</v>
      </c>
      <c r="E177" t="s">
        <v>383</v>
      </c>
      <c r="F177" s="20">
        <v>2029</v>
      </c>
      <c r="G177" s="20">
        <v>45</v>
      </c>
      <c r="H177" s="11">
        <v>5416.5927315743802</v>
      </c>
      <c r="I177" s="10">
        <v>4164549.24597015</v>
      </c>
      <c r="J177" s="34">
        <f t="shared" si="8"/>
        <v>1.3006432177061604E-3</v>
      </c>
      <c r="K177" s="34">
        <f t="shared" si="9"/>
        <v>1.2997977479075606E-3</v>
      </c>
      <c r="L177" s="34">
        <f t="shared" si="10"/>
        <v>0.99139085053411513</v>
      </c>
      <c r="M177" s="34">
        <f t="shared" si="11"/>
        <v>0.99010224293929472</v>
      </c>
    </row>
    <row r="178" spans="1:13" ht="69">
      <c r="A178" t="s">
        <v>164</v>
      </c>
      <c r="B178" t="s">
        <v>115</v>
      </c>
      <c r="C178" s="14" t="s">
        <v>291</v>
      </c>
      <c r="D178" t="s">
        <v>366</v>
      </c>
      <c r="E178" t="s">
        <v>383</v>
      </c>
      <c r="F178" s="20">
        <v>2029</v>
      </c>
      <c r="G178" s="20">
        <v>46</v>
      </c>
      <c r="H178" s="11">
        <v>6625.39438709141</v>
      </c>
      <c r="I178" s="10">
        <v>4133152.7514903899</v>
      </c>
      <c r="J178" s="34">
        <f t="shared" si="8"/>
        <v>1.6029880300703458E-3</v>
      </c>
      <c r="K178" s="34">
        <f t="shared" si="9"/>
        <v>1.6017039309815795E-3</v>
      </c>
      <c r="L178" s="34">
        <f t="shared" si="10"/>
        <v>0.99010224293929472</v>
      </c>
      <c r="M178" s="34">
        <f t="shared" si="11"/>
        <v>0.98851639228470523</v>
      </c>
    </row>
    <row r="179" spans="1:13" ht="69">
      <c r="A179" t="s">
        <v>164</v>
      </c>
      <c r="B179" t="s">
        <v>115</v>
      </c>
      <c r="C179" s="14" t="s">
        <v>291</v>
      </c>
      <c r="D179" t="s">
        <v>366</v>
      </c>
      <c r="E179" t="s">
        <v>383</v>
      </c>
      <c r="F179" s="20">
        <v>2029</v>
      </c>
      <c r="G179" s="20">
        <v>47</v>
      </c>
      <c r="H179" s="11">
        <v>7060.4852011209296</v>
      </c>
      <c r="I179" s="10">
        <v>4077215.7694958998</v>
      </c>
      <c r="J179" s="34">
        <f t="shared" si="8"/>
        <v>1.7316928022168118E-3</v>
      </c>
      <c r="K179" s="34">
        <f t="shared" si="9"/>
        <v>1.7301942873501064E-3</v>
      </c>
      <c r="L179" s="34">
        <f t="shared" si="10"/>
        <v>0.98851639228470523</v>
      </c>
      <c r="M179" s="34">
        <f t="shared" si="11"/>
        <v>0.98680606686982231</v>
      </c>
    </row>
    <row r="180" spans="1:13" ht="69">
      <c r="A180" t="s">
        <v>164</v>
      </c>
      <c r="B180" t="s">
        <v>115</v>
      </c>
      <c r="C180" s="14" t="s">
        <v>291</v>
      </c>
      <c r="D180" t="s">
        <v>366</v>
      </c>
      <c r="E180" t="s">
        <v>383</v>
      </c>
      <c r="F180" s="20">
        <v>2029</v>
      </c>
      <c r="G180" s="20">
        <v>48</v>
      </c>
      <c r="H180" s="11">
        <v>7485.4930170344096</v>
      </c>
      <c r="I180" s="10">
        <v>4013880.6263648001</v>
      </c>
      <c r="J180" s="34">
        <f t="shared" si="8"/>
        <v>1.8649017531479754E-3</v>
      </c>
      <c r="K180" s="34">
        <f t="shared" si="9"/>
        <v>1.8631639043471537E-3</v>
      </c>
      <c r="L180" s="34">
        <f t="shared" si="10"/>
        <v>0.98680606686982231</v>
      </c>
      <c r="M180" s="34">
        <f t="shared" si="11"/>
        <v>0.98496748542543966</v>
      </c>
    </row>
    <row r="181" spans="1:13" ht="69">
      <c r="A181" t="s">
        <v>164</v>
      </c>
      <c r="B181" t="s">
        <v>115</v>
      </c>
      <c r="C181" s="14" t="s">
        <v>291</v>
      </c>
      <c r="D181" t="s">
        <v>366</v>
      </c>
      <c r="E181" t="s">
        <v>383</v>
      </c>
      <c r="F181" s="20">
        <v>2029</v>
      </c>
      <c r="G181" s="20">
        <v>49</v>
      </c>
      <c r="H181" s="11">
        <v>7729.1600079380496</v>
      </c>
      <c r="I181" s="10">
        <v>3955740.91204745</v>
      </c>
      <c r="J181" s="34">
        <f t="shared" si="8"/>
        <v>1.953909565815704E-3</v>
      </c>
      <c r="K181" s="34">
        <f t="shared" si="9"/>
        <v>1.9520019271733746E-3</v>
      </c>
      <c r="L181" s="34">
        <f t="shared" si="10"/>
        <v>0.98496748542543966</v>
      </c>
      <c r="M181" s="34">
        <f t="shared" si="11"/>
        <v>0.98304482699568607</v>
      </c>
    </row>
    <row r="182" spans="1:13" ht="69">
      <c r="A182" t="s">
        <v>164</v>
      </c>
      <c r="B182" t="s">
        <v>115</v>
      </c>
      <c r="C182" s="14" t="s">
        <v>291</v>
      </c>
      <c r="D182" t="s">
        <v>366</v>
      </c>
      <c r="E182" t="s">
        <v>383</v>
      </c>
      <c r="F182" s="20">
        <v>2029</v>
      </c>
      <c r="G182" s="20">
        <v>50</v>
      </c>
      <c r="H182" s="11">
        <v>8050.8887896327296</v>
      </c>
      <c r="I182" s="10">
        <v>3884196.7138958899</v>
      </c>
      <c r="J182" s="34">
        <f t="shared" si="8"/>
        <v>2.0727294168264728E-3</v>
      </c>
      <c r="K182" s="34">
        <f t="shared" si="9"/>
        <v>2.0705827965858958E-3</v>
      </c>
      <c r="L182" s="34">
        <f t="shared" si="10"/>
        <v>0.98304482699568607</v>
      </c>
      <c r="M182" s="34">
        <f t="shared" si="11"/>
        <v>0.98100935128863609</v>
      </c>
    </row>
    <row r="183" spans="1:13" ht="69">
      <c r="A183" t="s">
        <v>164</v>
      </c>
      <c r="B183" t="s">
        <v>115</v>
      </c>
      <c r="C183" s="14" t="s">
        <v>291</v>
      </c>
      <c r="D183" t="s">
        <v>366</v>
      </c>
      <c r="E183" t="s">
        <v>383</v>
      </c>
      <c r="F183" s="20">
        <v>2029</v>
      </c>
      <c r="G183" s="20">
        <v>51</v>
      </c>
      <c r="H183" s="11">
        <v>8826.7352449100508</v>
      </c>
      <c r="I183" s="10">
        <v>3788354.6154198898</v>
      </c>
      <c r="J183" s="34">
        <f t="shared" si="8"/>
        <v>2.3299654179633135E-3</v>
      </c>
      <c r="K183" s="34">
        <f t="shared" si="9"/>
        <v>2.3272531554404674E-3</v>
      </c>
      <c r="L183" s="34">
        <f t="shared" si="10"/>
        <v>0.98100935128863609</v>
      </c>
      <c r="M183" s="34">
        <f t="shared" si="11"/>
        <v>0.97872629418033297</v>
      </c>
    </row>
    <row r="184" spans="1:13" ht="69">
      <c r="A184" t="s">
        <v>164</v>
      </c>
      <c r="B184" t="s">
        <v>115</v>
      </c>
      <c r="C184" s="14" t="s">
        <v>291</v>
      </c>
      <c r="D184" t="s">
        <v>366</v>
      </c>
      <c r="E184" t="s">
        <v>383</v>
      </c>
      <c r="F184" s="20">
        <v>2029</v>
      </c>
      <c r="G184" s="20">
        <v>52</v>
      </c>
      <c r="H184" s="11">
        <v>9181.5901711100305</v>
      </c>
      <c r="I184" s="10">
        <v>3696786.4525116999</v>
      </c>
      <c r="J184" s="34">
        <f t="shared" si="8"/>
        <v>2.4836679881446227E-3</v>
      </c>
      <c r="K184" s="34">
        <f t="shared" si="9"/>
        <v>2.4805862366841236E-3</v>
      </c>
      <c r="L184" s="34">
        <f t="shared" si="10"/>
        <v>0.97872629418033297</v>
      </c>
      <c r="M184" s="34">
        <f t="shared" si="11"/>
        <v>0.97629847920550838</v>
      </c>
    </row>
    <row r="185" spans="1:13" ht="69">
      <c r="A185" t="s">
        <v>164</v>
      </c>
      <c r="B185" t="s">
        <v>115</v>
      </c>
      <c r="C185" s="14" t="s">
        <v>291</v>
      </c>
      <c r="D185" t="s">
        <v>366</v>
      </c>
      <c r="E185" t="s">
        <v>383</v>
      </c>
      <c r="F185" s="20">
        <v>2029</v>
      </c>
      <c r="G185" s="20">
        <v>53</v>
      </c>
      <c r="H185" s="11">
        <v>9722.1880975623608</v>
      </c>
      <c r="I185" s="10">
        <v>3620412.0530899498</v>
      </c>
      <c r="J185" s="34">
        <f t="shared" si="8"/>
        <v>2.685381651313603E-3</v>
      </c>
      <c r="K185" s="34">
        <f t="shared" si="9"/>
        <v>2.6817792393454276E-3</v>
      </c>
      <c r="L185" s="34">
        <f t="shared" si="10"/>
        <v>0.97629847920550838</v>
      </c>
      <c r="M185" s="34">
        <f t="shared" si="11"/>
        <v>0.97368026221257054</v>
      </c>
    </row>
    <row r="186" spans="1:13" ht="69">
      <c r="A186" t="s">
        <v>164</v>
      </c>
      <c r="B186" t="s">
        <v>115</v>
      </c>
      <c r="C186" s="14" t="s">
        <v>291</v>
      </c>
      <c r="D186" t="s">
        <v>366</v>
      </c>
      <c r="E186" t="s">
        <v>383</v>
      </c>
      <c r="F186" s="20">
        <v>2029</v>
      </c>
      <c r="G186" s="20">
        <v>54</v>
      </c>
      <c r="H186" s="11">
        <v>10342.655625290199</v>
      </c>
      <c r="I186" s="10">
        <v>3531376.4211948998</v>
      </c>
      <c r="J186" s="34">
        <f t="shared" si="8"/>
        <v>2.9287887757348139E-3</v>
      </c>
      <c r="K186" s="34">
        <f t="shared" si="9"/>
        <v>2.9245040579202186E-3</v>
      </c>
      <c r="L186" s="34">
        <f t="shared" si="10"/>
        <v>0.97368026221257054</v>
      </c>
      <c r="M186" s="34">
        <f t="shared" si="11"/>
        <v>0.97083273033461304</v>
      </c>
    </row>
    <row r="187" spans="1:13" ht="69">
      <c r="A187" t="s">
        <v>164</v>
      </c>
      <c r="B187" t="s">
        <v>115</v>
      </c>
      <c r="C187" s="14" t="s">
        <v>291</v>
      </c>
      <c r="D187" t="s">
        <v>366</v>
      </c>
      <c r="E187" t="s">
        <v>383</v>
      </c>
      <c r="F187" s="20">
        <v>2029</v>
      </c>
      <c r="G187" s="20">
        <v>55</v>
      </c>
      <c r="H187" s="11">
        <v>11146.895966149399</v>
      </c>
      <c r="I187" s="10">
        <v>3457555.0370827601</v>
      </c>
      <c r="J187" s="34">
        <f t="shared" si="8"/>
        <v>3.2239243762130711E-3</v>
      </c>
      <c r="K187" s="34">
        <f t="shared" si="9"/>
        <v>3.2187331122672802E-3</v>
      </c>
      <c r="L187" s="34">
        <f t="shared" si="10"/>
        <v>0.97083273033461304</v>
      </c>
      <c r="M187" s="34">
        <f t="shared" si="11"/>
        <v>0.96770787887901222</v>
      </c>
    </row>
    <row r="188" spans="1:13" ht="69">
      <c r="A188" t="s">
        <v>164</v>
      </c>
      <c r="B188" t="s">
        <v>115</v>
      </c>
      <c r="C188" s="14" t="s">
        <v>291</v>
      </c>
      <c r="D188" t="s">
        <v>366</v>
      </c>
      <c r="E188" t="s">
        <v>383</v>
      </c>
      <c r="F188" s="20">
        <v>2029</v>
      </c>
      <c r="G188" s="20">
        <v>56</v>
      </c>
      <c r="H188" s="11">
        <v>12296.230828423701</v>
      </c>
      <c r="I188" s="10">
        <v>3383768.8612978202</v>
      </c>
      <c r="J188" s="34">
        <f t="shared" si="8"/>
        <v>3.6338861584380116E-3</v>
      </c>
      <c r="K188" s="34">
        <f t="shared" si="9"/>
        <v>3.6272915845271259E-3</v>
      </c>
      <c r="L188" s="34">
        <f t="shared" si="10"/>
        <v>0.96770787887901222</v>
      </c>
      <c r="M188" s="34">
        <f t="shared" si="11"/>
        <v>0.96419772023367378</v>
      </c>
    </row>
    <row r="189" spans="1:13" ht="69">
      <c r="A189" t="s">
        <v>164</v>
      </c>
      <c r="B189" t="s">
        <v>115</v>
      </c>
      <c r="C189" s="14" t="s">
        <v>291</v>
      </c>
      <c r="D189" t="s">
        <v>366</v>
      </c>
      <c r="E189" t="s">
        <v>383</v>
      </c>
      <c r="F189" s="20">
        <v>2029</v>
      </c>
      <c r="G189" s="20">
        <v>57</v>
      </c>
      <c r="H189" s="11">
        <v>13211.310287255799</v>
      </c>
      <c r="I189" s="10">
        <v>3288356.9622603301</v>
      </c>
      <c r="J189" s="34">
        <f t="shared" si="8"/>
        <v>4.0176022368857093E-3</v>
      </c>
      <c r="K189" s="34">
        <f t="shared" si="9"/>
        <v>4.0095424702769611E-3</v>
      </c>
      <c r="L189" s="34">
        <f t="shared" si="10"/>
        <v>0.96419772023367378</v>
      </c>
      <c r="M189" s="34">
        <f t="shared" si="11"/>
        <v>0.96033172852465265</v>
      </c>
    </row>
    <row r="190" spans="1:13" ht="69">
      <c r="A190" t="s">
        <v>164</v>
      </c>
      <c r="B190" t="s">
        <v>115</v>
      </c>
      <c r="C190" s="14" t="s">
        <v>291</v>
      </c>
      <c r="D190" t="s">
        <v>366</v>
      </c>
      <c r="E190" t="s">
        <v>383</v>
      </c>
      <c r="F190" s="20">
        <v>2029</v>
      </c>
      <c r="G190" s="20">
        <v>58</v>
      </c>
      <c r="H190" s="11">
        <v>14127.2493716361</v>
      </c>
      <c r="I190" s="10">
        <v>3203232.2316143601</v>
      </c>
      <c r="J190" s="34">
        <f t="shared" si="8"/>
        <v>4.4103106956176795E-3</v>
      </c>
      <c r="K190" s="34">
        <f t="shared" si="9"/>
        <v>4.4005995570266521E-3</v>
      </c>
      <c r="L190" s="34">
        <f t="shared" si="10"/>
        <v>0.96033172852465265</v>
      </c>
      <c r="M190" s="34">
        <f t="shared" si="11"/>
        <v>0.95610569314550842</v>
      </c>
    </row>
    <row r="191" spans="1:13" ht="69">
      <c r="A191" t="s">
        <v>164</v>
      </c>
      <c r="B191" t="s">
        <v>115</v>
      </c>
      <c r="C191" s="14" t="s">
        <v>291</v>
      </c>
      <c r="D191" t="s">
        <v>366</v>
      </c>
      <c r="E191" t="s">
        <v>383</v>
      </c>
      <c r="F191" s="20">
        <v>2029</v>
      </c>
      <c r="G191" s="20">
        <v>59</v>
      </c>
      <c r="H191" s="11">
        <v>14379.530073649999</v>
      </c>
      <c r="I191" s="10">
        <v>3115570.2622144301</v>
      </c>
      <c r="J191" s="34">
        <f t="shared" si="8"/>
        <v>4.6153765967163812E-3</v>
      </c>
      <c r="K191" s="34">
        <f t="shared" si="9"/>
        <v>4.6047421131577559E-3</v>
      </c>
      <c r="L191" s="34">
        <f t="shared" si="10"/>
        <v>0.95610569314550842</v>
      </c>
      <c r="M191" s="34">
        <f t="shared" si="11"/>
        <v>0.95170307299565138</v>
      </c>
    </row>
    <row r="192" spans="1:13" ht="69">
      <c r="A192" t="s">
        <v>164</v>
      </c>
      <c r="B192" t="s">
        <v>115</v>
      </c>
      <c r="C192" s="14" t="s">
        <v>291</v>
      </c>
      <c r="D192" t="s">
        <v>366</v>
      </c>
      <c r="E192" t="s">
        <v>383</v>
      </c>
      <c r="F192" s="20">
        <v>2029</v>
      </c>
      <c r="G192" s="20">
        <v>60</v>
      </c>
      <c r="H192" s="11">
        <v>14822.492021484401</v>
      </c>
      <c r="I192" s="10">
        <v>3012587.45088503</v>
      </c>
      <c r="J192" s="34">
        <f t="shared" si="8"/>
        <v>4.9201864719744109E-3</v>
      </c>
      <c r="K192" s="34">
        <f t="shared" si="9"/>
        <v>4.9081021816256287E-3</v>
      </c>
      <c r="L192" s="34">
        <f t="shared" si="10"/>
        <v>0.95170307299565138</v>
      </c>
      <c r="M192" s="34">
        <f t="shared" si="11"/>
        <v>0.94703201706682161</v>
      </c>
    </row>
    <row r="193" spans="1:13" ht="69">
      <c r="A193" t="s">
        <v>164</v>
      </c>
      <c r="B193" t="s">
        <v>115</v>
      </c>
      <c r="C193" s="14" t="s">
        <v>291</v>
      </c>
      <c r="D193" t="s">
        <v>366</v>
      </c>
      <c r="E193" t="s">
        <v>383</v>
      </c>
      <c r="F193" s="20">
        <v>2029</v>
      </c>
      <c r="G193" s="20">
        <v>61</v>
      </c>
      <c r="H193" s="11">
        <v>15988.83850089</v>
      </c>
      <c r="I193" s="10">
        <v>2902853.4958230201</v>
      </c>
      <c r="J193" s="34">
        <f t="shared" si="8"/>
        <v>5.5079729390052554E-3</v>
      </c>
      <c r="K193" s="34">
        <f t="shared" si="9"/>
        <v>5.4928318676821242E-3</v>
      </c>
      <c r="L193" s="34">
        <f t="shared" si="10"/>
        <v>0.94703201706682161</v>
      </c>
      <c r="M193" s="34">
        <f t="shared" si="11"/>
        <v>0.94183012942376165</v>
      </c>
    </row>
    <row r="194" spans="1:13" ht="69">
      <c r="A194" t="s">
        <v>164</v>
      </c>
      <c r="B194" t="s">
        <v>115</v>
      </c>
      <c r="C194" s="14" t="s">
        <v>291</v>
      </c>
      <c r="D194" t="s">
        <v>366</v>
      </c>
      <c r="E194" t="s">
        <v>383</v>
      </c>
      <c r="F194" s="20">
        <v>2029</v>
      </c>
      <c r="G194" s="20">
        <v>62</v>
      </c>
      <c r="H194" s="11">
        <v>16929.564101076499</v>
      </c>
      <c r="I194" s="10">
        <v>2795093.5675622602</v>
      </c>
      <c r="J194" s="34">
        <f t="shared" ref="J194:J257" si="12">IF(I194&gt;0,H194/I194,0)</f>
        <v>6.0568863588497373E-3</v>
      </c>
      <c r="K194" s="34">
        <f t="shared" ref="K194:K257" si="13">1-EXP(-J194)</f>
        <v>6.0385804003516563E-3</v>
      </c>
      <c r="L194" s="34">
        <f t="shared" ref="L194:L257" si="14">IF(G194=30,1,M193)</f>
        <v>0.94183012942376165</v>
      </c>
      <c r="M194" s="34">
        <f t="shared" ref="M194:M257" si="15">L194*(1-K194)</f>
        <v>0.93614281246376263</v>
      </c>
    </row>
    <row r="195" spans="1:13" ht="69">
      <c r="A195" t="s">
        <v>164</v>
      </c>
      <c r="B195" t="s">
        <v>115</v>
      </c>
      <c r="C195" s="14" t="s">
        <v>291</v>
      </c>
      <c r="D195" t="s">
        <v>366</v>
      </c>
      <c r="E195" t="s">
        <v>383</v>
      </c>
      <c r="F195" s="20">
        <v>2029</v>
      </c>
      <c r="G195" s="20">
        <v>63</v>
      </c>
      <c r="H195" s="11">
        <v>17835.216151468801</v>
      </c>
      <c r="I195" s="10">
        <v>2674566.3710791902</v>
      </c>
      <c r="J195" s="34">
        <f t="shared" si="12"/>
        <v>6.668451508373776E-3</v>
      </c>
      <c r="K195" s="34">
        <f t="shared" si="13"/>
        <v>6.6462667257208841E-3</v>
      </c>
      <c r="L195" s="34">
        <f t="shared" si="14"/>
        <v>0.93614281246376263</v>
      </c>
      <c r="M195" s="34">
        <f t="shared" si="15"/>
        <v>0.92992095763876192</v>
      </c>
    </row>
    <row r="196" spans="1:13" ht="69">
      <c r="A196" t="s">
        <v>164</v>
      </c>
      <c r="B196" t="s">
        <v>115</v>
      </c>
      <c r="C196" s="14" t="s">
        <v>291</v>
      </c>
      <c r="D196" t="s">
        <v>366</v>
      </c>
      <c r="E196" t="s">
        <v>383</v>
      </c>
      <c r="F196" s="20">
        <v>2029</v>
      </c>
      <c r="G196" s="20">
        <v>64</v>
      </c>
      <c r="H196" s="11">
        <v>18943.266170828902</v>
      </c>
      <c r="I196" s="10">
        <v>2541907.0649887701</v>
      </c>
      <c r="J196" s="34">
        <f t="shared" si="12"/>
        <v>7.4523834611209877E-3</v>
      </c>
      <c r="K196" s="34">
        <f t="shared" si="13"/>
        <v>7.4246833049361749E-3</v>
      </c>
      <c r="L196" s="34">
        <f t="shared" si="14"/>
        <v>0.92992095763876192</v>
      </c>
      <c r="M196" s="34">
        <f t="shared" si="15"/>
        <v>0.9230165890296711</v>
      </c>
    </row>
    <row r="197" spans="1:13" ht="69">
      <c r="A197" t="s">
        <v>164</v>
      </c>
      <c r="B197" t="s">
        <v>115</v>
      </c>
      <c r="C197" s="14" t="s">
        <v>291</v>
      </c>
      <c r="D197" t="s">
        <v>366</v>
      </c>
      <c r="E197" t="s">
        <v>383</v>
      </c>
      <c r="F197" s="20">
        <v>2029</v>
      </c>
      <c r="G197" s="20">
        <v>65</v>
      </c>
      <c r="H197" s="11">
        <v>20002.0610120768</v>
      </c>
      <c r="I197" s="10">
        <v>2410368.5079053799</v>
      </c>
      <c r="J197" s="34">
        <f t="shared" si="12"/>
        <v>8.298341496943416E-3</v>
      </c>
      <c r="K197" s="34">
        <f t="shared" si="13"/>
        <v>8.2640053046035833E-3</v>
      </c>
      <c r="L197" s="34">
        <f t="shared" si="14"/>
        <v>0.9230165890296711</v>
      </c>
      <c r="M197" s="34">
        <f t="shared" si="15"/>
        <v>0.9153887750416928</v>
      </c>
    </row>
    <row r="198" spans="1:13" ht="69">
      <c r="A198" t="s">
        <v>164</v>
      </c>
      <c r="B198" t="s">
        <v>115</v>
      </c>
      <c r="C198" s="14" t="s">
        <v>291</v>
      </c>
      <c r="D198" t="s">
        <v>366</v>
      </c>
      <c r="E198" t="s">
        <v>383</v>
      </c>
      <c r="F198" s="20">
        <v>2029</v>
      </c>
      <c r="G198" s="20">
        <v>66</v>
      </c>
      <c r="H198" s="11">
        <v>20384.2671708667</v>
      </c>
      <c r="I198" s="10">
        <v>2279359.1900152499</v>
      </c>
      <c r="J198" s="34">
        <f t="shared" si="12"/>
        <v>8.9429815450588635E-3</v>
      </c>
      <c r="K198" s="34">
        <f t="shared" si="13"/>
        <v>8.9031120249160045E-3</v>
      </c>
      <c r="L198" s="34">
        <f t="shared" si="14"/>
        <v>0.9153887750416928</v>
      </c>
      <c r="M198" s="34">
        <f t="shared" si="15"/>
        <v>0.90723896623114597</v>
      </c>
    </row>
    <row r="199" spans="1:13" ht="69">
      <c r="A199" t="s">
        <v>164</v>
      </c>
      <c r="B199" t="s">
        <v>115</v>
      </c>
      <c r="C199" s="14" t="s">
        <v>291</v>
      </c>
      <c r="D199" t="s">
        <v>366</v>
      </c>
      <c r="E199" t="s">
        <v>383</v>
      </c>
      <c r="F199" s="20">
        <v>2029</v>
      </c>
      <c r="G199" s="20">
        <v>67</v>
      </c>
      <c r="H199" s="11">
        <v>21094.6201709979</v>
      </c>
      <c r="I199" s="10">
        <v>2148079.5778095699</v>
      </c>
      <c r="J199" s="34">
        <f t="shared" si="12"/>
        <v>9.8202228580881578E-3</v>
      </c>
      <c r="K199" s="34">
        <f t="shared" si="13"/>
        <v>9.7721619212948196E-3</v>
      </c>
      <c r="L199" s="34">
        <f t="shared" si="14"/>
        <v>0.90723896623114597</v>
      </c>
      <c r="M199" s="34">
        <f t="shared" si="15"/>
        <v>0.89837328015182705</v>
      </c>
    </row>
    <row r="200" spans="1:13" ht="69">
      <c r="A200" t="s">
        <v>164</v>
      </c>
      <c r="B200" t="s">
        <v>115</v>
      </c>
      <c r="C200" s="14" t="s">
        <v>291</v>
      </c>
      <c r="D200" t="s">
        <v>366</v>
      </c>
      <c r="E200" t="s">
        <v>383</v>
      </c>
      <c r="F200" s="20">
        <v>2029</v>
      </c>
      <c r="G200" s="20">
        <v>68</v>
      </c>
      <c r="H200" s="11">
        <v>21462.3404355374</v>
      </c>
      <c r="I200" s="10">
        <v>2016700.5075890201</v>
      </c>
      <c r="J200" s="34">
        <f t="shared" si="12"/>
        <v>1.0642304276104825E-2</v>
      </c>
      <c r="K200" s="34">
        <f t="shared" si="13"/>
        <v>1.0585875311426518E-2</v>
      </c>
      <c r="L200" s="34">
        <f t="shared" si="14"/>
        <v>0.89837328015182705</v>
      </c>
      <c r="M200" s="34">
        <f t="shared" si="15"/>
        <v>0.88886321262502255</v>
      </c>
    </row>
    <row r="201" spans="1:13" ht="69">
      <c r="A201" t="s">
        <v>164</v>
      </c>
      <c r="B201" t="s">
        <v>115</v>
      </c>
      <c r="C201" s="14" t="s">
        <v>291</v>
      </c>
      <c r="D201" t="s">
        <v>366</v>
      </c>
      <c r="E201" t="s">
        <v>383</v>
      </c>
      <c r="F201" s="20">
        <v>2029</v>
      </c>
      <c r="G201" s="20">
        <v>69</v>
      </c>
      <c r="H201" s="11">
        <v>20928.318766439399</v>
      </c>
      <c r="I201" s="10">
        <v>1881867.8785009501</v>
      </c>
      <c r="J201" s="34">
        <f t="shared" si="12"/>
        <v>1.1121035119165956E-2</v>
      </c>
      <c r="K201" s="34">
        <f t="shared" si="13"/>
        <v>1.1059425009008139E-2</v>
      </c>
      <c r="L201" s="34">
        <f t="shared" si="14"/>
        <v>0.88886321262502255</v>
      </c>
      <c r="M201" s="34">
        <f t="shared" si="15"/>
        <v>0.87903289658173001</v>
      </c>
    </row>
    <row r="202" spans="1:13" ht="69">
      <c r="A202" t="s">
        <v>164</v>
      </c>
      <c r="B202" t="s">
        <v>115</v>
      </c>
      <c r="C202" s="14" t="s">
        <v>291</v>
      </c>
      <c r="D202" t="s">
        <v>366</v>
      </c>
      <c r="E202" t="s">
        <v>383</v>
      </c>
      <c r="F202" s="20">
        <v>2030</v>
      </c>
      <c r="G202" s="20">
        <v>30</v>
      </c>
      <c r="H202" s="11">
        <v>815.805645934474</v>
      </c>
      <c r="I202" s="10">
        <v>4336861.5257808203</v>
      </c>
      <c r="J202" s="34">
        <f t="shared" si="12"/>
        <v>1.8810968279361749E-4</v>
      </c>
      <c r="K202" s="34">
        <f t="shared" si="13"/>
        <v>1.8809199127656218E-4</v>
      </c>
      <c r="L202" s="34">
        <f t="shared" si="14"/>
        <v>1</v>
      </c>
      <c r="M202" s="34">
        <f t="shared" si="15"/>
        <v>0.99981190800872344</v>
      </c>
    </row>
    <row r="203" spans="1:13" ht="69">
      <c r="A203" t="s">
        <v>164</v>
      </c>
      <c r="B203" t="s">
        <v>115</v>
      </c>
      <c r="C203" s="14" t="s">
        <v>291</v>
      </c>
      <c r="D203" t="s">
        <v>366</v>
      </c>
      <c r="E203" t="s">
        <v>383</v>
      </c>
      <c r="F203" s="20">
        <v>2030</v>
      </c>
      <c r="G203" s="20">
        <v>31</v>
      </c>
      <c r="H203" s="11">
        <v>1223.1551867722901</v>
      </c>
      <c r="I203" s="10">
        <v>4377756.4666621499</v>
      </c>
      <c r="J203" s="34">
        <f t="shared" si="12"/>
        <v>2.7940229112490879E-4</v>
      </c>
      <c r="K203" s="34">
        <f t="shared" si="13"/>
        <v>2.7936326193978012E-4</v>
      </c>
      <c r="L203" s="34">
        <f t="shared" si="14"/>
        <v>0.99981190800872344</v>
      </c>
      <c r="M203" s="34">
        <f t="shared" si="15"/>
        <v>0.99953259729277588</v>
      </c>
    </row>
    <row r="204" spans="1:13" ht="69">
      <c r="A204" t="s">
        <v>164</v>
      </c>
      <c r="B204" t="s">
        <v>115</v>
      </c>
      <c r="C204" s="14" t="s">
        <v>291</v>
      </c>
      <c r="D204" t="s">
        <v>366</v>
      </c>
      <c r="E204" t="s">
        <v>383</v>
      </c>
      <c r="F204" s="20">
        <v>2030</v>
      </c>
      <c r="G204" s="20">
        <v>32</v>
      </c>
      <c r="H204" s="11">
        <v>1286.0537616706199</v>
      </c>
      <c r="I204" s="10">
        <v>4421416.7799118403</v>
      </c>
      <c r="J204" s="34">
        <f t="shared" si="12"/>
        <v>2.9086915477266156E-4</v>
      </c>
      <c r="K204" s="34">
        <f t="shared" si="13"/>
        <v>2.9082685644121753E-4</v>
      </c>
      <c r="L204" s="34">
        <f t="shared" si="14"/>
        <v>0.99953259729277588</v>
      </c>
      <c r="M204" s="34">
        <f t="shared" si="15"/>
        <v>0.99924190636959465</v>
      </c>
    </row>
    <row r="205" spans="1:13" ht="69">
      <c r="A205" t="s">
        <v>164</v>
      </c>
      <c r="B205" t="s">
        <v>115</v>
      </c>
      <c r="C205" s="14" t="s">
        <v>291</v>
      </c>
      <c r="D205" t="s">
        <v>366</v>
      </c>
      <c r="E205" t="s">
        <v>383</v>
      </c>
      <c r="F205" s="20">
        <v>2030</v>
      </c>
      <c r="G205" s="20">
        <v>33</v>
      </c>
      <c r="H205" s="11">
        <v>1353.9751869076599</v>
      </c>
      <c r="I205" s="10">
        <v>4418782.4650526401</v>
      </c>
      <c r="J205" s="34">
        <f t="shared" si="12"/>
        <v>3.0641363262754107E-4</v>
      </c>
      <c r="K205" s="34">
        <f t="shared" si="13"/>
        <v>3.0636669276484785E-4</v>
      </c>
      <c r="L205" s="34">
        <f t="shared" si="14"/>
        <v>0.99924190636959465</v>
      </c>
      <c r="M205" s="34">
        <f t="shared" si="15"/>
        <v>0.9989357719314681</v>
      </c>
    </row>
    <row r="206" spans="1:13" ht="69">
      <c r="A206" t="s">
        <v>164</v>
      </c>
      <c r="B206" t="s">
        <v>115</v>
      </c>
      <c r="C206" s="14" t="s">
        <v>291</v>
      </c>
      <c r="D206" t="s">
        <v>366</v>
      </c>
      <c r="E206" t="s">
        <v>383</v>
      </c>
      <c r="F206" s="20">
        <v>2030</v>
      </c>
      <c r="G206" s="20">
        <v>34</v>
      </c>
      <c r="H206" s="11">
        <v>1400.7982863274301</v>
      </c>
      <c r="I206" s="10">
        <v>4356998.4512065798</v>
      </c>
      <c r="J206" s="34">
        <f t="shared" si="12"/>
        <v>3.21505344106677E-4</v>
      </c>
      <c r="K206" s="34">
        <f t="shared" si="13"/>
        <v>3.2145366680180754E-4</v>
      </c>
      <c r="L206" s="34">
        <f t="shared" si="14"/>
        <v>0.9989357719314681</v>
      </c>
      <c r="M206" s="34">
        <f t="shared" si="15"/>
        <v>0.99861466036468127</v>
      </c>
    </row>
    <row r="207" spans="1:13" ht="69">
      <c r="A207" t="s">
        <v>164</v>
      </c>
      <c r="B207" t="s">
        <v>115</v>
      </c>
      <c r="C207" s="14" t="s">
        <v>291</v>
      </c>
      <c r="D207" t="s">
        <v>366</v>
      </c>
      <c r="E207" t="s">
        <v>383</v>
      </c>
      <c r="F207" s="20">
        <v>2030</v>
      </c>
      <c r="G207" s="20">
        <v>35</v>
      </c>
      <c r="H207" s="11">
        <v>1469.7461712929501</v>
      </c>
      <c r="I207" s="10">
        <v>4293259.6025217799</v>
      </c>
      <c r="J207" s="34">
        <f t="shared" si="12"/>
        <v>3.4233806183759508E-4</v>
      </c>
      <c r="K207" s="34">
        <f t="shared" si="13"/>
        <v>3.422794708494159E-4</v>
      </c>
      <c r="L207" s="34">
        <f t="shared" si="14"/>
        <v>0.99861466036468127</v>
      </c>
      <c r="M207" s="34">
        <f t="shared" si="15"/>
        <v>0.99827285506714913</v>
      </c>
    </row>
    <row r="208" spans="1:13" ht="69">
      <c r="A208" t="s">
        <v>164</v>
      </c>
      <c r="B208" t="s">
        <v>115</v>
      </c>
      <c r="C208" s="14" t="s">
        <v>291</v>
      </c>
      <c r="D208" t="s">
        <v>366</v>
      </c>
      <c r="E208" t="s">
        <v>383</v>
      </c>
      <c r="F208" s="20">
        <v>2030</v>
      </c>
      <c r="G208" s="20">
        <v>36</v>
      </c>
      <c r="H208" s="11">
        <v>1905.9681412795801</v>
      </c>
      <c r="I208" s="10">
        <v>4239118.1926150899</v>
      </c>
      <c r="J208" s="34">
        <f t="shared" si="12"/>
        <v>4.496142958693488E-4</v>
      </c>
      <c r="K208" s="34">
        <f t="shared" si="13"/>
        <v>4.4951323450859171E-4</v>
      </c>
      <c r="L208" s="34">
        <f t="shared" si="14"/>
        <v>0.99827285506714913</v>
      </c>
      <c r="M208" s="34">
        <f t="shared" si="15"/>
        <v>0.99782411820714578</v>
      </c>
    </row>
    <row r="209" spans="1:13" ht="69">
      <c r="A209" t="s">
        <v>164</v>
      </c>
      <c r="B209" t="s">
        <v>115</v>
      </c>
      <c r="C209" s="14" t="s">
        <v>291</v>
      </c>
      <c r="D209" t="s">
        <v>366</v>
      </c>
      <c r="E209" t="s">
        <v>383</v>
      </c>
      <c r="F209" s="20">
        <v>2030</v>
      </c>
      <c r="G209" s="20">
        <v>37</v>
      </c>
      <c r="H209" s="11">
        <v>2052.3375421447599</v>
      </c>
      <c r="I209" s="10">
        <v>4187634.62840477</v>
      </c>
      <c r="J209" s="34">
        <f t="shared" si="12"/>
        <v>4.9009470124822556E-4</v>
      </c>
      <c r="K209" s="34">
        <f t="shared" si="13"/>
        <v>4.8997462445721229E-4</v>
      </c>
      <c r="L209" s="34">
        <f t="shared" si="14"/>
        <v>0.99782411820714578</v>
      </c>
      <c r="M209" s="34">
        <f t="shared" si="15"/>
        <v>0.99733520970955292</v>
      </c>
    </row>
    <row r="210" spans="1:13" ht="69">
      <c r="A210" t="s">
        <v>164</v>
      </c>
      <c r="B210" t="s">
        <v>115</v>
      </c>
      <c r="C210" s="14" t="s">
        <v>291</v>
      </c>
      <c r="D210" t="s">
        <v>366</v>
      </c>
      <c r="E210" t="s">
        <v>383</v>
      </c>
      <c r="F210" s="20">
        <v>2030</v>
      </c>
      <c r="G210" s="20">
        <v>38</v>
      </c>
      <c r="H210" s="11">
        <v>2236.0790377121398</v>
      </c>
      <c r="I210" s="10">
        <v>4171150.2753903298</v>
      </c>
      <c r="J210" s="34">
        <f t="shared" si="12"/>
        <v>5.3608210926970039E-4</v>
      </c>
      <c r="K210" s="34">
        <f t="shared" si="13"/>
        <v>5.3593844292920689E-4</v>
      </c>
      <c r="L210" s="34">
        <f t="shared" si="14"/>
        <v>0.99733520970955292</v>
      </c>
      <c r="M210" s="34">
        <f t="shared" si="15"/>
        <v>0.99680069943018268</v>
      </c>
    </row>
    <row r="211" spans="1:13" ht="69">
      <c r="A211" t="s">
        <v>164</v>
      </c>
      <c r="B211" t="s">
        <v>115</v>
      </c>
      <c r="C211" s="14" t="s">
        <v>291</v>
      </c>
      <c r="D211" t="s">
        <v>366</v>
      </c>
      <c r="E211" t="s">
        <v>383</v>
      </c>
      <c r="F211" s="20">
        <v>2030</v>
      </c>
      <c r="G211" s="20">
        <v>39</v>
      </c>
      <c r="H211" s="11">
        <v>2363.97947876937</v>
      </c>
      <c r="I211" s="10">
        <v>4148883.6482567298</v>
      </c>
      <c r="J211" s="34">
        <f t="shared" si="12"/>
        <v>5.6978688225269047E-4</v>
      </c>
      <c r="K211" s="34">
        <f t="shared" si="13"/>
        <v>5.69624584533579E-4</v>
      </c>
      <c r="L211" s="34">
        <f t="shared" si="14"/>
        <v>0.99680069943018268</v>
      </c>
      <c r="M211" s="34">
        <f t="shared" si="15"/>
        <v>0.99623289724590702</v>
      </c>
    </row>
    <row r="212" spans="1:13" ht="69">
      <c r="A212" t="s">
        <v>164</v>
      </c>
      <c r="B212" t="s">
        <v>115</v>
      </c>
      <c r="C212" s="14" t="s">
        <v>291</v>
      </c>
      <c r="D212" t="s">
        <v>366</v>
      </c>
      <c r="E212" t="s">
        <v>383</v>
      </c>
      <c r="F212" s="20">
        <v>2030</v>
      </c>
      <c r="G212" s="20">
        <v>40</v>
      </c>
      <c r="H212" s="11">
        <v>2558.7642236750899</v>
      </c>
      <c r="I212" s="10">
        <v>4130161.6408054298</v>
      </c>
      <c r="J212" s="34">
        <f t="shared" si="12"/>
        <v>6.1953125475643631E-4</v>
      </c>
      <c r="K212" s="34">
        <f t="shared" si="13"/>
        <v>6.1933938489378004E-4</v>
      </c>
      <c r="L212" s="34">
        <f t="shared" si="14"/>
        <v>0.99623289724590702</v>
      </c>
      <c r="M212" s="34">
        <f t="shared" si="15"/>
        <v>0.9956158909761158</v>
      </c>
    </row>
    <row r="213" spans="1:13" ht="69">
      <c r="A213" t="s">
        <v>164</v>
      </c>
      <c r="B213" t="s">
        <v>115</v>
      </c>
      <c r="C213" s="14" t="s">
        <v>291</v>
      </c>
      <c r="D213" t="s">
        <v>366</v>
      </c>
      <c r="E213" t="s">
        <v>383</v>
      </c>
      <c r="F213" s="20">
        <v>2030</v>
      </c>
      <c r="G213" s="20">
        <v>41</v>
      </c>
      <c r="H213" s="11">
        <v>3368.4629131837801</v>
      </c>
      <c r="I213" s="10">
        <v>4134478.3465274</v>
      </c>
      <c r="J213" s="34">
        <f t="shared" si="12"/>
        <v>8.1472501023327265E-4</v>
      </c>
      <c r="K213" s="34">
        <f t="shared" si="13"/>
        <v>8.1439321192633418E-4</v>
      </c>
      <c r="L213" s="34">
        <f t="shared" si="14"/>
        <v>0.9956158909761158</v>
      </c>
      <c r="M213" s="34">
        <f t="shared" si="15"/>
        <v>0.99480506815281888</v>
      </c>
    </row>
    <row r="214" spans="1:13" ht="69">
      <c r="A214" t="s">
        <v>164</v>
      </c>
      <c r="B214" t="s">
        <v>115</v>
      </c>
      <c r="C214" s="14" t="s">
        <v>291</v>
      </c>
      <c r="D214" t="s">
        <v>366</v>
      </c>
      <c r="E214" t="s">
        <v>383</v>
      </c>
      <c r="F214" s="20">
        <v>2030</v>
      </c>
      <c r="G214" s="20">
        <v>42</v>
      </c>
      <c r="H214" s="11">
        <v>3786.7816265576698</v>
      </c>
      <c r="I214" s="10">
        <v>4093106.2275708299</v>
      </c>
      <c r="J214" s="34">
        <f t="shared" si="12"/>
        <v>9.2516084753682117E-4</v>
      </c>
      <c r="K214" s="34">
        <f t="shared" si="13"/>
        <v>9.2473301818707387E-4</v>
      </c>
      <c r="L214" s="34">
        <f t="shared" si="14"/>
        <v>0.99480506815281888</v>
      </c>
      <c r="M214" s="34">
        <f t="shared" si="15"/>
        <v>0.99388513905963816</v>
      </c>
    </row>
    <row r="215" spans="1:13" ht="69">
      <c r="A215" t="s">
        <v>164</v>
      </c>
      <c r="B215" t="s">
        <v>115</v>
      </c>
      <c r="C215" s="14" t="s">
        <v>291</v>
      </c>
      <c r="D215" t="s">
        <v>366</v>
      </c>
      <c r="E215" t="s">
        <v>383</v>
      </c>
      <c r="F215" s="20">
        <v>2030</v>
      </c>
      <c r="G215" s="20">
        <v>43</v>
      </c>
      <c r="H215" s="11">
        <v>4256.6884991821398</v>
      </c>
      <c r="I215" s="10">
        <v>4042933.0009305198</v>
      </c>
      <c r="J215" s="34">
        <f t="shared" si="12"/>
        <v>1.0528713926751746E-3</v>
      </c>
      <c r="K215" s="34">
        <f t="shared" si="13"/>
        <v>1.0523173180638778E-3</v>
      </c>
      <c r="L215" s="34">
        <f t="shared" si="14"/>
        <v>0.99388513905963816</v>
      </c>
      <c r="M215" s="34">
        <f t="shared" si="15"/>
        <v>0.99283925651563942</v>
      </c>
    </row>
    <row r="216" spans="1:13" ht="69">
      <c r="A216" t="s">
        <v>164</v>
      </c>
      <c r="B216" t="s">
        <v>115</v>
      </c>
      <c r="C216" s="14" t="s">
        <v>291</v>
      </c>
      <c r="D216" t="s">
        <v>366</v>
      </c>
      <c r="E216" t="s">
        <v>383</v>
      </c>
      <c r="F216" s="20">
        <v>2030</v>
      </c>
      <c r="G216" s="20">
        <v>44</v>
      </c>
      <c r="H216" s="11">
        <v>4569.5428100581703</v>
      </c>
      <c r="I216" s="10">
        <v>4054355.10536901</v>
      </c>
      <c r="J216" s="34">
        <f t="shared" si="12"/>
        <v>1.1270701976763011E-3</v>
      </c>
      <c r="K216" s="34">
        <f t="shared" si="13"/>
        <v>1.1264352926110277E-3</v>
      </c>
      <c r="L216" s="34">
        <f t="shared" si="14"/>
        <v>0.99283925651563942</v>
      </c>
      <c r="M216" s="34">
        <f t="shared" si="15"/>
        <v>0.99172088733721053</v>
      </c>
    </row>
    <row r="217" spans="1:13" ht="69">
      <c r="A217" t="s">
        <v>164</v>
      </c>
      <c r="B217" t="s">
        <v>115</v>
      </c>
      <c r="C217" s="14" t="s">
        <v>291</v>
      </c>
      <c r="D217" t="s">
        <v>366</v>
      </c>
      <c r="E217" t="s">
        <v>383</v>
      </c>
      <c r="F217" s="20">
        <v>2030</v>
      </c>
      <c r="G217" s="20">
        <v>45</v>
      </c>
      <c r="H217" s="11">
        <v>5093.6119604109899</v>
      </c>
      <c r="I217" s="10">
        <v>4122578.8362666001</v>
      </c>
      <c r="J217" s="34">
        <f t="shared" si="12"/>
        <v>1.2355402195349538E-3</v>
      </c>
      <c r="K217" s="34">
        <f t="shared" si="13"/>
        <v>1.2347772539751389E-3</v>
      </c>
      <c r="L217" s="34">
        <f t="shared" si="14"/>
        <v>0.99172088733721053</v>
      </c>
      <c r="M217" s="34">
        <f t="shared" si="15"/>
        <v>0.99049633294323447</v>
      </c>
    </row>
    <row r="218" spans="1:13" ht="69">
      <c r="A218" t="s">
        <v>164</v>
      </c>
      <c r="B218" t="s">
        <v>115</v>
      </c>
      <c r="C218" s="14" t="s">
        <v>291</v>
      </c>
      <c r="D218" t="s">
        <v>366</v>
      </c>
      <c r="E218" t="s">
        <v>383</v>
      </c>
      <c r="F218" s="20">
        <v>2030</v>
      </c>
      <c r="G218" s="20">
        <v>46</v>
      </c>
      <c r="H218" s="11">
        <v>6516.9348903872497</v>
      </c>
      <c r="I218" s="10">
        <v>4149076.47795999</v>
      </c>
      <c r="J218" s="34">
        <f t="shared" si="12"/>
        <v>1.5706952920741253E-3</v>
      </c>
      <c r="K218" s="34">
        <f t="shared" si="13"/>
        <v>1.5694623958097953E-3</v>
      </c>
      <c r="L218" s="34">
        <f t="shared" si="14"/>
        <v>0.99049633294323447</v>
      </c>
      <c r="M218" s="34">
        <f t="shared" si="15"/>
        <v>0.98894178619549256</v>
      </c>
    </row>
    <row r="219" spans="1:13" ht="69">
      <c r="A219" t="s">
        <v>164</v>
      </c>
      <c r="B219" t="s">
        <v>115</v>
      </c>
      <c r="C219" s="14" t="s">
        <v>291</v>
      </c>
      <c r="D219" t="s">
        <v>366</v>
      </c>
      <c r="E219" t="s">
        <v>383</v>
      </c>
      <c r="F219" s="20">
        <v>2030</v>
      </c>
      <c r="G219" s="20">
        <v>47</v>
      </c>
      <c r="H219" s="11">
        <v>6995.2828906107898</v>
      </c>
      <c r="I219" s="10">
        <v>4116555.5723125702</v>
      </c>
      <c r="J219" s="34">
        <f t="shared" si="12"/>
        <v>1.6993048600291404E-3</v>
      </c>
      <c r="K219" s="34">
        <f t="shared" si="13"/>
        <v>1.6978618590074435E-3</v>
      </c>
      <c r="L219" s="34">
        <f t="shared" si="14"/>
        <v>0.98894178619549256</v>
      </c>
      <c r="M219" s="34">
        <f t="shared" si="15"/>
        <v>0.9872626996559325</v>
      </c>
    </row>
    <row r="220" spans="1:13" ht="69">
      <c r="A220" t="s">
        <v>164</v>
      </c>
      <c r="B220" t="s">
        <v>115</v>
      </c>
      <c r="C220" s="14" t="s">
        <v>291</v>
      </c>
      <c r="D220" t="s">
        <v>366</v>
      </c>
      <c r="E220" t="s">
        <v>383</v>
      </c>
      <c r="F220" s="20">
        <v>2030</v>
      </c>
      <c r="G220" s="20">
        <v>48</v>
      </c>
      <c r="H220" s="11">
        <v>7518.9830413624904</v>
      </c>
      <c r="I220" s="10">
        <v>4059351.9410832999</v>
      </c>
      <c r="J220" s="34">
        <f t="shared" si="12"/>
        <v>1.8522619251771344E-3</v>
      </c>
      <c r="K220" s="34">
        <f t="shared" si="13"/>
        <v>1.8505475467134325E-3</v>
      </c>
      <c r="L220" s="34">
        <f t="shared" si="14"/>
        <v>0.9872626996559325</v>
      </c>
      <c r="M220" s="34">
        <f t="shared" si="15"/>
        <v>0.98543572308912253</v>
      </c>
    </row>
    <row r="221" spans="1:13" ht="69">
      <c r="A221" t="s">
        <v>164</v>
      </c>
      <c r="B221" t="s">
        <v>115</v>
      </c>
      <c r="C221" s="14" t="s">
        <v>291</v>
      </c>
      <c r="D221" t="s">
        <v>366</v>
      </c>
      <c r="E221" t="s">
        <v>383</v>
      </c>
      <c r="F221" s="20">
        <v>2030</v>
      </c>
      <c r="G221" s="20">
        <v>49</v>
      </c>
      <c r="H221" s="11">
        <v>7783.1269042363501</v>
      </c>
      <c r="I221" s="10">
        <v>3994710.9892039602</v>
      </c>
      <c r="J221" s="34">
        <f t="shared" si="12"/>
        <v>1.9483579476139575E-3</v>
      </c>
      <c r="K221" s="34">
        <f t="shared" si="13"/>
        <v>1.9464611303608992E-3</v>
      </c>
      <c r="L221" s="34">
        <f t="shared" si="14"/>
        <v>0.98543572308912253</v>
      </c>
      <c r="M221" s="34">
        <f t="shared" si="15"/>
        <v>0.98351761075766042</v>
      </c>
    </row>
    <row r="222" spans="1:13" ht="69">
      <c r="A222" t="s">
        <v>164</v>
      </c>
      <c r="B222" t="s">
        <v>115</v>
      </c>
      <c r="C222" s="14" t="s">
        <v>291</v>
      </c>
      <c r="D222" t="s">
        <v>366</v>
      </c>
      <c r="E222" t="s">
        <v>383</v>
      </c>
      <c r="F222" s="20">
        <v>2030</v>
      </c>
      <c r="G222" s="20">
        <v>50</v>
      </c>
      <c r="H222" s="11">
        <v>8116.0492108681801</v>
      </c>
      <c r="I222" s="10">
        <v>3935406.9535720102</v>
      </c>
      <c r="J222" s="34">
        <f t="shared" si="12"/>
        <v>2.0623151065740659E-3</v>
      </c>
      <c r="K222" s="34">
        <f t="shared" si="13"/>
        <v>2.0601899959082903E-3</v>
      </c>
      <c r="L222" s="34">
        <f t="shared" si="14"/>
        <v>0.98351761075766042</v>
      </c>
      <c r="M222" s="34">
        <f t="shared" si="15"/>
        <v>0.98149137761517791</v>
      </c>
    </row>
    <row r="223" spans="1:13" ht="69">
      <c r="A223" t="s">
        <v>164</v>
      </c>
      <c r="B223" t="s">
        <v>115</v>
      </c>
      <c r="C223" s="14" t="s">
        <v>291</v>
      </c>
      <c r="D223" t="s">
        <v>366</v>
      </c>
      <c r="E223" t="s">
        <v>383</v>
      </c>
      <c r="F223" s="20">
        <v>2030</v>
      </c>
      <c r="G223" s="20">
        <v>51</v>
      </c>
      <c r="H223" s="11">
        <v>8919.7655679632608</v>
      </c>
      <c r="I223" s="10">
        <v>3862593.6295141499</v>
      </c>
      <c r="J223" s="34">
        <f t="shared" si="12"/>
        <v>2.3092684407200297E-3</v>
      </c>
      <c r="K223" s="34">
        <f t="shared" si="13"/>
        <v>2.306604131617318E-3</v>
      </c>
      <c r="L223" s="34">
        <f t="shared" si="14"/>
        <v>0.98149137761517791</v>
      </c>
      <c r="M223" s="34">
        <f t="shared" si="15"/>
        <v>0.97922746554842399</v>
      </c>
    </row>
    <row r="224" spans="1:13" ht="69">
      <c r="A224" t="s">
        <v>164</v>
      </c>
      <c r="B224" t="s">
        <v>115</v>
      </c>
      <c r="C224" s="14" t="s">
        <v>291</v>
      </c>
      <c r="D224" t="s">
        <v>366</v>
      </c>
      <c r="E224" t="s">
        <v>383</v>
      </c>
      <c r="F224" s="20">
        <v>2030</v>
      </c>
      <c r="G224" s="20">
        <v>52</v>
      </c>
      <c r="H224" s="11">
        <v>9302.9772610845994</v>
      </c>
      <c r="I224" s="10">
        <v>3765667.10115</v>
      </c>
      <c r="J224" s="34">
        <f t="shared" si="12"/>
        <v>2.4704725646734825E-3</v>
      </c>
      <c r="K224" s="34">
        <f t="shared" si="13"/>
        <v>2.467423458754725E-3</v>
      </c>
      <c r="L224" s="34">
        <f t="shared" si="14"/>
        <v>0.97922746554842399</v>
      </c>
      <c r="M224" s="34">
        <f t="shared" si="15"/>
        <v>0.97681129672847289</v>
      </c>
    </row>
    <row r="225" spans="1:13" ht="69">
      <c r="A225" t="s">
        <v>164</v>
      </c>
      <c r="B225" t="s">
        <v>115</v>
      </c>
      <c r="C225" s="14" t="s">
        <v>291</v>
      </c>
      <c r="D225" t="s">
        <v>366</v>
      </c>
      <c r="E225" t="s">
        <v>383</v>
      </c>
      <c r="F225" s="20">
        <v>2030</v>
      </c>
      <c r="G225" s="20">
        <v>53</v>
      </c>
      <c r="H225" s="11">
        <v>9708.3963875828704</v>
      </c>
      <c r="I225" s="10">
        <v>3672822.6000859202</v>
      </c>
      <c r="J225" s="34">
        <f t="shared" si="12"/>
        <v>2.643306645781301E-3</v>
      </c>
      <c r="K225" s="34">
        <f t="shared" si="13"/>
        <v>2.6398161868979031E-3</v>
      </c>
      <c r="L225" s="34">
        <f t="shared" si="14"/>
        <v>0.97681129672847289</v>
      </c>
      <c r="M225" s="34">
        <f t="shared" si="15"/>
        <v>0.97423269445582439</v>
      </c>
    </row>
    <row r="226" spans="1:13" ht="69">
      <c r="A226" t="s">
        <v>164</v>
      </c>
      <c r="B226" t="s">
        <v>115</v>
      </c>
      <c r="C226" s="14" t="s">
        <v>291</v>
      </c>
      <c r="D226" t="s">
        <v>366</v>
      </c>
      <c r="E226" t="s">
        <v>383</v>
      </c>
      <c r="F226" s="20">
        <v>2030</v>
      </c>
      <c r="G226" s="20">
        <v>54</v>
      </c>
      <c r="H226" s="11">
        <v>10368.827950004001</v>
      </c>
      <c r="I226" s="10">
        <v>3594887.7885782998</v>
      </c>
      <c r="J226" s="34">
        <f t="shared" si="12"/>
        <v>2.8843258982791916E-3</v>
      </c>
      <c r="K226" s="34">
        <f t="shared" si="13"/>
        <v>2.8801702267325924E-3</v>
      </c>
      <c r="L226" s="34">
        <f t="shared" si="14"/>
        <v>0.97423269445582439</v>
      </c>
      <c r="M226" s="34">
        <f t="shared" si="15"/>
        <v>0.97142673845534322</v>
      </c>
    </row>
    <row r="227" spans="1:13" ht="69">
      <c r="A227" t="s">
        <v>164</v>
      </c>
      <c r="B227" t="s">
        <v>115</v>
      </c>
      <c r="C227" s="14" t="s">
        <v>291</v>
      </c>
      <c r="D227" t="s">
        <v>366</v>
      </c>
      <c r="E227" t="s">
        <v>383</v>
      </c>
      <c r="F227" s="20">
        <v>2030</v>
      </c>
      <c r="G227" s="20">
        <v>55</v>
      </c>
      <c r="H227" s="11">
        <v>11064.5931886133</v>
      </c>
      <c r="I227" s="10">
        <v>3504217.4041705299</v>
      </c>
      <c r="J227" s="34">
        <f t="shared" si="12"/>
        <v>3.1575076293624991E-3</v>
      </c>
      <c r="K227" s="34">
        <f t="shared" si="13"/>
        <v>3.1525279446573684E-3</v>
      </c>
      <c r="L227" s="34">
        <f t="shared" si="14"/>
        <v>0.97142673845534322</v>
      </c>
      <c r="M227" s="34">
        <f t="shared" si="15"/>
        <v>0.9683642885161754</v>
      </c>
    </row>
    <row r="228" spans="1:13" ht="69">
      <c r="A228" t="s">
        <v>164</v>
      </c>
      <c r="B228" t="s">
        <v>115</v>
      </c>
      <c r="C228" s="14" t="s">
        <v>291</v>
      </c>
      <c r="D228" t="s">
        <v>366</v>
      </c>
      <c r="E228" t="s">
        <v>383</v>
      </c>
      <c r="F228" s="20">
        <v>2030</v>
      </c>
      <c r="G228" s="20">
        <v>56</v>
      </c>
      <c r="H228" s="11">
        <v>12042.800184821899</v>
      </c>
      <c r="I228" s="10">
        <v>3428431.18675589</v>
      </c>
      <c r="J228" s="34">
        <f t="shared" si="12"/>
        <v>3.5126270672555769E-3</v>
      </c>
      <c r="K228" s="34">
        <f t="shared" si="13"/>
        <v>3.5064650099133621E-3</v>
      </c>
      <c r="L228" s="34">
        <f t="shared" si="14"/>
        <v>0.9683642885161754</v>
      </c>
      <c r="M228" s="34">
        <f t="shared" si="15"/>
        <v>0.96496875302164375</v>
      </c>
    </row>
    <row r="229" spans="1:13" ht="69">
      <c r="A229" t="s">
        <v>164</v>
      </c>
      <c r="B229" t="s">
        <v>115</v>
      </c>
      <c r="C229" s="14" t="s">
        <v>291</v>
      </c>
      <c r="D229" t="s">
        <v>366</v>
      </c>
      <c r="E229" t="s">
        <v>383</v>
      </c>
      <c r="F229" s="20">
        <v>2030</v>
      </c>
      <c r="G229" s="20">
        <v>57</v>
      </c>
      <c r="H229" s="11">
        <v>13083.9270865363</v>
      </c>
      <c r="I229" s="10">
        <v>3352436.08055687</v>
      </c>
      <c r="J229" s="34">
        <f t="shared" si="12"/>
        <v>3.9028117977906208E-3</v>
      </c>
      <c r="K229" s="34">
        <f t="shared" si="13"/>
        <v>3.8952057260656092E-3</v>
      </c>
      <c r="L229" s="34">
        <f t="shared" si="14"/>
        <v>0.96496875302164375</v>
      </c>
      <c r="M229" s="34">
        <f t="shared" si="15"/>
        <v>0.96121000120939948</v>
      </c>
    </row>
    <row r="230" spans="1:13" ht="69">
      <c r="A230" t="s">
        <v>164</v>
      </c>
      <c r="B230" t="s">
        <v>115</v>
      </c>
      <c r="C230" s="14" t="s">
        <v>291</v>
      </c>
      <c r="D230" t="s">
        <v>366</v>
      </c>
      <c r="E230" t="s">
        <v>383</v>
      </c>
      <c r="F230" s="20">
        <v>2030</v>
      </c>
      <c r="G230" s="20">
        <v>58</v>
      </c>
      <c r="H230" s="11">
        <v>14011.1841001997</v>
      </c>
      <c r="I230" s="10">
        <v>3254951.3747840999</v>
      </c>
      <c r="J230" s="34">
        <f t="shared" si="12"/>
        <v>4.3045755487296821E-3</v>
      </c>
      <c r="K230" s="34">
        <f t="shared" si="13"/>
        <v>4.2953241426215705E-3</v>
      </c>
      <c r="L230" s="34">
        <f t="shared" si="14"/>
        <v>0.96121000120939948</v>
      </c>
      <c r="M230" s="34">
        <f t="shared" si="15"/>
        <v>0.95708129268507547</v>
      </c>
    </row>
    <row r="231" spans="1:13" ht="69">
      <c r="A231" t="s">
        <v>164</v>
      </c>
      <c r="B231" t="s">
        <v>115</v>
      </c>
      <c r="C231" s="14" t="s">
        <v>291</v>
      </c>
      <c r="D231" t="s">
        <v>366</v>
      </c>
      <c r="E231" t="s">
        <v>383</v>
      </c>
      <c r="F231" s="20">
        <v>2030</v>
      </c>
      <c r="G231" s="20">
        <v>59</v>
      </c>
      <c r="H231" s="11">
        <v>14281.2636365219</v>
      </c>
      <c r="I231" s="10">
        <v>3167608.6786705302</v>
      </c>
      <c r="J231" s="34">
        <f t="shared" si="12"/>
        <v>4.5085315407444385E-3</v>
      </c>
      <c r="K231" s="34">
        <f t="shared" si="13"/>
        <v>4.4983833692628927E-3</v>
      </c>
      <c r="L231" s="34">
        <f t="shared" si="14"/>
        <v>0.95708129268507547</v>
      </c>
      <c r="M231" s="34">
        <f t="shared" si="15"/>
        <v>0.95277597411502835</v>
      </c>
    </row>
    <row r="232" spans="1:13" ht="69">
      <c r="A232" t="s">
        <v>164</v>
      </c>
      <c r="B232" t="s">
        <v>115</v>
      </c>
      <c r="C232" s="14" t="s">
        <v>291</v>
      </c>
      <c r="D232" t="s">
        <v>366</v>
      </c>
      <c r="E232" t="s">
        <v>383</v>
      </c>
      <c r="F232" s="20">
        <v>2030</v>
      </c>
      <c r="G232" s="20">
        <v>60</v>
      </c>
      <c r="H232" s="11">
        <v>14740.1222549023</v>
      </c>
      <c r="I232" s="10">
        <v>3078378.2756229099</v>
      </c>
      <c r="J232" s="34">
        <f t="shared" si="12"/>
        <v>4.7882751680085956E-3</v>
      </c>
      <c r="K232" s="34">
        <f t="shared" si="13"/>
        <v>4.7768296538437394E-3</v>
      </c>
      <c r="L232" s="34">
        <f t="shared" si="14"/>
        <v>0.95277597411502835</v>
      </c>
      <c r="M232" s="34">
        <f t="shared" si="15"/>
        <v>0.94822472558840587</v>
      </c>
    </row>
    <row r="233" spans="1:13" ht="69">
      <c r="A233" t="s">
        <v>164</v>
      </c>
      <c r="B233" t="s">
        <v>115</v>
      </c>
      <c r="C233" s="14" t="s">
        <v>291</v>
      </c>
      <c r="D233" t="s">
        <v>366</v>
      </c>
      <c r="E233" t="s">
        <v>383</v>
      </c>
      <c r="F233" s="20">
        <v>2030</v>
      </c>
      <c r="G233" s="20">
        <v>61</v>
      </c>
      <c r="H233" s="11">
        <v>15619.397353043099</v>
      </c>
      <c r="I233" s="10">
        <v>2973675.56471826</v>
      </c>
      <c r="J233" s="34">
        <f t="shared" si="12"/>
        <v>5.2525559742839512E-3</v>
      </c>
      <c r="K233" s="34">
        <f t="shared" si="13"/>
        <v>5.2387854228994613E-3</v>
      </c>
      <c r="L233" s="34">
        <f t="shared" si="14"/>
        <v>0.94822472558840587</v>
      </c>
      <c r="M233" s="34">
        <f t="shared" si="15"/>
        <v>0.94325717971836054</v>
      </c>
    </row>
    <row r="234" spans="1:13" ht="69">
      <c r="A234" t="s">
        <v>164</v>
      </c>
      <c r="B234" t="s">
        <v>115</v>
      </c>
      <c r="C234" s="14" t="s">
        <v>291</v>
      </c>
      <c r="D234" t="s">
        <v>366</v>
      </c>
      <c r="E234" t="s">
        <v>383</v>
      </c>
      <c r="F234" s="20">
        <v>2030</v>
      </c>
      <c r="G234" s="20">
        <v>62</v>
      </c>
      <c r="H234" s="11">
        <v>16534.095211252799</v>
      </c>
      <c r="I234" s="10">
        <v>2861894.3558924999</v>
      </c>
      <c r="J234" s="34">
        <f t="shared" si="12"/>
        <v>5.7773254897441999E-3</v>
      </c>
      <c r="K234" s="34">
        <f t="shared" si="13"/>
        <v>5.7606688372420223E-3</v>
      </c>
      <c r="L234" s="34">
        <f t="shared" si="14"/>
        <v>0.94325717971836054</v>
      </c>
      <c r="M234" s="34">
        <f t="shared" si="15"/>
        <v>0.93782338747765215</v>
      </c>
    </row>
    <row r="235" spans="1:13" ht="69">
      <c r="A235" t="s">
        <v>164</v>
      </c>
      <c r="B235" t="s">
        <v>115</v>
      </c>
      <c r="C235" s="14" t="s">
        <v>291</v>
      </c>
      <c r="D235" t="s">
        <v>366</v>
      </c>
      <c r="E235" t="s">
        <v>383</v>
      </c>
      <c r="F235" s="20">
        <v>2030</v>
      </c>
      <c r="G235" s="20">
        <v>63</v>
      </c>
      <c r="H235" s="11">
        <v>17487.700155733099</v>
      </c>
      <c r="I235" s="10">
        <v>2751893.7302504098</v>
      </c>
      <c r="J235" s="34">
        <f t="shared" si="12"/>
        <v>6.3547876008067349E-3</v>
      </c>
      <c r="K235" s="34">
        <f t="shared" si="13"/>
        <v>6.3346386414594447E-3</v>
      </c>
      <c r="L235" s="34">
        <f t="shared" si="14"/>
        <v>0.93782338747765215</v>
      </c>
      <c r="M235" s="34">
        <f t="shared" si="15"/>
        <v>0.93188261520847182</v>
      </c>
    </row>
    <row r="236" spans="1:13" ht="69">
      <c r="A236" t="s">
        <v>164</v>
      </c>
      <c r="B236" t="s">
        <v>115</v>
      </c>
      <c r="C236" s="14" t="s">
        <v>291</v>
      </c>
      <c r="D236" t="s">
        <v>366</v>
      </c>
      <c r="E236" t="s">
        <v>383</v>
      </c>
      <c r="F236" s="20">
        <v>2030</v>
      </c>
      <c r="G236" s="20">
        <v>64</v>
      </c>
      <c r="H236" s="11">
        <v>18702.128441450099</v>
      </c>
      <c r="I236" s="10">
        <v>2629231.4005541299</v>
      </c>
      <c r="J236" s="34">
        <f t="shared" si="12"/>
        <v>7.1131542235150884E-3</v>
      </c>
      <c r="K236" s="34">
        <f t="shared" si="13"/>
        <v>7.0879156194941784E-3</v>
      </c>
      <c r="L236" s="34">
        <f t="shared" si="14"/>
        <v>0.93188261520847182</v>
      </c>
      <c r="M236" s="34">
        <f t="shared" si="15"/>
        <v>0.92527750986460056</v>
      </c>
    </row>
    <row r="237" spans="1:13" ht="69">
      <c r="A237" t="s">
        <v>164</v>
      </c>
      <c r="B237" t="s">
        <v>115</v>
      </c>
      <c r="C237" s="14" t="s">
        <v>291</v>
      </c>
      <c r="D237" t="s">
        <v>366</v>
      </c>
      <c r="E237" t="s">
        <v>383</v>
      </c>
      <c r="F237" s="20">
        <v>2030</v>
      </c>
      <c r="G237" s="20">
        <v>65</v>
      </c>
      <c r="H237" s="11">
        <v>19706.830462744001</v>
      </c>
      <c r="I237" s="10">
        <v>2494352.8964420101</v>
      </c>
      <c r="J237" s="34">
        <f t="shared" si="12"/>
        <v>7.9005783387162982E-3</v>
      </c>
      <c r="K237" s="34">
        <f t="shared" si="13"/>
        <v>7.8694507988048557E-3</v>
      </c>
      <c r="L237" s="34">
        <f t="shared" si="14"/>
        <v>0.92527750986460056</v>
      </c>
      <c r="M237" s="34">
        <f t="shared" si="15"/>
        <v>0.91799608402548039</v>
      </c>
    </row>
    <row r="238" spans="1:13" ht="69">
      <c r="A238" t="s">
        <v>164</v>
      </c>
      <c r="B238" t="s">
        <v>115</v>
      </c>
      <c r="C238" s="14" t="s">
        <v>291</v>
      </c>
      <c r="D238" t="s">
        <v>366</v>
      </c>
      <c r="E238" t="s">
        <v>383</v>
      </c>
      <c r="F238" s="20">
        <v>2030</v>
      </c>
      <c r="G238" s="20">
        <v>66</v>
      </c>
      <c r="H238" s="11">
        <v>20282.318398150601</v>
      </c>
      <c r="I238" s="10">
        <v>2360649.3885861798</v>
      </c>
      <c r="J238" s="34">
        <f t="shared" si="12"/>
        <v>8.5918385407914872E-3</v>
      </c>
      <c r="K238" s="34">
        <f t="shared" si="13"/>
        <v>8.5550341771784E-3</v>
      </c>
      <c r="L238" s="34">
        <f t="shared" si="14"/>
        <v>0.91799608402548039</v>
      </c>
      <c r="M238" s="34">
        <f t="shared" si="15"/>
        <v>0.91014259615212645</v>
      </c>
    </row>
    <row r="239" spans="1:13" ht="69">
      <c r="A239" t="s">
        <v>164</v>
      </c>
      <c r="B239" t="s">
        <v>115</v>
      </c>
      <c r="C239" s="14" t="s">
        <v>291</v>
      </c>
      <c r="D239" t="s">
        <v>366</v>
      </c>
      <c r="E239" t="s">
        <v>383</v>
      </c>
      <c r="F239" s="20">
        <v>2030</v>
      </c>
      <c r="G239" s="20">
        <v>67</v>
      </c>
      <c r="H239" s="11">
        <v>20960.439329126399</v>
      </c>
      <c r="I239" s="10">
        <v>2227546.4226134899</v>
      </c>
      <c r="J239" s="34">
        <f t="shared" si="12"/>
        <v>9.4096532024389255E-3</v>
      </c>
      <c r="K239" s="34">
        <f t="shared" si="13"/>
        <v>9.3655209472904843E-3</v>
      </c>
      <c r="L239" s="34">
        <f t="shared" si="14"/>
        <v>0.91014259615212645</v>
      </c>
      <c r="M239" s="34">
        <f t="shared" si="15"/>
        <v>0.90161863660284236</v>
      </c>
    </row>
    <row r="240" spans="1:13" ht="69">
      <c r="A240" t="s">
        <v>164</v>
      </c>
      <c r="B240" t="s">
        <v>115</v>
      </c>
      <c r="C240" s="14" t="s">
        <v>291</v>
      </c>
      <c r="D240" t="s">
        <v>366</v>
      </c>
      <c r="E240" t="s">
        <v>383</v>
      </c>
      <c r="F240" s="20">
        <v>2030</v>
      </c>
      <c r="G240" s="20">
        <v>68</v>
      </c>
      <c r="H240" s="11">
        <v>21544.582478015898</v>
      </c>
      <c r="I240" s="10">
        <v>2094499.7321105299</v>
      </c>
      <c r="J240" s="34">
        <f t="shared" si="12"/>
        <v>1.0286266523560938E-2</v>
      </c>
      <c r="K240" s="34">
        <f t="shared" si="13"/>
        <v>1.023354381220154E-2</v>
      </c>
      <c r="L240" s="34">
        <f t="shared" si="14"/>
        <v>0.90161863660284236</v>
      </c>
      <c r="M240" s="34">
        <f t="shared" si="15"/>
        <v>0.89239188278326975</v>
      </c>
    </row>
    <row r="241" spans="1:13" ht="69">
      <c r="A241" t="s">
        <v>164</v>
      </c>
      <c r="B241" t="s">
        <v>115</v>
      </c>
      <c r="C241" s="14" t="s">
        <v>291</v>
      </c>
      <c r="D241" t="s">
        <v>366</v>
      </c>
      <c r="E241" t="s">
        <v>383</v>
      </c>
      <c r="F241" s="20">
        <v>2030</v>
      </c>
      <c r="G241" s="20">
        <v>69</v>
      </c>
      <c r="H241" s="11">
        <v>21083.757834381599</v>
      </c>
      <c r="I241" s="10">
        <v>1961781.4768351</v>
      </c>
      <c r="J241" s="34">
        <f t="shared" si="12"/>
        <v>1.074725094682593E-2</v>
      </c>
      <c r="K241" s="34">
        <f t="shared" si="13"/>
        <v>1.0689705581361175E-2</v>
      </c>
      <c r="L241" s="34">
        <f t="shared" si="14"/>
        <v>0.89239188278326975</v>
      </c>
      <c r="M241" s="34">
        <f t="shared" si="15"/>
        <v>0.88285247629312003</v>
      </c>
    </row>
    <row r="242" spans="1:13" ht="69">
      <c r="A242" t="s">
        <v>164</v>
      </c>
      <c r="B242" t="s">
        <v>115</v>
      </c>
      <c r="C242" s="14" t="s">
        <v>291</v>
      </c>
      <c r="D242" t="s">
        <v>366</v>
      </c>
      <c r="E242" t="s">
        <v>383</v>
      </c>
      <c r="F242" s="20">
        <v>2031</v>
      </c>
      <c r="G242" s="20">
        <v>30</v>
      </c>
      <c r="H242" s="11">
        <v>781.92099510904904</v>
      </c>
      <c r="I242" s="10">
        <v>4329566.9252517903</v>
      </c>
      <c r="J242" s="34">
        <f t="shared" si="12"/>
        <v>1.8060027910610842E-4</v>
      </c>
      <c r="K242" s="34">
        <f t="shared" si="13"/>
        <v>1.8058397185738428E-4</v>
      </c>
      <c r="L242" s="34">
        <f t="shared" si="14"/>
        <v>1</v>
      </c>
      <c r="M242" s="34">
        <f t="shared" si="15"/>
        <v>0.99981941602814262</v>
      </c>
    </row>
    <row r="243" spans="1:13" ht="69">
      <c r="A243" t="s">
        <v>164</v>
      </c>
      <c r="B243" t="s">
        <v>115</v>
      </c>
      <c r="C243" s="14" t="s">
        <v>291</v>
      </c>
      <c r="D243" t="s">
        <v>366</v>
      </c>
      <c r="E243" t="s">
        <v>383</v>
      </c>
      <c r="F243" s="20">
        <v>2031</v>
      </c>
      <c r="G243" s="20">
        <v>31</v>
      </c>
      <c r="H243" s="11">
        <v>1157.7833905484099</v>
      </c>
      <c r="I243" s="10">
        <v>4331097.4194826698</v>
      </c>
      <c r="J243" s="34">
        <f t="shared" si="12"/>
        <v>2.6731871357599295E-4</v>
      </c>
      <c r="K243" s="34">
        <f t="shared" si="13"/>
        <v>2.6728298711220511E-4</v>
      </c>
      <c r="L243" s="34">
        <f t="shared" si="14"/>
        <v>0.99981941602814262</v>
      </c>
      <c r="M243" s="34">
        <f t="shared" si="15"/>
        <v>0.99955218130805379</v>
      </c>
    </row>
    <row r="244" spans="1:13" ht="69">
      <c r="A244" t="s">
        <v>164</v>
      </c>
      <c r="B244" t="s">
        <v>115</v>
      </c>
      <c r="C244" s="14" t="s">
        <v>291</v>
      </c>
      <c r="D244" t="s">
        <v>366</v>
      </c>
      <c r="E244" t="s">
        <v>383</v>
      </c>
      <c r="F244" s="20">
        <v>2031</v>
      </c>
      <c r="G244" s="20">
        <v>32</v>
      </c>
      <c r="H244" s="11">
        <v>1245.0946237882299</v>
      </c>
      <c r="I244" s="10">
        <v>4371808.1608740697</v>
      </c>
      <c r="J244" s="34">
        <f t="shared" si="12"/>
        <v>2.8480083708414466E-4</v>
      </c>
      <c r="K244" s="34">
        <f t="shared" si="13"/>
        <v>2.8476028517554486E-4</v>
      </c>
      <c r="L244" s="34">
        <f t="shared" si="14"/>
        <v>0.99955218130805379</v>
      </c>
      <c r="M244" s="34">
        <f t="shared" si="15"/>
        <v>0.99926754854385669</v>
      </c>
    </row>
    <row r="245" spans="1:13" ht="69">
      <c r="A245" t="s">
        <v>164</v>
      </c>
      <c r="B245" t="s">
        <v>115</v>
      </c>
      <c r="C245" s="14" t="s">
        <v>291</v>
      </c>
      <c r="D245" t="s">
        <v>366</v>
      </c>
      <c r="E245" t="s">
        <v>383</v>
      </c>
      <c r="F245" s="20">
        <v>2031</v>
      </c>
      <c r="G245" s="20">
        <v>33</v>
      </c>
      <c r="H245" s="11">
        <v>1328.24043089107</v>
      </c>
      <c r="I245" s="10">
        <v>4415162.2757922402</v>
      </c>
      <c r="J245" s="34">
        <f t="shared" si="12"/>
        <v>3.0083615231395666E-4</v>
      </c>
      <c r="K245" s="34">
        <f t="shared" si="13"/>
        <v>3.0079090565604538E-4</v>
      </c>
      <c r="L245" s="34">
        <f t="shared" si="14"/>
        <v>0.99926754854385669</v>
      </c>
      <c r="M245" s="34">
        <f t="shared" si="15"/>
        <v>0.99896697795293743</v>
      </c>
    </row>
    <row r="246" spans="1:13" ht="69">
      <c r="A246" t="s">
        <v>164</v>
      </c>
      <c r="B246" t="s">
        <v>115</v>
      </c>
      <c r="C246" s="14" t="s">
        <v>291</v>
      </c>
      <c r="D246" t="s">
        <v>366</v>
      </c>
      <c r="E246" t="s">
        <v>383</v>
      </c>
      <c r="F246" s="20">
        <v>2031</v>
      </c>
      <c r="G246" s="20">
        <v>34</v>
      </c>
      <c r="H246" s="11">
        <v>1405.5838219595601</v>
      </c>
      <c r="I246" s="10">
        <v>4412229.6645641299</v>
      </c>
      <c r="J246" s="34">
        <f t="shared" si="12"/>
        <v>3.1856542583179727E-4</v>
      </c>
      <c r="K246" s="34">
        <f t="shared" si="13"/>
        <v>3.1851468925436777E-4</v>
      </c>
      <c r="L246" s="34">
        <f t="shared" si="14"/>
        <v>0.99896697795293743</v>
      </c>
      <c r="M246" s="34">
        <f t="shared" si="15"/>
        <v>0.99864879229637937</v>
      </c>
    </row>
    <row r="247" spans="1:13" ht="69">
      <c r="A247" t="s">
        <v>164</v>
      </c>
      <c r="B247" t="s">
        <v>115</v>
      </c>
      <c r="C247" s="14" t="s">
        <v>291</v>
      </c>
      <c r="D247" t="s">
        <v>366</v>
      </c>
      <c r="E247" t="s">
        <v>383</v>
      </c>
      <c r="F247" s="20">
        <v>2031</v>
      </c>
      <c r="G247" s="20">
        <v>35</v>
      </c>
      <c r="H247" s="11">
        <v>1478.2019983345101</v>
      </c>
      <c r="I247" s="10">
        <v>4350194.6961531704</v>
      </c>
      <c r="J247" s="34">
        <f t="shared" si="12"/>
        <v>3.3980134260235939E-4</v>
      </c>
      <c r="K247" s="34">
        <f t="shared" si="13"/>
        <v>3.3974361666477826E-4</v>
      </c>
      <c r="L247" s="34">
        <f t="shared" si="14"/>
        <v>0.99864879229637937</v>
      </c>
      <c r="M247" s="34">
        <f t="shared" si="15"/>
        <v>0.9983095077439067</v>
      </c>
    </row>
    <row r="248" spans="1:13" ht="69">
      <c r="A248" t="s">
        <v>164</v>
      </c>
      <c r="B248" t="s">
        <v>115</v>
      </c>
      <c r="C248" s="14" t="s">
        <v>291</v>
      </c>
      <c r="D248" t="s">
        <v>366</v>
      </c>
      <c r="E248" t="s">
        <v>383</v>
      </c>
      <c r="F248" s="20">
        <v>2031</v>
      </c>
      <c r="G248" s="20">
        <v>36</v>
      </c>
      <c r="H248" s="11">
        <v>1895.89151258588</v>
      </c>
      <c r="I248" s="10">
        <v>4286143.1319305496</v>
      </c>
      <c r="J248" s="34">
        <f t="shared" si="12"/>
        <v>4.4233042486659541E-4</v>
      </c>
      <c r="K248" s="34">
        <f t="shared" si="13"/>
        <v>4.4223261118669921E-4</v>
      </c>
      <c r="L248" s="34">
        <f t="shared" si="14"/>
        <v>0.9983095077439067</v>
      </c>
      <c r="M248" s="34">
        <f t="shared" si="15"/>
        <v>0.99786802272352459</v>
      </c>
    </row>
    <row r="249" spans="1:13" ht="69">
      <c r="A249" t="s">
        <v>164</v>
      </c>
      <c r="B249" t="s">
        <v>115</v>
      </c>
      <c r="C249" s="14" t="s">
        <v>291</v>
      </c>
      <c r="D249" t="s">
        <v>366</v>
      </c>
      <c r="E249" t="s">
        <v>383</v>
      </c>
      <c r="F249" s="20">
        <v>2031</v>
      </c>
      <c r="G249" s="20">
        <v>37</v>
      </c>
      <c r="H249" s="11">
        <v>2028.16386948032</v>
      </c>
      <c r="I249" s="10">
        <v>4231701.1813855097</v>
      </c>
      <c r="J249" s="34">
        <f t="shared" si="12"/>
        <v>4.7927861220490876E-4</v>
      </c>
      <c r="K249" s="34">
        <f t="shared" si="13"/>
        <v>4.7916377655765618E-4</v>
      </c>
      <c r="L249" s="34">
        <f t="shared" si="14"/>
        <v>0.99786802272352459</v>
      </c>
      <c r="M249" s="34">
        <f t="shared" si="15"/>
        <v>0.99738988051325028</v>
      </c>
    </row>
    <row r="250" spans="1:13" ht="69">
      <c r="A250" t="s">
        <v>164</v>
      </c>
      <c r="B250" t="s">
        <v>115</v>
      </c>
      <c r="C250" s="14" t="s">
        <v>291</v>
      </c>
      <c r="D250" t="s">
        <v>366</v>
      </c>
      <c r="E250" t="s">
        <v>383</v>
      </c>
      <c r="F250" s="20">
        <v>2031</v>
      </c>
      <c r="G250" s="20">
        <v>38</v>
      </c>
      <c r="H250" s="11">
        <v>2196.3125325942101</v>
      </c>
      <c r="I250" s="10">
        <v>4179748.8983293502</v>
      </c>
      <c r="J250" s="34">
        <f t="shared" si="12"/>
        <v>5.2546518607184231E-4</v>
      </c>
      <c r="K250" s="34">
        <f t="shared" si="13"/>
        <v>5.2532715341913061E-4</v>
      </c>
      <c r="L250" s="34">
        <f t="shared" si="14"/>
        <v>0.99738988051325028</v>
      </c>
      <c r="M250" s="34">
        <f t="shared" si="15"/>
        <v>0.99686592452647116</v>
      </c>
    </row>
    <row r="251" spans="1:13" ht="69">
      <c r="A251" t="s">
        <v>164</v>
      </c>
      <c r="B251" t="s">
        <v>115</v>
      </c>
      <c r="C251" s="14" t="s">
        <v>291</v>
      </c>
      <c r="D251" t="s">
        <v>366</v>
      </c>
      <c r="E251" t="s">
        <v>383</v>
      </c>
      <c r="F251" s="20">
        <v>2031</v>
      </c>
      <c r="G251" s="20">
        <v>39</v>
      </c>
      <c r="H251" s="11">
        <v>2311.4589813111502</v>
      </c>
      <c r="I251" s="10">
        <v>4162671.6967758201</v>
      </c>
      <c r="J251" s="34">
        <f t="shared" si="12"/>
        <v>5.5528255641718776E-4</v>
      </c>
      <c r="K251" s="34">
        <f t="shared" si="13"/>
        <v>5.5512841559035575E-4</v>
      </c>
      <c r="L251" s="34">
        <f t="shared" si="14"/>
        <v>0.99686592452647116</v>
      </c>
      <c r="M251" s="34">
        <f t="shared" si="15"/>
        <v>0.99631253592523272</v>
      </c>
    </row>
    <row r="252" spans="1:13" ht="69">
      <c r="A252" t="s">
        <v>164</v>
      </c>
      <c r="B252" t="s">
        <v>115</v>
      </c>
      <c r="C252" s="14" t="s">
        <v>291</v>
      </c>
      <c r="D252" t="s">
        <v>366</v>
      </c>
      <c r="E252" t="s">
        <v>383</v>
      </c>
      <c r="F252" s="20">
        <v>2031</v>
      </c>
      <c r="G252" s="20">
        <v>40</v>
      </c>
      <c r="H252" s="11">
        <v>2503.3647226954299</v>
      </c>
      <c r="I252" s="10">
        <v>4139852.7264682199</v>
      </c>
      <c r="J252" s="34">
        <f t="shared" si="12"/>
        <v>6.0469898039853555E-4</v>
      </c>
      <c r="K252" s="34">
        <f t="shared" si="13"/>
        <v>6.045161868170057E-4</v>
      </c>
      <c r="L252" s="34">
        <f t="shared" si="14"/>
        <v>0.99631253592523272</v>
      </c>
      <c r="M252" s="34">
        <f t="shared" si="15"/>
        <v>0.99571024887013726</v>
      </c>
    </row>
    <row r="253" spans="1:13" ht="69">
      <c r="A253" t="s">
        <v>164</v>
      </c>
      <c r="B253" t="s">
        <v>115</v>
      </c>
      <c r="C253" s="14" t="s">
        <v>291</v>
      </c>
      <c r="D253" t="s">
        <v>366</v>
      </c>
      <c r="E253" t="s">
        <v>383</v>
      </c>
      <c r="F253" s="20">
        <v>2031</v>
      </c>
      <c r="G253" s="20">
        <v>41</v>
      </c>
      <c r="H253" s="11">
        <v>3260.7954484039201</v>
      </c>
      <c r="I253" s="10">
        <v>4120460.3199672299</v>
      </c>
      <c r="J253" s="34">
        <f t="shared" si="12"/>
        <v>7.9136678797815804E-4</v>
      </c>
      <c r="K253" s="34">
        <f t="shared" si="13"/>
        <v>7.9105373986565475E-4</v>
      </c>
      <c r="L253" s="34">
        <f t="shared" si="14"/>
        <v>0.99571024887013726</v>
      </c>
      <c r="M253" s="34">
        <f t="shared" si="15"/>
        <v>0.994922588553946</v>
      </c>
    </row>
    <row r="254" spans="1:13" ht="69">
      <c r="A254" t="s">
        <v>164</v>
      </c>
      <c r="B254" t="s">
        <v>115</v>
      </c>
      <c r="C254" s="14" t="s">
        <v>291</v>
      </c>
      <c r="D254" t="s">
        <v>366</v>
      </c>
      <c r="E254" t="s">
        <v>383</v>
      </c>
      <c r="F254" s="20">
        <v>2031</v>
      </c>
      <c r="G254" s="20">
        <v>42</v>
      </c>
      <c r="H254" s="11">
        <v>3617.32569337324</v>
      </c>
      <c r="I254" s="10">
        <v>4124093.9297088301</v>
      </c>
      <c r="J254" s="34">
        <f t="shared" si="12"/>
        <v>8.7712010323407722E-4</v>
      </c>
      <c r="K254" s="34">
        <f t="shared" si="13"/>
        <v>8.7673554583889146E-4</v>
      </c>
      <c r="L254" s="34">
        <f t="shared" si="14"/>
        <v>0.994922588553946</v>
      </c>
      <c r="M254" s="34">
        <f t="shared" si="15"/>
        <v>0.99405030455520271</v>
      </c>
    </row>
    <row r="255" spans="1:13" ht="69">
      <c r="A255" t="s">
        <v>164</v>
      </c>
      <c r="B255" t="s">
        <v>115</v>
      </c>
      <c r="C255" s="14" t="s">
        <v>291</v>
      </c>
      <c r="D255" t="s">
        <v>366</v>
      </c>
      <c r="E255" t="s">
        <v>383</v>
      </c>
      <c r="F255" s="20">
        <v>2031</v>
      </c>
      <c r="G255" s="20">
        <v>43</v>
      </c>
      <c r="H255" s="11">
        <v>4091.1765243732102</v>
      </c>
      <c r="I255" s="10">
        <v>4081804.9115273999</v>
      </c>
      <c r="J255" s="34">
        <f t="shared" si="12"/>
        <v>1.0022959482505751E-3</v>
      </c>
      <c r="K255" s="34">
        <f t="shared" si="13"/>
        <v>1.0017938174419205E-3</v>
      </c>
      <c r="L255" s="34">
        <f t="shared" si="14"/>
        <v>0.99405030455520271</v>
      </c>
      <c r="M255" s="34">
        <f t="shared" si="15"/>
        <v>0.99305447110587308</v>
      </c>
    </row>
    <row r="256" spans="1:13" ht="69">
      <c r="A256" t="s">
        <v>164</v>
      </c>
      <c r="B256" t="s">
        <v>115</v>
      </c>
      <c r="C256" s="14" t="s">
        <v>291</v>
      </c>
      <c r="D256" t="s">
        <v>366</v>
      </c>
      <c r="E256" t="s">
        <v>383</v>
      </c>
      <c r="F256" s="20">
        <v>2031</v>
      </c>
      <c r="G256" s="20">
        <v>44</v>
      </c>
      <c r="H256" s="11">
        <v>4340.16261532914</v>
      </c>
      <c r="I256" s="10">
        <v>4030620.4137979001</v>
      </c>
      <c r="J256" s="34">
        <f t="shared" si="12"/>
        <v>1.0767976563785548E-3</v>
      </c>
      <c r="K256" s="34">
        <f t="shared" si="13"/>
        <v>1.0762181178161079E-3</v>
      </c>
      <c r="L256" s="34">
        <f t="shared" si="14"/>
        <v>0.99305447110587308</v>
      </c>
      <c r="M256" s="34">
        <f t="shared" si="15"/>
        <v>0.99198572789209061</v>
      </c>
    </row>
    <row r="257" spans="1:13" ht="69">
      <c r="A257" t="s">
        <v>164</v>
      </c>
      <c r="B257" t="s">
        <v>115</v>
      </c>
      <c r="C257" s="14" t="s">
        <v>291</v>
      </c>
      <c r="D257" t="s">
        <v>366</v>
      </c>
      <c r="E257" t="s">
        <v>383</v>
      </c>
      <c r="F257" s="20">
        <v>2031</v>
      </c>
      <c r="G257" s="20">
        <v>45</v>
      </c>
      <c r="H257" s="11">
        <v>4780.7510533398299</v>
      </c>
      <c r="I257" s="10">
        <v>4040990.5088198399</v>
      </c>
      <c r="J257" s="34">
        <f t="shared" si="12"/>
        <v>1.1830641628346797E-3</v>
      </c>
      <c r="K257" s="34">
        <f t="shared" si="13"/>
        <v>1.1823646183238834E-3</v>
      </c>
      <c r="L257" s="34">
        <f t="shared" si="14"/>
        <v>0.99198572789209061</v>
      </c>
      <c r="M257" s="34">
        <f t="shared" si="15"/>
        <v>0.99081283906554873</v>
      </c>
    </row>
    <row r="258" spans="1:13" ht="69">
      <c r="A258" t="s">
        <v>164</v>
      </c>
      <c r="B258" t="s">
        <v>115</v>
      </c>
      <c r="C258" s="14" t="s">
        <v>291</v>
      </c>
      <c r="D258" t="s">
        <v>366</v>
      </c>
      <c r="E258" t="s">
        <v>383</v>
      </c>
      <c r="F258" s="20">
        <v>2031</v>
      </c>
      <c r="G258" s="20">
        <v>46</v>
      </c>
      <c r="H258" s="11">
        <v>6156.5953569317599</v>
      </c>
      <c r="I258" s="10">
        <v>4107715.3273753398</v>
      </c>
      <c r="J258" s="34">
        <f t="shared" ref="J258:J321" si="16">IF(I258&gt;0,H258/I258,0)</f>
        <v>1.4987882232008443E-3</v>
      </c>
      <c r="K258" s="34">
        <f t="shared" ref="K258:K321" si="17">1-EXP(-J258)</f>
        <v>1.4976656010594613E-3</v>
      </c>
      <c r="L258" s="34">
        <f t="shared" ref="L258:L321" si="18">IF(G258=30,1,M257)</f>
        <v>0.99081283906554873</v>
      </c>
      <c r="M258" s="34">
        <f t="shared" ref="M258:M321" si="19">L258*(1-K258)</f>
        <v>0.98932893275939215</v>
      </c>
    </row>
    <row r="259" spans="1:13" ht="69">
      <c r="A259" t="s">
        <v>164</v>
      </c>
      <c r="B259" t="s">
        <v>115</v>
      </c>
      <c r="C259" s="14" t="s">
        <v>291</v>
      </c>
      <c r="D259" t="s">
        <v>366</v>
      </c>
      <c r="E259" t="s">
        <v>383</v>
      </c>
      <c r="F259" s="20">
        <v>2031</v>
      </c>
      <c r="G259" s="20">
        <v>47</v>
      </c>
      <c r="H259" s="11">
        <v>6895.2579404786402</v>
      </c>
      <c r="I259" s="10">
        <v>4132756.0948610199</v>
      </c>
      <c r="J259" s="34">
        <f t="shared" si="16"/>
        <v>1.6684405714270734E-3</v>
      </c>
      <c r="K259" s="34">
        <f t="shared" si="17"/>
        <v>1.6670494982053974E-3</v>
      </c>
      <c r="L259" s="34">
        <f t="shared" si="18"/>
        <v>0.98932893275939215</v>
      </c>
      <c r="M259" s="34">
        <f t="shared" si="19"/>
        <v>0.98767967245847554</v>
      </c>
    </row>
    <row r="260" spans="1:13" ht="69">
      <c r="A260" t="s">
        <v>164</v>
      </c>
      <c r="B260" t="s">
        <v>115</v>
      </c>
      <c r="C260" s="14" t="s">
        <v>291</v>
      </c>
      <c r="D260" t="s">
        <v>366</v>
      </c>
      <c r="E260" t="s">
        <v>383</v>
      </c>
      <c r="F260" s="20">
        <v>2031</v>
      </c>
      <c r="G260" s="20">
        <v>48</v>
      </c>
      <c r="H260" s="11">
        <v>7462.0770315524196</v>
      </c>
      <c r="I260" s="10">
        <v>4098873.98855728</v>
      </c>
      <c r="J260" s="34">
        <f t="shared" si="16"/>
        <v>1.8205187698826814E-3</v>
      </c>
      <c r="K260" s="34">
        <f t="shared" si="17"/>
        <v>1.818862630750151E-3</v>
      </c>
      <c r="L260" s="34">
        <f t="shared" si="18"/>
        <v>0.98767967245847554</v>
      </c>
      <c r="M260" s="34">
        <f t="shared" si="19"/>
        <v>0.98588321881108931</v>
      </c>
    </row>
    <row r="261" spans="1:13" ht="69">
      <c r="A261" t="s">
        <v>164</v>
      </c>
      <c r="B261" t="s">
        <v>115</v>
      </c>
      <c r="C261" s="14" t="s">
        <v>291</v>
      </c>
      <c r="D261" t="s">
        <v>366</v>
      </c>
      <c r="E261" t="s">
        <v>383</v>
      </c>
      <c r="F261" s="20">
        <v>2031</v>
      </c>
      <c r="G261" s="20">
        <v>49</v>
      </c>
      <c r="H261" s="11">
        <v>7821.8776961762196</v>
      </c>
      <c r="I261" s="10">
        <v>4040251.0058583999</v>
      </c>
      <c r="J261" s="34">
        <f t="shared" si="16"/>
        <v>1.9359880573841643E-3</v>
      </c>
      <c r="K261" s="34">
        <f t="shared" si="17"/>
        <v>1.9341152412831741E-3</v>
      </c>
      <c r="L261" s="34">
        <f t="shared" si="18"/>
        <v>0.98588321881108931</v>
      </c>
      <c r="M261" s="34">
        <f t="shared" si="19"/>
        <v>0.9839764070514615</v>
      </c>
    </row>
    <row r="262" spans="1:13" ht="69">
      <c r="A262" t="s">
        <v>164</v>
      </c>
      <c r="B262" t="s">
        <v>115</v>
      </c>
      <c r="C262" s="14" t="s">
        <v>291</v>
      </c>
      <c r="D262" t="s">
        <v>366</v>
      </c>
      <c r="E262" t="s">
        <v>383</v>
      </c>
      <c r="F262" s="20">
        <v>2031</v>
      </c>
      <c r="G262" s="20">
        <v>50</v>
      </c>
      <c r="H262" s="11">
        <v>8170.4916598554601</v>
      </c>
      <c r="I262" s="10">
        <v>3974443.9940283801</v>
      </c>
      <c r="J262" s="34">
        <f t="shared" si="16"/>
        <v>2.0557571504672503E-3</v>
      </c>
      <c r="K262" s="34">
        <f t="shared" si="17"/>
        <v>2.0536455289779099E-3</v>
      </c>
      <c r="L262" s="34">
        <f t="shared" si="18"/>
        <v>0.9839764070514615</v>
      </c>
      <c r="M262" s="34">
        <f t="shared" si="19"/>
        <v>0.98195566830250047</v>
      </c>
    </row>
    <row r="263" spans="1:13" ht="69">
      <c r="A263" t="s">
        <v>164</v>
      </c>
      <c r="B263" t="s">
        <v>115</v>
      </c>
      <c r="C263" s="14" t="s">
        <v>291</v>
      </c>
      <c r="D263" t="s">
        <v>366</v>
      </c>
      <c r="E263" t="s">
        <v>383</v>
      </c>
      <c r="F263" s="20">
        <v>2031</v>
      </c>
      <c r="G263" s="20">
        <v>51</v>
      </c>
      <c r="H263" s="11">
        <v>8981.9940517463092</v>
      </c>
      <c r="I263" s="10">
        <v>3913820.61068865</v>
      </c>
      <c r="J263" s="34">
        <f t="shared" si="16"/>
        <v>2.2949427031010235E-3</v>
      </c>
      <c r="K263" s="34">
        <f t="shared" si="17"/>
        <v>2.2923113354267333E-3</v>
      </c>
      <c r="L263" s="34">
        <f t="shared" si="18"/>
        <v>0.98195566830250047</v>
      </c>
      <c r="M263" s="34">
        <f t="shared" si="19"/>
        <v>0.97970472019316412</v>
      </c>
    </row>
    <row r="264" spans="1:13" ht="69">
      <c r="A264" t="s">
        <v>164</v>
      </c>
      <c r="B264" t="s">
        <v>115</v>
      </c>
      <c r="C264" s="14" t="s">
        <v>291</v>
      </c>
      <c r="D264" t="s">
        <v>366</v>
      </c>
      <c r="E264" t="s">
        <v>383</v>
      </c>
      <c r="F264" s="20">
        <v>2031</v>
      </c>
      <c r="G264" s="20">
        <v>52</v>
      </c>
      <c r="H264" s="11">
        <v>9403.4026590564408</v>
      </c>
      <c r="I264" s="10">
        <v>3839790.32978593</v>
      </c>
      <c r="J264" s="34">
        <f t="shared" si="16"/>
        <v>2.4489364916913795E-3</v>
      </c>
      <c r="K264" s="34">
        <f t="shared" si="17"/>
        <v>2.4459402930536722E-3</v>
      </c>
      <c r="L264" s="34">
        <f t="shared" si="18"/>
        <v>0.97970472019316412</v>
      </c>
      <c r="M264" s="34">
        <f t="shared" si="19"/>
        <v>0.97730842094274883</v>
      </c>
    </row>
    <row r="265" spans="1:13" ht="69">
      <c r="A265" t="s">
        <v>164</v>
      </c>
      <c r="B265" t="s">
        <v>115</v>
      </c>
      <c r="C265" s="14" t="s">
        <v>291</v>
      </c>
      <c r="D265" t="s">
        <v>366</v>
      </c>
      <c r="E265" t="s">
        <v>383</v>
      </c>
      <c r="F265" s="20">
        <v>2031</v>
      </c>
      <c r="G265" s="20">
        <v>53</v>
      </c>
      <c r="H265" s="11">
        <v>9832.3383747451007</v>
      </c>
      <c r="I265" s="10">
        <v>3741559.9775471198</v>
      </c>
      <c r="J265" s="34">
        <f t="shared" si="16"/>
        <v>2.6278713781813954E-3</v>
      </c>
      <c r="K265" s="34">
        <f t="shared" si="17"/>
        <v>2.6244215467573495E-3</v>
      </c>
      <c r="L265" s="34">
        <f t="shared" si="18"/>
        <v>0.97730842094274883</v>
      </c>
      <c r="M265" s="34">
        <f t="shared" si="19"/>
        <v>0.97474355166499926</v>
      </c>
    </row>
    <row r="266" spans="1:13" ht="69">
      <c r="A266" t="s">
        <v>164</v>
      </c>
      <c r="B266" t="s">
        <v>115</v>
      </c>
      <c r="C266" s="14" t="s">
        <v>291</v>
      </c>
      <c r="D266" t="s">
        <v>366</v>
      </c>
      <c r="E266" t="s">
        <v>383</v>
      </c>
      <c r="F266" s="20">
        <v>2031</v>
      </c>
      <c r="G266" s="20">
        <v>54</v>
      </c>
      <c r="H266" s="11">
        <v>10356.867412825301</v>
      </c>
      <c r="I266" s="10">
        <v>3647326.4624156998</v>
      </c>
      <c r="J266" s="34">
        <f t="shared" si="16"/>
        <v>2.8395778440863046E-3</v>
      </c>
      <c r="K266" s="34">
        <f t="shared" si="17"/>
        <v>2.8355500562277092E-3</v>
      </c>
      <c r="L266" s="34">
        <f t="shared" si="18"/>
        <v>0.97474355166499926</v>
      </c>
      <c r="M266" s="34">
        <f t="shared" si="19"/>
        <v>0.97197961753226803</v>
      </c>
    </row>
    <row r="267" spans="1:13" ht="69">
      <c r="A267" t="s">
        <v>164</v>
      </c>
      <c r="B267" t="s">
        <v>115</v>
      </c>
      <c r="C267" s="14" t="s">
        <v>291</v>
      </c>
      <c r="D267" t="s">
        <v>366</v>
      </c>
      <c r="E267" t="s">
        <v>383</v>
      </c>
      <c r="F267" s="20">
        <v>2031</v>
      </c>
      <c r="G267" s="20">
        <v>55</v>
      </c>
      <c r="H267" s="11">
        <v>11091.8074797264</v>
      </c>
      <c r="I267" s="10">
        <v>3567653.3081609602</v>
      </c>
      <c r="J267" s="34">
        <f t="shared" si="16"/>
        <v>3.1089925286052981E-3</v>
      </c>
      <c r="K267" s="34">
        <f t="shared" si="17"/>
        <v>3.104164615944649E-3</v>
      </c>
      <c r="L267" s="34">
        <f t="shared" si="18"/>
        <v>0.97197961753226803</v>
      </c>
      <c r="M267" s="34">
        <f t="shared" si="19"/>
        <v>0.96896243279610494</v>
      </c>
    </row>
    <row r="268" spans="1:13" ht="69">
      <c r="A268" t="s">
        <v>164</v>
      </c>
      <c r="B268" t="s">
        <v>115</v>
      </c>
      <c r="C268" s="14" t="s">
        <v>291</v>
      </c>
      <c r="D268" t="s">
        <v>366</v>
      </c>
      <c r="E268" t="s">
        <v>383</v>
      </c>
      <c r="F268" s="20">
        <v>2031</v>
      </c>
      <c r="G268" s="20">
        <v>56</v>
      </c>
      <c r="H268" s="11">
        <v>11933.1308017716</v>
      </c>
      <c r="I268" s="10">
        <v>3475201.76953049</v>
      </c>
      <c r="J268" s="34">
        <f t="shared" si="16"/>
        <v>3.4337950982868547E-3</v>
      </c>
      <c r="K268" s="34">
        <f t="shared" si="17"/>
        <v>3.4279063660599407E-3</v>
      </c>
      <c r="L268" s="34">
        <f t="shared" si="18"/>
        <v>0.96896243279610494</v>
      </c>
      <c r="M268" s="34">
        <f t="shared" si="19"/>
        <v>0.96564092030425019</v>
      </c>
    </row>
    <row r="269" spans="1:13" ht="69">
      <c r="A269" t="s">
        <v>164</v>
      </c>
      <c r="B269" t="s">
        <v>115</v>
      </c>
      <c r="C269" s="14" t="s">
        <v>291</v>
      </c>
      <c r="D269" t="s">
        <v>366</v>
      </c>
      <c r="E269" t="s">
        <v>383</v>
      </c>
      <c r="F269" s="20">
        <v>2031</v>
      </c>
      <c r="G269" s="20">
        <v>57</v>
      </c>
      <c r="H269" s="11">
        <v>12859.6525753963</v>
      </c>
      <c r="I269" s="10">
        <v>3397342.6602682602</v>
      </c>
      <c r="J269" s="34">
        <f t="shared" si="16"/>
        <v>3.7852091653247833E-3</v>
      </c>
      <c r="K269" s="34">
        <f t="shared" si="17"/>
        <v>3.7780542915236692E-3</v>
      </c>
      <c r="L269" s="34">
        <f t="shared" si="18"/>
        <v>0.96564092030425019</v>
      </c>
      <c r="M269" s="34">
        <f t="shared" si="19"/>
        <v>0.96199267648122389</v>
      </c>
    </row>
    <row r="270" spans="1:13" ht="69">
      <c r="A270" t="s">
        <v>164</v>
      </c>
      <c r="B270" t="s">
        <v>115</v>
      </c>
      <c r="C270" s="14" t="s">
        <v>291</v>
      </c>
      <c r="D270" t="s">
        <v>366</v>
      </c>
      <c r="E270" t="s">
        <v>383</v>
      </c>
      <c r="F270" s="20">
        <v>2031</v>
      </c>
      <c r="G270" s="20">
        <v>58</v>
      </c>
      <c r="H270" s="11">
        <v>13911.4809558939</v>
      </c>
      <c r="I270" s="10">
        <v>3319021.4264183398</v>
      </c>
      <c r="J270" s="34">
        <f t="shared" si="16"/>
        <v>4.1914405388175559E-3</v>
      </c>
      <c r="K270" s="34">
        <f t="shared" si="17"/>
        <v>4.1826687117323402E-3</v>
      </c>
      <c r="L270" s="34">
        <f t="shared" si="18"/>
        <v>0.96199267648122389</v>
      </c>
      <c r="M270" s="34">
        <f t="shared" si="19"/>
        <v>0.95796897981239026</v>
      </c>
    </row>
    <row r="271" spans="1:13" ht="69">
      <c r="A271" t="s">
        <v>164</v>
      </c>
      <c r="B271" t="s">
        <v>115</v>
      </c>
      <c r="C271" s="14" t="s">
        <v>291</v>
      </c>
      <c r="D271" t="s">
        <v>366</v>
      </c>
      <c r="E271" t="s">
        <v>383</v>
      </c>
      <c r="F271" s="20">
        <v>2031</v>
      </c>
      <c r="G271" s="20">
        <v>59</v>
      </c>
      <c r="H271" s="11">
        <v>14186.4102635935</v>
      </c>
      <c r="I271" s="10">
        <v>3219379.4277054002</v>
      </c>
      <c r="J271" s="34">
        <f t="shared" si="16"/>
        <v>4.4065667257198095E-3</v>
      </c>
      <c r="K271" s="34">
        <f t="shared" si="17"/>
        <v>4.3968720558631436E-3</v>
      </c>
      <c r="L271" s="34">
        <f t="shared" si="18"/>
        <v>0.95796897981239026</v>
      </c>
      <c r="M271" s="34">
        <f t="shared" si="19"/>
        <v>0.95375691277466945</v>
      </c>
    </row>
    <row r="272" spans="1:13" ht="69">
      <c r="A272" t="s">
        <v>164</v>
      </c>
      <c r="B272" t="s">
        <v>115</v>
      </c>
      <c r="C272" s="14" t="s">
        <v>291</v>
      </c>
      <c r="D272" t="s">
        <v>366</v>
      </c>
      <c r="E272" t="s">
        <v>383</v>
      </c>
      <c r="F272" s="20">
        <v>2031</v>
      </c>
      <c r="G272" s="20">
        <v>60</v>
      </c>
      <c r="H272" s="11">
        <v>14662.1718836077</v>
      </c>
      <c r="I272" s="10">
        <v>3130428.8342794101</v>
      </c>
      <c r="J272" s="34">
        <f t="shared" si="16"/>
        <v>4.6837582516015795E-3</v>
      </c>
      <c r="K272" s="34">
        <f t="shared" si="17"/>
        <v>4.6728065609505931E-3</v>
      </c>
      <c r="L272" s="34">
        <f t="shared" si="18"/>
        <v>0.95375691277466945</v>
      </c>
      <c r="M272" s="34">
        <f t="shared" si="19"/>
        <v>0.94930019121510401</v>
      </c>
    </row>
    <row r="273" spans="1:13" ht="69">
      <c r="A273" t="s">
        <v>164</v>
      </c>
      <c r="B273" t="s">
        <v>115</v>
      </c>
      <c r="C273" s="14" t="s">
        <v>291</v>
      </c>
      <c r="D273" t="s">
        <v>366</v>
      </c>
      <c r="E273" t="s">
        <v>383</v>
      </c>
      <c r="F273" s="20">
        <v>2031</v>
      </c>
      <c r="G273" s="20">
        <v>61</v>
      </c>
      <c r="H273" s="11">
        <v>15533.193761311701</v>
      </c>
      <c r="I273" s="10">
        <v>3039332.9560943898</v>
      </c>
      <c r="J273" s="34">
        <f t="shared" si="16"/>
        <v>5.1107246180991635E-3</v>
      </c>
      <c r="K273" s="34">
        <f t="shared" si="17"/>
        <v>5.097687084908098E-3</v>
      </c>
      <c r="L273" s="34">
        <f t="shared" si="18"/>
        <v>0.94930019121510401</v>
      </c>
      <c r="M273" s="34">
        <f t="shared" si="19"/>
        <v>0.94446095589064594</v>
      </c>
    </row>
    <row r="274" spans="1:13" ht="69">
      <c r="A274" t="s">
        <v>164</v>
      </c>
      <c r="B274" t="s">
        <v>115</v>
      </c>
      <c r="C274" s="14" t="s">
        <v>291</v>
      </c>
      <c r="D274" t="s">
        <v>366</v>
      </c>
      <c r="E274" t="s">
        <v>383</v>
      </c>
      <c r="F274" s="20">
        <v>2031</v>
      </c>
      <c r="G274" s="20">
        <v>62</v>
      </c>
      <c r="H274" s="11">
        <v>16193.822848378601</v>
      </c>
      <c r="I274" s="10">
        <v>2932744.1534464201</v>
      </c>
      <c r="J274" s="34">
        <f t="shared" si="16"/>
        <v>5.5217305025903459E-3</v>
      </c>
      <c r="K274" s="34">
        <f t="shared" si="17"/>
        <v>5.5065137691685528E-3</v>
      </c>
      <c r="L274" s="34">
        <f t="shared" si="18"/>
        <v>0.94446095589064594</v>
      </c>
      <c r="M274" s="34">
        <f t="shared" si="19"/>
        <v>0.93926026863259204</v>
      </c>
    </row>
    <row r="275" spans="1:13" ht="69">
      <c r="A275" t="s">
        <v>164</v>
      </c>
      <c r="B275" t="s">
        <v>115</v>
      </c>
      <c r="C275" s="14" t="s">
        <v>291</v>
      </c>
      <c r="D275" t="s">
        <v>366</v>
      </c>
      <c r="E275" t="s">
        <v>383</v>
      </c>
      <c r="F275" s="20">
        <v>2031</v>
      </c>
      <c r="G275" s="20">
        <v>63</v>
      </c>
      <c r="H275" s="11">
        <v>17129.735395017899</v>
      </c>
      <c r="I275" s="10">
        <v>2818740.3467673901</v>
      </c>
      <c r="J275" s="34">
        <f t="shared" si="16"/>
        <v>6.0770888012664078E-3</v>
      </c>
      <c r="K275" s="34">
        <f t="shared" si="17"/>
        <v>6.0586606458598036E-3</v>
      </c>
      <c r="L275" s="34">
        <f t="shared" si="18"/>
        <v>0.93926026863259204</v>
      </c>
      <c r="M275" s="34">
        <f t="shared" si="19"/>
        <v>0.933569609406808</v>
      </c>
    </row>
    <row r="276" spans="1:13" ht="69">
      <c r="A276" t="s">
        <v>164</v>
      </c>
      <c r="B276" t="s">
        <v>115</v>
      </c>
      <c r="C276" s="14" t="s">
        <v>291</v>
      </c>
      <c r="D276" t="s">
        <v>366</v>
      </c>
      <c r="E276" t="s">
        <v>383</v>
      </c>
      <c r="F276" s="20">
        <v>2031</v>
      </c>
      <c r="G276" s="20">
        <v>64</v>
      </c>
      <c r="H276" s="11">
        <v>18398.670846924899</v>
      </c>
      <c r="I276" s="10">
        <v>2706414.35705058</v>
      </c>
      <c r="J276" s="34">
        <f t="shared" si="16"/>
        <v>6.7981722011612308E-3</v>
      </c>
      <c r="K276" s="34">
        <f t="shared" si="17"/>
        <v>6.7751169027364666E-3</v>
      </c>
      <c r="L276" s="34">
        <f t="shared" si="18"/>
        <v>0.933569609406808</v>
      </c>
      <c r="M276" s="34">
        <f t="shared" si="19"/>
        <v>0.92724456616623485</v>
      </c>
    </row>
    <row r="277" spans="1:13" ht="69">
      <c r="A277" t="s">
        <v>164</v>
      </c>
      <c r="B277" t="s">
        <v>115</v>
      </c>
      <c r="C277" s="14" t="s">
        <v>291</v>
      </c>
      <c r="D277" t="s">
        <v>366</v>
      </c>
      <c r="E277" t="s">
        <v>383</v>
      </c>
      <c r="F277" s="20">
        <v>2031</v>
      </c>
      <c r="G277" s="20">
        <v>65</v>
      </c>
      <c r="H277" s="11">
        <v>19517.2704563113</v>
      </c>
      <c r="I277" s="10">
        <v>2581243.55626358</v>
      </c>
      <c r="J277" s="34">
        <f t="shared" si="16"/>
        <v>7.5611890280369663E-3</v>
      </c>
      <c r="K277" s="34">
        <f t="shared" si="17"/>
        <v>7.5326751498124844E-3</v>
      </c>
      <c r="L277" s="34">
        <f t="shared" si="18"/>
        <v>0.92724456616623485</v>
      </c>
      <c r="M277" s="34">
        <f t="shared" si="19"/>
        <v>0.92025993406487583</v>
      </c>
    </row>
    <row r="278" spans="1:13" ht="69">
      <c r="A278" t="s">
        <v>164</v>
      </c>
      <c r="B278" t="s">
        <v>115</v>
      </c>
      <c r="C278" s="14" t="s">
        <v>291</v>
      </c>
      <c r="D278" t="s">
        <v>366</v>
      </c>
      <c r="E278" t="s">
        <v>383</v>
      </c>
      <c r="F278" s="20">
        <v>2031</v>
      </c>
      <c r="G278" s="20">
        <v>66</v>
      </c>
      <c r="H278" s="11">
        <v>20022.6868250636</v>
      </c>
      <c r="I278" s="10">
        <v>2444210.0185082098</v>
      </c>
      <c r="J278" s="34">
        <f t="shared" si="16"/>
        <v>8.191884769903764E-3</v>
      </c>
      <c r="K278" s="34">
        <f t="shared" si="17"/>
        <v>8.158422716632252E-3</v>
      </c>
      <c r="L278" s="34">
        <f t="shared" si="18"/>
        <v>0.92025993406487583</v>
      </c>
      <c r="M278" s="34">
        <f t="shared" si="19"/>
        <v>0.91275206451359447</v>
      </c>
    </row>
    <row r="279" spans="1:13" ht="69">
      <c r="A279" t="s">
        <v>164</v>
      </c>
      <c r="B279" t="s">
        <v>115</v>
      </c>
      <c r="C279" s="14" t="s">
        <v>291</v>
      </c>
      <c r="D279" t="s">
        <v>366</v>
      </c>
      <c r="E279" t="s">
        <v>383</v>
      </c>
      <c r="F279" s="20">
        <v>2031</v>
      </c>
      <c r="G279" s="20">
        <v>67</v>
      </c>
      <c r="H279" s="11">
        <v>20902.928243731301</v>
      </c>
      <c r="I279" s="10">
        <v>2308156.6423019501</v>
      </c>
      <c r="J279" s="34">
        <f t="shared" si="16"/>
        <v>9.0561133766400622E-3</v>
      </c>
      <c r="K279" s="34">
        <f t="shared" si="17"/>
        <v>9.0152302889352498E-3</v>
      </c>
      <c r="L279" s="34">
        <f t="shared" si="18"/>
        <v>0.91275206451359447</v>
      </c>
      <c r="M279" s="34">
        <f t="shared" si="19"/>
        <v>0.90452339445530339</v>
      </c>
    </row>
    <row r="280" spans="1:13" ht="69">
      <c r="A280" t="s">
        <v>164</v>
      </c>
      <c r="B280" t="s">
        <v>115</v>
      </c>
      <c r="C280" s="14" t="s">
        <v>291</v>
      </c>
      <c r="D280" t="s">
        <v>366</v>
      </c>
      <c r="E280" t="s">
        <v>383</v>
      </c>
      <c r="F280" s="20">
        <v>2031</v>
      </c>
      <c r="G280" s="20">
        <v>68</v>
      </c>
      <c r="H280" s="11">
        <v>21477.1508540705</v>
      </c>
      <c r="I280" s="10">
        <v>2173245.6310507501</v>
      </c>
      <c r="J280" s="34">
        <f t="shared" si="16"/>
        <v>9.8825234235885417E-3</v>
      </c>
      <c r="K280" s="34">
        <f t="shared" si="17"/>
        <v>9.8338517539057202E-3</v>
      </c>
      <c r="L280" s="34">
        <f t="shared" si="18"/>
        <v>0.90452339445530339</v>
      </c>
      <c r="M280" s="34">
        <f t="shared" si="19"/>
        <v>0.89562844548629039</v>
      </c>
    </row>
    <row r="281" spans="1:13" ht="69">
      <c r="A281" t="s">
        <v>164</v>
      </c>
      <c r="B281" t="s">
        <v>115</v>
      </c>
      <c r="C281" s="14" t="s">
        <v>291</v>
      </c>
      <c r="D281" t="s">
        <v>366</v>
      </c>
      <c r="E281" t="s">
        <v>383</v>
      </c>
      <c r="F281" s="20">
        <v>2031</v>
      </c>
      <c r="G281" s="20">
        <v>69</v>
      </c>
      <c r="H281" s="11">
        <v>21250.309450609599</v>
      </c>
      <c r="I281" s="10">
        <v>2038558.3761269101</v>
      </c>
      <c r="J281" s="34">
        <f t="shared" si="16"/>
        <v>1.042418490412985E-2</v>
      </c>
      <c r="K281" s="34">
        <f t="shared" si="17"/>
        <v>1.0370041386001838E-2</v>
      </c>
      <c r="L281" s="34">
        <f t="shared" si="18"/>
        <v>0.89562844548629039</v>
      </c>
      <c r="M281" s="34">
        <f t="shared" si="19"/>
        <v>0.8863407414401171</v>
      </c>
    </row>
    <row r="282" spans="1:13" ht="69">
      <c r="A282" t="s">
        <v>164</v>
      </c>
      <c r="B282" t="s">
        <v>115</v>
      </c>
      <c r="C282" s="14" t="s">
        <v>291</v>
      </c>
      <c r="D282" t="s">
        <v>366</v>
      </c>
      <c r="E282" t="s">
        <v>383</v>
      </c>
      <c r="F282" s="20">
        <v>2032</v>
      </c>
      <c r="G282" s="20">
        <v>30</v>
      </c>
      <c r="H282" s="11">
        <v>749.07271572512502</v>
      </c>
      <c r="I282" s="10">
        <v>4342443.3555950904</v>
      </c>
      <c r="J282" s="34">
        <f t="shared" si="16"/>
        <v>1.7250028483617878E-4</v>
      </c>
      <c r="K282" s="34">
        <f t="shared" si="17"/>
        <v>1.7248540751746422E-4</v>
      </c>
      <c r="L282" s="34">
        <f t="shared" si="18"/>
        <v>1</v>
      </c>
      <c r="M282" s="34">
        <f t="shared" si="19"/>
        <v>0.99982751459248254</v>
      </c>
    </row>
    <row r="283" spans="1:13" ht="69">
      <c r="A283" t="s">
        <v>164</v>
      </c>
      <c r="B283" t="s">
        <v>115</v>
      </c>
      <c r="C283" s="14" t="s">
        <v>291</v>
      </c>
      <c r="D283" t="s">
        <v>366</v>
      </c>
      <c r="E283" t="s">
        <v>383</v>
      </c>
      <c r="F283" s="20">
        <v>2032</v>
      </c>
      <c r="G283" s="20">
        <v>31</v>
      </c>
      <c r="H283" s="11">
        <v>1110.5395525179899</v>
      </c>
      <c r="I283" s="10">
        <v>4323912.4548106901</v>
      </c>
      <c r="J283" s="34">
        <f t="shared" si="16"/>
        <v>2.568367338895652E-4</v>
      </c>
      <c r="K283" s="34">
        <f t="shared" si="17"/>
        <v>2.5680375415915169E-4</v>
      </c>
      <c r="L283" s="34">
        <f t="shared" si="18"/>
        <v>0.99982751459248254</v>
      </c>
      <c r="M283" s="34">
        <f t="shared" si="19"/>
        <v>0.99957075513322358</v>
      </c>
    </row>
    <row r="284" spans="1:13" ht="69">
      <c r="A284" t="s">
        <v>164</v>
      </c>
      <c r="B284" t="s">
        <v>115</v>
      </c>
      <c r="C284" s="14" t="s">
        <v>291</v>
      </c>
      <c r="D284" t="s">
        <v>366</v>
      </c>
      <c r="E284" t="s">
        <v>383</v>
      </c>
      <c r="F284" s="20">
        <v>2032</v>
      </c>
      <c r="G284" s="20">
        <v>32</v>
      </c>
      <c r="H284" s="11">
        <v>1180.75730584805</v>
      </c>
      <c r="I284" s="10">
        <v>4325334.4360141996</v>
      </c>
      <c r="J284" s="34">
        <f t="shared" si="16"/>
        <v>2.7298636054975652E-4</v>
      </c>
      <c r="K284" s="34">
        <f t="shared" si="17"/>
        <v>2.7294910316355558E-4</v>
      </c>
      <c r="L284" s="34">
        <f t="shared" si="18"/>
        <v>0.99957075513322358</v>
      </c>
      <c r="M284" s="34">
        <f t="shared" si="19"/>
        <v>0.99929792319206145</v>
      </c>
    </row>
    <row r="285" spans="1:13" ht="69">
      <c r="A285" t="s">
        <v>164</v>
      </c>
      <c r="B285" t="s">
        <v>115</v>
      </c>
      <c r="C285" s="14" t="s">
        <v>291</v>
      </c>
      <c r="D285" t="s">
        <v>366</v>
      </c>
      <c r="E285" t="s">
        <v>383</v>
      </c>
      <c r="F285" s="20">
        <v>2032</v>
      </c>
      <c r="G285" s="20">
        <v>33</v>
      </c>
      <c r="H285" s="11">
        <v>1285.1465388758099</v>
      </c>
      <c r="I285" s="10">
        <v>4365725.4153870204</v>
      </c>
      <c r="J285" s="34">
        <f t="shared" si="16"/>
        <v>2.9437182062488508E-4</v>
      </c>
      <c r="K285" s="34">
        <f t="shared" si="17"/>
        <v>2.9432849749166934E-4</v>
      </c>
      <c r="L285" s="34">
        <f t="shared" si="18"/>
        <v>0.99929792319206145</v>
      </c>
      <c r="M285" s="34">
        <f t="shared" si="19"/>
        <v>0.99900380133578182</v>
      </c>
    </row>
    <row r="286" spans="1:13" ht="69">
      <c r="A286" t="s">
        <v>164</v>
      </c>
      <c r="B286" t="s">
        <v>115</v>
      </c>
      <c r="C286" s="14" t="s">
        <v>291</v>
      </c>
      <c r="D286" t="s">
        <v>366</v>
      </c>
      <c r="E286" t="s">
        <v>383</v>
      </c>
      <c r="F286" s="20">
        <v>2032</v>
      </c>
      <c r="G286" s="20">
        <v>34</v>
      </c>
      <c r="H286" s="11">
        <v>1377.9553075377401</v>
      </c>
      <c r="I286" s="10">
        <v>4408719.0125712501</v>
      </c>
      <c r="J286" s="34">
        <f t="shared" si="16"/>
        <v>3.125523090967165E-4</v>
      </c>
      <c r="K286" s="34">
        <f t="shared" si="17"/>
        <v>3.1250346971212206E-4</v>
      </c>
      <c r="L286" s="34">
        <f t="shared" si="18"/>
        <v>0.99900380133578182</v>
      </c>
      <c r="M286" s="34">
        <f t="shared" si="19"/>
        <v>0.99869160918160882</v>
      </c>
    </row>
    <row r="287" spans="1:13" ht="69">
      <c r="A287" t="s">
        <v>164</v>
      </c>
      <c r="B287" t="s">
        <v>115</v>
      </c>
      <c r="C287" s="14" t="s">
        <v>291</v>
      </c>
      <c r="D287" t="s">
        <v>366</v>
      </c>
      <c r="E287" t="s">
        <v>383</v>
      </c>
      <c r="F287" s="20">
        <v>2032</v>
      </c>
      <c r="G287" s="20">
        <v>35</v>
      </c>
      <c r="H287" s="11">
        <v>1480.9943814148401</v>
      </c>
      <c r="I287" s="10">
        <v>4405438.4617171204</v>
      </c>
      <c r="J287" s="34">
        <f t="shared" si="16"/>
        <v>3.3617411621670652E-4</v>
      </c>
      <c r="K287" s="34">
        <f t="shared" si="17"/>
        <v>3.3611761603002943E-4</v>
      </c>
      <c r="L287" s="34">
        <f t="shared" si="18"/>
        <v>0.99869160918160882</v>
      </c>
      <c r="M287" s="34">
        <f t="shared" si="19"/>
        <v>0.99835593133878153</v>
      </c>
    </row>
    <row r="288" spans="1:13" ht="69">
      <c r="A288" t="s">
        <v>164</v>
      </c>
      <c r="B288" t="s">
        <v>115</v>
      </c>
      <c r="C288" s="14" t="s">
        <v>291</v>
      </c>
      <c r="D288" t="s">
        <v>366</v>
      </c>
      <c r="E288" t="s">
        <v>383</v>
      </c>
      <c r="F288" s="20">
        <v>2032</v>
      </c>
      <c r="G288" s="20">
        <v>36</v>
      </c>
      <c r="H288" s="11">
        <v>1896.5037623600999</v>
      </c>
      <c r="I288" s="10">
        <v>4343085.5681213401</v>
      </c>
      <c r="J288" s="34">
        <f t="shared" si="16"/>
        <v>4.36671977241392E-4</v>
      </c>
      <c r="K288" s="34">
        <f t="shared" si="17"/>
        <v>4.3657664990959244E-4</v>
      </c>
      <c r="L288" s="34">
        <f t="shared" si="18"/>
        <v>0.99835593133878153</v>
      </c>
      <c r="M288" s="34">
        <f t="shared" si="19"/>
        <v>0.99792007245086023</v>
      </c>
    </row>
    <row r="289" spans="1:13" ht="69">
      <c r="A289" t="s">
        <v>164</v>
      </c>
      <c r="B289" t="s">
        <v>115</v>
      </c>
      <c r="C289" s="14" t="s">
        <v>291</v>
      </c>
      <c r="D289" t="s">
        <v>366</v>
      </c>
      <c r="E289" t="s">
        <v>383</v>
      </c>
      <c r="F289" s="20">
        <v>2032</v>
      </c>
      <c r="G289" s="20">
        <v>37</v>
      </c>
      <c r="H289" s="11">
        <v>2015.82274908816</v>
      </c>
      <c r="I289" s="10">
        <v>4278767.9131832104</v>
      </c>
      <c r="J289" s="34">
        <f t="shared" si="16"/>
        <v>4.7112224593375495E-4</v>
      </c>
      <c r="K289" s="34">
        <f t="shared" si="17"/>
        <v>4.7101128527449188E-4</v>
      </c>
      <c r="L289" s="34">
        <f t="shared" si="18"/>
        <v>0.99792007245086023</v>
      </c>
      <c r="M289" s="34">
        <f t="shared" si="19"/>
        <v>0.99745004083493394</v>
      </c>
    </row>
    <row r="290" spans="1:13" ht="69">
      <c r="A290" t="s">
        <v>164</v>
      </c>
      <c r="B290" t="s">
        <v>115</v>
      </c>
      <c r="C290" s="14" t="s">
        <v>291</v>
      </c>
      <c r="D290" t="s">
        <v>366</v>
      </c>
      <c r="E290" t="s">
        <v>383</v>
      </c>
      <c r="F290" s="20">
        <v>2032</v>
      </c>
      <c r="G290" s="20">
        <v>38</v>
      </c>
      <c r="H290" s="11">
        <v>2170.4869509150099</v>
      </c>
      <c r="I290" s="10">
        <v>4223874.2050302103</v>
      </c>
      <c r="J290" s="34">
        <f t="shared" si="16"/>
        <v>5.1386164586297996E-4</v>
      </c>
      <c r="K290" s="34">
        <f t="shared" si="17"/>
        <v>5.1372964157903045E-4</v>
      </c>
      <c r="L290" s="34">
        <f t="shared" si="18"/>
        <v>0.99745004083493394</v>
      </c>
      <c r="M290" s="34">
        <f t="shared" si="19"/>
        <v>0.99693762118296281</v>
      </c>
    </row>
    <row r="291" spans="1:13" ht="69">
      <c r="A291" t="s">
        <v>164</v>
      </c>
      <c r="B291" t="s">
        <v>115</v>
      </c>
      <c r="C291" s="14" t="s">
        <v>291</v>
      </c>
      <c r="D291" t="s">
        <v>366</v>
      </c>
      <c r="E291" t="s">
        <v>383</v>
      </c>
      <c r="F291" s="20">
        <v>2032</v>
      </c>
      <c r="G291" s="20">
        <v>39</v>
      </c>
      <c r="H291" s="11">
        <v>2270.1580522630502</v>
      </c>
      <c r="I291" s="10">
        <v>4171398.6028432199</v>
      </c>
      <c r="J291" s="34">
        <f t="shared" si="16"/>
        <v>5.4421988124455755E-4</v>
      </c>
      <c r="K291" s="34">
        <f t="shared" si="17"/>
        <v>5.4407182046545266E-4</v>
      </c>
      <c r="L291" s="34">
        <f t="shared" si="18"/>
        <v>0.99693762118296281</v>
      </c>
      <c r="M291" s="34">
        <f t="shared" si="19"/>
        <v>0.99639521551651533</v>
      </c>
    </row>
    <row r="292" spans="1:13" ht="69">
      <c r="A292" t="s">
        <v>164</v>
      </c>
      <c r="B292" t="s">
        <v>115</v>
      </c>
      <c r="C292" s="14" t="s">
        <v>291</v>
      </c>
      <c r="D292" t="s">
        <v>366</v>
      </c>
      <c r="E292" t="s">
        <v>383</v>
      </c>
      <c r="F292" s="20">
        <v>2032</v>
      </c>
      <c r="G292" s="20">
        <v>40</v>
      </c>
      <c r="H292" s="11">
        <v>2448.7004118653799</v>
      </c>
      <c r="I292" s="10">
        <v>4153775.0012917402</v>
      </c>
      <c r="J292" s="34">
        <f t="shared" si="16"/>
        <v>5.8951204894436586E-4</v>
      </c>
      <c r="K292" s="34">
        <f t="shared" si="17"/>
        <v>5.8933832085639182E-4</v>
      </c>
      <c r="L292" s="34">
        <f t="shared" si="18"/>
        <v>0.99639521551651533</v>
      </c>
      <c r="M292" s="34">
        <f t="shared" si="19"/>
        <v>0.99580800163329353</v>
      </c>
    </row>
    <row r="293" spans="1:13" ht="69">
      <c r="A293" t="s">
        <v>164</v>
      </c>
      <c r="B293" t="s">
        <v>115</v>
      </c>
      <c r="C293" s="14" t="s">
        <v>291</v>
      </c>
      <c r="D293" t="s">
        <v>366</v>
      </c>
      <c r="E293" t="s">
        <v>383</v>
      </c>
      <c r="F293" s="20">
        <v>2032</v>
      </c>
      <c r="G293" s="20">
        <v>41</v>
      </c>
      <c r="H293" s="11">
        <v>3189.9172878430199</v>
      </c>
      <c r="I293" s="10">
        <v>4130299.9730296498</v>
      </c>
      <c r="J293" s="34">
        <f t="shared" si="16"/>
        <v>7.7232097152090328E-4</v>
      </c>
      <c r="K293" s="34">
        <f t="shared" si="17"/>
        <v>7.7202280844346216E-4</v>
      </c>
      <c r="L293" s="34">
        <f t="shared" si="18"/>
        <v>0.99580800163329353</v>
      </c>
      <c r="M293" s="34">
        <f t="shared" si="19"/>
        <v>0.99503921514320215</v>
      </c>
    </row>
    <row r="294" spans="1:13" ht="69">
      <c r="A294" t="s">
        <v>164</v>
      </c>
      <c r="B294" t="s">
        <v>115</v>
      </c>
      <c r="C294" s="14" t="s">
        <v>291</v>
      </c>
      <c r="D294" t="s">
        <v>366</v>
      </c>
      <c r="E294" t="s">
        <v>383</v>
      </c>
      <c r="F294" s="20">
        <v>2032</v>
      </c>
      <c r="G294" s="20">
        <v>42</v>
      </c>
      <c r="H294" s="11">
        <v>3504.6336376230602</v>
      </c>
      <c r="I294" s="10">
        <v>4110322.3303745701</v>
      </c>
      <c r="J294" s="34">
        <f t="shared" si="16"/>
        <v>8.5264204505919761E-4</v>
      </c>
      <c r="K294" s="34">
        <f t="shared" si="17"/>
        <v>8.5227864912029716E-4</v>
      </c>
      <c r="L294" s="34">
        <f t="shared" si="18"/>
        <v>0.99503921514320215</v>
      </c>
      <c r="M294" s="34">
        <f t="shared" si="19"/>
        <v>0.99419116446509814</v>
      </c>
    </row>
    <row r="295" spans="1:13" ht="69">
      <c r="A295" t="s">
        <v>164</v>
      </c>
      <c r="B295" t="s">
        <v>115</v>
      </c>
      <c r="C295" s="14" t="s">
        <v>291</v>
      </c>
      <c r="D295" t="s">
        <v>366</v>
      </c>
      <c r="E295" t="s">
        <v>383</v>
      </c>
      <c r="F295" s="20">
        <v>2032</v>
      </c>
      <c r="G295" s="20">
        <v>43</v>
      </c>
      <c r="H295" s="11">
        <v>3919.0865912951099</v>
      </c>
      <c r="I295" s="10">
        <v>4113029.1742182099</v>
      </c>
      <c r="J295" s="34">
        <f t="shared" si="16"/>
        <v>9.5284677674090069E-4</v>
      </c>
      <c r="K295" s="34">
        <f t="shared" si="17"/>
        <v>9.5239296240090532E-4</v>
      </c>
      <c r="L295" s="34">
        <f t="shared" si="18"/>
        <v>0.99419116446509814</v>
      </c>
      <c r="M295" s="34">
        <f t="shared" si="19"/>
        <v>0.99324430379678041</v>
      </c>
    </row>
    <row r="296" spans="1:13" ht="69">
      <c r="A296" t="s">
        <v>164</v>
      </c>
      <c r="B296" t="s">
        <v>115</v>
      </c>
      <c r="C296" s="14" t="s">
        <v>291</v>
      </c>
      <c r="D296" t="s">
        <v>366</v>
      </c>
      <c r="E296" t="s">
        <v>383</v>
      </c>
      <c r="F296" s="20">
        <v>2032</v>
      </c>
      <c r="G296" s="20">
        <v>44</v>
      </c>
      <c r="H296" s="11">
        <v>4182.7068529458102</v>
      </c>
      <c r="I296" s="10">
        <v>4069712.9094618699</v>
      </c>
      <c r="J296" s="34">
        <f t="shared" si="16"/>
        <v>1.0277645981418579E-3</v>
      </c>
      <c r="K296" s="34">
        <f t="shared" si="17"/>
        <v>1.0272366289987289E-3</v>
      </c>
      <c r="L296" s="34">
        <f t="shared" si="18"/>
        <v>0.99324430379678041</v>
      </c>
      <c r="M296" s="34">
        <f t="shared" si="19"/>
        <v>0.99222400686637602</v>
      </c>
    </row>
    <row r="297" spans="1:13" ht="69">
      <c r="A297" t="s">
        <v>164</v>
      </c>
      <c r="B297" t="s">
        <v>115</v>
      </c>
      <c r="C297" s="14" t="s">
        <v>291</v>
      </c>
      <c r="D297" t="s">
        <v>366</v>
      </c>
      <c r="E297" t="s">
        <v>383</v>
      </c>
      <c r="F297" s="20">
        <v>2032</v>
      </c>
      <c r="G297" s="20">
        <v>45</v>
      </c>
      <c r="H297" s="11">
        <v>4550.9785747163196</v>
      </c>
      <c r="I297" s="10">
        <v>4017683.89627105</v>
      </c>
      <c r="J297" s="34">
        <f t="shared" si="16"/>
        <v>1.1327368434685065E-3</v>
      </c>
      <c r="K297" s="34">
        <f t="shared" si="17"/>
        <v>1.1320955392560839E-3</v>
      </c>
      <c r="L297" s="34">
        <f t="shared" si="18"/>
        <v>0.99222400686637602</v>
      </c>
      <c r="M297" s="34">
        <f t="shared" si="19"/>
        <v>0.99110071449425985</v>
      </c>
    </row>
    <row r="298" spans="1:13" ht="69">
      <c r="A298" t="s">
        <v>164</v>
      </c>
      <c r="B298" t="s">
        <v>115</v>
      </c>
      <c r="C298" s="14" t="s">
        <v>291</v>
      </c>
      <c r="D298" t="s">
        <v>366</v>
      </c>
      <c r="E298" t="s">
        <v>383</v>
      </c>
      <c r="F298" s="20">
        <v>2032</v>
      </c>
      <c r="G298" s="20">
        <v>46</v>
      </c>
      <c r="H298" s="11">
        <v>5786.5055094742002</v>
      </c>
      <c r="I298" s="10">
        <v>4026795.1983979498</v>
      </c>
      <c r="J298" s="34">
        <f t="shared" si="16"/>
        <v>1.4370002009976436E-3</v>
      </c>
      <c r="K298" s="34">
        <f t="shared" si="17"/>
        <v>1.4359682105914429E-3</v>
      </c>
      <c r="L298" s="34">
        <f t="shared" si="18"/>
        <v>0.99110071449425985</v>
      </c>
      <c r="M298" s="34">
        <f t="shared" si="19"/>
        <v>0.98967752537475162</v>
      </c>
    </row>
    <row r="299" spans="1:13" ht="69">
      <c r="A299" t="s">
        <v>164</v>
      </c>
      <c r="B299" t="s">
        <v>115</v>
      </c>
      <c r="C299" s="14" t="s">
        <v>291</v>
      </c>
      <c r="D299" t="s">
        <v>366</v>
      </c>
      <c r="E299" t="s">
        <v>383</v>
      </c>
      <c r="F299" s="20">
        <v>2032</v>
      </c>
      <c r="G299" s="20">
        <v>47</v>
      </c>
      <c r="H299" s="11">
        <v>6529.4709126100597</v>
      </c>
      <c r="I299" s="10">
        <v>4092030.9530890901</v>
      </c>
      <c r="J299" s="34">
        <f t="shared" si="16"/>
        <v>1.5956553084430938E-3</v>
      </c>
      <c r="K299" s="34">
        <f t="shared" si="17"/>
        <v>1.5943829273619148E-3</v>
      </c>
      <c r="L299" s="34">
        <f t="shared" si="18"/>
        <v>0.98967752537475162</v>
      </c>
      <c r="M299" s="34">
        <f t="shared" si="19"/>
        <v>0.98809960042470035</v>
      </c>
    </row>
    <row r="300" spans="1:13" ht="69">
      <c r="A300" t="s">
        <v>164</v>
      </c>
      <c r="B300" t="s">
        <v>115</v>
      </c>
      <c r="C300" s="14" t="s">
        <v>291</v>
      </c>
      <c r="D300" t="s">
        <v>366</v>
      </c>
      <c r="E300" t="s">
        <v>383</v>
      </c>
      <c r="F300" s="20">
        <v>2032</v>
      </c>
      <c r="G300" s="20">
        <v>48</v>
      </c>
      <c r="H300" s="11">
        <v>7351.3300626455302</v>
      </c>
      <c r="I300" s="10">
        <v>4115344.5465890998</v>
      </c>
      <c r="J300" s="34">
        <f t="shared" si="16"/>
        <v>1.7863218934459561E-3</v>
      </c>
      <c r="K300" s="34">
        <f t="shared" si="17"/>
        <v>1.7847273700777322E-3</v>
      </c>
      <c r="L300" s="34">
        <f t="shared" si="18"/>
        <v>0.98809960042470035</v>
      </c>
      <c r="M300" s="34">
        <f t="shared" si="19"/>
        <v>0.9863361120234595</v>
      </c>
    </row>
    <row r="301" spans="1:13" ht="69">
      <c r="A301" t="s">
        <v>164</v>
      </c>
      <c r="B301" t="s">
        <v>115</v>
      </c>
      <c r="C301" s="14" t="s">
        <v>291</v>
      </c>
      <c r="D301" t="s">
        <v>366</v>
      </c>
      <c r="E301" t="s">
        <v>383</v>
      </c>
      <c r="F301" s="20">
        <v>2032</v>
      </c>
      <c r="G301" s="20">
        <v>49</v>
      </c>
      <c r="H301" s="11">
        <v>7758.8322953616598</v>
      </c>
      <c r="I301" s="10">
        <v>4079947.2738671699</v>
      </c>
      <c r="J301" s="34">
        <f t="shared" si="16"/>
        <v>1.9016991579911928E-3</v>
      </c>
      <c r="K301" s="34">
        <f t="shared" si="17"/>
        <v>1.8998920738391156E-3</v>
      </c>
      <c r="L301" s="34">
        <f t="shared" si="18"/>
        <v>0.9863361120234595</v>
      </c>
      <c r="M301" s="34">
        <f t="shared" si="19"/>
        <v>0.98446217986208484</v>
      </c>
    </row>
    <row r="302" spans="1:13" ht="69">
      <c r="A302" t="s">
        <v>164</v>
      </c>
      <c r="B302" t="s">
        <v>115</v>
      </c>
      <c r="C302" s="14" t="s">
        <v>291</v>
      </c>
      <c r="D302" t="s">
        <v>366</v>
      </c>
      <c r="E302" t="s">
        <v>383</v>
      </c>
      <c r="F302" s="20">
        <v>2032</v>
      </c>
      <c r="G302" s="20">
        <v>50</v>
      </c>
      <c r="H302" s="11">
        <v>8198.8742275014502</v>
      </c>
      <c r="I302" s="10">
        <v>4020048.0039129802</v>
      </c>
      <c r="J302" s="34">
        <f t="shared" si="16"/>
        <v>2.0394965979314028E-3</v>
      </c>
      <c r="K302" s="34">
        <f t="shared" si="17"/>
        <v>2.0374182379210293E-3</v>
      </c>
      <c r="L302" s="34">
        <f t="shared" si="18"/>
        <v>0.98446217986208484</v>
      </c>
      <c r="M302" s="34">
        <f t="shared" si="19"/>
        <v>0.98245641866229039</v>
      </c>
    </row>
    <row r="303" spans="1:13" ht="69">
      <c r="A303" t="s">
        <v>164</v>
      </c>
      <c r="B303" t="s">
        <v>115</v>
      </c>
      <c r="C303" s="14" t="s">
        <v>291</v>
      </c>
      <c r="D303" t="s">
        <v>366</v>
      </c>
      <c r="E303" t="s">
        <v>383</v>
      </c>
      <c r="F303" s="20">
        <v>2032</v>
      </c>
      <c r="G303" s="20">
        <v>51</v>
      </c>
      <c r="H303" s="11">
        <v>9018.1963797397802</v>
      </c>
      <c r="I303" s="10">
        <v>3952929.4303146298</v>
      </c>
      <c r="J303" s="34">
        <f t="shared" si="16"/>
        <v>2.2813957442751475E-3</v>
      </c>
      <c r="K303" s="34">
        <f t="shared" si="17"/>
        <v>2.2787953388979654E-3</v>
      </c>
      <c r="L303" s="34">
        <f t="shared" si="18"/>
        <v>0.98245641866229039</v>
      </c>
      <c r="M303" s="34">
        <f t="shared" si="19"/>
        <v>0.98021760155477233</v>
      </c>
    </row>
    <row r="304" spans="1:13" ht="69">
      <c r="A304" t="s">
        <v>164</v>
      </c>
      <c r="B304" t="s">
        <v>115</v>
      </c>
      <c r="C304" s="14" t="s">
        <v>291</v>
      </c>
      <c r="D304" t="s">
        <v>366</v>
      </c>
      <c r="E304" t="s">
        <v>383</v>
      </c>
      <c r="F304" s="20">
        <v>2032</v>
      </c>
      <c r="G304" s="20">
        <v>52</v>
      </c>
      <c r="H304" s="11">
        <v>9451.3682702816004</v>
      </c>
      <c r="I304" s="10">
        <v>3891043.9927684199</v>
      </c>
      <c r="J304" s="34">
        <f t="shared" si="16"/>
        <v>2.4290057598544633E-3</v>
      </c>
      <c r="K304" s="34">
        <f t="shared" si="17"/>
        <v>2.4260581124643243E-3</v>
      </c>
      <c r="L304" s="34">
        <f t="shared" si="18"/>
        <v>0.98021760155477233</v>
      </c>
      <c r="M304" s="34">
        <f t="shared" si="19"/>
        <v>0.97783953669054002</v>
      </c>
    </row>
    <row r="305" spans="1:13" ht="69">
      <c r="A305" t="s">
        <v>164</v>
      </c>
      <c r="B305" t="s">
        <v>115</v>
      </c>
      <c r="C305" s="14" t="s">
        <v>291</v>
      </c>
      <c r="D305" t="s">
        <v>366</v>
      </c>
      <c r="E305" t="s">
        <v>383</v>
      </c>
      <c r="F305" s="20">
        <v>2032</v>
      </c>
      <c r="G305" s="20">
        <v>53</v>
      </c>
      <c r="H305" s="11">
        <v>9926.4879752307497</v>
      </c>
      <c r="I305" s="10">
        <v>3815567.7188309501</v>
      </c>
      <c r="J305" s="34">
        <f t="shared" si="16"/>
        <v>2.6015756256246242E-3</v>
      </c>
      <c r="K305" s="34">
        <f t="shared" si="17"/>
        <v>2.5981944605112384E-3</v>
      </c>
      <c r="L305" s="34">
        <f t="shared" si="18"/>
        <v>0.97783953669054002</v>
      </c>
      <c r="M305" s="34">
        <f t="shared" si="19"/>
        <v>0.97529891942304181</v>
      </c>
    </row>
    <row r="306" spans="1:13" ht="69">
      <c r="A306" t="s">
        <v>164</v>
      </c>
      <c r="B306" t="s">
        <v>115</v>
      </c>
      <c r="C306" s="14" t="s">
        <v>291</v>
      </c>
      <c r="D306" t="s">
        <v>366</v>
      </c>
      <c r="E306" t="s">
        <v>383</v>
      </c>
      <c r="F306" s="20">
        <v>2032</v>
      </c>
      <c r="G306" s="20">
        <v>54</v>
      </c>
      <c r="H306" s="11">
        <v>10470.335462605801</v>
      </c>
      <c r="I306" s="10">
        <v>3715932.27106363</v>
      </c>
      <c r="J306" s="34">
        <f t="shared" si="16"/>
        <v>2.8176873793258951E-3</v>
      </c>
      <c r="K306" s="34">
        <f t="shared" si="17"/>
        <v>2.813721424057225E-3</v>
      </c>
      <c r="L306" s="34">
        <f t="shared" si="18"/>
        <v>0.97529891942304181</v>
      </c>
      <c r="M306" s="34">
        <f t="shared" si="19"/>
        <v>0.97255469995860133</v>
      </c>
    </row>
    <row r="307" spans="1:13" ht="69">
      <c r="A307" t="s">
        <v>164</v>
      </c>
      <c r="B307" t="s">
        <v>115</v>
      </c>
      <c r="C307" s="14" t="s">
        <v>291</v>
      </c>
      <c r="D307" t="s">
        <v>366</v>
      </c>
      <c r="E307" t="s">
        <v>383</v>
      </c>
      <c r="F307" s="20">
        <v>2032</v>
      </c>
      <c r="G307" s="20">
        <v>55</v>
      </c>
      <c r="H307" s="11">
        <v>11069.9437455756</v>
      </c>
      <c r="I307" s="10">
        <v>3620142.61058628</v>
      </c>
      <c r="J307" s="34">
        <f t="shared" si="16"/>
        <v>3.0578750442604328E-3</v>
      </c>
      <c r="K307" s="34">
        <f t="shared" si="17"/>
        <v>3.053204506220708E-3</v>
      </c>
      <c r="L307" s="34">
        <f t="shared" si="18"/>
        <v>0.97255469995860133</v>
      </c>
      <c r="M307" s="34">
        <f t="shared" si="19"/>
        <v>0.96958529156614159</v>
      </c>
    </row>
    <row r="308" spans="1:13" ht="69">
      <c r="A308" t="s">
        <v>164</v>
      </c>
      <c r="B308" t="s">
        <v>115</v>
      </c>
      <c r="C308" s="14" t="s">
        <v>291</v>
      </c>
      <c r="D308" t="s">
        <v>366</v>
      </c>
      <c r="E308" t="s">
        <v>383</v>
      </c>
      <c r="F308" s="20">
        <v>2032</v>
      </c>
      <c r="G308" s="20">
        <v>56</v>
      </c>
      <c r="H308" s="11">
        <v>11929.319502048</v>
      </c>
      <c r="I308" s="10">
        <v>3538589.38978353</v>
      </c>
      <c r="J308" s="34">
        <f t="shared" si="16"/>
        <v>3.3712076163710434E-3</v>
      </c>
      <c r="K308" s="34">
        <f t="shared" si="17"/>
        <v>3.3655314762485178E-3</v>
      </c>
      <c r="L308" s="34">
        <f t="shared" si="18"/>
        <v>0.96958529156614159</v>
      </c>
      <c r="M308" s="34">
        <f t="shared" si="19"/>
        <v>0.9663221217484681</v>
      </c>
    </row>
    <row r="309" spans="1:13" ht="69">
      <c r="A309" t="s">
        <v>164</v>
      </c>
      <c r="B309" t="s">
        <v>115</v>
      </c>
      <c r="C309" s="14" t="s">
        <v>291</v>
      </c>
      <c r="D309" t="s">
        <v>366</v>
      </c>
      <c r="E309" t="s">
        <v>383</v>
      </c>
      <c r="F309" s="20">
        <v>2032</v>
      </c>
      <c r="G309" s="20">
        <v>57</v>
      </c>
      <c r="H309" s="11">
        <v>12740.545775906199</v>
      </c>
      <c r="I309" s="10">
        <v>3444269.1589913699</v>
      </c>
      <c r="J309" s="34">
        <f t="shared" si="16"/>
        <v>3.6990563709710707E-3</v>
      </c>
      <c r="K309" s="34">
        <f t="shared" si="17"/>
        <v>3.6922232898671803E-3</v>
      </c>
      <c r="L309" s="34">
        <f t="shared" si="18"/>
        <v>0.9663221217484681</v>
      </c>
      <c r="M309" s="34">
        <f t="shared" si="19"/>
        <v>0.96275424470503457</v>
      </c>
    </row>
    <row r="310" spans="1:13" ht="69">
      <c r="A310" t="s">
        <v>164</v>
      </c>
      <c r="B310" t="s">
        <v>115</v>
      </c>
      <c r="C310" s="14" t="s">
        <v>291</v>
      </c>
      <c r="D310" t="s">
        <v>366</v>
      </c>
      <c r="E310" t="s">
        <v>383</v>
      </c>
      <c r="F310" s="20">
        <v>2032</v>
      </c>
      <c r="G310" s="20">
        <v>58</v>
      </c>
      <c r="H310" s="11">
        <v>13705.7072863791</v>
      </c>
      <c r="I310" s="10">
        <v>3364190.80738645</v>
      </c>
      <c r="J310" s="34">
        <f t="shared" si="16"/>
        <v>4.0739981978093268E-3</v>
      </c>
      <c r="K310" s="34">
        <f t="shared" si="17"/>
        <v>4.0657107253538882E-3</v>
      </c>
      <c r="L310" s="34">
        <f t="shared" si="18"/>
        <v>0.96275424470503457</v>
      </c>
      <c r="M310" s="34">
        <f t="shared" si="19"/>
        <v>0.95883996444645736</v>
      </c>
    </row>
    <row r="311" spans="1:13" ht="69">
      <c r="A311" t="s">
        <v>164</v>
      </c>
      <c r="B311" t="s">
        <v>115</v>
      </c>
      <c r="C311" s="14" t="s">
        <v>291</v>
      </c>
      <c r="D311" t="s">
        <v>366</v>
      </c>
      <c r="E311" t="s">
        <v>383</v>
      </c>
      <c r="F311" s="20">
        <v>2032</v>
      </c>
      <c r="G311" s="20">
        <v>59</v>
      </c>
      <c r="H311" s="11">
        <v>14109.877737320399</v>
      </c>
      <c r="I311" s="10">
        <v>3283457.6962616602</v>
      </c>
      <c r="J311" s="34">
        <f t="shared" si="16"/>
        <v>4.2972619240336258E-3</v>
      </c>
      <c r="K311" s="34">
        <f t="shared" si="17"/>
        <v>4.2880419056844365E-3</v>
      </c>
      <c r="L311" s="34">
        <f t="shared" si="18"/>
        <v>0.95883996444645736</v>
      </c>
      <c r="M311" s="34">
        <f t="shared" si="19"/>
        <v>0.954728418498066</v>
      </c>
    </row>
    <row r="312" spans="1:13" ht="69">
      <c r="A312" t="s">
        <v>164</v>
      </c>
      <c r="B312" t="s">
        <v>115</v>
      </c>
      <c r="C312" s="14" t="s">
        <v>291</v>
      </c>
      <c r="D312" t="s">
        <v>366</v>
      </c>
      <c r="E312" t="s">
        <v>383</v>
      </c>
      <c r="F312" s="20">
        <v>2032</v>
      </c>
      <c r="G312" s="20">
        <v>60</v>
      </c>
      <c r="H312" s="11">
        <v>14579.7292686034</v>
      </c>
      <c r="I312" s="10">
        <v>3182284.5667470298</v>
      </c>
      <c r="J312" s="34">
        <f t="shared" si="16"/>
        <v>4.5815290753544952E-3</v>
      </c>
      <c r="K312" s="34">
        <f t="shared" si="17"/>
        <v>4.57104988070689E-3</v>
      </c>
      <c r="L312" s="34">
        <f t="shared" si="18"/>
        <v>0.954728418498066</v>
      </c>
      <c r="M312" s="34">
        <f t="shared" si="19"/>
        <v>0.95036430727458299</v>
      </c>
    </row>
    <row r="313" spans="1:13" ht="69">
      <c r="A313" t="s">
        <v>164</v>
      </c>
      <c r="B313" t="s">
        <v>115</v>
      </c>
      <c r="C313" s="14" t="s">
        <v>291</v>
      </c>
      <c r="D313" t="s">
        <v>366</v>
      </c>
      <c r="E313" t="s">
        <v>383</v>
      </c>
      <c r="F313" s="20">
        <v>2032</v>
      </c>
      <c r="G313" s="20">
        <v>61</v>
      </c>
      <c r="H313" s="11">
        <v>15442.825631985501</v>
      </c>
      <c r="I313" s="10">
        <v>3091434.1197015801</v>
      </c>
      <c r="J313" s="34">
        <f t="shared" si="16"/>
        <v>4.9953597696192264E-3</v>
      </c>
      <c r="K313" s="34">
        <f t="shared" si="17"/>
        <v>4.9829037094702988E-3</v>
      </c>
      <c r="L313" s="34">
        <f t="shared" si="18"/>
        <v>0.95036430727458299</v>
      </c>
      <c r="M313" s="34">
        <f t="shared" si="19"/>
        <v>0.9456287334425163</v>
      </c>
    </row>
    <row r="314" spans="1:13" ht="69">
      <c r="A314" t="s">
        <v>164</v>
      </c>
      <c r="B314" t="s">
        <v>115</v>
      </c>
      <c r="C314" s="14" t="s">
        <v>291</v>
      </c>
      <c r="D314" t="s">
        <v>366</v>
      </c>
      <c r="E314" t="s">
        <v>383</v>
      </c>
      <c r="F314" s="20">
        <v>2032</v>
      </c>
      <c r="G314" s="20">
        <v>62</v>
      </c>
      <c r="H314" s="11">
        <v>16129.0971583473</v>
      </c>
      <c r="I314" s="10">
        <v>2998293.86049469</v>
      </c>
      <c r="J314" s="34">
        <f t="shared" si="16"/>
        <v>5.3794250693246434E-3</v>
      </c>
      <c r="K314" s="34">
        <f t="shared" si="17"/>
        <v>5.3649818725904908E-3</v>
      </c>
      <c r="L314" s="34">
        <f t="shared" si="18"/>
        <v>0.9456287334425163</v>
      </c>
      <c r="M314" s="34">
        <f t="shared" si="19"/>
        <v>0.94055545242939653</v>
      </c>
    </row>
    <row r="315" spans="1:13" ht="69">
      <c r="A315" t="s">
        <v>164</v>
      </c>
      <c r="B315" t="s">
        <v>115</v>
      </c>
      <c r="C315" s="14" t="s">
        <v>291</v>
      </c>
      <c r="D315" t="s">
        <v>366</v>
      </c>
      <c r="E315" t="s">
        <v>383</v>
      </c>
      <c r="F315" s="20">
        <v>2032</v>
      </c>
      <c r="G315" s="20">
        <v>63</v>
      </c>
      <c r="H315" s="11">
        <v>16818.5104935698</v>
      </c>
      <c r="I315" s="10">
        <v>2889641.5226854999</v>
      </c>
      <c r="J315" s="34">
        <f t="shared" si="16"/>
        <v>5.8202757544608685E-3</v>
      </c>
      <c r="K315" s="34">
        <f t="shared" si="17"/>
        <v>5.8033707626711228E-3</v>
      </c>
      <c r="L315" s="34">
        <f t="shared" si="18"/>
        <v>0.94055545242939653</v>
      </c>
      <c r="M315" s="34">
        <f t="shared" si="19"/>
        <v>0.93509706041609686</v>
      </c>
    </row>
    <row r="316" spans="1:13" ht="69">
      <c r="A316" t="s">
        <v>164</v>
      </c>
      <c r="B316" t="s">
        <v>115</v>
      </c>
      <c r="C316" s="14" t="s">
        <v>291</v>
      </c>
      <c r="D316" t="s">
        <v>366</v>
      </c>
      <c r="E316" t="s">
        <v>383</v>
      </c>
      <c r="F316" s="20">
        <v>2032</v>
      </c>
      <c r="G316" s="20">
        <v>64</v>
      </c>
      <c r="H316" s="11">
        <v>18069.7423717776</v>
      </c>
      <c r="I316" s="10">
        <v>2773326.8217770299</v>
      </c>
      <c r="J316" s="34">
        <f t="shared" si="16"/>
        <v>6.515547403172367E-3</v>
      </c>
      <c r="K316" s="34">
        <f t="shared" si="17"/>
        <v>6.4943672492553395E-3</v>
      </c>
      <c r="L316" s="34">
        <f t="shared" si="18"/>
        <v>0.93509706041609686</v>
      </c>
      <c r="M316" s="34">
        <f t="shared" si="19"/>
        <v>0.9290241966920556</v>
      </c>
    </row>
    <row r="317" spans="1:13" ht="69">
      <c r="A317" t="s">
        <v>164</v>
      </c>
      <c r="B317" t="s">
        <v>115</v>
      </c>
      <c r="C317" s="14" t="s">
        <v>291</v>
      </c>
      <c r="D317" t="s">
        <v>366</v>
      </c>
      <c r="E317" t="s">
        <v>383</v>
      </c>
      <c r="F317" s="20">
        <v>2032</v>
      </c>
      <c r="G317" s="20">
        <v>65</v>
      </c>
      <c r="H317" s="11">
        <v>19255.709666040599</v>
      </c>
      <c r="I317" s="10">
        <v>2658292.2715972699</v>
      </c>
      <c r="J317" s="34">
        <f t="shared" si="16"/>
        <v>7.2436390353986741E-3</v>
      </c>
      <c r="K317" s="34">
        <f t="shared" si="17"/>
        <v>7.2174671136066015E-3</v>
      </c>
      <c r="L317" s="34">
        <f t="shared" si="18"/>
        <v>0.9290241966920556</v>
      </c>
      <c r="M317" s="34">
        <f t="shared" si="19"/>
        <v>0.92231899510468596</v>
      </c>
    </row>
    <row r="318" spans="1:13" ht="69">
      <c r="A318" t="s">
        <v>164</v>
      </c>
      <c r="B318" t="s">
        <v>115</v>
      </c>
      <c r="C318" s="14" t="s">
        <v>291</v>
      </c>
      <c r="D318" t="s">
        <v>366</v>
      </c>
      <c r="E318" t="s">
        <v>383</v>
      </c>
      <c r="F318" s="20">
        <v>2032</v>
      </c>
      <c r="G318" s="20">
        <v>66</v>
      </c>
      <c r="H318" s="11">
        <v>19864.7475782738</v>
      </c>
      <c r="I318" s="10">
        <v>2530665.3104048902</v>
      </c>
      <c r="J318" s="34">
        <f t="shared" si="16"/>
        <v>7.8496146829845192E-3</v>
      </c>
      <c r="K318" s="34">
        <f t="shared" si="17"/>
        <v>7.8188869106050607E-3</v>
      </c>
      <c r="L318" s="34">
        <f t="shared" si="18"/>
        <v>0.92231899510468596</v>
      </c>
      <c r="M318" s="34">
        <f t="shared" si="19"/>
        <v>0.91510748718645951</v>
      </c>
    </row>
    <row r="319" spans="1:13" ht="69">
      <c r="A319" t="s">
        <v>164</v>
      </c>
      <c r="B319" t="s">
        <v>115</v>
      </c>
      <c r="C319" s="14" t="s">
        <v>291</v>
      </c>
      <c r="D319" t="s">
        <v>366</v>
      </c>
      <c r="E319" t="s">
        <v>383</v>
      </c>
      <c r="F319" s="20">
        <v>2032</v>
      </c>
      <c r="G319" s="20">
        <v>67</v>
      </c>
      <c r="H319" s="11">
        <v>20704.571666929402</v>
      </c>
      <c r="I319" s="10">
        <v>2391268.39385523</v>
      </c>
      <c r="J319" s="34">
        <f t="shared" si="16"/>
        <v>8.6584056060512952E-3</v>
      </c>
      <c r="K319" s="34">
        <f t="shared" si="17"/>
        <v>8.6210295623359023E-3</v>
      </c>
      <c r="L319" s="34">
        <f t="shared" si="18"/>
        <v>0.91510748718645951</v>
      </c>
      <c r="M319" s="34">
        <f t="shared" si="19"/>
        <v>0.90721831848671008</v>
      </c>
    </row>
    <row r="320" spans="1:13" ht="69">
      <c r="A320" t="s">
        <v>164</v>
      </c>
      <c r="B320" t="s">
        <v>115</v>
      </c>
      <c r="C320" s="14" t="s">
        <v>291</v>
      </c>
      <c r="D320" t="s">
        <v>366</v>
      </c>
      <c r="E320" t="s">
        <v>383</v>
      </c>
      <c r="F320" s="20">
        <v>2032</v>
      </c>
      <c r="G320" s="20">
        <v>68</v>
      </c>
      <c r="H320" s="11">
        <v>21451.832818327101</v>
      </c>
      <c r="I320" s="10">
        <v>2253190.3100856501</v>
      </c>
      <c r="J320" s="34">
        <f t="shared" si="16"/>
        <v>9.5206484433672436E-3</v>
      </c>
      <c r="K320" s="34">
        <f t="shared" si="17"/>
        <v>9.4754705579102039E-3</v>
      </c>
      <c r="L320" s="34">
        <f t="shared" si="18"/>
        <v>0.90721831848671008</v>
      </c>
      <c r="M320" s="34">
        <f t="shared" si="19"/>
        <v>0.89862199802029241</v>
      </c>
    </row>
    <row r="321" spans="1:13" ht="69">
      <c r="A321" t="s">
        <v>164</v>
      </c>
      <c r="B321" t="s">
        <v>115</v>
      </c>
      <c r="C321" s="14" t="s">
        <v>291</v>
      </c>
      <c r="D321" t="s">
        <v>366</v>
      </c>
      <c r="E321" t="s">
        <v>383</v>
      </c>
      <c r="F321" s="20">
        <v>2032</v>
      </c>
      <c r="G321" s="20">
        <v>69</v>
      </c>
      <c r="H321" s="11">
        <v>21254.503163976398</v>
      </c>
      <c r="I321" s="10">
        <v>2116574.7054381599</v>
      </c>
      <c r="J321" s="34">
        <f t="shared" si="16"/>
        <v>1.0041933842149185E-2</v>
      </c>
      <c r="K321" s="34">
        <f t="shared" si="17"/>
        <v>9.9916819738172791E-3</v>
      </c>
      <c r="L321" s="34">
        <f t="shared" si="18"/>
        <v>0.89862199802029241</v>
      </c>
      <c r="M321" s="34">
        <f t="shared" si="19"/>
        <v>0.88964325280139744</v>
      </c>
    </row>
    <row r="322" spans="1:13" ht="69">
      <c r="A322" t="s">
        <v>164</v>
      </c>
      <c r="B322" t="s">
        <v>115</v>
      </c>
      <c r="C322" s="14" t="s">
        <v>291</v>
      </c>
      <c r="D322" t="s">
        <v>366</v>
      </c>
      <c r="E322" t="s">
        <v>383</v>
      </c>
      <c r="F322" s="20">
        <v>2033</v>
      </c>
      <c r="G322" s="20">
        <v>30</v>
      </c>
      <c r="H322" s="11">
        <v>715.81283092946501</v>
      </c>
      <c r="I322" s="10">
        <v>4355775.5573935797</v>
      </c>
      <c r="J322" s="34">
        <f t="shared" ref="J322:J385" si="20">IF(I322&gt;0,H322/I322,0)</f>
        <v>1.6433648187277007E-4</v>
      </c>
      <c r="K322" s="34">
        <f t="shared" ref="K322:K385" si="21">1-EXP(-J322)</f>
        <v>1.6432297937274409E-4</v>
      </c>
      <c r="L322" s="34">
        <f t="shared" ref="L322:L385" si="22">IF(G322=30,1,M321)</f>
        <v>1</v>
      </c>
      <c r="M322" s="34">
        <f t="shared" ref="M322:M385" si="23">L322*(1-K322)</f>
        <v>0.99983567702062726</v>
      </c>
    </row>
    <row r="323" spans="1:13" ht="69">
      <c r="A323" t="s">
        <v>164</v>
      </c>
      <c r="B323" t="s">
        <v>115</v>
      </c>
      <c r="C323" s="14" t="s">
        <v>291</v>
      </c>
      <c r="D323" t="s">
        <v>366</v>
      </c>
      <c r="E323" t="s">
        <v>383</v>
      </c>
      <c r="F323" s="20">
        <v>2033</v>
      </c>
      <c r="G323" s="20">
        <v>31</v>
      </c>
      <c r="H323" s="11">
        <v>1065.0918787666801</v>
      </c>
      <c r="I323" s="10">
        <v>4336879.4038663302</v>
      </c>
      <c r="J323" s="34">
        <f t="shared" si="20"/>
        <v>2.455894618183642E-4</v>
      </c>
      <c r="K323" s="34">
        <f t="shared" si="21"/>
        <v>2.4555930719505348E-4</v>
      </c>
      <c r="L323" s="34">
        <f t="shared" si="22"/>
        <v>0.99983567702062726</v>
      </c>
      <c r="M323" s="34">
        <f t="shared" si="23"/>
        <v>0.99959015806446916</v>
      </c>
    </row>
    <row r="324" spans="1:13" ht="69">
      <c r="A324" t="s">
        <v>164</v>
      </c>
      <c r="B324" t="s">
        <v>115</v>
      </c>
      <c r="C324" s="14" t="s">
        <v>291</v>
      </c>
      <c r="D324" t="s">
        <v>366</v>
      </c>
      <c r="E324" t="s">
        <v>383</v>
      </c>
      <c r="F324" s="20">
        <v>2033</v>
      </c>
      <c r="G324" s="20">
        <v>32</v>
      </c>
      <c r="H324" s="11">
        <v>1134.0554427735599</v>
      </c>
      <c r="I324" s="10">
        <v>4318276.8179446002</v>
      </c>
      <c r="J324" s="34">
        <f t="shared" si="20"/>
        <v>2.6261758812241777E-4</v>
      </c>
      <c r="K324" s="34">
        <f t="shared" si="21"/>
        <v>2.6258310714211142E-4</v>
      </c>
      <c r="L324" s="34">
        <f t="shared" si="22"/>
        <v>0.99959015806446916</v>
      </c>
      <c r="M324" s="34">
        <f t="shared" si="23"/>
        <v>0.9993276825748959</v>
      </c>
    </row>
    <row r="325" spans="1:13" ht="69">
      <c r="A325" t="s">
        <v>164</v>
      </c>
      <c r="B325" t="s">
        <v>115</v>
      </c>
      <c r="C325" s="14" t="s">
        <v>291</v>
      </c>
      <c r="D325" t="s">
        <v>366</v>
      </c>
      <c r="E325" t="s">
        <v>383</v>
      </c>
      <c r="F325" s="20">
        <v>2033</v>
      </c>
      <c r="G325" s="20">
        <v>33</v>
      </c>
      <c r="H325" s="11">
        <v>1220.4369641754099</v>
      </c>
      <c r="I325" s="10">
        <v>4319442.7905064505</v>
      </c>
      <c r="J325" s="34">
        <f t="shared" si="20"/>
        <v>2.8254500021571415E-4</v>
      </c>
      <c r="K325" s="34">
        <f t="shared" si="21"/>
        <v>2.82505088136209E-4</v>
      </c>
      <c r="L325" s="34">
        <f t="shared" si="22"/>
        <v>0.9993276825748959</v>
      </c>
      <c r="M325" s="34">
        <f t="shared" si="23"/>
        <v>0.99904536741985317</v>
      </c>
    </row>
    <row r="326" spans="1:13" ht="69">
      <c r="A326" t="s">
        <v>164</v>
      </c>
      <c r="B326" t="s">
        <v>115</v>
      </c>
      <c r="C326" s="14" t="s">
        <v>291</v>
      </c>
      <c r="D326" t="s">
        <v>366</v>
      </c>
      <c r="E326" t="s">
        <v>383</v>
      </c>
      <c r="F326" s="20">
        <v>2033</v>
      </c>
      <c r="G326" s="20">
        <v>34</v>
      </c>
      <c r="H326" s="11">
        <v>1332.36749355709</v>
      </c>
      <c r="I326" s="10">
        <v>4359464.2359695705</v>
      </c>
      <c r="J326" s="34">
        <f t="shared" si="20"/>
        <v>3.0562643055168077E-4</v>
      </c>
      <c r="K326" s="34">
        <f t="shared" si="21"/>
        <v>3.0557973155176388E-4</v>
      </c>
      <c r="L326" s="34">
        <f t="shared" si="22"/>
        <v>0.99904536741985317</v>
      </c>
      <c r="M326" s="34">
        <f t="shared" si="23"/>
        <v>0.99874007940466902</v>
      </c>
    </row>
    <row r="327" spans="1:13" ht="69">
      <c r="A327" t="s">
        <v>164</v>
      </c>
      <c r="B327" t="s">
        <v>115</v>
      </c>
      <c r="C327" s="14" t="s">
        <v>291</v>
      </c>
      <c r="D327" t="s">
        <v>366</v>
      </c>
      <c r="E327" t="s">
        <v>383</v>
      </c>
      <c r="F327" s="20">
        <v>2033</v>
      </c>
      <c r="G327" s="20">
        <v>35</v>
      </c>
      <c r="H327" s="11">
        <v>1450.6550346199101</v>
      </c>
      <c r="I327" s="10">
        <v>4402047.12033985</v>
      </c>
      <c r="J327" s="34">
        <f t="shared" si="20"/>
        <v>3.295410055737694E-4</v>
      </c>
      <c r="K327" s="34">
        <f t="shared" si="21"/>
        <v>3.2948671290067288E-4</v>
      </c>
      <c r="L327" s="34">
        <f t="shared" si="22"/>
        <v>0.99874007940466902</v>
      </c>
      <c r="M327" s="34">
        <f t="shared" si="23"/>
        <v>0.99841100781886383</v>
      </c>
    </row>
    <row r="328" spans="1:13" ht="69">
      <c r="A328" t="s">
        <v>164</v>
      </c>
      <c r="B328" t="s">
        <v>115</v>
      </c>
      <c r="C328" s="14" t="s">
        <v>291</v>
      </c>
      <c r="D328" t="s">
        <v>366</v>
      </c>
      <c r="E328" t="s">
        <v>383</v>
      </c>
      <c r="F328" s="20">
        <v>2033</v>
      </c>
      <c r="G328" s="20">
        <v>36</v>
      </c>
      <c r="H328" s="11">
        <v>1890.10895849396</v>
      </c>
      <c r="I328" s="10">
        <v>4398349.8036783002</v>
      </c>
      <c r="J328" s="34">
        <f t="shared" si="20"/>
        <v>4.2973138628339176E-4</v>
      </c>
      <c r="K328" s="34">
        <f t="shared" si="21"/>
        <v>4.2963906497617277E-4</v>
      </c>
      <c r="L328" s="34">
        <f t="shared" si="22"/>
        <v>0.99841100781886383</v>
      </c>
      <c r="M328" s="34">
        <f t="shared" si="23"/>
        <v>0.99798205144700258</v>
      </c>
    </row>
    <row r="329" spans="1:13" ht="69">
      <c r="A329" t="s">
        <v>164</v>
      </c>
      <c r="B329" t="s">
        <v>115</v>
      </c>
      <c r="C329" s="14" t="s">
        <v>291</v>
      </c>
      <c r="D329" t="s">
        <v>366</v>
      </c>
      <c r="E329" t="s">
        <v>383</v>
      </c>
      <c r="F329" s="20">
        <v>2033</v>
      </c>
      <c r="G329" s="20">
        <v>37</v>
      </c>
      <c r="H329" s="11">
        <v>2013.8557384978601</v>
      </c>
      <c r="I329" s="10">
        <v>4335732.2067098999</v>
      </c>
      <c r="J329" s="34">
        <f t="shared" si="20"/>
        <v>4.6447881061040941E-4</v>
      </c>
      <c r="K329" s="34">
        <f t="shared" si="21"/>
        <v>4.643709570268939E-4</v>
      </c>
      <c r="L329" s="34">
        <f t="shared" si="22"/>
        <v>0.99798205144700258</v>
      </c>
      <c r="M329" s="34">
        <f t="shared" si="23"/>
        <v>0.99751861756667648</v>
      </c>
    </row>
    <row r="330" spans="1:13" ht="69">
      <c r="A330" t="s">
        <v>164</v>
      </c>
      <c r="B330" t="s">
        <v>115</v>
      </c>
      <c r="C330" s="14" t="s">
        <v>291</v>
      </c>
      <c r="D330" t="s">
        <v>366</v>
      </c>
      <c r="E330" t="s">
        <v>383</v>
      </c>
      <c r="F330" s="20">
        <v>2033</v>
      </c>
      <c r="G330" s="20">
        <v>38</v>
      </c>
      <c r="H330" s="11">
        <v>2155.4620260203901</v>
      </c>
      <c r="I330" s="10">
        <v>4270991.5830957796</v>
      </c>
      <c r="J330" s="34">
        <f t="shared" si="20"/>
        <v>5.0467484753459241E-4</v>
      </c>
      <c r="K330" s="34">
        <f t="shared" si="21"/>
        <v>5.0454752060413721E-4</v>
      </c>
      <c r="L330" s="34">
        <f t="shared" si="22"/>
        <v>0.99751861756667648</v>
      </c>
      <c r="M330" s="34">
        <f t="shared" si="23"/>
        <v>0.99701532202142673</v>
      </c>
    </row>
    <row r="331" spans="1:13" ht="69">
      <c r="A331" t="s">
        <v>164</v>
      </c>
      <c r="B331" t="s">
        <v>115</v>
      </c>
      <c r="C331" s="14" t="s">
        <v>291</v>
      </c>
      <c r="D331" t="s">
        <v>366</v>
      </c>
      <c r="E331" t="s">
        <v>383</v>
      </c>
      <c r="F331" s="20">
        <v>2033</v>
      </c>
      <c r="G331" s="20">
        <v>39</v>
      </c>
      <c r="H331" s="11">
        <v>2243.2724363879001</v>
      </c>
      <c r="I331" s="10">
        <v>4215590.8912247196</v>
      </c>
      <c r="J331" s="34">
        <f t="shared" si="20"/>
        <v>5.3213712959138246E-4</v>
      </c>
      <c r="K331" s="34">
        <f t="shared" si="21"/>
        <v>5.3199556973992923E-4</v>
      </c>
      <c r="L331" s="34">
        <f t="shared" si="22"/>
        <v>0.99701532202142673</v>
      </c>
      <c r="M331" s="34">
        <f t="shared" si="23"/>
        <v>0.99648491428714847</v>
      </c>
    </row>
    <row r="332" spans="1:13" ht="69">
      <c r="A332" t="s">
        <v>164</v>
      </c>
      <c r="B332" t="s">
        <v>115</v>
      </c>
      <c r="C332" s="14" t="s">
        <v>291</v>
      </c>
      <c r="D332" t="s">
        <v>366</v>
      </c>
      <c r="E332" t="s">
        <v>383</v>
      </c>
      <c r="F332" s="20">
        <v>2033</v>
      </c>
      <c r="G332" s="20">
        <v>40</v>
      </c>
      <c r="H332" s="11">
        <v>2404.6181144249099</v>
      </c>
      <c r="I332" s="10">
        <v>4162640.5696695098</v>
      </c>
      <c r="J332" s="34">
        <f t="shared" si="20"/>
        <v>5.7766652541317619E-4</v>
      </c>
      <c r="K332" s="34">
        <f t="shared" si="21"/>
        <v>5.774997082289568E-4</v>
      </c>
      <c r="L332" s="34">
        <f t="shared" si="22"/>
        <v>0.99648491428714847</v>
      </c>
      <c r="M332" s="34">
        <f t="shared" si="23"/>
        <v>0.99590944453989305</v>
      </c>
    </row>
    <row r="333" spans="1:13" ht="69">
      <c r="A333" t="s">
        <v>164</v>
      </c>
      <c r="B333" t="s">
        <v>115</v>
      </c>
      <c r="C333" s="14" t="s">
        <v>291</v>
      </c>
      <c r="D333" t="s">
        <v>366</v>
      </c>
      <c r="E333" t="s">
        <v>383</v>
      </c>
      <c r="F333" s="20">
        <v>2033</v>
      </c>
      <c r="G333" s="20">
        <v>41</v>
      </c>
      <c r="H333" s="11">
        <v>3119.1522752385399</v>
      </c>
      <c r="I333" s="10">
        <v>4144367.1775412601</v>
      </c>
      <c r="J333" s="34">
        <f t="shared" si="20"/>
        <v>7.5262450010258209E-4</v>
      </c>
      <c r="K333" s="34">
        <f t="shared" si="21"/>
        <v>7.5234134932333774E-4</v>
      </c>
      <c r="L333" s="34">
        <f t="shared" si="22"/>
        <v>0.99590944453989305</v>
      </c>
      <c r="M333" s="34">
        <f t="shared" si="23"/>
        <v>0.99516018068458401</v>
      </c>
    </row>
    <row r="334" spans="1:13" ht="69">
      <c r="A334" t="s">
        <v>164</v>
      </c>
      <c r="B334" t="s">
        <v>115</v>
      </c>
      <c r="C334" s="14" t="s">
        <v>291</v>
      </c>
      <c r="D334" t="s">
        <v>366</v>
      </c>
      <c r="E334" t="s">
        <v>383</v>
      </c>
      <c r="F334" s="20">
        <v>2033</v>
      </c>
      <c r="G334" s="20">
        <v>42</v>
      </c>
      <c r="H334" s="11">
        <v>3429.0261547387199</v>
      </c>
      <c r="I334" s="10">
        <v>4120333.37592293</v>
      </c>
      <c r="J334" s="34">
        <f t="shared" si="20"/>
        <v>8.3222056127209331E-4</v>
      </c>
      <c r="K334" s="34">
        <f t="shared" si="21"/>
        <v>8.3187436178555618E-4</v>
      </c>
      <c r="L334" s="34">
        <f t="shared" si="22"/>
        <v>0.99516018068458401</v>
      </c>
      <c r="M334" s="34">
        <f t="shared" si="23"/>
        <v>0.99433233244440267</v>
      </c>
    </row>
    <row r="335" spans="1:13" ht="69">
      <c r="A335" t="s">
        <v>164</v>
      </c>
      <c r="B335" t="s">
        <v>115</v>
      </c>
      <c r="C335" s="14" t="s">
        <v>291</v>
      </c>
      <c r="D335" t="s">
        <v>366</v>
      </c>
      <c r="E335" t="s">
        <v>383</v>
      </c>
      <c r="F335" s="20">
        <v>2033</v>
      </c>
      <c r="G335" s="20">
        <v>43</v>
      </c>
      <c r="H335" s="11">
        <v>3798.9354364636602</v>
      </c>
      <c r="I335" s="10">
        <v>4099521.7929030401</v>
      </c>
      <c r="J335" s="34">
        <f t="shared" si="20"/>
        <v>9.2667770251648736E-4</v>
      </c>
      <c r="K335" s="34">
        <f t="shared" si="21"/>
        <v>9.2624846933153648E-4</v>
      </c>
      <c r="L335" s="34">
        <f t="shared" si="22"/>
        <v>0.99433233244440267</v>
      </c>
      <c r="M335" s="34">
        <f t="shared" si="23"/>
        <v>0.99341133364346923</v>
      </c>
    </row>
    <row r="336" spans="1:13" ht="69">
      <c r="A336" t="s">
        <v>164</v>
      </c>
      <c r="B336" t="s">
        <v>115</v>
      </c>
      <c r="C336" s="14" t="s">
        <v>291</v>
      </c>
      <c r="D336" t="s">
        <v>366</v>
      </c>
      <c r="E336" t="s">
        <v>383</v>
      </c>
      <c r="F336" s="20">
        <v>2033</v>
      </c>
      <c r="G336" s="20">
        <v>44</v>
      </c>
      <c r="H336" s="11">
        <v>4017.6641774324098</v>
      </c>
      <c r="I336" s="10">
        <v>4101185.6678469698</v>
      </c>
      <c r="J336" s="34">
        <f t="shared" si="20"/>
        <v>9.796347941354222E-4</v>
      </c>
      <c r="K336" s="34">
        <f t="shared" si="21"/>
        <v>9.7915510862212063E-4</v>
      </c>
      <c r="L336" s="34">
        <f t="shared" si="22"/>
        <v>0.99341133364346923</v>
      </c>
      <c r="M336" s="34">
        <f t="shared" si="23"/>
        <v>0.99243862986116915</v>
      </c>
    </row>
    <row r="337" spans="1:13" ht="69">
      <c r="A337" t="s">
        <v>164</v>
      </c>
      <c r="B337" t="s">
        <v>115</v>
      </c>
      <c r="C337" s="14" t="s">
        <v>291</v>
      </c>
      <c r="D337" t="s">
        <v>366</v>
      </c>
      <c r="E337" t="s">
        <v>383</v>
      </c>
      <c r="F337" s="20">
        <v>2033</v>
      </c>
      <c r="G337" s="20">
        <v>45</v>
      </c>
      <c r="H337" s="11">
        <v>4395.7664706692403</v>
      </c>
      <c r="I337" s="10">
        <v>4056998.4546532799</v>
      </c>
      <c r="J337" s="34">
        <f t="shared" si="20"/>
        <v>1.0835021308986208E-3</v>
      </c>
      <c r="K337" s="34">
        <f t="shared" si="21"/>
        <v>1.0829153544084091E-3</v>
      </c>
      <c r="L337" s="34">
        <f t="shared" si="22"/>
        <v>0.99243862986116915</v>
      </c>
      <c r="M337" s="34">
        <f t="shared" si="23"/>
        <v>0.9913639028305844</v>
      </c>
    </row>
    <row r="338" spans="1:13" ht="69">
      <c r="A338" t="s">
        <v>164</v>
      </c>
      <c r="B338" t="s">
        <v>115</v>
      </c>
      <c r="C338" s="14" t="s">
        <v>291</v>
      </c>
      <c r="D338" t="s">
        <v>366</v>
      </c>
      <c r="E338" t="s">
        <v>383</v>
      </c>
      <c r="F338" s="20">
        <v>2033</v>
      </c>
      <c r="G338" s="20">
        <v>46</v>
      </c>
      <c r="H338" s="11">
        <v>5515.1325097783401</v>
      </c>
      <c r="I338" s="10">
        <v>4003937.6930272598</v>
      </c>
      <c r="J338" s="34">
        <f t="shared" si="20"/>
        <v>1.3774271561175346E-3</v>
      </c>
      <c r="K338" s="34">
        <f t="shared" si="21"/>
        <v>1.3764789387490373E-3</v>
      </c>
      <c r="L338" s="34">
        <f t="shared" si="22"/>
        <v>0.9913639028305844</v>
      </c>
      <c r="M338" s="34">
        <f t="shared" si="23"/>
        <v>0.98999931129770202</v>
      </c>
    </row>
    <row r="339" spans="1:13" ht="69">
      <c r="A339" t="s">
        <v>164</v>
      </c>
      <c r="B339" t="s">
        <v>115</v>
      </c>
      <c r="C339" s="14" t="s">
        <v>291</v>
      </c>
      <c r="D339" t="s">
        <v>366</v>
      </c>
      <c r="E339" t="s">
        <v>383</v>
      </c>
      <c r="F339" s="20">
        <v>2033</v>
      </c>
      <c r="G339" s="20">
        <v>47</v>
      </c>
      <c r="H339" s="11">
        <v>6147.5287278584201</v>
      </c>
      <c r="I339" s="10">
        <v>4011843.3472350799</v>
      </c>
      <c r="J339" s="34">
        <f t="shared" si="20"/>
        <v>1.5323451580170077E-3</v>
      </c>
      <c r="K339" s="34">
        <f t="shared" si="21"/>
        <v>1.5311717166243133E-3</v>
      </c>
      <c r="L339" s="34">
        <f t="shared" si="22"/>
        <v>0.98999931129770202</v>
      </c>
      <c r="M339" s="34">
        <f t="shared" si="23"/>
        <v>0.98848345235276547</v>
      </c>
    </row>
    <row r="340" spans="1:13" ht="69">
      <c r="A340" t="s">
        <v>164</v>
      </c>
      <c r="B340" t="s">
        <v>115</v>
      </c>
      <c r="C340" s="14" t="s">
        <v>291</v>
      </c>
      <c r="D340" t="s">
        <v>366</v>
      </c>
      <c r="E340" t="s">
        <v>383</v>
      </c>
      <c r="F340" s="20">
        <v>2033</v>
      </c>
      <c r="G340" s="20">
        <v>48</v>
      </c>
      <c r="H340" s="11">
        <v>6975.7238208825001</v>
      </c>
      <c r="I340" s="10">
        <v>4075287.6883351598</v>
      </c>
      <c r="J340" s="34">
        <f t="shared" si="20"/>
        <v>1.711713222320319E-3</v>
      </c>
      <c r="K340" s="34">
        <f t="shared" si="21"/>
        <v>1.7102490767608725E-3</v>
      </c>
      <c r="L340" s="34">
        <f t="shared" si="22"/>
        <v>0.98848345235276547</v>
      </c>
      <c r="M340" s="34">
        <f t="shared" si="23"/>
        <v>0.9867928994409858</v>
      </c>
    </row>
    <row r="341" spans="1:13" ht="69">
      <c r="A341" t="s">
        <v>164</v>
      </c>
      <c r="B341" t="s">
        <v>115</v>
      </c>
      <c r="C341" s="14" t="s">
        <v>291</v>
      </c>
      <c r="D341" t="s">
        <v>366</v>
      </c>
      <c r="E341" t="s">
        <v>383</v>
      </c>
      <c r="F341" s="20">
        <v>2033</v>
      </c>
      <c r="G341" s="20">
        <v>49</v>
      </c>
      <c r="H341" s="11">
        <v>7639.9074128411803</v>
      </c>
      <c r="I341" s="10">
        <v>4096717.18476883</v>
      </c>
      <c r="J341" s="34">
        <f t="shared" si="20"/>
        <v>1.8648852406130364E-3</v>
      </c>
      <c r="K341" s="34">
        <f t="shared" si="21"/>
        <v>1.863147422577649E-3</v>
      </c>
      <c r="L341" s="34">
        <f t="shared" si="22"/>
        <v>0.9867928994409858</v>
      </c>
      <c r="M341" s="34">
        <f t="shared" si="23"/>
        <v>0.98495435879377435</v>
      </c>
    </row>
    <row r="342" spans="1:13" ht="69">
      <c r="A342" t="s">
        <v>164</v>
      </c>
      <c r="B342" t="s">
        <v>115</v>
      </c>
      <c r="C342" s="14" t="s">
        <v>291</v>
      </c>
      <c r="D342" t="s">
        <v>366</v>
      </c>
      <c r="E342" t="s">
        <v>383</v>
      </c>
      <c r="F342" s="20">
        <v>2033</v>
      </c>
      <c r="G342" s="20">
        <v>50</v>
      </c>
      <c r="H342" s="11">
        <v>8128.0570421780003</v>
      </c>
      <c r="I342" s="10">
        <v>4059936.9173998199</v>
      </c>
      <c r="J342" s="34">
        <f t="shared" si="20"/>
        <v>2.0020155996373465E-3</v>
      </c>
      <c r="K342" s="34">
        <f t="shared" si="21"/>
        <v>2.0000129031062519E-3</v>
      </c>
      <c r="L342" s="34">
        <f t="shared" si="22"/>
        <v>0.98495435879377435</v>
      </c>
      <c r="M342" s="34">
        <f t="shared" si="23"/>
        <v>0.98298443736721608</v>
      </c>
    </row>
    <row r="343" spans="1:13" ht="69">
      <c r="A343" t="s">
        <v>164</v>
      </c>
      <c r="B343" t="s">
        <v>115</v>
      </c>
      <c r="C343" s="14" t="s">
        <v>291</v>
      </c>
      <c r="D343" t="s">
        <v>366</v>
      </c>
      <c r="E343" t="s">
        <v>383</v>
      </c>
      <c r="F343" s="20">
        <v>2033</v>
      </c>
      <c r="G343" s="20">
        <v>51</v>
      </c>
      <c r="H343" s="11">
        <v>9029.1232418253494</v>
      </c>
      <c r="I343" s="10">
        <v>3998618.7473827298</v>
      </c>
      <c r="J343" s="34">
        <f t="shared" si="20"/>
        <v>2.2580605484669686E-3</v>
      </c>
      <c r="K343" s="34">
        <f t="shared" si="21"/>
        <v>2.2555130475778729E-3</v>
      </c>
      <c r="L343" s="34">
        <f t="shared" si="22"/>
        <v>0.98298443736721608</v>
      </c>
      <c r="M343" s="34">
        <f t="shared" si="23"/>
        <v>0.98076730314316829</v>
      </c>
    </row>
    <row r="344" spans="1:13" ht="69">
      <c r="A344" t="s">
        <v>164</v>
      </c>
      <c r="B344" t="s">
        <v>115</v>
      </c>
      <c r="C344" s="14" t="s">
        <v>291</v>
      </c>
      <c r="D344" t="s">
        <v>366</v>
      </c>
      <c r="E344" t="s">
        <v>383</v>
      </c>
      <c r="F344" s="20">
        <v>2033</v>
      </c>
      <c r="G344" s="20">
        <v>52</v>
      </c>
      <c r="H344" s="11">
        <v>9471.3837514809602</v>
      </c>
      <c r="I344" s="10">
        <v>3930251.9464629102</v>
      </c>
      <c r="J344" s="34">
        <f t="shared" si="20"/>
        <v>2.4098668178270037E-3</v>
      </c>
      <c r="K344" s="34">
        <f t="shared" si="21"/>
        <v>2.4069654199160295E-3</v>
      </c>
      <c r="L344" s="34">
        <f t="shared" si="22"/>
        <v>0.98076730314316829</v>
      </c>
      <c r="M344" s="34">
        <f t="shared" si="23"/>
        <v>0.97840663015951834</v>
      </c>
    </row>
    <row r="345" spans="1:13" ht="69">
      <c r="A345" t="s">
        <v>164</v>
      </c>
      <c r="B345" t="s">
        <v>115</v>
      </c>
      <c r="C345" s="14" t="s">
        <v>291</v>
      </c>
      <c r="D345" t="s">
        <v>366</v>
      </c>
      <c r="E345" t="s">
        <v>383</v>
      </c>
      <c r="F345" s="20">
        <v>2033</v>
      </c>
      <c r="G345" s="20">
        <v>53</v>
      </c>
      <c r="H345" s="11">
        <v>9958.3269759288796</v>
      </c>
      <c r="I345" s="10">
        <v>3866871.6639727098</v>
      </c>
      <c r="J345" s="34">
        <f t="shared" si="20"/>
        <v>2.5752928571976417E-3</v>
      </c>
      <c r="K345" s="34">
        <f t="shared" si="21"/>
        <v>2.5719796353299573E-3</v>
      </c>
      <c r="L345" s="34">
        <f t="shared" si="22"/>
        <v>0.97840663015951834</v>
      </c>
      <c r="M345" s="34">
        <f t="shared" si="23"/>
        <v>0.97589018823167628</v>
      </c>
    </row>
    <row r="346" spans="1:13" ht="69">
      <c r="A346" t="s">
        <v>164</v>
      </c>
      <c r="B346" t="s">
        <v>115</v>
      </c>
      <c r="C346" s="14" t="s">
        <v>291</v>
      </c>
      <c r="D346" t="s">
        <v>366</v>
      </c>
      <c r="E346" t="s">
        <v>383</v>
      </c>
      <c r="F346" s="20">
        <v>2033</v>
      </c>
      <c r="G346" s="20">
        <v>54</v>
      </c>
      <c r="H346" s="11">
        <v>10555.149065236001</v>
      </c>
      <c r="I346" s="10">
        <v>3789835.03450253</v>
      </c>
      <c r="J346" s="34">
        <f t="shared" si="20"/>
        <v>2.7851209799746638E-3</v>
      </c>
      <c r="K346" s="34">
        <f t="shared" si="21"/>
        <v>2.7812461286828016E-3</v>
      </c>
      <c r="L346" s="34">
        <f t="shared" si="22"/>
        <v>0.97589018823167628</v>
      </c>
      <c r="M346" s="34">
        <f t="shared" si="23"/>
        <v>0.97317599742363736</v>
      </c>
    </row>
    <row r="347" spans="1:13" ht="69">
      <c r="A347" t="s">
        <v>164</v>
      </c>
      <c r="B347" t="s">
        <v>115</v>
      </c>
      <c r="C347" s="14" t="s">
        <v>291</v>
      </c>
      <c r="D347" t="s">
        <v>366</v>
      </c>
      <c r="E347" t="s">
        <v>383</v>
      </c>
      <c r="F347" s="20">
        <v>2033</v>
      </c>
      <c r="G347" s="20">
        <v>55</v>
      </c>
      <c r="H347" s="11">
        <v>11170.4270954331</v>
      </c>
      <c r="I347" s="10">
        <v>3688633.9962821598</v>
      </c>
      <c r="J347" s="34">
        <f t="shared" si="20"/>
        <v>3.0283370772735854E-3</v>
      </c>
      <c r="K347" s="34">
        <f t="shared" si="21"/>
        <v>3.0237562897696968E-3</v>
      </c>
      <c r="L347" s="34">
        <f t="shared" si="22"/>
        <v>0.97317599742363736</v>
      </c>
      <c r="M347" s="34">
        <f t="shared" si="23"/>
        <v>0.97023335038037473</v>
      </c>
    </row>
    <row r="348" spans="1:13" ht="69">
      <c r="A348" t="s">
        <v>164</v>
      </c>
      <c r="B348" t="s">
        <v>115</v>
      </c>
      <c r="C348" s="14" t="s">
        <v>291</v>
      </c>
      <c r="D348" t="s">
        <v>366</v>
      </c>
      <c r="E348" t="s">
        <v>383</v>
      </c>
      <c r="F348" s="20">
        <v>2033</v>
      </c>
      <c r="G348" s="20">
        <v>56</v>
      </c>
      <c r="H348" s="11">
        <v>11873.2962146435</v>
      </c>
      <c r="I348" s="10">
        <v>3591151.4504753798</v>
      </c>
      <c r="J348" s="34">
        <f t="shared" si="20"/>
        <v>3.3062644052708414E-3</v>
      </c>
      <c r="K348" s="34">
        <f t="shared" si="21"/>
        <v>3.3008047318108247E-3</v>
      </c>
      <c r="L348" s="34">
        <f t="shared" si="22"/>
        <v>0.97023335038037473</v>
      </c>
      <c r="M348" s="34">
        <f t="shared" si="23"/>
        <v>0.96703079954647853</v>
      </c>
    </row>
    <row r="349" spans="1:13" ht="69">
      <c r="A349" t="s">
        <v>164</v>
      </c>
      <c r="B349" t="s">
        <v>115</v>
      </c>
      <c r="C349" s="14" t="s">
        <v>291</v>
      </c>
      <c r="D349" t="s">
        <v>366</v>
      </c>
      <c r="E349" t="s">
        <v>383</v>
      </c>
      <c r="F349" s="20">
        <v>2033</v>
      </c>
      <c r="G349" s="20">
        <v>57</v>
      </c>
      <c r="H349" s="11">
        <v>12728.582193312201</v>
      </c>
      <c r="I349" s="10">
        <v>3507628.7235875502</v>
      </c>
      <c r="J349" s="34">
        <f t="shared" si="20"/>
        <v>3.6288282473333146E-3</v>
      </c>
      <c r="K349" s="34">
        <f t="shared" si="21"/>
        <v>3.622252007195903E-3</v>
      </c>
      <c r="L349" s="34">
        <f t="shared" si="22"/>
        <v>0.96703079954647853</v>
      </c>
      <c r="M349" s="34">
        <f t="shared" si="23"/>
        <v>0.96352797029180104</v>
      </c>
    </row>
    <row r="350" spans="1:13" ht="69">
      <c r="A350" t="s">
        <v>164</v>
      </c>
      <c r="B350" t="s">
        <v>115</v>
      </c>
      <c r="C350" s="14" t="s">
        <v>291</v>
      </c>
      <c r="D350" t="s">
        <v>366</v>
      </c>
      <c r="E350" t="s">
        <v>383</v>
      </c>
      <c r="F350" s="20">
        <v>2033</v>
      </c>
      <c r="G350" s="20">
        <v>58</v>
      </c>
      <c r="H350" s="11">
        <v>13576.5637791052</v>
      </c>
      <c r="I350" s="10">
        <v>3411296.04730559</v>
      </c>
      <c r="J350" s="34">
        <f t="shared" si="20"/>
        <v>3.9798843579784407E-3</v>
      </c>
      <c r="K350" s="34">
        <f t="shared" si="21"/>
        <v>3.9719751143310056E-3</v>
      </c>
      <c r="L350" s="34">
        <f t="shared" si="22"/>
        <v>0.96352797029180104</v>
      </c>
      <c r="M350" s="34">
        <f t="shared" si="23"/>
        <v>0.95970086117184017</v>
      </c>
    </row>
    <row r="351" spans="1:13" ht="69">
      <c r="A351" t="s">
        <v>164</v>
      </c>
      <c r="B351" t="s">
        <v>115</v>
      </c>
      <c r="C351" s="14" t="s">
        <v>291</v>
      </c>
      <c r="D351" t="s">
        <v>366</v>
      </c>
      <c r="E351" t="s">
        <v>383</v>
      </c>
      <c r="F351" s="20">
        <v>2033</v>
      </c>
      <c r="G351" s="20">
        <v>59</v>
      </c>
      <c r="H351" s="11">
        <v>13927.5792018088</v>
      </c>
      <c r="I351" s="10">
        <v>3328883.5553803402</v>
      </c>
      <c r="J351" s="34">
        <f t="shared" si="20"/>
        <v>4.183858933514876E-3</v>
      </c>
      <c r="K351" s="34">
        <f t="shared" si="21"/>
        <v>4.1751187891527763E-3</v>
      </c>
      <c r="L351" s="34">
        <f t="shared" si="22"/>
        <v>0.95970086117184017</v>
      </c>
      <c r="M351" s="34">
        <f t="shared" si="23"/>
        <v>0.95569399607439554</v>
      </c>
    </row>
    <row r="352" spans="1:13" ht="69">
      <c r="A352" t="s">
        <v>164</v>
      </c>
      <c r="B352" t="s">
        <v>115</v>
      </c>
      <c r="C352" s="14" t="s">
        <v>291</v>
      </c>
      <c r="D352" t="s">
        <v>366</v>
      </c>
      <c r="E352" t="s">
        <v>383</v>
      </c>
      <c r="F352" s="20">
        <v>2033</v>
      </c>
      <c r="G352" s="20">
        <v>60</v>
      </c>
      <c r="H352" s="11">
        <v>14520.6188749951</v>
      </c>
      <c r="I352" s="10">
        <v>3246350.3318477198</v>
      </c>
      <c r="J352" s="34">
        <f t="shared" si="20"/>
        <v>4.4729056912136845E-3</v>
      </c>
      <c r="K352" s="34">
        <f t="shared" si="21"/>
        <v>4.4629171467077677E-3</v>
      </c>
      <c r="L352" s="34">
        <f t="shared" si="22"/>
        <v>0.95569399607439554</v>
      </c>
      <c r="M352" s="34">
        <f t="shared" si="23"/>
        <v>0.95142881295230941</v>
      </c>
    </row>
    <row r="353" spans="1:13" ht="69">
      <c r="A353" t="s">
        <v>164</v>
      </c>
      <c r="B353" t="s">
        <v>115</v>
      </c>
      <c r="C353" s="14" t="s">
        <v>291</v>
      </c>
      <c r="D353" t="s">
        <v>366</v>
      </c>
      <c r="E353" t="s">
        <v>383</v>
      </c>
      <c r="F353" s="20">
        <v>2033</v>
      </c>
      <c r="G353" s="20">
        <v>61</v>
      </c>
      <c r="H353" s="11">
        <v>15344.0485181644</v>
      </c>
      <c r="I353" s="10">
        <v>3143367.6886376501</v>
      </c>
      <c r="J353" s="34">
        <f t="shared" si="20"/>
        <v>4.8814042893004922E-3</v>
      </c>
      <c r="K353" s="34">
        <f t="shared" si="21"/>
        <v>4.869509597519639E-3</v>
      </c>
      <c r="L353" s="34">
        <f t="shared" si="22"/>
        <v>0.95142881295230941</v>
      </c>
      <c r="M353" s="34">
        <f t="shared" si="23"/>
        <v>0.94679582121628147</v>
      </c>
    </row>
    <row r="354" spans="1:13" ht="69">
      <c r="A354" t="s">
        <v>164</v>
      </c>
      <c r="B354" t="s">
        <v>115</v>
      </c>
      <c r="C354" s="14" t="s">
        <v>291</v>
      </c>
      <c r="D354" t="s">
        <v>366</v>
      </c>
      <c r="E354" t="s">
        <v>383</v>
      </c>
      <c r="F354" s="20">
        <v>2033</v>
      </c>
      <c r="G354" s="20">
        <v>62</v>
      </c>
      <c r="H354" s="11">
        <v>16049.676036234199</v>
      </c>
      <c r="I354" s="10">
        <v>3050424.3025711002</v>
      </c>
      <c r="J354" s="34">
        <f t="shared" si="20"/>
        <v>5.2614569136190219E-3</v>
      </c>
      <c r="K354" s="34">
        <f t="shared" si="21"/>
        <v>5.2476396927175761E-3</v>
      </c>
      <c r="L354" s="34">
        <f t="shared" si="22"/>
        <v>0.94679582121628147</v>
      </c>
      <c r="M354" s="34">
        <f t="shared" si="23"/>
        <v>0.94182737788396775</v>
      </c>
    </row>
    <row r="355" spans="1:13" ht="69">
      <c r="A355" t="s">
        <v>164</v>
      </c>
      <c r="B355" t="s">
        <v>115</v>
      </c>
      <c r="C355" s="14" t="s">
        <v>291</v>
      </c>
      <c r="D355" t="s">
        <v>366</v>
      </c>
      <c r="E355" t="s">
        <v>383</v>
      </c>
      <c r="F355" s="20">
        <v>2033</v>
      </c>
      <c r="G355" s="20">
        <v>63</v>
      </c>
      <c r="H355" s="11">
        <v>16770.304151635501</v>
      </c>
      <c r="I355" s="10">
        <v>2955051.4473867901</v>
      </c>
      <c r="J355" s="34">
        <f t="shared" si="20"/>
        <v>5.6751310257105031E-3</v>
      </c>
      <c r="K355" s="34">
        <f t="shared" si="21"/>
        <v>5.6590578897228738E-3</v>
      </c>
      <c r="L355" s="34">
        <f t="shared" si="22"/>
        <v>0.94182737788396775</v>
      </c>
      <c r="M355" s="34">
        <f t="shared" si="23"/>
        <v>0.93649752223039651</v>
      </c>
    </row>
    <row r="356" spans="1:13" ht="69">
      <c r="A356" t="s">
        <v>164</v>
      </c>
      <c r="B356" t="s">
        <v>115</v>
      </c>
      <c r="C356" s="14" t="s">
        <v>291</v>
      </c>
      <c r="D356" t="s">
        <v>366</v>
      </c>
      <c r="E356" t="s">
        <v>383</v>
      </c>
      <c r="F356" s="20">
        <v>2033</v>
      </c>
      <c r="G356" s="20">
        <v>64</v>
      </c>
      <c r="H356" s="11">
        <v>17778.722214945901</v>
      </c>
      <c r="I356" s="10">
        <v>2844231.3703272101</v>
      </c>
      <c r="J356" s="34">
        <f t="shared" si="20"/>
        <v>6.2508002690725463E-3</v>
      </c>
      <c r="K356" s="34">
        <f t="shared" si="21"/>
        <v>6.2313046592756827E-3</v>
      </c>
      <c r="L356" s="34">
        <f t="shared" si="22"/>
        <v>0.93649752223039651</v>
      </c>
      <c r="M356" s="34">
        <f t="shared" si="23"/>
        <v>0.93066192085672206</v>
      </c>
    </row>
    <row r="357" spans="1:13" ht="69">
      <c r="A357" t="s">
        <v>164</v>
      </c>
      <c r="B357" t="s">
        <v>115</v>
      </c>
      <c r="C357" s="14" t="s">
        <v>291</v>
      </c>
      <c r="D357" t="s">
        <v>366</v>
      </c>
      <c r="E357" t="s">
        <v>383</v>
      </c>
      <c r="F357" s="20">
        <v>2033</v>
      </c>
      <c r="G357" s="20">
        <v>65</v>
      </c>
      <c r="H357" s="11">
        <v>18952.8848180192</v>
      </c>
      <c r="I357" s="10">
        <v>2725222.5861331699</v>
      </c>
      <c r="J357" s="34">
        <f t="shared" si="20"/>
        <v>6.9546190151431007E-3</v>
      </c>
      <c r="K357" s="34">
        <f t="shared" si="21"/>
        <v>6.9304916170080944E-3</v>
      </c>
      <c r="L357" s="34">
        <f t="shared" si="22"/>
        <v>0.93066192085672206</v>
      </c>
      <c r="M357" s="34">
        <f t="shared" si="23"/>
        <v>0.92421197621595585</v>
      </c>
    </row>
    <row r="358" spans="1:13" ht="69">
      <c r="A358" t="s">
        <v>164</v>
      </c>
      <c r="B358" t="s">
        <v>115</v>
      </c>
      <c r="C358" s="14" t="s">
        <v>291</v>
      </c>
      <c r="D358" t="s">
        <v>366</v>
      </c>
      <c r="E358" t="s">
        <v>383</v>
      </c>
      <c r="F358" s="20">
        <v>2033</v>
      </c>
      <c r="G358" s="20">
        <v>66</v>
      </c>
      <c r="H358" s="11">
        <v>19625.567678820102</v>
      </c>
      <c r="I358" s="10">
        <v>2607509.0682446398</v>
      </c>
      <c r="J358" s="34">
        <f t="shared" si="20"/>
        <v>7.526557785677011E-3</v>
      </c>
      <c r="K358" s="34">
        <f t="shared" si="21"/>
        <v>7.498304178200077E-3</v>
      </c>
      <c r="L358" s="34">
        <f t="shared" si="22"/>
        <v>0.92421197621595585</v>
      </c>
      <c r="M358" s="34">
        <f t="shared" si="23"/>
        <v>0.91728195369315324</v>
      </c>
    </row>
    <row r="359" spans="1:13" ht="69">
      <c r="A359" t="s">
        <v>164</v>
      </c>
      <c r="B359" t="s">
        <v>115</v>
      </c>
      <c r="C359" s="14" t="s">
        <v>291</v>
      </c>
      <c r="D359" t="s">
        <v>366</v>
      </c>
      <c r="E359" t="s">
        <v>383</v>
      </c>
      <c r="F359" s="20">
        <v>2033</v>
      </c>
      <c r="G359" s="20">
        <v>67</v>
      </c>
      <c r="H359" s="11">
        <v>20596.9254704739</v>
      </c>
      <c r="I359" s="10">
        <v>2477173.1586329602</v>
      </c>
      <c r="J359" s="34">
        <f t="shared" si="20"/>
        <v>8.3146894268143982E-3</v>
      </c>
      <c r="K359" s="34">
        <f t="shared" si="21"/>
        <v>8.2802180025729477E-3</v>
      </c>
      <c r="L359" s="34">
        <f t="shared" si="22"/>
        <v>0.91728195369315324</v>
      </c>
      <c r="M359" s="34">
        <f t="shared" si="23"/>
        <v>0.90968665914674796</v>
      </c>
    </row>
    <row r="360" spans="1:13" ht="69">
      <c r="A360" t="s">
        <v>164</v>
      </c>
      <c r="B360" t="s">
        <v>115</v>
      </c>
      <c r="C360" s="14" t="s">
        <v>291</v>
      </c>
      <c r="D360" t="s">
        <v>366</v>
      </c>
      <c r="E360" t="s">
        <v>383</v>
      </c>
      <c r="F360" s="20">
        <v>2033</v>
      </c>
      <c r="G360" s="20">
        <v>68</v>
      </c>
      <c r="H360" s="11">
        <v>21306.139715767698</v>
      </c>
      <c r="I360" s="10">
        <v>2335745.9149382301</v>
      </c>
      <c r="J360" s="34">
        <f t="shared" si="20"/>
        <v>9.1217711564877766E-3</v>
      </c>
      <c r="K360" s="34">
        <f t="shared" si="21"/>
        <v>9.0802940127840959E-3</v>
      </c>
      <c r="L360" s="34">
        <f t="shared" si="22"/>
        <v>0.90968665914674796</v>
      </c>
      <c r="M360" s="34">
        <f t="shared" si="23"/>
        <v>0.90142643682218815</v>
      </c>
    </row>
    <row r="361" spans="1:13" ht="69">
      <c r="A361" t="s">
        <v>164</v>
      </c>
      <c r="B361" t="s">
        <v>115</v>
      </c>
      <c r="C361" s="14" t="s">
        <v>291</v>
      </c>
      <c r="D361" t="s">
        <v>366</v>
      </c>
      <c r="E361" t="s">
        <v>383</v>
      </c>
      <c r="F361" s="20">
        <v>2033</v>
      </c>
      <c r="G361" s="20">
        <v>69</v>
      </c>
      <c r="H361" s="11">
        <v>21276.2730775079</v>
      </c>
      <c r="I361" s="10">
        <v>2195773.4588725399</v>
      </c>
      <c r="J361" s="34">
        <f t="shared" si="20"/>
        <v>9.6896485343404195E-3</v>
      </c>
      <c r="K361" s="34">
        <f t="shared" si="21"/>
        <v>9.6428551490931325E-3</v>
      </c>
      <c r="L361" s="34">
        <f t="shared" si="22"/>
        <v>0.90142643682218815</v>
      </c>
      <c r="M361" s="34">
        <f t="shared" si="23"/>
        <v>0.89273411226434862</v>
      </c>
    </row>
    <row r="362" spans="1:13" ht="69">
      <c r="A362" t="s">
        <v>164</v>
      </c>
      <c r="B362" t="s">
        <v>115</v>
      </c>
      <c r="C362" s="14" t="s">
        <v>291</v>
      </c>
      <c r="D362" t="s">
        <v>366</v>
      </c>
      <c r="E362" t="s">
        <v>383</v>
      </c>
      <c r="F362" s="20">
        <v>2034</v>
      </c>
      <c r="G362" s="20">
        <v>30</v>
      </c>
      <c r="H362" s="11">
        <v>690.40276823487795</v>
      </c>
      <c r="I362" s="10">
        <v>4392382.9212536002</v>
      </c>
      <c r="J362" s="34">
        <f t="shared" si="20"/>
        <v>1.5718182604121291E-4</v>
      </c>
      <c r="K362" s="34">
        <f t="shared" si="21"/>
        <v>1.5716947362520717E-4</v>
      </c>
      <c r="L362" s="34">
        <f t="shared" si="22"/>
        <v>1</v>
      </c>
      <c r="M362" s="34">
        <f t="shared" si="23"/>
        <v>0.99984283052637479</v>
      </c>
    </row>
    <row r="363" spans="1:13" ht="69">
      <c r="A363" t="s">
        <v>164</v>
      </c>
      <c r="B363" t="s">
        <v>115</v>
      </c>
      <c r="C363" s="14" t="s">
        <v>291</v>
      </c>
      <c r="D363" t="s">
        <v>366</v>
      </c>
      <c r="E363" t="s">
        <v>383</v>
      </c>
      <c r="F363" s="20">
        <v>2034</v>
      </c>
      <c r="G363" s="20">
        <v>31</v>
      </c>
      <c r="H363" s="11">
        <v>1025.35176720341</v>
      </c>
      <c r="I363" s="10">
        <v>4350309.0135047399</v>
      </c>
      <c r="J363" s="34">
        <f t="shared" si="20"/>
        <v>2.3569630663486035E-4</v>
      </c>
      <c r="K363" s="34">
        <f t="shared" si="21"/>
        <v>2.3566853244250119E-4</v>
      </c>
      <c r="L363" s="34">
        <f t="shared" si="22"/>
        <v>0.99984283052637479</v>
      </c>
      <c r="M363" s="34">
        <f t="shared" si="23"/>
        <v>0.99960719903383144</v>
      </c>
    </row>
    <row r="364" spans="1:13" ht="69">
      <c r="A364" t="s">
        <v>164</v>
      </c>
      <c r="B364" t="s">
        <v>115</v>
      </c>
      <c r="C364" s="14" t="s">
        <v>291</v>
      </c>
      <c r="D364" t="s">
        <v>366</v>
      </c>
      <c r="E364" t="s">
        <v>383</v>
      </c>
      <c r="F364" s="20">
        <v>2034</v>
      </c>
      <c r="G364" s="20">
        <v>32</v>
      </c>
      <c r="H364" s="11">
        <v>1095.43305718222</v>
      </c>
      <c r="I364" s="10">
        <v>4331354.0084899496</v>
      </c>
      <c r="J364" s="34">
        <f t="shared" si="20"/>
        <v>2.5290776395442297E-4</v>
      </c>
      <c r="K364" s="34">
        <f t="shared" si="21"/>
        <v>2.5287578548183198E-4</v>
      </c>
      <c r="L364" s="34">
        <f t="shared" si="22"/>
        <v>0.99960719903383144</v>
      </c>
      <c r="M364" s="34">
        <f t="shared" si="23"/>
        <v>0.99935442257820251</v>
      </c>
    </row>
    <row r="365" spans="1:13" ht="69">
      <c r="A365" t="s">
        <v>164</v>
      </c>
      <c r="B365" t="s">
        <v>115</v>
      </c>
      <c r="C365" s="14" t="s">
        <v>291</v>
      </c>
      <c r="D365" t="s">
        <v>366</v>
      </c>
      <c r="E365" t="s">
        <v>383</v>
      </c>
      <c r="F365" s="20">
        <v>2034</v>
      </c>
      <c r="G365" s="20">
        <v>33</v>
      </c>
      <c r="H365" s="11">
        <v>1179.50689436834</v>
      </c>
      <c r="I365" s="10">
        <v>4312519.2599018104</v>
      </c>
      <c r="J365" s="34">
        <f t="shared" si="20"/>
        <v>2.735076235683167E-4</v>
      </c>
      <c r="K365" s="34">
        <f t="shared" si="21"/>
        <v>2.7347022376800201E-4</v>
      </c>
      <c r="L365" s="34">
        <f t="shared" si="22"/>
        <v>0.99935442257820251</v>
      </c>
      <c r="M365" s="34">
        <f t="shared" si="23"/>
        <v>0.99908112890063649</v>
      </c>
    </row>
    <row r="366" spans="1:13" ht="69">
      <c r="A366" t="s">
        <v>164</v>
      </c>
      <c r="B366" t="s">
        <v>115</v>
      </c>
      <c r="C366" s="14" t="s">
        <v>291</v>
      </c>
      <c r="D366" t="s">
        <v>366</v>
      </c>
      <c r="E366" t="s">
        <v>383</v>
      </c>
      <c r="F366" s="20">
        <v>2034</v>
      </c>
      <c r="G366" s="20">
        <v>34</v>
      </c>
      <c r="H366" s="11">
        <v>1272.59385579177</v>
      </c>
      <c r="I366" s="10">
        <v>4313382.5976243997</v>
      </c>
      <c r="J366" s="34">
        <f t="shared" si="20"/>
        <v>2.9503384570908517E-4</v>
      </c>
      <c r="K366" s="34">
        <f t="shared" si="21"/>
        <v>2.9499032750390786E-4</v>
      </c>
      <c r="L366" s="34">
        <f t="shared" si="22"/>
        <v>0.99908112890063649</v>
      </c>
      <c r="M366" s="34">
        <f t="shared" si="23"/>
        <v>0.99878640963121912</v>
      </c>
    </row>
    <row r="367" spans="1:13" ht="69">
      <c r="A367" t="s">
        <v>164</v>
      </c>
      <c r="B367" t="s">
        <v>115</v>
      </c>
      <c r="C367" s="14" t="s">
        <v>291</v>
      </c>
      <c r="D367" t="s">
        <v>366</v>
      </c>
      <c r="E367" t="s">
        <v>383</v>
      </c>
      <c r="F367" s="20">
        <v>2034</v>
      </c>
      <c r="G367" s="20">
        <v>35</v>
      </c>
      <c r="H367" s="11">
        <v>1408.24116127351</v>
      </c>
      <c r="I367" s="10">
        <v>4352988.1761698397</v>
      </c>
      <c r="J367" s="34">
        <f t="shared" si="20"/>
        <v>3.2351136834757278E-4</v>
      </c>
      <c r="K367" s="34">
        <f t="shared" si="21"/>
        <v>3.2345904418751292E-4</v>
      </c>
      <c r="L367" s="34">
        <f t="shared" si="22"/>
        <v>0.99878640963121912</v>
      </c>
      <c r="M367" s="34">
        <f t="shared" si="23"/>
        <v>0.99846334313381235</v>
      </c>
    </row>
    <row r="368" spans="1:13" ht="69">
      <c r="A368" t="s">
        <v>164</v>
      </c>
      <c r="B368" t="s">
        <v>115</v>
      </c>
      <c r="C368" s="14" t="s">
        <v>291</v>
      </c>
      <c r="D368" t="s">
        <v>366</v>
      </c>
      <c r="E368" t="s">
        <v>383</v>
      </c>
      <c r="F368" s="20">
        <v>2034</v>
      </c>
      <c r="G368" s="20">
        <v>36</v>
      </c>
      <c r="H368" s="11">
        <v>1851.95773647888</v>
      </c>
      <c r="I368" s="10">
        <v>4395091.1659484701</v>
      </c>
      <c r="J368" s="34">
        <f t="shared" si="20"/>
        <v>4.2136958405485623E-4</v>
      </c>
      <c r="K368" s="34">
        <f t="shared" si="21"/>
        <v>4.2128082035952641E-4</v>
      </c>
      <c r="L368" s="34">
        <f t="shared" si="22"/>
        <v>0.99846334313381235</v>
      </c>
      <c r="M368" s="34">
        <f t="shared" si="23"/>
        <v>0.99804270967751807</v>
      </c>
    </row>
    <row r="369" spans="1:13" ht="69">
      <c r="A369" t="s">
        <v>164</v>
      </c>
      <c r="B369" t="s">
        <v>115</v>
      </c>
      <c r="C369" s="14" t="s">
        <v>291</v>
      </c>
      <c r="D369" t="s">
        <v>366</v>
      </c>
      <c r="E369" t="s">
        <v>383</v>
      </c>
      <c r="F369" s="20">
        <v>2034</v>
      </c>
      <c r="G369" s="20">
        <v>37</v>
      </c>
      <c r="H369" s="11">
        <v>2013.6149543233701</v>
      </c>
      <c r="I369" s="10">
        <v>4391034.1755271796</v>
      </c>
      <c r="J369" s="34">
        <f t="shared" si="20"/>
        <v>4.5857419319256812E-4</v>
      </c>
      <c r="K369" s="34">
        <f t="shared" si="21"/>
        <v>4.5846906411772803E-4</v>
      </c>
      <c r="L369" s="34">
        <f t="shared" si="22"/>
        <v>0.99804270967751807</v>
      </c>
      <c r="M369" s="34">
        <f t="shared" si="23"/>
        <v>0.99758513797046267</v>
      </c>
    </row>
    <row r="370" spans="1:13" ht="69">
      <c r="A370" t="s">
        <v>164</v>
      </c>
      <c r="B370" t="s">
        <v>115</v>
      </c>
      <c r="C370" s="14" t="s">
        <v>291</v>
      </c>
      <c r="D370" t="s">
        <v>366</v>
      </c>
      <c r="E370" t="s">
        <v>383</v>
      </c>
      <c r="F370" s="20">
        <v>2034</v>
      </c>
      <c r="G370" s="20">
        <v>38</v>
      </c>
      <c r="H370" s="11">
        <v>2159.86029748383</v>
      </c>
      <c r="I370" s="10">
        <v>4327988.0879734103</v>
      </c>
      <c r="J370" s="34">
        <f t="shared" si="20"/>
        <v>4.9904488034189327E-4</v>
      </c>
      <c r="K370" s="34">
        <f t="shared" si="21"/>
        <v>4.9892037815713053E-4</v>
      </c>
      <c r="L370" s="34">
        <f t="shared" si="22"/>
        <v>0.99758513797046267</v>
      </c>
      <c r="M370" s="34">
        <f t="shared" si="23"/>
        <v>0.99708742241618253</v>
      </c>
    </row>
    <row r="371" spans="1:13" ht="69">
      <c r="A371" t="s">
        <v>164</v>
      </c>
      <c r="B371" t="s">
        <v>115</v>
      </c>
      <c r="C371" s="14" t="s">
        <v>291</v>
      </c>
      <c r="D371" t="s">
        <v>366</v>
      </c>
      <c r="E371" t="s">
        <v>383</v>
      </c>
      <c r="F371" s="20">
        <v>2034</v>
      </c>
      <c r="G371" s="20">
        <v>39</v>
      </c>
      <c r="H371" s="11">
        <v>2235.86197132591</v>
      </c>
      <c r="I371" s="10">
        <v>4262769.94966543</v>
      </c>
      <c r="J371" s="34">
        <f t="shared" si="20"/>
        <v>5.2450918011688499E-4</v>
      </c>
      <c r="K371" s="34">
        <f t="shared" si="21"/>
        <v>5.2437164922336521E-4</v>
      </c>
      <c r="L371" s="34">
        <f t="shared" si="22"/>
        <v>0.99708742241618253</v>
      </c>
      <c r="M371" s="34">
        <f t="shared" si="23"/>
        <v>0.99656457804007026</v>
      </c>
    </row>
    <row r="372" spans="1:13" ht="69">
      <c r="A372" t="s">
        <v>164</v>
      </c>
      <c r="B372" t="s">
        <v>115</v>
      </c>
      <c r="C372" s="14" t="s">
        <v>291</v>
      </c>
      <c r="D372" t="s">
        <v>366</v>
      </c>
      <c r="E372" t="s">
        <v>383</v>
      </c>
      <c r="F372" s="20">
        <v>2034</v>
      </c>
      <c r="G372" s="20">
        <v>40</v>
      </c>
      <c r="H372" s="11">
        <v>2384.5561840825198</v>
      </c>
      <c r="I372" s="10">
        <v>4206908.7973342603</v>
      </c>
      <c r="J372" s="34">
        <f t="shared" si="20"/>
        <v>5.6681908236126059E-4</v>
      </c>
      <c r="K372" s="34">
        <f t="shared" si="21"/>
        <v>5.6665847077252973E-4</v>
      </c>
      <c r="L372" s="34">
        <f t="shared" si="22"/>
        <v>0.99656457804007026</v>
      </c>
      <c r="M372" s="34">
        <f t="shared" si="23"/>
        <v>0.99599986628025206</v>
      </c>
    </row>
    <row r="373" spans="1:13" ht="69">
      <c r="A373" t="s">
        <v>164</v>
      </c>
      <c r="B373" t="s">
        <v>115</v>
      </c>
      <c r="C373" s="14" t="s">
        <v>291</v>
      </c>
      <c r="D373" t="s">
        <v>366</v>
      </c>
      <c r="E373" t="s">
        <v>383</v>
      </c>
      <c r="F373" s="20">
        <v>2034</v>
      </c>
      <c r="G373" s="20">
        <v>41</v>
      </c>
      <c r="H373" s="11">
        <v>3070.1411609001698</v>
      </c>
      <c r="I373" s="10">
        <v>4153385.3037546501</v>
      </c>
      <c r="J373" s="34">
        <f t="shared" si="20"/>
        <v>7.3919006698578381E-4</v>
      </c>
      <c r="K373" s="34">
        <f t="shared" si="21"/>
        <v>7.3891693331162855E-4</v>
      </c>
      <c r="L373" s="34">
        <f t="shared" si="22"/>
        <v>0.99599986628025206</v>
      </c>
      <c r="M373" s="34">
        <f t="shared" si="23"/>
        <v>0.99526390511348151</v>
      </c>
    </row>
    <row r="374" spans="1:13" ht="69">
      <c r="A374" t="s">
        <v>164</v>
      </c>
      <c r="B374" t="s">
        <v>115</v>
      </c>
      <c r="C374" s="14" t="s">
        <v>291</v>
      </c>
      <c r="D374" t="s">
        <v>366</v>
      </c>
      <c r="E374" t="s">
        <v>383</v>
      </c>
      <c r="F374" s="20">
        <v>2034</v>
      </c>
      <c r="G374" s="20">
        <v>42</v>
      </c>
      <c r="H374" s="11">
        <v>3364.7515463354598</v>
      </c>
      <c r="I374" s="10">
        <v>4134570.7539119301</v>
      </c>
      <c r="J374" s="34">
        <f t="shared" si="20"/>
        <v>8.1380915858118895E-4</v>
      </c>
      <c r="K374" s="34">
        <f t="shared" si="21"/>
        <v>8.1347810571863466E-4</v>
      </c>
      <c r="L374" s="34">
        <f t="shared" si="22"/>
        <v>0.99526390511348151</v>
      </c>
      <c r="M374" s="34">
        <f t="shared" si="23"/>
        <v>0.99445427971725964</v>
      </c>
    </row>
    <row r="375" spans="1:13" ht="69">
      <c r="A375" t="s">
        <v>164</v>
      </c>
      <c r="B375" t="s">
        <v>115</v>
      </c>
      <c r="C375" s="14" t="s">
        <v>291</v>
      </c>
      <c r="D375" t="s">
        <v>366</v>
      </c>
      <c r="E375" t="s">
        <v>383</v>
      </c>
      <c r="F375" s="20">
        <v>2034</v>
      </c>
      <c r="G375" s="20">
        <v>43</v>
      </c>
      <c r="H375" s="11">
        <v>3728.7791058570001</v>
      </c>
      <c r="I375" s="10">
        <v>4109721.3324722201</v>
      </c>
      <c r="J375" s="34">
        <f t="shared" si="20"/>
        <v>9.0730704206018204E-4</v>
      </c>
      <c r="K375" s="34">
        <f t="shared" si="21"/>
        <v>9.0689556348111378E-4</v>
      </c>
      <c r="L375" s="34">
        <f t="shared" si="22"/>
        <v>0.99445427971725964</v>
      </c>
      <c r="M375" s="34">
        <f t="shared" si="23"/>
        <v>0.99355241354289925</v>
      </c>
    </row>
    <row r="376" spans="1:13" ht="69">
      <c r="A376" t="s">
        <v>164</v>
      </c>
      <c r="B376" t="s">
        <v>115</v>
      </c>
      <c r="C376" s="14" t="s">
        <v>291</v>
      </c>
      <c r="D376" t="s">
        <v>366</v>
      </c>
      <c r="E376" t="s">
        <v>383</v>
      </c>
      <c r="F376" s="20">
        <v>2034</v>
      </c>
      <c r="G376" s="20">
        <v>44</v>
      </c>
      <c r="H376" s="11">
        <v>3907.3877440057499</v>
      </c>
      <c r="I376" s="10">
        <v>4087966.7796203098</v>
      </c>
      <c r="J376" s="34">
        <f t="shared" si="20"/>
        <v>9.5582668711624607E-4</v>
      </c>
      <c r="K376" s="34">
        <f t="shared" si="21"/>
        <v>9.5537003029488865E-4</v>
      </c>
      <c r="L376" s="34">
        <f t="shared" si="22"/>
        <v>0.99355241354289925</v>
      </c>
      <c r="M376" s="34">
        <f t="shared" si="23"/>
        <v>0.99260320334347318</v>
      </c>
    </row>
    <row r="377" spans="1:13" ht="69">
      <c r="A377" t="s">
        <v>164</v>
      </c>
      <c r="B377" t="s">
        <v>115</v>
      </c>
      <c r="C377" s="14" t="s">
        <v>291</v>
      </c>
      <c r="D377" t="s">
        <v>366</v>
      </c>
      <c r="E377" t="s">
        <v>383</v>
      </c>
      <c r="F377" s="20">
        <v>2034</v>
      </c>
      <c r="G377" s="20">
        <v>45</v>
      </c>
      <c r="H377" s="11">
        <v>4243.58737307506</v>
      </c>
      <c r="I377" s="10">
        <v>4088725.7447643401</v>
      </c>
      <c r="J377" s="34">
        <f t="shared" si="20"/>
        <v>1.0378752789934667E-3</v>
      </c>
      <c r="K377" s="34">
        <f t="shared" si="21"/>
        <v>1.0373368727283339E-3</v>
      </c>
      <c r="L377" s="34">
        <f t="shared" si="22"/>
        <v>0.99260320334347318</v>
      </c>
      <c r="M377" s="34">
        <f t="shared" si="23"/>
        <v>0.99157353944065674</v>
      </c>
    </row>
    <row r="378" spans="1:13" ht="69">
      <c r="A378" t="s">
        <v>164</v>
      </c>
      <c r="B378" t="s">
        <v>115</v>
      </c>
      <c r="C378" s="14" t="s">
        <v>291</v>
      </c>
      <c r="D378" t="s">
        <v>366</v>
      </c>
      <c r="E378" t="s">
        <v>383</v>
      </c>
      <c r="F378" s="20">
        <v>2034</v>
      </c>
      <c r="G378" s="20">
        <v>46</v>
      </c>
      <c r="H378" s="11">
        <v>5348.2524673595299</v>
      </c>
      <c r="I378" s="10">
        <v>4043485.5842598099</v>
      </c>
      <c r="J378" s="34">
        <f t="shared" si="20"/>
        <v>1.3226836984849958E-3</v>
      </c>
      <c r="K378" s="34">
        <f t="shared" si="21"/>
        <v>1.3218093379451235E-3</v>
      </c>
      <c r="L378" s="34">
        <f t="shared" si="22"/>
        <v>0.99157353944065674</v>
      </c>
      <c r="M378" s="34">
        <f t="shared" si="23"/>
        <v>0.99026286827696475</v>
      </c>
    </row>
    <row r="379" spans="1:13" ht="69">
      <c r="A379" t="s">
        <v>164</v>
      </c>
      <c r="B379" t="s">
        <v>115</v>
      </c>
      <c r="C379" s="14" t="s">
        <v>291</v>
      </c>
      <c r="D379" t="s">
        <v>366</v>
      </c>
      <c r="E379" t="s">
        <v>383</v>
      </c>
      <c r="F379" s="20">
        <v>2034</v>
      </c>
      <c r="G379" s="20">
        <v>47</v>
      </c>
      <c r="H379" s="11">
        <v>5883.2373521312302</v>
      </c>
      <c r="I379" s="10">
        <v>3989488.44150519</v>
      </c>
      <c r="J379" s="34">
        <f t="shared" si="20"/>
        <v>1.4746846465136141E-3</v>
      </c>
      <c r="K379" s="34">
        <f t="shared" si="21"/>
        <v>1.4735978334114996E-3</v>
      </c>
      <c r="L379" s="34">
        <f t="shared" si="22"/>
        <v>0.99026286827696475</v>
      </c>
      <c r="M379" s="34">
        <f t="shared" si="23"/>
        <v>0.98880361905976399</v>
      </c>
    </row>
    <row r="380" spans="1:13" ht="69">
      <c r="A380" t="s">
        <v>164</v>
      </c>
      <c r="B380" t="s">
        <v>115</v>
      </c>
      <c r="C380" s="14" t="s">
        <v>291</v>
      </c>
      <c r="D380" t="s">
        <v>366</v>
      </c>
      <c r="E380" t="s">
        <v>383</v>
      </c>
      <c r="F380" s="20">
        <v>2034</v>
      </c>
      <c r="G380" s="20">
        <v>48</v>
      </c>
      <c r="H380" s="11">
        <v>6592.7994262562697</v>
      </c>
      <c r="I380" s="10">
        <v>3995879.4679082399</v>
      </c>
      <c r="J380" s="34">
        <f t="shared" si="20"/>
        <v>1.6498994724952162E-3</v>
      </c>
      <c r="K380" s="34">
        <f t="shared" si="21"/>
        <v>1.648539136602567E-3</v>
      </c>
      <c r="L380" s="34">
        <f t="shared" si="22"/>
        <v>0.98880361905976399</v>
      </c>
      <c r="M380" s="34">
        <f t="shared" si="23"/>
        <v>0.98717353759532966</v>
      </c>
    </row>
    <row r="381" spans="1:13" ht="69">
      <c r="A381" t="s">
        <v>164</v>
      </c>
      <c r="B381" t="s">
        <v>115</v>
      </c>
      <c r="C381" s="14" t="s">
        <v>291</v>
      </c>
      <c r="D381" t="s">
        <v>366</v>
      </c>
      <c r="E381" t="s">
        <v>383</v>
      </c>
      <c r="F381" s="20">
        <v>2034</v>
      </c>
      <c r="G381" s="20">
        <v>49</v>
      </c>
      <c r="H381" s="11">
        <v>7279.4845474007298</v>
      </c>
      <c r="I381" s="10">
        <v>4057368.7469391301</v>
      </c>
      <c r="J381" s="34">
        <f t="shared" si="20"/>
        <v>1.7941392566037672E-3</v>
      </c>
      <c r="K381" s="34">
        <f t="shared" si="21"/>
        <v>1.7925307508726007E-3</v>
      </c>
      <c r="L381" s="34">
        <f t="shared" si="22"/>
        <v>0.98717353759532966</v>
      </c>
      <c r="M381" s="34">
        <f t="shared" si="23"/>
        <v>0.98540399867274231</v>
      </c>
    </row>
    <row r="382" spans="1:13" ht="69">
      <c r="A382" t="s">
        <v>164</v>
      </c>
      <c r="B382" t="s">
        <v>115</v>
      </c>
      <c r="C382" s="14" t="s">
        <v>291</v>
      </c>
      <c r="D382" t="s">
        <v>366</v>
      </c>
      <c r="E382" t="s">
        <v>383</v>
      </c>
      <c r="F382" s="20">
        <v>2034</v>
      </c>
      <c r="G382" s="20">
        <v>50</v>
      </c>
      <c r="H382" s="11">
        <v>8015.2656494242201</v>
      </c>
      <c r="I382" s="10">
        <v>4077033.8920014198</v>
      </c>
      <c r="J382" s="34">
        <f t="shared" si="20"/>
        <v>1.9659551187810997E-3</v>
      </c>
      <c r="K382" s="34">
        <f t="shared" si="21"/>
        <v>1.9640238947904454E-3</v>
      </c>
      <c r="L382" s="34">
        <f t="shared" si="22"/>
        <v>0.98540399867274231</v>
      </c>
      <c r="M382" s="34">
        <f t="shared" si="23"/>
        <v>0.98346864167332704</v>
      </c>
    </row>
    <row r="383" spans="1:13" ht="69">
      <c r="A383" t="s">
        <v>164</v>
      </c>
      <c r="B383" t="s">
        <v>115</v>
      </c>
      <c r="C383" s="14" t="s">
        <v>291</v>
      </c>
      <c r="D383" t="s">
        <v>366</v>
      </c>
      <c r="E383" t="s">
        <v>383</v>
      </c>
      <c r="F383" s="20">
        <v>2034</v>
      </c>
      <c r="G383" s="20">
        <v>51</v>
      </c>
      <c r="H383" s="11">
        <v>8955.7286546537107</v>
      </c>
      <c r="I383" s="10">
        <v>4038723.2290263399</v>
      </c>
      <c r="J383" s="34">
        <f t="shared" si="20"/>
        <v>2.2174653094049149E-3</v>
      </c>
      <c r="K383" s="34">
        <f t="shared" si="21"/>
        <v>2.2150085494678784E-3</v>
      </c>
      <c r="L383" s="34">
        <f t="shared" si="22"/>
        <v>0.98346864167332704</v>
      </c>
      <c r="M383" s="34">
        <f t="shared" si="23"/>
        <v>0.98129025022388705</v>
      </c>
    </row>
    <row r="384" spans="1:13" ht="69">
      <c r="A384" t="s">
        <v>164</v>
      </c>
      <c r="B384" t="s">
        <v>115</v>
      </c>
      <c r="C384" s="14" t="s">
        <v>291</v>
      </c>
      <c r="D384" t="s">
        <v>366</v>
      </c>
      <c r="E384" t="s">
        <v>383</v>
      </c>
      <c r="F384" s="20">
        <v>2034</v>
      </c>
      <c r="G384" s="20">
        <v>52</v>
      </c>
      <c r="H384" s="11">
        <v>9486.2428250355497</v>
      </c>
      <c r="I384" s="10">
        <v>3976055.4617930902</v>
      </c>
      <c r="J384" s="34">
        <f t="shared" si="20"/>
        <v>2.3858426815700196E-3</v>
      </c>
      <c r="K384" s="34">
        <f t="shared" si="21"/>
        <v>2.3829988210369857E-3</v>
      </c>
      <c r="L384" s="34">
        <f t="shared" si="22"/>
        <v>0.98129025022388705</v>
      </c>
      <c r="M384" s="34">
        <f t="shared" si="23"/>
        <v>0.97895183671450847</v>
      </c>
    </row>
    <row r="385" spans="1:13" ht="69">
      <c r="A385" t="s">
        <v>164</v>
      </c>
      <c r="B385" t="s">
        <v>115</v>
      </c>
      <c r="C385" s="14" t="s">
        <v>291</v>
      </c>
      <c r="D385" t="s">
        <v>366</v>
      </c>
      <c r="E385" t="s">
        <v>383</v>
      </c>
      <c r="F385" s="20">
        <v>2034</v>
      </c>
      <c r="G385" s="20">
        <v>53</v>
      </c>
      <c r="H385" s="11">
        <v>9977.5759411093695</v>
      </c>
      <c r="I385" s="10">
        <v>3906210.8551787999</v>
      </c>
      <c r="J385" s="34">
        <f t="shared" si="20"/>
        <v>2.554285037603958E-3</v>
      </c>
      <c r="K385" s="34">
        <f t="shared" si="21"/>
        <v>2.5510256273222343E-3</v>
      </c>
      <c r="L385" s="34">
        <f t="shared" si="22"/>
        <v>0.97895183671450847</v>
      </c>
      <c r="M385" s="34">
        <f t="shared" si="23"/>
        <v>0.97645450549113555</v>
      </c>
    </row>
    <row r="386" spans="1:13" ht="69">
      <c r="A386" t="s">
        <v>164</v>
      </c>
      <c r="B386" t="s">
        <v>115</v>
      </c>
      <c r="C386" s="14" t="s">
        <v>291</v>
      </c>
      <c r="D386" t="s">
        <v>366</v>
      </c>
      <c r="E386" t="s">
        <v>383</v>
      </c>
      <c r="F386" s="20">
        <v>2034</v>
      </c>
      <c r="G386" s="20">
        <v>54</v>
      </c>
      <c r="H386" s="11">
        <v>10588.0483973342</v>
      </c>
      <c r="I386" s="10">
        <v>3841220.1979566398</v>
      </c>
      <c r="J386" s="34">
        <f t="shared" ref="J386:J449" si="24">IF(I386&gt;0,H386/I386,0)</f>
        <v>2.7564283877728685E-3</v>
      </c>
      <c r="K386" s="34">
        <f t="shared" ref="K386:K449" si="25">1-EXP(-J386)</f>
        <v>2.7526329271504446E-3</v>
      </c>
      <c r="L386" s="34">
        <f t="shared" ref="L386:L449" si="26">IF(G386=30,1,M385)</f>
        <v>0.97645450549113555</v>
      </c>
      <c r="M386" s="34">
        <f t="shared" ref="M386:M449" si="27">L386*(1-K386)</f>
        <v>0.97376668466745619</v>
      </c>
    </row>
    <row r="387" spans="1:13" ht="69">
      <c r="A387" t="s">
        <v>164</v>
      </c>
      <c r="B387" t="s">
        <v>115</v>
      </c>
      <c r="C387" s="14" t="s">
        <v>291</v>
      </c>
      <c r="D387" t="s">
        <v>366</v>
      </c>
      <c r="E387" t="s">
        <v>383</v>
      </c>
      <c r="F387" s="20">
        <v>2034</v>
      </c>
      <c r="G387" s="20">
        <v>55</v>
      </c>
      <c r="H387" s="11">
        <v>11260.7357537727</v>
      </c>
      <c r="I387" s="10">
        <v>3762451.1943278098</v>
      </c>
      <c r="J387" s="34">
        <f t="shared" si="24"/>
        <v>2.9929254021285757E-3</v>
      </c>
      <c r="K387" s="34">
        <f t="shared" si="25"/>
        <v>2.9884510657952612E-3</v>
      </c>
      <c r="L387" s="34">
        <f t="shared" si="26"/>
        <v>0.97376668466745619</v>
      </c>
      <c r="M387" s="34">
        <f t="shared" si="27"/>
        <v>0.97085663058082583</v>
      </c>
    </row>
    <row r="388" spans="1:13" ht="69">
      <c r="A388" t="s">
        <v>164</v>
      </c>
      <c r="B388" t="s">
        <v>115</v>
      </c>
      <c r="C388" s="14" t="s">
        <v>291</v>
      </c>
      <c r="D388" t="s">
        <v>366</v>
      </c>
      <c r="E388" t="s">
        <v>383</v>
      </c>
      <c r="F388" s="20">
        <v>2034</v>
      </c>
      <c r="G388" s="20">
        <v>56</v>
      </c>
      <c r="H388" s="11">
        <v>11956.022922702899</v>
      </c>
      <c r="I388" s="10">
        <v>3659554.7474066601</v>
      </c>
      <c r="J388" s="34">
        <f t="shared" si="24"/>
        <v>3.2670703809460763E-3</v>
      </c>
      <c r="K388" s="34">
        <f t="shared" si="25"/>
        <v>3.2617393137466255E-3</v>
      </c>
      <c r="L388" s="34">
        <f t="shared" si="26"/>
        <v>0.97085663058082583</v>
      </c>
      <c r="M388" s="34">
        <f t="shared" si="27"/>
        <v>0.96768994934084873</v>
      </c>
    </row>
    <row r="389" spans="1:13" ht="69">
      <c r="A389" t="s">
        <v>164</v>
      </c>
      <c r="B389" t="s">
        <v>115</v>
      </c>
      <c r="C389" s="14" t="s">
        <v>291</v>
      </c>
      <c r="D389" t="s">
        <v>366</v>
      </c>
      <c r="E389" t="s">
        <v>383</v>
      </c>
      <c r="F389" s="20">
        <v>2034</v>
      </c>
      <c r="G389" s="20">
        <v>57</v>
      </c>
      <c r="H389" s="11">
        <v>12677.891022174999</v>
      </c>
      <c r="I389" s="10">
        <v>3560295.6715129898</v>
      </c>
      <c r="J389" s="34">
        <f t="shared" si="24"/>
        <v>3.560909596249173E-3</v>
      </c>
      <c r="K389" s="34">
        <f t="shared" si="25"/>
        <v>3.5545770764130458E-3</v>
      </c>
      <c r="L389" s="34">
        <f t="shared" si="26"/>
        <v>0.96768994934084873</v>
      </c>
      <c r="M389" s="34">
        <f t="shared" si="27"/>
        <v>0.96425022082984646</v>
      </c>
    </row>
    <row r="390" spans="1:13" ht="69">
      <c r="A390" t="s">
        <v>164</v>
      </c>
      <c r="B390" t="s">
        <v>115</v>
      </c>
      <c r="C390" s="14" t="s">
        <v>291</v>
      </c>
      <c r="D390" t="s">
        <v>366</v>
      </c>
      <c r="E390" t="s">
        <v>383</v>
      </c>
      <c r="F390" s="20">
        <v>2034</v>
      </c>
      <c r="G390" s="20">
        <v>58</v>
      </c>
      <c r="H390" s="11">
        <v>13572.4251652889</v>
      </c>
      <c r="I390" s="10">
        <v>3474649.3785464498</v>
      </c>
      <c r="J390" s="34">
        <f t="shared" si="24"/>
        <v>3.9061279820315721E-3</v>
      </c>
      <c r="K390" s="34">
        <f t="shared" si="25"/>
        <v>3.8985089876096835E-3</v>
      </c>
      <c r="L390" s="34">
        <f t="shared" si="26"/>
        <v>0.96425022082984646</v>
      </c>
      <c r="M390" s="34">
        <f t="shared" si="27"/>
        <v>0.96049108267763672</v>
      </c>
    </row>
    <row r="391" spans="1:13" ht="69">
      <c r="A391" t="s">
        <v>164</v>
      </c>
      <c r="B391" t="s">
        <v>115</v>
      </c>
      <c r="C391" s="14" t="s">
        <v>291</v>
      </c>
      <c r="D391" t="s">
        <v>366</v>
      </c>
      <c r="E391" t="s">
        <v>383</v>
      </c>
      <c r="F391" s="20">
        <v>2034</v>
      </c>
      <c r="G391" s="20">
        <v>59</v>
      </c>
      <c r="H391" s="11">
        <v>13814.189247833399</v>
      </c>
      <c r="I391" s="10">
        <v>3376195.9993677898</v>
      </c>
      <c r="J391" s="34">
        <f t="shared" si="24"/>
        <v>4.0916431541356537E-3</v>
      </c>
      <c r="K391" s="34">
        <f t="shared" si="25"/>
        <v>4.0832837873536754E-3</v>
      </c>
      <c r="L391" s="34">
        <f t="shared" si="26"/>
        <v>0.96049108267763672</v>
      </c>
      <c r="M391" s="34">
        <f t="shared" si="27"/>
        <v>0.95656912501184133</v>
      </c>
    </row>
    <row r="392" spans="1:13" ht="69">
      <c r="A392" t="s">
        <v>164</v>
      </c>
      <c r="B392" t="s">
        <v>115</v>
      </c>
      <c r="C392" s="14" t="s">
        <v>291</v>
      </c>
      <c r="D392" t="s">
        <v>366</v>
      </c>
      <c r="E392" t="s">
        <v>383</v>
      </c>
      <c r="F392" s="20">
        <v>2034</v>
      </c>
      <c r="G392" s="20">
        <v>60</v>
      </c>
      <c r="H392" s="11">
        <v>14368.6456718273</v>
      </c>
      <c r="I392" s="10">
        <v>3292025.7334052399</v>
      </c>
      <c r="J392" s="34">
        <f t="shared" si="24"/>
        <v>4.3646820636983634E-3</v>
      </c>
      <c r="K392" s="34">
        <f t="shared" si="25"/>
        <v>4.3551706820238456E-3</v>
      </c>
      <c r="L392" s="34">
        <f t="shared" si="26"/>
        <v>0.95656912501184133</v>
      </c>
      <c r="M392" s="34">
        <f t="shared" si="27"/>
        <v>0.9524031032032606</v>
      </c>
    </row>
    <row r="393" spans="1:13" ht="69">
      <c r="A393" t="s">
        <v>164</v>
      </c>
      <c r="B393" t="s">
        <v>115</v>
      </c>
      <c r="C393" s="14" t="s">
        <v>291</v>
      </c>
      <c r="D393" t="s">
        <v>366</v>
      </c>
      <c r="E393" t="s">
        <v>383</v>
      </c>
      <c r="F393" s="20">
        <v>2034</v>
      </c>
      <c r="G393" s="20">
        <v>61</v>
      </c>
      <c r="H393" s="11">
        <v>15278.0582152802</v>
      </c>
      <c r="I393" s="10">
        <v>3207410.2051256499</v>
      </c>
      <c r="J393" s="34">
        <f t="shared" si="24"/>
        <v>4.7633627251247347E-3</v>
      </c>
      <c r="K393" s="34">
        <f t="shared" si="25"/>
        <v>4.7520359046206995E-3</v>
      </c>
      <c r="L393" s="34">
        <f t="shared" si="26"/>
        <v>0.9524031032032606</v>
      </c>
      <c r="M393" s="34">
        <f t="shared" si="27"/>
        <v>0.94787724946116658</v>
      </c>
    </row>
    <row r="394" spans="1:13" ht="69">
      <c r="A394" t="s">
        <v>164</v>
      </c>
      <c r="B394" t="s">
        <v>115</v>
      </c>
      <c r="C394" s="14" t="s">
        <v>291</v>
      </c>
      <c r="D394" t="s">
        <v>366</v>
      </c>
      <c r="E394" t="s">
        <v>383</v>
      </c>
      <c r="F394" s="20">
        <v>2034</v>
      </c>
      <c r="G394" s="20">
        <v>62</v>
      </c>
      <c r="H394" s="11">
        <v>15971.372941616301</v>
      </c>
      <c r="I394" s="10">
        <v>3102426.01151485</v>
      </c>
      <c r="J394" s="34">
        <f t="shared" si="24"/>
        <v>5.1480270221876496E-3</v>
      </c>
      <c r="K394" s="34">
        <f t="shared" si="25"/>
        <v>5.1347986408336599E-3</v>
      </c>
      <c r="L394" s="34">
        <f t="shared" si="26"/>
        <v>0.94787724946116658</v>
      </c>
      <c r="M394" s="34">
        <f t="shared" si="27"/>
        <v>0.94301009064895625</v>
      </c>
    </row>
    <row r="395" spans="1:13" ht="69">
      <c r="A395" t="s">
        <v>164</v>
      </c>
      <c r="B395" t="s">
        <v>115</v>
      </c>
      <c r="C395" s="14" t="s">
        <v>291</v>
      </c>
      <c r="D395" t="s">
        <v>366</v>
      </c>
      <c r="E395" t="s">
        <v>383</v>
      </c>
      <c r="F395" s="20">
        <v>2034</v>
      </c>
      <c r="G395" s="20">
        <v>63</v>
      </c>
      <c r="H395" s="11">
        <v>16710.123872137101</v>
      </c>
      <c r="I395" s="10">
        <v>3007205.7835540101</v>
      </c>
      <c r="J395" s="34">
        <f t="shared" si="24"/>
        <v>5.5566945114040554E-3</v>
      </c>
      <c r="K395" s="34">
        <f t="shared" si="25"/>
        <v>5.5412846403182225E-3</v>
      </c>
      <c r="L395" s="34">
        <f t="shared" si="26"/>
        <v>0.94301009064895625</v>
      </c>
      <c r="M395" s="34">
        <f t="shared" si="27"/>
        <v>0.93778460331797808</v>
      </c>
    </row>
    <row r="396" spans="1:13" ht="69">
      <c r="A396" t="s">
        <v>164</v>
      </c>
      <c r="B396" t="s">
        <v>115</v>
      </c>
      <c r="C396" s="14" t="s">
        <v>291</v>
      </c>
      <c r="D396" t="s">
        <v>366</v>
      </c>
      <c r="E396" t="s">
        <v>383</v>
      </c>
      <c r="F396" s="20">
        <v>2034</v>
      </c>
      <c r="G396" s="20">
        <v>64</v>
      </c>
      <c r="H396" s="11">
        <v>17751.948896161401</v>
      </c>
      <c r="I396" s="10">
        <v>2909480.7622988899</v>
      </c>
      <c r="J396" s="34">
        <f t="shared" si="24"/>
        <v>6.1014147700137805E-3</v>
      </c>
      <c r="K396" s="34">
        <f t="shared" si="25"/>
        <v>6.0828389377363123E-3</v>
      </c>
      <c r="L396" s="34">
        <f t="shared" si="26"/>
        <v>0.93778460331797808</v>
      </c>
      <c r="M396" s="34">
        <f t="shared" si="27"/>
        <v>0.93208021061770585</v>
      </c>
    </row>
    <row r="397" spans="1:13" ht="69">
      <c r="A397" t="s">
        <v>164</v>
      </c>
      <c r="B397" t="s">
        <v>115</v>
      </c>
      <c r="C397" s="14" t="s">
        <v>291</v>
      </c>
      <c r="D397" t="s">
        <v>366</v>
      </c>
      <c r="E397" t="s">
        <v>383</v>
      </c>
      <c r="F397" s="20">
        <v>2034</v>
      </c>
      <c r="G397" s="20">
        <v>65</v>
      </c>
      <c r="H397" s="11">
        <v>18691.839458646398</v>
      </c>
      <c r="I397" s="10">
        <v>2796098.76633095</v>
      </c>
      <c r="J397" s="34">
        <f t="shared" si="24"/>
        <v>6.6849711046415902E-3</v>
      </c>
      <c r="K397" s="34">
        <f t="shared" si="25"/>
        <v>6.6626763928048227E-3</v>
      </c>
      <c r="L397" s="34">
        <f t="shared" si="26"/>
        <v>0.93208021061770585</v>
      </c>
      <c r="M397" s="34">
        <f t="shared" si="27"/>
        <v>0.92587006180222275</v>
      </c>
    </row>
    <row r="398" spans="1:13" ht="69">
      <c r="A398" t="s">
        <v>164</v>
      </c>
      <c r="B398" t="s">
        <v>115</v>
      </c>
      <c r="C398" s="14" t="s">
        <v>291</v>
      </c>
      <c r="D398" t="s">
        <v>366</v>
      </c>
      <c r="E398" t="s">
        <v>383</v>
      </c>
      <c r="F398" s="20">
        <v>2034</v>
      </c>
      <c r="G398" s="20">
        <v>66</v>
      </c>
      <c r="H398" s="11">
        <v>19343.805651946601</v>
      </c>
      <c r="I398" s="10">
        <v>2674419.8253519698</v>
      </c>
      <c r="J398" s="34">
        <f t="shared" si="24"/>
        <v>7.2328979424166658E-3</v>
      </c>
      <c r="K398" s="34">
        <f t="shared" si="25"/>
        <v>7.2068034868405517E-3</v>
      </c>
      <c r="L398" s="34">
        <f t="shared" si="26"/>
        <v>0.92587006180222275</v>
      </c>
      <c r="M398" s="34">
        <f t="shared" si="27"/>
        <v>0.91919749821246521</v>
      </c>
    </row>
    <row r="399" spans="1:13" ht="69">
      <c r="A399" t="s">
        <v>164</v>
      </c>
      <c r="B399" t="s">
        <v>115</v>
      </c>
      <c r="C399" s="14" t="s">
        <v>291</v>
      </c>
      <c r="D399" t="s">
        <v>366</v>
      </c>
      <c r="E399" t="s">
        <v>383</v>
      </c>
      <c r="F399" s="20">
        <v>2034</v>
      </c>
      <c r="G399" s="20">
        <v>67</v>
      </c>
      <c r="H399" s="11">
        <v>20404.365924816801</v>
      </c>
      <c r="I399" s="10">
        <v>2553728.1143821101</v>
      </c>
      <c r="J399" s="34">
        <f t="shared" si="24"/>
        <v>7.990030657493763E-3</v>
      </c>
      <c r="K399" s="34">
        <f t="shared" si="25"/>
        <v>7.9581952077051321E-3</v>
      </c>
      <c r="L399" s="34">
        <f t="shared" si="26"/>
        <v>0.91919749821246521</v>
      </c>
      <c r="M399" s="34">
        <f t="shared" si="27"/>
        <v>0.91188234508725619</v>
      </c>
    </row>
    <row r="400" spans="1:13" ht="69">
      <c r="A400" t="s">
        <v>164</v>
      </c>
      <c r="B400" t="s">
        <v>115</v>
      </c>
      <c r="C400" s="14" t="s">
        <v>291</v>
      </c>
      <c r="D400" t="s">
        <v>366</v>
      </c>
      <c r="E400" t="s">
        <v>383</v>
      </c>
      <c r="F400" s="20">
        <v>2034</v>
      </c>
      <c r="G400" s="20">
        <v>68</v>
      </c>
      <c r="H400" s="11">
        <v>21248.628810853599</v>
      </c>
      <c r="I400" s="10">
        <v>2421014.7770863199</v>
      </c>
      <c r="J400" s="34">
        <f t="shared" si="24"/>
        <v>8.776744781552397E-3</v>
      </c>
      <c r="K400" s="34">
        <f t="shared" si="25"/>
        <v>8.7383415908652839E-3</v>
      </c>
      <c r="L400" s="34">
        <f t="shared" si="26"/>
        <v>0.91188234508725619</v>
      </c>
      <c r="M400" s="34">
        <f t="shared" si="27"/>
        <v>0.90391400566520441</v>
      </c>
    </row>
    <row r="401" spans="1:13" ht="69">
      <c r="A401" t="s">
        <v>164</v>
      </c>
      <c r="B401" t="s">
        <v>115</v>
      </c>
      <c r="C401" s="14" t="s">
        <v>291</v>
      </c>
      <c r="D401" t="s">
        <v>366</v>
      </c>
      <c r="E401" t="s">
        <v>383</v>
      </c>
      <c r="F401" s="20">
        <v>2034</v>
      </c>
      <c r="G401" s="20">
        <v>69</v>
      </c>
      <c r="H401" s="11">
        <v>21201.588043876302</v>
      </c>
      <c r="I401" s="10">
        <v>2277681.26681861</v>
      </c>
      <c r="J401" s="34">
        <f t="shared" si="24"/>
        <v>9.3084086666305067E-3</v>
      </c>
      <c r="K401" s="34">
        <f t="shared" si="25"/>
        <v>9.2652195419039574E-3</v>
      </c>
      <c r="L401" s="34">
        <f t="shared" si="26"/>
        <v>0.90391400566520441</v>
      </c>
      <c r="M401" s="34">
        <f t="shared" si="27"/>
        <v>0.89553904395571449</v>
      </c>
    </row>
    <row r="402" spans="1:13" ht="69">
      <c r="A402" t="s">
        <v>164</v>
      </c>
      <c r="B402" t="s">
        <v>115</v>
      </c>
      <c r="C402" s="14" t="s">
        <v>291</v>
      </c>
      <c r="D402" t="s">
        <v>366</v>
      </c>
      <c r="E402" t="s">
        <v>383</v>
      </c>
      <c r="F402" s="20">
        <v>2035</v>
      </c>
      <c r="G402" s="20">
        <v>30</v>
      </c>
      <c r="H402" s="11">
        <v>694.47720543498201</v>
      </c>
      <c r="I402" s="10">
        <v>4483795.3710742798</v>
      </c>
      <c r="J402" s="34">
        <f t="shared" si="24"/>
        <v>1.5488601685865764E-4</v>
      </c>
      <c r="K402" s="34">
        <f t="shared" si="25"/>
        <v>1.5487402263880679E-4</v>
      </c>
      <c r="L402" s="34">
        <f t="shared" si="26"/>
        <v>1</v>
      </c>
      <c r="M402" s="34">
        <f t="shared" si="27"/>
        <v>0.99984512597736119</v>
      </c>
    </row>
    <row r="403" spans="1:13" ht="69">
      <c r="A403" t="s">
        <v>164</v>
      </c>
      <c r="B403" t="s">
        <v>115</v>
      </c>
      <c r="C403" s="14" t="s">
        <v>291</v>
      </c>
      <c r="D403" t="s">
        <v>366</v>
      </c>
      <c r="E403" t="s">
        <v>383</v>
      </c>
      <c r="F403" s="20">
        <v>2035</v>
      </c>
      <c r="G403" s="20">
        <v>31</v>
      </c>
      <c r="H403" s="11">
        <v>992.11453656078697</v>
      </c>
      <c r="I403" s="10">
        <v>4386952.09262041</v>
      </c>
      <c r="J403" s="34">
        <f t="shared" si="24"/>
        <v>2.2615121287275741E-4</v>
      </c>
      <c r="K403" s="34">
        <f t="shared" si="25"/>
        <v>2.2612564261481616E-4</v>
      </c>
      <c r="L403" s="34">
        <f t="shared" si="26"/>
        <v>0.99984512597736119</v>
      </c>
      <c r="M403" s="34">
        <f t="shared" si="27"/>
        <v>0.99961903535573426</v>
      </c>
    </row>
    <row r="404" spans="1:13" ht="69">
      <c r="A404" t="s">
        <v>164</v>
      </c>
      <c r="B404" t="s">
        <v>115</v>
      </c>
      <c r="C404" s="14" t="s">
        <v>291</v>
      </c>
      <c r="D404" t="s">
        <v>366</v>
      </c>
      <c r="E404" t="s">
        <v>383</v>
      </c>
      <c r="F404" s="20">
        <v>2035</v>
      </c>
      <c r="G404" s="20">
        <v>32</v>
      </c>
      <c r="H404" s="11">
        <v>1057.0812927562899</v>
      </c>
      <c r="I404" s="10">
        <v>4344862.2164558396</v>
      </c>
      <c r="J404" s="34">
        <f t="shared" si="24"/>
        <v>2.4329454884729689E-4</v>
      </c>
      <c r="K404" s="34">
        <f t="shared" si="25"/>
        <v>2.4326495512860813E-4</v>
      </c>
      <c r="L404" s="34">
        <f t="shared" si="26"/>
        <v>0.99961903535573426</v>
      </c>
      <c r="M404" s="34">
        <f t="shared" si="27"/>
        <v>0.99937586307595272</v>
      </c>
    </row>
    <row r="405" spans="1:13" ht="69">
      <c r="A405" t="s">
        <v>164</v>
      </c>
      <c r="B405" t="s">
        <v>115</v>
      </c>
      <c r="C405" s="14" t="s">
        <v>291</v>
      </c>
      <c r="D405" t="s">
        <v>366</v>
      </c>
      <c r="E405" t="s">
        <v>383</v>
      </c>
      <c r="F405" s="20">
        <v>2035</v>
      </c>
      <c r="G405" s="20">
        <v>33</v>
      </c>
      <c r="H405" s="11">
        <v>1141.6360680560599</v>
      </c>
      <c r="I405" s="10">
        <v>4325674.7478659898</v>
      </c>
      <c r="J405" s="34">
        <f t="shared" si="24"/>
        <v>2.6392092207562989E-4</v>
      </c>
      <c r="K405" s="34">
        <f t="shared" si="25"/>
        <v>2.6388609801275553E-4</v>
      </c>
      <c r="L405" s="34">
        <f t="shared" si="26"/>
        <v>0.99937586307595272</v>
      </c>
      <c r="M405" s="34">
        <f t="shared" si="27"/>
        <v>0.99911214167899742</v>
      </c>
    </row>
    <row r="406" spans="1:13" ht="69">
      <c r="A406" t="s">
        <v>164</v>
      </c>
      <c r="B406" t="s">
        <v>115</v>
      </c>
      <c r="C406" s="14" t="s">
        <v>291</v>
      </c>
      <c r="D406" t="s">
        <v>366</v>
      </c>
      <c r="E406" t="s">
        <v>383</v>
      </c>
      <c r="F406" s="20">
        <v>2035</v>
      </c>
      <c r="G406" s="20">
        <v>34</v>
      </c>
      <c r="H406" s="11">
        <v>1231.3982036028201</v>
      </c>
      <c r="I406" s="10">
        <v>4306563.6119107297</v>
      </c>
      <c r="J406" s="34">
        <f t="shared" si="24"/>
        <v>2.8593521762853403E-4</v>
      </c>
      <c r="K406" s="34">
        <f t="shared" si="25"/>
        <v>2.8589434205017472E-4</v>
      </c>
      <c r="L406" s="34">
        <f t="shared" si="26"/>
        <v>0.99911214167899742</v>
      </c>
      <c r="M406" s="34">
        <f t="shared" si="27"/>
        <v>0.99882650117061778</v>
      </c>
    </row>
    <row r="407" spans="1:13" ht="69">
      <c r="A407" t="s">
        <v>164</v>
      </c>
      <c r="B407" t="s">
        <v>115</v>
      </c>
      <c r="C407" s="14" t="s">
        <v>291</v>
      </c>
      <c r="D407" t="s">
        <v>366</v>
      </c>
      <c r="E407" t="s">
        <v>383</v>
      </c>
      <c r="F407" s="20">
        <v>2035</v>
      </c>
      <c r="G407" s="20">
        <v>35</v>
      </c>
      <c r="H407" s="11">
        <v>1346.9305980545</v>
      </c>
      <c r="I407" s="10">
        <v>4307081.1081423601</v>
      </c>
      <c r="J407" s="34">
        <f t="shared" si="24"/>
        <v>3.1272468853864468E-4</v>
      </c>
      <c r="K407" s="34">
        <f t="shared" si="25"/>
        <v>3.1267579527005651E-4</v>
      </c>
      <c r="L407" s="34">
        <f t="shared" si="26"/>
        <v>0.99882650117061778</v>
      </c>
      <c r="M407" s="34">
        <f t="shared" si="27"/>
        <v>0.99851419230002747</v>
      </c>
    </row>
    <row r="408" spans="1:13" ht="69">
      <c r="A408" t="s">
        <v>164</v>
      </c>
      <c r="B408" t="s">
        <v>115</v>
      </c>
      <c r="C408" s="14" t="s">
        <v>291</v>
      </c>
      <c r="D408" t="s">
        <v>366</v>
      </c>
      <c r="E408" t="s">
        <v>383</v>
      </c>
      <c r="F408" s="20">
        <v>2035</v>
      </c>
      <c r="G408" s="20">
        <v>36</v>
      </c>
      <c r="H408" s="11">
        <v>1791.94503805811</v>
      </c>
      <c r="I408" s="10">
        <v>4346204.3500947002</v>
      </c>
      <c r="J408" s="34">
        <f t="shared" si="24"/>
        <v>4.123011468660154E-4</v>
      </c>
      <c r="K408" s="34">
        <f t="shared" si="25"/>
        <v>4.1221616242825831E-4</v>
      </c>
      <c r="L408" s="34">
        <f t="shared" si="26"/>
        <v>0.99851419230002747</v>
      </c>
      <c r="M408" s="34">
        <f t="shared" si="27"/>
        <v>0.99810258861154744</v>
      </c>
    </row>
    <row r="409" spans="1:13" ht="69">
      <c r="A409" t="s">
        <v>164</v>
      </c>
      <c r="B409" t="s">
        <v>115</v>
      </c>
      <c r="C409" s="14" t="s">
        <v>291</v>
      </c>
      <c r="D409" t="s">
        <v>366</v>
      </c>
      <c r="E409" t="s">
        <v>383</v>
      </c>
      <c r="F409" s="20">
        <v>2035</v>
      </c>
      <c r="G409" s="20">
        <v>37</v>
      </c>
      <c r="H409" s="11">
        <v>1973.0407390820101</v>
      </c>
      <c r="I409" s="10">
        <v>4387888.9890897404</v>
      </c>
      <c r="J409" s="34">
        <f t="shared" si="24"/>
        <v>4.4965602912650572E-4</v>
      </c>
      <c r="K409" s="34">
        <f t="shared" si="25"/>
        <v>4.4955494900522641E-4</v>
      </c>
      <c r="L409" s="34">
        <f t="shared" si="26"/>
        <v>0.99810258861154744</v>
      </c>
      <c r="M409" s="34">
        <f t="shared" si="27"/>
        <v>0.99765388665322219</v>
      </c>
    </row>
    <row r="410" spans="1:13" ht="69">
      <c r="A410" t="s">
        <v>164</v>
      </c>
      <c r="B410" t="s">
        <v>115</v>
      </c>
      <c r="C410" s="14" t="s">
        <v>291</v>
      </c>
      <c r="D410" t="s">
        <v>366</v>
      </c>
      <c r="E410" t="s">
        <v>383</v>
      </c>
      <c r="F410" s="20">
        <v>2035</v>
      </c>
      <c r="G410" s="20">
        <v>38</v>
      </c>
      <c r="H410" s="11">
        <v>2158.4479028215901</v>
      </c>
      <c r="I410" s="10">
        <v>4383297.5845152698</v>
      </c>
      <c r="J410" s="34">
        <f t="shared" si="24"/>
        <v>4.9242559082610939E-4</v>
      </c>
      <c r="K410" s="34">
        <f t="shared" si="25"/>
        <v>4.9230436924319054E-4</v>
      </c>
      <c r="L410" s="34">
        <f t="shared" si="26"/>
        <v>0.99765388665322219</v>
      </c>
      <c r="M410" s="34">
        <f t="shared" si="27"/>
        <v>0.99716273728583038</v>
      </c>
    </row>
    <row r="411" spans="1:13" ht="69">
      <c r="A411" t="s">
        <v>164</v>
      </c>
      <c r="B411" t="s">
        <v>115</v>
      </c>
      <c r="C411" s="14" t="s">
        <v>291</v>
      </c>
      <c r="D411" t="s">
        <v>366</v>
      </c>
      <c r="E411" t="s">
        <v>383</v>
      </c>
      <c r="F411" s="20">
        <v>2035</v>
      </c>
      <c r="G411" s="20">
        <v>39</v>
      </c>
      <c r="H411" s="11">
        <v>2240.0993366287898</v>
      </c>
      <c r="I411" s="10">
        <v>4319767.8163889199</v>
      </c>
      <c r="J411" s="34">
        <f t="shared" si="24"/>
        <v>5.1856938424560634E-4</v>
      </c>
      <c r="K411" s="34">
        <f t="shared" si="25"/>
        <v>5.1843495038128573E-4</v>
      </c>
      <c r="L411" s="34">
        <f t="shared" si="26"/>
        <v>0.99716273728583038</v>
      </c>
      <c r="M411" s="34">
        <f t="shared" si="27"/>
        <v>0.99664577327160353</v>
      </c>
    </row>
    <row r="412" spans="1:13" ht="69">
      <c r="A412" t="s">
        <v>164</v>
      </c>
      <c r="B412" t="s">
        <v>115</v>
      </c>
      <c r="C412" s="14" t="s">
        <v>291</v>
      </c>
      <c r="D412" t="s">
        <v>366</v>
      </c>
      <c r="E412" t="s">
        <v>383</v>
      </c>
      <c r="F412" s="20">
        <v>2035</v>
      </c>
      <c r="G412" s="20">
        <v>40</v>
      </c>
      <c r="H412" s="11">
        <v>2376.7771161545402</v>
      </c>
      <c r="I412" s="10">
        <v>4254117.4781009797</v>
      </c>
      <c r="J412" s="34">
        <f t="shared" si="24"/>
        <v>5.5870039517938366E-4</v>
      </c>
      <c r="K412" s="34">
        <f t="shared" si="25"/>
        <v>5.5854435117552725E-4</v>
      </c>
      <c r="L412" s="34">
        <f t="shared" si="26"/>
        <v>0.99664577327160353</v>
      </c>
      <c r="M412" s="34">
        <f t="shared" si="27"/>
        <v>0.99608910240481974</v>
      </c>
    </row>
    <row r="413" spans="1:13" ht="69">
      <c r="A413" t="s">
        <v>164</v>
      </c>
      <c r="B413" t="s">
        <v>115</v>
      </c>
      <c r="C413" s="14" t="s">
        <v>291</v>
      </c>
      <c r="D413" t="s">
        <v>366</v>
      </c>
      <c r="E413" t="s">
        <v>383</v>
      </c>
      <c r="F413" s="20">
        <v>2035</v>
      </c>
      <c r="G413" s="20">
        <v>41</v>
      </c>
      <c r="H413" s="11">
        <v>3042.8509359783802</v>
      </c>
      <c r="I413" s="10">
        <v>4197698.4204805996</v>
      </c>
      <c r="J413" s="34">
        <f t="shared" si="24"/>
        <v>7.2488555183771407E-4</v>
      </c>
      <c r="K413" s="34">
        <f t="shared" si="25"/>
        <v>7.246228857775705E-4</v>
      </c>
      <c r="L413" s="34">
        <f t="shared" si="26"/>
        <v>0.99608910240481974</v>
      </c>
      <c r="M413" s="34">
        <f t="shared" si="27"/>
        <v>0.99536731344494356</v>
      </c>
    </row>
    <row r="414" spans="1:13" ht="69">
      <c r="A414" t="s">
        <v>164</v>
      </c>
      <c r="B414" t="s">
        <v>115</v>
      </c>
      <c r="C414" s="14" t="s">
        <v>291</v>
      </c>
      <c r="D414" t="s">
        <v>366</v>
      </c>
      <c r="E414" t="s">
        <v>383</v>
      </c>
      <c r="F414" s="20">
        <v>2035</v>
      </c>
      <c r="G414" s="20">
        <v>42</v>
      </c>
      <c r="H414" s="11">
        <v>3312.9750046395402</v>
      </c>
      <c r="I414" s="10">
        <v>4143726.3841458801</v>
      </c>
      <c r="J414" s="34">
        <f t="shared" si="24"/>
        <v>7.9951586989796442E-4</v>
      </c>
      <c r="K414" s="34">
        <f t="shared" si="25"/>
        <v>7.9919634224634439E-4</v>
      </c>
      <c r="L414" s="34">
        <f t="shared" si="26"/>
        <v>0.99536731344494356</v>
      </c>
      <c r="M414" s="34">
        <f t="shared" si="27"/>
        <v>0.99457181952884677</v>
      </c>
    </row>
    <row r="415" spans="1:13" ht="69">
      <c r="A415" t="s">
        <v>164</v>
      </c>
      <c r="B415" t="s">
        <v>115</v>
      </c>
      <c r="C415" s="14" t="s">
        <v>291</v>
      </c>
      <c r="D415" t="s">
        <v>366</v>
      </c>
      <c r="E415" t="s">
        <v>383</v>
      </c>
      <c r="F415" s="20">
        <v>2035</v>
      </c>
      <c r="G415" s="20">
        <v>43</v>
      </c>
      <c r="H415" s="11">
        <v>3660.7517205961699</v>
      </c>
      <c r="I415" s="10">
        <v>4124104.5368978102</v>
      </c>
      <c r="J415" s="34">
        <f t="shared" si="24"/>
        <v>8.8764765486517498E-4</v>
      </c>
      <c r="K415" s="34">
        <f t="shared" si="25"/>
        <v>8.8725381222531929E-4</v>
      </c>
      <c r="L415" s="34">
        <f t="shared" si="26"/>
        <v>0.99457181952884677</v>
      </c>
      <c r="M415" s="34">
        <f t="shared" si="27"/>
        <v>0.99368938189043787</v>
      </c>
    </row>
    <row r="416" spans="1:13" ht="69">
      <c r="A416" t="s">
        <v>164</v>
      </c>
      <c r="B416" t="s">
        <v>115</v>
      </c>
      <c r="C416" s="14" t="s">
        <v>291</v>
      </c>
      <c r="D416" t="s">
        <v>366</v>
      </c>
      <c r="E416" t="s">
        <v>383</v>
      </c>
      <c r="F416" s="20">
        <v>2035</v>
      </c>
      <c r="G416" s="20">
        <v>44</v>
      </c>
      <c r="H416" s="11">
        <v>3836.4386935989901</v>
      </c>
      <c r="I416" s="10">
        <v>4098333.1460961602</v>
      </c>
      <c r="J416" s="34">
        <f t="shared" si="24"/>
        <v>9.360973246534055E-4</v>
      </c>
      <c r="K416" s="34">
        <f t="shared" si="25"/>
        <v>9.3565932223438342E-4</v>
      </c>
      <c r="L416" s="34">
        <f t="shared" si="26"/>
        <v>0.99368938189043787</v>
      </c>
      <c r="M416" s="34">
        <f t="shared" si="27"/>
        <v>0.99275962715686672</v>
      </c>
    </row>
    <row r="417" spans="1:13" ht="69">
      <c r="A417" t="s">
        <v>164</v>
      </c>
      <c r="B417" t="s">
        <v>115</v>
      </c>
      <c r="C417" s="14" t="s">
        <v>291</v>
      </c>
      <c r="D417" t="s">
        <v>366</v>
      </c>
      <c r="E417" t="s">
        <v>383</v>
      </c>
      <c r="F417" s="20">
        <v>2035</v>
      </c>
      <c r="G417" s="20">
        <v>45</v>
      </c>
      <c r="H417" s="11">
        <v>4129.8791669054499</v>
      </c>
      <c r="I417" s="10">
        <v>4075773.7152938298</v>
      </c>
      <c r="J417" s="34">
        <f t="shared" si="24"/>
        <v>1.0132748909510349E-3</v>
      </c>
      <c r="K417" s="34">
        <f t="shared" si="25"/>
        <v>1.0127617012973822E-3</v>
      </c>
      <c r="L417" s="34">
        <f t="shared" si="26"/>
        <v>0.99275962715686672</v>
      </c>
      <c r="M417" s="34">
        <f t="shared" si="27"/>
        <v>0.99175419822788802</v>
      </c>
    </row>
    <row r="418" spans="1:13" ht="69">
      <c r="A418" t="s">
        <v>164</v>
      </c>
      <c r="B418" t="s">
        <v>115</v>
      </c>
      <c r="C418" s="14" t="s">
        <v>291</v>
      </c>
      <c r="D418" t="s">
        <v>366</v>
      </c>
      <c r="E418" t="s">
        <v>383</v>
      </c>
      <c r="F418" s="20">
        <v>2035</v>
      </c>
      <c r="G418" s="20">
        <v>46</v>
      </c>
      <c r="H418" s="11">
        <v>5173.0206247999004</v>
      </c>
      <c r="I418" s="10">
        <v>4075438.2732064901</v>
      </c>
      <c r="J418" s="34">
        <f t="shared" si="24"/>
        <v>1.269316396915969E-3</v>
      </c>
      <c r="K418" s="34">
        <f t="shared" si="25"/>
        <v>1.2685111555962303E-3</v>
      </c>
      <c r="L418" s="34">
        <f t="shared" si="26"/>
        <v>0.99175419822788802</v>
      </c>
      <c r="M418" s="34">
        <f t="shared" si="27"/>
        <v>0.9904961469638266</v>
      </c>
    </row>
    <row r="419" spans="1:13" ht="69">
      <c r="A419" t="s">
        <v>164</v>
      </c>
      <c r="B419" t="s">
        <v>115</v>
      </c>
      <c r="C419" s="14" t="s">
        <v>291</v>
      </c>
      <c r="D419" t="s">
        <v>366</v>
      </c>
      <c r="E419" t="s">
        <v>383</v>
      </c>
      <c r="F419" s="20">
        <v>2035</v>
      </c>
      <c r="G419" s="20">
        <v>47</v>
      </c>
      <c r="H419" s="11">
        <v>5717.3627099403002</v>
      </c>
      <c r="I419" s="10">
        <v>4029268.4356508702</v>
      </c>
      <c r="J419" s="34">
        <f t="shared" si="24"/>
        <v>1.4189580072037921E-3</v>
      </c>
      <c r="K419" s="34">
        <f t="shared" si="25"/>
        <v>1.4179517622867621E-3</v>
      </c>
      <c r="L419" s="34">
        <f t="shared" si="26"/>
        <v>0.9904961469638266</v>
      </c>
      <c r="M419" s="34">
        <f t="shared" si="27"/>
        <v>0.98909167120670094</v>
      </c>
    </row>
    <row r="420" spans="1:13" ht="69">
      <c r="A420" t="s">
        <v>164</v>
      </c>
      <c r="B420" t="s">
        <v>115</v>
      </c>
      <c r="C420" s="14" t="s">
        <v>291</v>
      </c>
      <c r="D420" t="s">
        <v>366</v>
      </c>
      <c r="E420" t="s">
        <v>383</v>
      </c>
      <c r="F420" s="20">
        <v>2035</v>
      </c>
      <c r="G420" s="20">
        <v>48</v>
      </c>
      <c r="H420" s="11">
        <v>6321.4082764301602</v>
      </c>
      <c r="I420" s="10">
        <v>3974016.5957099302</v>
      </c>
      <c r="J420" s="34">
        <f t="shared" si="24"/>
        <v>1.5906849214606476E-3</v>
      </c>
      <c r="K420" s="34">
        <f t="shared" si="25"/>
        <v>1.5894204527469036E-3</v>
      </c>
      <c r="L420" s="34">
        <f t="shared" si="26"/>
        <v>0.98909167120670094</v>
      </c>
      <c r="M420" s="34">
        <f t="shared" si="27"/>
        <v>0.98751958867484335</v>
      </c>
    </row>
    <row r="421" spans="1:13" ht="69">
      <c r="A421" t="s">
        <v>164</v>
      </c>
      <c r="B421" t="s">
        <v>115</v>
      </c>
      <c r="C421" s="14" t="s">
        <v>291</v>
      </c>
      <c r="D421" t="s">
        <v>366</v>
      </c>
      <c r="E421" t="s">
        <v>383</v>
      </c>
      <c r="F421" s="20">
        <v>2035</v>
      </c>
      <c r="G421" s="20">
        <v>49</v>
      </c>
      <c r="H421" s="11">
        <v>6893.0347374782104</v>
      </c>
      <c r="I421" s="10">
        <v>3978748.3658046499</v>
      </c>
      <c r="J421" s="34">
        <f t="shared" si="24"/>
        <v>1.7324631023968222E-3</v>
      </c>
      <c r="K421" s="34">
        <f t="shared" si="25"/>
        <v>1.7309632544649789E-3</v>
      </c>
      <c r="L421" s="34">
        <f t="shared" si="26"/>
        <v>0.98751958867484335</v>
      </c>
      <c r="M421" s="34">
        <f t="shared" si="27"/>
        <v>0.98581022855378286</v>
      </c>
    </row>
    <row r="422" spans="1:13" ht="69">
      <c r="A422" t="s">
        <v>164</v>
      </c>
      <c r="B422" t="s">
        <v>115</v>
      </c>
      <c r="C422" s="14" t="s">
        <v>291</v>
      </c>
      <c r="D422" t="s">
        <v>366</v>
      </c>
      <c r="E422" t="s">
        <v>383</v>
      </c>
      <c r="F422" s="20">
        <v>2035</v>
      </c>
      <c r="G422" s="20">
        <v>50</v>
      </c>
      <c r="H422" s="11">
        <v>7653.8172513804202</v>
      </c>
      <c r="I422" s="10">
        <v>4038378.1522135399</v>
      </c>
      <c r="J422" s="34">
        <f t="shared" si="24"/>
        <v>1.8952700720176897E-3</v>
      </c>
      <c r="K422" s="34">
        <f t="shared" si="25"/>
        <v>1.8934751818077133E-3</v>
      </c>
      <c r="L422" s="34">
        <f t="shared" si="26"/>
        <v>0.98581022855378286</v>
      </c>
      <c r="M422" s="34">
        <f t="shared" si="27"/>
        <v>0.98394362135204405</v>
      </c>
    </row>
    <row r="423" spans="1:13" ht="69">
      <c r="A423" t="s">
        <v>164</v>
      </c>
      <c r="B423" t="s">
        <v>115</v>
      </c>
      <c r="C423" s="14" t="s">
        <v>291</v>
      </c>
      <c r="D423" t="s">
        <v>366</v>
      </c>
      <c r="E423" t="s">
        <v>383</v>
      </c>
      <c r="F423" s="20">
        <v>2035</v>
      </c>
      <c r="G423" s="20">
        <v>51</v>
      </c>
      <c r="H423" s="11">
        <v>8823.7458563292494</v>
      </c>
      <c r="I423" s="10">
        <v>4056130.90361766</v>
      </c>
      <c r="J423" s="34">
        <f t="shared" si="24"/>
        <v>2.1754095383014777E-3</v>
      </c>
      <c r="K423" s="34">
        <f t="shared" si="25"/>
        <v>2.17304504985949E-3</v>
      </c>
      <c r="L423" s="34">
        <f t="shared" si="26"/>
        <v>0.98394362135204405</v>
      </c>
      <c r="M423" s="34">
        <f t="shared" si="27"/>
        <v>0.98180546753632414</v>
      </c>
    </row>
    <row r="424" spans="1:13" ht="69">
      <c r="A424" t="s">
        <v>164</v>
      </c>
      <c r="B424" t="s">
        <v>115</v>
      </c>
      <c r="C424" s="14" t="s">
        <v>291</v>
      </c>
      <c r="D424" t="s">
        <v>366</v>
      </c>
      <c r="E424" t="s">
        <v>383</v>
      </c>
      <c r="F424" s="20">
        <v>2035</v>
      </c>
      <c r="G424" s="20">
        <v>52</v>
      </c>
      <c r="H424" s="11">
        <v>9407.6714669104695</v>
      </c>
      <c r="I424" s="10">
        <v>4016360.5134924199</v>
      </c>
      <c r="J424" s="34">
        <f t="shared" si="24"/>
        <v>2.3423374060437727E-3</v>
      </c>
      <c r="K424" s="34">
        <f t="shared" si="25"/>
        <v>2.3395962744179322E-3</v>
      </c>
      <c r="L424" s="34">
        <f t="shared" si="26"/>
        <v>0.98180546753632414</v>
      </c>
      <c r="M424" s="34">
        <f t="shared" si="27"/>
        <v>0.97950843912227303</v>
      </c>
    </row>
    <row r="425" spans="1:13" ht="69">
      <c r="A425" t="s">
        <v>164</v>
      </c>
      <c r="B425" t="s">
        <v>115</v>
      </c>
      <c r="C425" s="14" t="s">
        <v>291</v>
      </c>
      <c r="D425" t="s">
        <v>366</v>
      </c>
      <c r="E425" t="s">
        <v>383</v>
      </c>
      <c r="F425" s="20">
        <v>2035</v>
      </c>
      <c r="G425" s="20">
        <v>53</v>
      </c>
      <c r="H425" s="11">
        <v>9983.3286635492605</v>
      </c>
      <c r="I425" s="10">
        <v>3952110.3803470498</v>
      </c>
      <c r="J425" s="34">
        <f t="shared" si="24"/>
        <v>2.5260753629741959E-3</v>
      </c>
      <c r="K425" s="34">
        <f t="shared" si="25"/>
        <v>2.5228875194137634E-3</v>
      </c>
      <c r="L425" s="34">
        <f t="shared" si="26"/>
        <v>0.97950843912227303</v>
      </c>
      <c r="M425" s="34">
        <f t="shared" si="27"/>
        <v>0.97703724950605098</v>
      </c>
    </row>
    <row r="426" spans="1:13" ht="69">
      <c r="A426" t="s">
        <v>164</v>
      </c>
      <c r="B426" t="s">
        <v>115</v>
      </c>
      <c r="C426" s="14" t="s">
        <v>291</v>
      </c>
      <c r="D426" t="s">
        <v>366</v>
      </c>
      <c r="E426" t="s">
        <v>383</v>
      </c>
      <c r="F426" s="20">
        <v>2035</v>
      </c>
      <c r="G426" s="20">
        <v>54</v>
      </c>
      <c r="H426" s="11">
        <v>10595.3140796931</v>
      </c>
      <c r="I426" s="10">
        <v>3880680.6238527098</v>
      </c>
      <c r="J426" s="34">
        <f t="shared" si="24"/>
        <v>2.730272111177795E-3</v>
      </c>
      <c r="K426" s="34">
        <f t="shared" si="25"/>
        <v>2.7265483080467501E-3</v>
      </c>
      <c r="L426" s="34">
        <f t="shared" si="26"/>
        <v>0.97703724950605098</v>
      </c>
      <c r="M426" s="34">
        <f t="shared" si="27"/>
        <v>0.97437331024651164</v>
      </c>
    </row>
    <row r="427" spans="1:13" ht="69">
      <c r="A427" t="s">
        <v>164</v>
      </c>
      <c r="B427" t="s">
        <v>115</v>
      </c>
      <c r="C427" s="14" t="s">
        <v>291</v>
      </c>
      <c r="D427" t="s">
        <v>366</v>
      </c>
      <c r="E427" t="s">
        <v>383</v>
      </c>
      <c r="F427" s="20">
        <v>2035</v>
      </c>
      <c r="G427" s="20">
        <v>55</v>
      </c>
      <c r="H427" s="11">
        <v>11281.359776618599</v>
      </c>
      <c r="I427" s="10">
        <v>3813904.9701780202</v>
      </c>
      <c r="J427" s="34">
        <f t="shared" si="24"/>
        <v>2.9579551312449255E-3</v>
      </c>
      <c r="K427" s="34">
        <f t="shared" si="25"/>
        <v>2.9535846922151832E-3</v>
      </c>
      <c r="L427" s="34">
        <f t="shared" si="26"/>
        <v>0.97437331024651164</v>
      </c>
      <c r="M427" s="34">
        <f t="shared" si="27"/>
        <v>0.9714954161528645</v>
      </c>
    </row>
    <row r="428" spans="1:13" ht="69">
      <c r="A428" t="s">
        <v>164</v>
      </c>
      <c r="B428" t="s">
        <v>115</v>
      </c>
      <c r="C428" s="14" t="s">
        <v>291</v>
      </c>
      <c r="D428" t="s">
        <v>366</v>
      </c>
      <c r="E428" t="s">
        <v>383</v>
      </c>
      <c r="F428" s="20">
        <v>2035</v>
      </c>
      <c r="G428" s="20">
        <v>56</v>
      </c>
      <c r="H428" s="11">
        <v>12020.261503538</v>
      </c>
      <c r="I428" s="10">
        <v>3733265.5340115498</v>
      </c>
      <c r="J428" s="34">
        <f t="shared" si="24"/>
        <v>3.2197713754964887E-3</v>
      </c>
      <c r="K428" s="34">
        <f t="shared" si="25"/>
        <v>3.2145934703555756E-3</v>
      </c>
      <c r="L428" s="34">
        <f t="shared" si="26"/>
        <v>0.9714954161528645</v>
      </c>
      <c r="M428" s="34">
        <f t="shared" si="27"/>
        <v>0.96837245333161914</v>
      </c>
    </row>
    <row r="429" spans="1:13" ht="69">
      <c r="A429" t="s">
        <v>164</v>
      </c>
      <c r="B429" t="s">
        <v>115</v>
      </c>
      <c r="C429" s="14" t="s">
        <v>291</v>
      </c>
      <c r="D429" t="s">
        <v>366</v>
      </c>
      <c r="E429" t="s">
        <v>383</v>
      </c>
      <c r="F429" s="20">
        <v>2035</v>
      </c>
      <c r="G429" s="20">
        <v>57</v>
      </c>
      <c r="H429" s="11">
        <v>12754.4445817706</v>
      </c>
      <c r="I429" s="10">
        <v>3628599.4725194201</v>
      </c>
      <c r="J429" s="34">
        <f t="shared" si="24"/>
        <v>3.5149772462803384E-3</v>
      </c>
      <c r="K429" s="34">
        <f t="shared" si="25"/>
        <v>3.5088069453655946E-3</v>
      </c>
      <c r="L429" s="34">
        <f t="shared" si="26"/>
        <v>0.96837245333161914</v>
      </c>
      <c r="M429" s="34">
        <f t="shared" si="27"/>
        <v>0.96497462134166845</v>
      </c>
    </row>
    <row r="430" spans="1:13" ht="69">
      <c r="A430" t="s">
        <v>164</v>
      </c>
      <c r="B430" t="s">
        <v>115</v>
      </c>
      <c r="C430" s="14" t="s">
        <v>291</v>
      </c>
      <c r="D430" t="s">
        <v>366</v>
      </c>
      <c r="E430" t="s">
        <v>383</v>
      </c>
      <c r="F430" s="20">
        <v>2035</v>
      </c>
      <c r="G430" s="20">
        <v>58</v>
      </c>
      <c r="H430" s="11">
        <v>13517.2589122395</v>
      </c>
      <c r="I430" s="10">
        <v>3527407.4032521299</v>
      </c>
      <c r="J430" s="34">
        <f t="shared" si="24"/>
        <v>3.8320662648088574E-3</v>
      </c>
      <c r="K430" s="34">
        <f t="shared" si="25"/>
        <v>3.8247332687126878E-3</v>
      </c>
      <c r="L430" s="34">
        <f t="shared" si="26"/>
        <v>0.96497462134166845</v>
      </c>
      <c r="M430" s="34">
        <f t="shared" si="27"/>
        <v>0.96128385080395951</v>
      </c>
    </row>
    <row r="431" spans="1:13" ht="69">
      <c r="A431" t="s">
        <v>164</v>
      </c>
      <c r="B431" t="s">
        <v>115</v>
      </c>
      <c r="C431" s="14" t="s">
        <v>291</v>
      </c>
      <c r="D431" t="s">
        <v>366</v>
      </c>
      <c r="E431" t="s">
        <v>383</v>
      </c>
      <c r="F431" s="20">
        <v>2035</v>
      </c>
      <c r="G431" s="20">
        <v>59</v>
      </c>
      <c r="H431" s="11">
        <v>13812.730785264501</v>
      </c>
      <c r="I431" s="10">
        <v>3439522.6544177602</v>
      </c>
      <c r="J431" s="34">
        <f t="shared" si="24"/>
        <v>4.015885974038659E-3</v>
      </c>
      <c r="K431" s="34">
        <f t="shared" si="25"/>
        <v>4.0078330873918322E-3</v>
      </c>
      <c r="L431" s="34">
        <f t="shared" si="26"/>
        <v>0.96128385080395951</v>
      </c>
      <c r="M431" s="34">
        <f t="shared" si="27"/>
        <v>0.95743118558033191</v>
      </c>
    </row>
    <row r="432" spans="1:13" ht="69">
      <c r="A432" t="s">
        <v>164</v>
      </c>
      <c r="B432" t="s">
        <v>115</v>
      </c>
      <c r="C432" s="14" t="s">
        <v>291</v>
      </c>
      <c r="D432" t="s">
        <v>366</v>
      </c>
      <c r="E432" t="s">
        <v>383</v>
      </c>
      <c r="F432" s="20">
        <v>2035</v>
      </c>
      <c r="G432" s="20">
        <v>60</v>
      </c>
      <c r="H432" s="11">
        <v>14258.906121707199</v>
      </c>
      <c r="I432" s="10">
        <v>3339521.3603426502</v>
      </c>
      <c r="J432" s="34">
        <f t="shared" si="24"/>
        <v>4.269745446468463E-3</v>
      </c>
      <c r="K432" s="34">
        <f t="shared" si="25"/>
        <v>4.2606430429698028E-3</v>
      </c>
      <c r="L432" s="34">
        <f t="shared" si="26"/>
        <v>0.95743118558033191</v>
      </c>
      <c r="M432" s="34">
        <f t="shared" si="27"/>
        <v>0.95335191306036671</v>
      </c>
    </row>
    <row r="433" spans="1:13" ht="69">
      <c r="A433" t="s">
        <v>164</v>
      </c>
      <c r="B433" t="s">
        <v>115</v>
      </c>
      <c r="C433" s="14" t="s">
        <v>291</v>
      </c>
      <c r="D433" t="s">
        <v>366</v>
      </c>
      <c r="E433" t="s">
        <v>383</v>
      </c>
      <c r="F433" s="20">
        <v>2035</v>
      </c>
      <c r="G433" s="20">
        <v>61</v>
      </c>
      <c r="H433" s="11">
        <v>15108.7323625513</v>
      </c>
      <c r="I433" s="10">
        <v>3253296.18964337</v>
      </c>
      <c r="J433" s="34">
        <f t="shared" si="24"/>
        <v>4.6441305930424786E-3</v>
      </c>
      <c r="K433" s="34">
        <f t="shared" si="25"/>
        <v>4.6333632932574753E-3</v>
      </c>
      <c r="L433" s="34">
        <f t="shared" si="26"/>
        <v>0.95335191306036671</v>
      </c>
      <c r="M433" s="34">
        <f t="shared" si="27"/>
        <v>0.94893468730083597</v>
      </c>
    </row>
    <row r="434" spans="1:13" ht="69">
      <c r="A434" t="s">
        <v>164</v>
      </c>
      <c r="B434" t="s">
        <v>115</v>
      </c>
      <c r="C434" s="14" t="s">
        <v>291</v>
      </c>
      <c r="D434" t="s">
        <v>366</v>
      </c>
      <c r="E434" t="s">
        <v>383</v>
      </c>
      <c r="F434" s="20">
        <v>2035</v>
      </c>
      <c r="G434" s="20">
        <v>62</v>
      </c>
      <c r="H434" s="11">
        <v>15924.8640262394</v>
      </c>
      <c r="I434" s="10">
        <v>3166397.8189579798</v>
      </c>
      <c r="J434" s="34">
        <f t="shared" si="24"/>
        <v>5.0293314159368845E-3</v>
      </c>
      <c r="K434" s="34">
        <f t="shared" si="25"/>
        <v>5.0167055041909769E-3</v>
      </c>
      <c r="L434" s="34">
        <f t="shared" si="26"/>
        <v>0.94893468730083597</v>
      </c>
      <c r="M434" s="34">
        <f t="shared" si="27"/>
        <v>0.94417416143193611</v>
      </c>
    </row>
    <row r="435" spans="1:13" ht="69">
      <c r="A435" t="s">
        <v>164</v>
      </c>
      <c r="B435" t="s">
        <v>115</v>
      </c>
      <c r="C435" s="14" t="s">
        <v>291</v>
      </c>
      <c r="D435" t="s">
        <v>366</v>
      </c>
      <c r="E435" t="s">
        <v>383</v>
      </c>
      <c r="F435" s="20">
        <v>2035</v>
      </c>
      <c r="G435" s="20">
        <v>63</v>
      </c>
      <c r="H435" s="11">
        <v>16643.427215562799</v>
      </c>
      <c r="I435" s="10">
        <v>3059239.4757027798</v>
      </c>
      <c r="J435" s="34">
        <f t="shared" si="24"/>
        <v>5.4403806396161282E-3</v>
      </c>
      <c r="K435" s="34">
        <f t="shared" si="25"/>
        <v>5.4256085695660872E-3</v>
      </c>
      <c r="L435" s="34">
        <f t="shared" si="26"/>
        <v>0.94417416143193611</v>
      </c>
      <c r="M435" s="34">
        <f t="shared" si="27"/>
        <v>0.93905144201050816</v>
      </c>
    </row>
    <row r="436" spans="1:13" ht="69">
      <c r="A436" t="s">
        <v>164</v>
      </c>
      <c r="B436" t="s">
        <v>115</v>
      </c>
      <c r="C436" s="14" t="s">
        <v>291</v>
      </c>
      <c r="D436" t="s">
        <v>366</v>
      </c>
      <c r="E436" t="s">
        <v>383</v>
      </c>
      <c r="F436" s="20">
        <v>2035</v>
      </c>
      <c r="G436" s="20">
        <v>64</v>
      </c>
      <c r="H436" s="11">
        <v>17700.749143061901</v>
      </c>
      <c r="I436" s="10">
        <v>2961623.6995578702</v>
      </c>
      <c r="J436" s="34">
        <f t="shared" si="24"/>
        <v>5.9767043144962608E-3</v>
      </c>
      <c r="K436" s="34">
        <f t="shared" si="25"/>
        <v>5.958879346465662E-3</v>
      </c>
      <c r="L436" s="34">
        <f t="shared" si="26"/>
        <v>0.93905144201050816</v>
      </c>
      <c r="M436" s="34">
        <f t="shared" si="27"/>
        <v>0.933455747767443</v>
      </c>
    </row>
    <row r="437" spans="1:13" ht="69">
      <c r="A437" t="s">
        <v>164</v>
      </c>
      <c r="B437" t="s">
        <v>115</v>
      </c>
      <c r="C437" s="14" t="s">
        <v>291</v>
      </c>
      <c r="D437" t="s">
        <v>366</v>
      </c>
      <c r="E437" t="s">
        <v>383</v>
      </c>
      <c r="F437" s="20">
        <v>2035</v>
      </c>
      <c r="G437" s="20">
        <v>65</v>
      </c>
      <c r="H437" s="11">
        <v>18679.986175028502</v>
      </c>
      <c r="I437" s="10">
        <v>2861141.9206680302</v>
      </c>
      <c r="J437" s="34">
        <f t="shared" si="24"/>
        <v>6.5288569015363729E-3</v>
      </c>
      <c r="K437" s="34">
        <f t="shared" si="25"/>
        <v>6.5075902228532989E-3</v>
      </c>
      <c r="L437" s="34">
        <f t="shared" si="26"/>
        <v>0.933455747767443</v>
      </c>
      <c r="M437" s="34">
        <f t="shared" si="27"/>
        <v>0.92738120026980542</v>
      </c>
    </row>
    <row r="438" spans="1:13" ht="69">
      <c r="A438" t="s">
        <v>164</v>
      </c>
      <c r="B438" t="s">
        <v>115</v>
      </c>
      <c r="C438" s="14" t="s">
        <v>291</v>
      </c>
      <c r="D438" t="s">
        <v>366</v>
      </c>
      <c r="E438" t="s">
        <v>383</v>
      </c>
      <c r="F438" s="20">
        <v>2035</v>
      </c>
      <c r="G438" s="20">
        <v>66</v>
      </c>
      <c r="H438" s="11">
        <v>19096.586710256099</v>
      </c>
      <c r="I438" s="10">
        <v>2745207.90356855</v>
      </c>
      <c r="J438" s="34">
        <f t="shared" si="24"/>
        <v>6.9563353236132197E-3</v>
      </c>
      <c r="K438" s="34">
        <f t="shared" si="25"/>
        <v>6.9321960291540696E-3</v>
      </c>
      <c r="L438" s="34">
        <f t="shared" si="26"/>
        <v>0.92738120026980542</v>
      </c>
      <c r="M438" s="34">
        <f t="shared" si="27"/>
        <v>0.92095241199578293</v>
      </c>
    </row>
    <row r="439" spans="1:13" ht="69">
      <c r="A439" t="s">
        <v>164</v>
      </c>
      <c r="B439" t="s">
        <v>115</v>
      </c>
      <c r="C439" s="14" t="s">
        <v>291</v>
      </c>
      <c r="D439" t="s">
        <v>366</v>
      </c>
      <c r="E439" t="s">
        <v>383</v>
      </c>
      <c r="F439" s="20">
        <v>2035</v>
      </c>
      <c r="G439" s="20">
        <v>67</v>
      </c>
      <c r="H439" s="11">
        <v>20157.3222286743</v>
      </c>
      <c r="I439" s="10">
        <v>2620531.9030244802</v>
      </c>
      <c r="J439" s="34">
        <f t="shared" si="24"/>
        <v>7.6920728213267613E-3</v>
      </c>
      <c r="K439" s="34">
        <f t="shared" si="25"/>
        <v>7.6625645376118268E-3</v>
      </c>
      <c r="L439" s="34">
        <f t="shared" si="26"/>
        <v>0.92095241199578293</v>
      </c>
      <c r="M439" s="34">
        <f t="shared" si="27"/>
        <v>0.91389555470279593</v>
      </c>
    </row>
    <row r="440" spans="1:13" ht="69">
      <c r="A440" t="s">
        <v>164</v>
      </c>
      <c r="B440" t="s">
        <v>115</v>
      </c>
      <c r="C440" s="14" t="s">
        <v>291</v>
      </c>
      <c r="D440" t="s">
        <v>366</v>
      </c>
      <c r="E440" t="s">
        <v>383</v>
      </c>
      <c r="F440" s="20">
        <v>2035</v>
      </c>
      <c r="G440" s="20">
        <v>68</v>
      </c>
      <c r="H440" s="11">
        <v>21098.865906971099</v>
      </c>
      <c r="I440" s="10">
        <v>2497194.6216543899</v>
      </c>
      <c r="J440" s="34">
        <f t="shared" si="24"/>
        <v>8.4490274502485967E-3</v>
      </c>
      <c r="K440" s="34">
        <f t="shared" si="25"/>
        <v>8.4134347296508372E-3</v>
      </c>
      <c r="L440" s="34">
        <f t="shared" si="26"/>
        <v>0.91389555470279593</v>
      </c>
      <c r="M440" s="34">
        <f t="shared" si="27"/>
        <v>0.90620655410358586</v>
      </c>
    </row>
    <row r="441" spans="1:13" ht="69">
      <c r="A441" t="s">
        <v>164</v>
      </c>
      <c r="B441" t="s">
        <v>115</v>
      </c>
      <c r="C441" s="14" t="s">
        <v>291</v>
      </c>
      <c r="D441" t="s">
        <v>366</v>
      </c>
      <c r="E441" t="s">
        <v>383</v>
      </c>
      <c r="F441" s="20">
        <v>2035</v>
      </c>
      <c r="G441" s="20">
        <v>69</v>
      </c>
      <c r="H441" s="11">
        <v>21206.050202533999</v>
      </c>
      <c r="I441" s="10">
        <v>2362214.7808059799</v>
      </c>
      <c r="J441" s="34">
        <f t="shared" si="24"/>
        <v>8.9771897013101263E-3</v>
      </c>
      <c r="K441" s="34">
        <f t="shared" si="25"/>
        <v>8.9370150422368733E-3</v>
      </c>
      <c r="L441" s="34">
        <f t="shared" si="26"/>
        <v>0.90620655410358586</v>
      </c>
      <c r="M441" s="34">
        <f t="shared" si="27"/>
        <v>0.89810777249818852</v>
      </c>
    </row>
    <row r="442" spans="1:13" ht="69">
      <c r="A442" t="s">
        <v>164</v>
      </c>
      <c r="B442" t="s">
        <v>115</v>
      </c>
      <c r="C442" s="14" t="s">
        <v>291</v>
      </c>
      <c r="D442" t="s">
        <v>366</v>
      </c>
      <c r="E442" t="s">
        <v>383</v>
      </c>
      <c r="F442" s="20">
        <v>2036</v>
      </c>
      <c r="G442" s="20">
        <v>30</v>
      </c>
      <c r="H442" s="11">
        <v>710.08181460272795</v>
      </c>
      <c r="I442" s="10">
        <v>4571871.7048394401</v>
      </c>
      <c r="J442" s="34">
        <f t="shared" si="24"/>
        <v>1.5531534138438064E-4</v>
      </c>
      <c r="K442" s="34">
        <f t="shared" si="25"/>
        <v>1.5530328058110943E-4</v>
      </c>
      <c r="L442" s="34">
        <f t="shared" si="26"/>
        <v>1</v>
      </c>
      <c r="M442" s="34">
        <f t="shared" si="27"/>
        <v>0.99984469671941889</v>
      </c>
    </row>
    <row r="443" spans="1:13" ht="69">
      <c r="A443" t="s">
        <v>164</v>
      </c>
      <c r="B443" t="s">
        <v>115</v>
      </c>
      <c r="C443" s="14" t="s">
        <v>291</v>
      </c>
      <c r="D443" t="s">
        <v>366</v>
      </c>
      <c r="E443" t="s">
        <v>383</v>
      </c>
      <c r="F443" s="20">
        <v>2036</v>
      </c>
      <c r="G443" s="20">
        <v>31</v>
      </c>
      <c r="H443" s="11">
        <v>997.93118514060404</v>
      </c>
      <c r="I443" s="10">
        <v>4478311.0393297505</v>
      </c>
      <c r="J443" s="34">
        <f t="shared" si="24"/>
        <v>2.2283650607930085E-4</v>
      </c>
      <c r="K443" s="34">
        <f t="shared" si="25"/>
        <v>2.228116798691504E-4</v>
      </c>
      <c r="L443" s="34">
        <f t="shared" si="26"/>
        <v>0.99984469671941889</v>
      </c>
      <c r="M443" s="34">
        <f t="shared" si="27"/>
        <v>0.99962191964293456</v>
      </c>
    </row>
    <row r="444" spans="1:13" ht="69">
      <c r="A444" t="s">
        <v>164</v>
      </c>
      <c r="B444" t="s">
        <v>115</v>
      </c>
      <c r="C444" s="14" t="s">
        <v>291</v>
      </c>
      <c r="D444" t="s">
        <v>366</v>
      </c>
      <c r="E444" t="s">
        <v>383</v>
      </c>
      <c r="F444" s="20">
        <v>2036</v>
      </c>
      <c r="G444" s="20">
        <v>32</v>
      </c>
      <c r="H444" s="11">
        <v>1025.3517730286601</v>
      </c>
      <c r="I444" s="10">
        <v>4381554.2017919002</v>
      </c>
      <c r="J444" s="34">
        <f t="shared" si="24"/>
        <v>2.3401554010431448E-4</v>
      </c>
      <c r="K444" s="34">
        <f t="shared" si="25"/>
        <v>2.3398816060360428E-4</v>
      </c>
      <c r="L444" s="34">
        <f t="shared" si="26"/>
        <v>0.99962191964293456</v>
      </c>
      <c r="M444" s="34">
        <f t="shared" si="27"/>
        <v>0.99938801994865822</v>
      </c>
    </row>
    <row r="445" spans="1:13" ht="69">
      <c r="A445" t="s">
        <v>164</v>
      </c>
      <c r="B445" t="s">
        <v>115</v>
      </c>
      <c r="C445" s="14" t="s">
        <v>291</v>
      </c>
      <c r="D445" t="s">
        <v>366</v>
      </c>
      <c r="E445" t="s">
        <v>383</v>
      </c>
      <c r="F445" s="20">
        <v>2036</v>
      </c>
      <c r="G445" s="20">
        <v>33</v>
      </c>
      <c r="H445" s="11">
        <v>1103.95162290591</v>
      </c>
      <c r="I445" s="10">
        <v>4339261.4066474196</v>
      </c>
      <c r="J445" s="34">
        <f t="shared" si="24"/>
        <v>2.544100295996779E-4</v>
      </c>
      <c r="K445" s="34">
        <f t="shared" si="25"/>
        <v>2.5437767011238233E-4</v>
      </c>
      <c r="L445" s="34">
        <f t="shared" si="26"/>
        <v>0.99938801994865822</v>
      </c>
      <c r="M445" s="34">
        <f t="shared" si="27"/>
        <v>0.99913379795260548</v>
      </c>
    </row>
    <row r="446" spans="1:13" ht="69">
      <c r="A446" t="s">
        <v>164</v>
      </c>
      <c r="B446" t="s">
        <v>115</v>
      </c>
      <c r="C446" s="14" t="s">
        <v>291</v>
      </c>
      <c r="D446" t="s">
        <v>366</v>
      </c>
      <c r="E446" t="s">
        <v>383</v>
      </c>
      <c r="F446" s="20">
        <v>2036</v>
      </c>
      <c r="G446" s="20">
        <v>34</v>
      </c>
      <c r="H446" s="11">
        <v>1193.5763559192901</v>
      </c>
      <c r="I446" s="10">
        <v>4319798.5246180398</v>
      </c>
      <c r="J446" s="34">
        <f t="shared" si="24"/>
        <v>2.7630370933209831E-4</v>
      </c>
      <c r="K446" s="34">
        <f t="shared" si="25"/>
        <v>2.7626554097759382E-4</v>
      </c>
      <c r="L446" s="34">
        <f t="shared" si="26"/>
        <v>0.99913379795260548</v>
      </c>
      <c r="M446" s="34">
        <f t="shared" si="27"/>
        <v>0.99885777171340506</v>
      </c>
    </row>
    <row r="447" spans="1:13" ht="69">
      <c r="A447" t="s">
        <v>164</v>
      </c>
      <c r="B447" t="s">
        <v>115</v>
      </c>
      <c r="C447" s="14" t="s">
        <v>291</v>
      </c>
      <c r="D447" t="s">
        <v>366</v>
      </c>
      <c r="E447" t="s">
        <v>383</v>
      </c>
      <c r="F447" s="20">
        <v>2036</v>
      </c>
      <c r="G447" s="20">
        <v>35</v>
      </c>
      <c r="H447" s="11">
        <v>1304.8566450126</v>
      </c>
      <c r="I447" s="10">
        <v>4300370.4700293699</v>
      </c>
      <c r="J447" s="34">
        <f t="shared" si="24"/>
        <v>3.0342889155865872E-4</v>
      </c>
      <c r="K447" s="34">
        <f t="shared" si="25"/>
        <v>3.0338286166831097E-4</v>
      </c>
      <c r="L447" s="34">
        <f t="shared" si="26"/>
        <v>0.99885777171340506</v>
      </c>
      <c r="M447" s="34">
        <f t="shared" si="27"/>
        <v>0.99855473538422301</v>
      </c>
    </row>
    <row r="448" spans="1:13" ht="69">
      <c r="A448" t="s">
        <v>164</v>
      </c>
      <c r="B448" t="s">
        <v>115</v>
      </c>
      <c r="C448" s="14" t="s">
        <v>291</v>
      </c>
      <c r="D448" t="s">
        <v>366</v>
      </c>
      <c r="E448" t="s">
        <v>383</v>
      </c>
      <c r="F448" s="20">
        <v>2036</v>
      </c>
      <c r="G448" s="20">
        <v>36</v>
      </c>
      <c r="H448" s="11">
        <v>1713.34400815103</v>
      </c>
      <c r="I448" s="10">
        <v>4300479.9504071996</v>
      </c>
      <c r="J448" s="34">
        <f t="shared" si="24"/>
        <v>3.9840762610433719E-4</v>
      </c>
      <c r="K448" s="34">
        <f t="shared" si="25"/>
        <v>3.9832827232477719E-4</v>
      </c>
      <c r="L448" s="34">
        <f t="shared" si="26"/>
        <v>0.99855473538422301</v>
      </c>
      <c r="M448" s="34">
        <f t="shared" si="27"/>
        <v>0.99815698280165566</v>
      </c>
    </row>
    <row r="449" spans="1:13" ht="69">
      <c r="A449" t="s">
        <v>164</v>
      </c>
      <c r="B449" t="s">
        <v>115</v>
      </c>
      <c r="C449" s="14" t="s">
        <v>291</v>
      </c>
      <c r="D449" t="s">
        <v>366</v>
      </c>
      <c r="E449" t="s">
        <v>383</v>
      </c>
      <c r="F449" s="20">
        <v>2036</v>
      </c>
      <c r="G449" s="20">
        <v>37</v>
      </c>
      <c r="H449" s="11">
        <v>1909.57119165685</v>
      </c>
      <c r="I449" s="10">
        <v>4339191.1669358304</v>
      </c>
      <c r="J449" s="34">
        <f t="shared" si="24"/>
        <v>4.400753776896434E-4</v>
      </c>
      <c r="K449" s="34">
        <f t="shared" si="25"/>
        <v>4.3997855872368596E-4</v>
      </c>
      <c r="L449" s="34">
        <f t="shared" si="26"/>
        <v>0.99815698280165566</v>
      </c>
      <c r="M449" s="34">
        <f t="shared" si="27"/>
        <v>0.99771781513098257</v>
      </c>
    </row>
    <row r="450" spans="1:13" ht="69">
      <c r="A450" t="s">
        <v>164</v>
      </c>
      <c r="B450" t="s">
        <v>115</v>
      </c>
      <c r="C450" s="14" t="s">
        <v>291</v>
      </c>
      <c r="D450" t="s">
        <v>366</v>
      </c>
      <c r="E450" t="s">
        <v>383</v>
      </c>
      <c r="F450" s="20">
        <v>2036</v>
      </c>
      <c r="G450" s="20">
        <v>38</v>
      </c>
      <c r="H450" s="11">
        <v>2115.3150985437401</v>
      </c>
      <c r="I450" s="10">
        <v>4380274.0527262902</v>
      </c>
      <c r="J450" s="34">
        <f t="shared" ref="J450:J513" si="28">IF(I450&gt;0,H450/I450,0)</f>
        <v>4.8291843685606026E-4</v>
      </c>
      <c r="K450" s="34">
        <f t="shared" ref="K450:K513" si="29">1-EXP(-J450)</f>
        <v>4.8280185051574609E-4</v>
      </c>
      <c r="L450" s="34">
        <f t="shared" ref="L450:L513" si="30">IF(G450=30,1,M449)</f>
        <v>0.99771781513098257</v>
      </c>
      <c r="M450" s="34">
        <f t="shared" ref="M450:M513" si="31">L450*(1-K450)</f>
        <v>0.99723611512354482</v>
      </c>
    </row>
    <row r="451" spans="1:13" ht="69">
      <c r="A451" t="s">
        <v>164</v>
      </c>
      <c r="B451" t="s">
        <v>115</v>
      </c>
      <c r="C451" s="14" t="s">
        <v>291</v>
      </c>
      <c r="D451" t="s">
        <v>366</v>
      </c>
      <c r="E451" t="s">
        <v>383</v>
      </c>
      <c r="F451" s="20">
        <v>2036</v>
      </c>
      <c r="G451" s="20">
        <v>39</v>
      </c>
      <c r="H451" s="11">
        <v>2238.8845309572098</v>
      </c>
      <c r="I451" s="10">
        <v>4375087.7862659702</v>
      </c>
      <c r="J451" s="34">
        <f t="shared" si="28"/>
        <v>5.1173476746807012E-4</v>
      </c>
      <c r="K451" s="34">
        <f t="shared" si="29"/>
        <v>5.1160385356396887E-4</v>
      </c>
      <c r="L451" s="34">
        <f t="shared" si="30"/>
        <v>0.99723611512354482</v>
      </c>
      <c r="M451" s="34">
        <f t="shared" si="31"/>
        <v>0.99672592528413451</v>
      </c>
    </row>
    <row r="452" spans="1:13" ht="69">
      <c r="A452" t="s">
        <v>164</v>
      </c>
      <c r="B452" t="s">
        <v>115</v>
      </c>
      <c r="C452" s="14" t="s">
        <v>291</v>
      </c>
      <c r="D452" t="s">
        <v>366</v>
      </c>
      <c r="E452" t="s">
        <v>383</v>
      </c>
      <c r="F452" s="20">
        <v>2036</v>
      </c>
      <c r="G452" s="20">
        <v>40</v>
      </c>
      <c r="H452" s="11">
        <v>2381.0261559299502</v>
      </c>
      <c r="I452" s="10">
        <v>4311117.9002583101</v>
      </c>
      <c r="J452" s="34">
        <f t="shared" si="28"/>
        <v>5.5229901176845233E-4</v>
      </c>
      <c r="K452" s="34">
        <f t="shared" si="29"/>
        <v>5.5214652274371279E-4</v>
      </c>
      <c r="L452" s="34">
        <f t="shared" si="30"/>
        <v>0.99672592528413451</v>
      </c>
      <c r="M452" s="34">
        <f t="shared" si="31"/>
        <v>0.99617558653036031</v>
      </c>
    </row>
    <row r="453" spans="1:13" ht="69">
      <c r="A453" t="s">
        <v>164</v>
      </c>
      <c r="B453" t="s">
        <v>115</v>
      </c>
      <c r="C453" s="14" t="s">
        <v>291</v>
      </c>
      <c r="D453" t="s">
        <v>366</v>
      </c>
      <c r="E453" t="s">
        <v>383</v>
      </c>
      <c r="F453" s="20">
        <v>2036</v>
      </c>
      <c r="G453" s="20">
        <v>41</v>
      </c>
      <c r="H453" s="11">
        <v>3029.55357768863</v>
      </c>
      <c r="I453" s="10">
        <v>4244938.9305768097</v>
      </c>
      <c r="J453" s="34">
        <f t="shared" si="28"/>
        <v>7.1368602169194668E-4</v>
      </c>
      <c r="K453" s="34">
        <f t="shared" si="29"/>
        <v>7.1343140839807972E-4</v>
      </c>
      <c r="L453" s="34">
        <f t="shared" si="30"/>
        <v>0.99617558653036031</v>
      </c>
      <c r="M453" s="34">
        <f t="shared" si="31"/>
        <v>0.99546488357865015</v>
      </c>
    </row>
    <row r="454" spans="1:13" ht="69">
      <c r="A454" t="s">
        <v>164</v>
      </c>
      <c r="B454" t="s">
        <v>115</v>
      </c>
      <c r="C454" s="14" t="s">
        <v>291</v>
      </c>
      <c r="D454" t="s">
        <v>366</v>
      </c>
      <c r="E454" t="s">
        <v>383</v>
      </c>
      <c r="F454" s="20">
        <v>2036</v>
      </c>
      <c r="G454" s="20">
        <v>42</v>
      </c>
      <c r="H454" s="11">
        <v>3285.48058434209</v>
      </c>
      <c r="I454" s="10">
        <v>4188100.2104020999</v>
      </c>
      <c r="J454" s="34">
        <f t="shared" si="28"/>
        <v>7.8447993583865335E-4</v>
      </c>
      <c r="K454" s="34">
        <f t="shared" si="29"/>
        <v>7.8417231190064385E-4</v>
      </c>
      <c r="L454" s="34">
        <f t="shared" si="30"/>
        <v>0.99546488357865015</v>
      </c>
      <c r="M454" s="34">
        <f t="shared" si="31"/>
        <v>0.99468426757947837</v>
      </c>
    </row>
    <row r="455" spans="1:13" ht="69">
      <c r="A455" t="s">
        <v>164</v>
      </c>
      <c r="B455" t="s">
        <v>115</v>
      </c>
      <c r="C455" s="14" t="s">
        <v>291</v>
      </c>
      <c r="D455" t="s">
        <v>366</v>
      </c>
      <c r="E455" t="s">
        <v>383</v>
      </c>
      <c r="F455" s="20">
        <v>2036</v>
      </c>
      <c r="G455" s="20">
        <v>43</v>
      </c>
      <c r="H455" s="11">
        <v>3605.94364369817</v>
      </c>
      <c r="I455" s="10">
        <v>4133407.2852946101</v>
      </c>
      <c r="J455" s="34">
        <f t="shared" si="28"/>
        <v>8.7239011179154956E-4</v>
      </c>
      <c r="K455" s="34">
        <f t="shared" si="29"/>
        <v>8.7200969017131591E-4</v>
      </c>
      <c r="L455" s="34">
        <f t="shared" si="30"/>
        <v>0.99468426757947837</v>
      </c>
      <c r="M455" s="34">
        <f t="shared" si="31"/>
        <v>0.99381689325948808</v>
      </c>
    </row>
    <row r="456" spans="1:13" ht="69">
      <c r="A456" t="s">
        <v>164</v>
      </c>
      <c r="B456" t="s">
        <v>115</v>
      </c>
      <c r="C456" s="14" t="s">
        <v>291</v>
      </c>
      <c r="D456" t="s">
        <v>366</v>
      </c>
      <c r="E456" t="s">
        <v>383</v>
      </c>
      <c r="F456" s="20">
        <v>2036</v>
      </c>
      <c r="G456" s="20">
        <v>44</v>
      </c>
      <c r="H456" s="11">
        <v>3768.75173744217</v>
      </c>
      <c r="I456" s="10">
        <v>4112873.4834277299</v>
      </c>
      <c r="J456" s="34">
        <f t="shared" si="28"/>
        <v>9.1633057827522483E-4</v>
      </c>
      <c r="K456" s="34">
        <f t="shared" si="29"/>
        <v>9.1591087561615492E-4</v>
      </c>
      <c r="L456" s="34">
        <f t="shared" si="30"/>
        <v>0.99381689325948808</v>
      </c>
      <c r="M456" s="34">
        <f t="shared" si="31"/>
        <v>0.99290664555858066</v>
      </c>
    </row>
    <row r="457" spans="1:13" ht="69">
      <c r="A457" t="s">
        <v>164</v>
      </c>
      <c r="B457" t="s">
        <v>115</v>
      </c>
      <c r="C457" s="14" t="s">
        <v>291</v>
      </c>
      <c r="D457" t="s">
        <v>366</v>
      </c>
      <c r="E457" t="s">
        <v>383</v>
      </c>
      <c r="F457" s="20">
        <v>2036</v>
      </c>
      <c r="G457" s="20">
        <v>45</v>
      </c>
      <c r="H457" s="11">
        <v>4056.95473096555</v>
      </c>
      <c r="I457" s="10">
        <v>4086317.4397507999</v>
      </c>
      <c r="J457" s="34">
        <f t="shared" si="28"/>
        <v>9.9281438380199828E-4</v>
      </c>
      <c r="K457" s="34">
        <f t="shared" si="29"/>
        <v>9.9232170666074815E-4</v>
      </c>
      <c r="L457" s="34">
        <f t="shared" si="30"/>
        <v>0.99290664555858066</v>
      </c>
      <c r="M457" s="34">
        <f t="shared" si="31"/>
        <v>0.99192136274150522</v>
      </c>
    </row>
    <row r="458" spans="1:13" ht="69">
      <c r="A458" t="s">
        <v>164</v>
      </c>
      <c r="B458" t="s">
        <v>115</v>
      </c>
      <c r="C458" s="14" t="s">
        <v>291</v>
      </c>
      <c r="D458" t="s">
        <v>366</v>
      </c>
      <c r="E458" t="s">
        <v>383</v>
      </c>
      <c r="F458" s="20">
        <v>2036</v>
      </c>
      <c r="G458" s="20">
        <v>46</v>
      </c>
      <c r="H458" s="11">
        <v>5037.5022416731599</v>
      </c>
      <c r="I458" s="10">
        <v>4062771.7057044599</v>
      </c>
      <c r="J458" s="34">
        <f t="shared" si="28"/>
        <v>1.2399176243646916E-3</v>
      </c>
      <c r="K458" s="34">
        <f t="shared" si="29"/>
        <v>1.2391492441159446E-3</v>
      </c>
      <c r="L458" s="34">
        <f t="shared" si="30"/>
        <v>0.99192136274150522</v>
      </c>
      <c r="M458" s="34">
        <f t="shared" si="31"/>
        <v>0.99069222413464164</v>
      </c>
    </row>
    <row r="459" spans="1:13" ht="69">
      <c r="A459" t="s">
        <v>164</v>
      </c>
      <c r="B459" t="s">
        <v>115</v>
      </c>
      <c r="C459" s="14" t="s">
        <v>291</v>
      </c>
      <c r="D459" t="s">
        <v>366</v>
      </c>
      <c r="E459" t="s">
        <v>383</v>
      </c>
      <c r="F459" s="20">
        <v>2036</v>
      </c>
      <c r="G459" s="20">
        <v>47</v>
      </c>
      <c r="H459" s="11">
        <v>5544.1053313984203</v>
      </c>
      <c r="I459" s="10">
        <v>4061480.8152481602</v>
      </c>
      <c r="J459" s="34">
        <f t="shared" si="28"/>
        <v>1.3650453082491468E-3</v>
      </c>
      <c r="K459" s="34">
        <f t="shared" si="29"/>
        <v>1.364114057683663E-3</v>
      </c>
      <c r="L459" s="34">
        <f t="shared" si="30"/>
        <v>0.99069222413464164</v>
      </c>
      <c r="M459" s="34">
        <f t="shared" si="31"/>
        <v>0.98934080694486171</v>
      </c>
    </row>
    <row r="460" spans="1:13" ht="69">
      <c r="A460" t="s">
        <v>164</v>
      </c>
      <c r="B460" t="s">
        <v>115</v>
      </c>
      <c r="C460" s="14" t="s">
        <v>291</v>
      </c>
      <c r="D460" t="s">
        <v>366</v>
      </c>
      <c r="E460" t="s">
        <v>383</v>
      </c>
      <c r="F460" s="20">
        <v>2036</v>
      </c>
      <c r="G460" s="20">
        <v>48</v>
      </c>
      <c r="H460" s="11">
        <v>6157.5531884706697</v>
      </c>
      <c r="I460" s="10">
        <v>4014036.3711401499</v>
      </c>
      <c r="J460" s="34">
        <f t="shared" si="28"/>
        <v>1.5340053300816688E-3</v>
      </c>
      <c r="K460" s="34">
        <f t="shared" si="29"/>
        <v>1.5328293453045205E-3</v>
      </c>
      <c r="L460" s="34">
        <f t="shared" si="30"/>
        <v>0.98934080694486171</v>
      </c>
      <c r="M460" s="34">
        <f t="shared" si="31"/>
        <v>0.98782431632346934</v>
      </c>
    </row>
    <row r="461" spans="1:13" ht="69">
      <c r="A461" t="s">
        <v>164</v>
      </c>
      <c r="B461" t="s">
        <v>115</v>
      </c>
      <c r="C461" s="14" t="s">
        <v>291</v>
      </c>
      <c r="D461" t="s">
        <v>366</v>
      </c>
      <c r="E461" t="s">
        <v>383</v>
      </c>
      <c r="F461" s="20">
        <v>2036</v>
      </c>
      <c r="G461" s="20">
        <v>49</v>
      </c>
      <c r="H461" s="11">
        <v>6624.4609954286798</v>
      </c>
      <c r="I461" s="10">
        <v>3957404.74361871</v>
      </c>
      <c r="J461" s="34">
        <f t="shared" si="28"/>
        <v>1.6739407325244103E-3</v>
      </c>
      <c r="K461" s="34">
        <f t="shared" si="29"/>
        <v>1.6725404751612993E-3</v>
      </c>
      <c r="L461" s="34">
        <f t="shared" si="30"/>
        <v>0.98782431632346934</v>
      </c>
      <c r="M461" s="34">
        <f t="shared" si="31"/>
        <v>0.98617214017206978</v>
      </c>
    </row>
    <row r="462" spans="1:13" ht="69">
      <c r="A462" t="s">
        <v>164</v>
      </c>
      <c r="B462" t="s">
        <v>115</v>
      </c>
      <c r="C462" s="14" t="s">
        <v>291</v>
      </c>
      <c r="D462" t="s">
        <v>366</v>
      </c>
      <c r="E462" t="s">
        <v>383</v>
      </c>
      <c r="F462" s="20">
        <v>2036</v>
      </c>
      <c r="G462" s="20">
        <v>50</v>
      </c>
      <c r="H462" s="11">
        <v>7263.40306015645</v>
      </c>
      <c r="I462" s="10">
        <v>3960579.6807129201</v>
      </c>
      <c r="J462" s="34">
        <f t="shared" si="28"/>
        <v>1.8339242347597481E-3</v>
      </c>
      <c r="K462" s="34">
        <f t="shared" si="29"/>
        <v>1.8322436232387496E-3</v>
      </c>
      <c r="L462" s="34">
        <f t="shared" si="30"/>
        <v>0.98617214017206978</v>
      </c>
      <c r="M462" s="34">
        <f t="shared" si="31"/>
        <v>0.98436523255682384</v>
      </c>
    </row>
    <row r="463" spans="1:13" ht="69">
      <c r="A463" t="s">
        <v>164</v>
      </c>
      <c r="B463" t="s">
        <v>115</v>
      </c>
      <c r="C463" s="14" t="s">
        <v>291</v>
      </c>
      <c r="D463" t="s">
        <v>366</v>
      </c>
      <c r="E463" t="s">
        <v>383</v>
      </c>
      <c r="F463" s="20">
        <v>2036</v>
      </c>
      <c r="G463" s="20">
        <v>51</v>
      </c>
      <c r="H463" s="11">
        <v>8437.4183202043696</v>
      </c>
      <c r="I463" s="10">
        <v>4018193.3943404299</v>
      </c>
      <c r="J463" s="34">
        <f t="shared" si="28"/>
        <v>2.0998039397726246E-3</v>
      </c>
      <c r="K463" s="34">
        <f t="shared" si="29"/>
        <v>2.0976008937378943E-3</v>
      </c>
      <c r="L463" s="34">
        <f t="shared" si="30"/>
        <v>0.98436523255682384</v>
      </c>
      <c r="M463" s="34">
        <f t="shared" si="31"/>
        <v>0.98230042716524812</v>
      </c>
    </row>
    <row r="464" spans="1:13" ht="69">
      <c r="A464" t="s">
        <v>164</v>
      </c>
      <c r="B464" t="s">
        <v>115</v>
      </c>
      <c r="C464" s="14" t="s">
        <v>291</v>
      </c>
      <c r="D464" t="s">
        <v>366</v>
      </c>
      <c r="E464" t="s">
        <v>383</v>
      </c>
      <c r="F464" s="20">
        <v>2036</v>
      </c>
      <c r="G464" s="20">
        <v>52</v>
      </c>
      <c r="H464" s="11">
        <v>9273.0940696482794</v>
      </c>
      <c r="I464" s="10">
        <v>4034105.9433394801</v>
      </c>
      <c r="J464" s="34">
        <f t="shared" si="28"/>
        <v>2.2986739069058518E-3</v>
      </c>
      <c r="K464" s="34">
        <f t="shared" si="29"/>
        <v>2.2960339792057471E-3</v>
      </c>
      <c r="L464" s="34">
        <f t="shared" si="30"/>
        <v>0.98230042716524812</v>
      </c>
      <c r="M464" s="34">
        <f t="shared" si="31"/>
        <v>0.98004503200668835</v>
      </c>
    </row>
    <row r="465" spans="1:13" ht="69">
      <c r="A465" t="s">
        <v>164</v>
      </c>
      <c r="B465" t="s">
        <v>115</v>
      </c>
      <c r="C465" s="14" t="s">
        <v>291</v>
      </c>
      <c r="D465" t="s">
        <v>366</v>
      </c>
      <c r="E465" t="s">
        <v>383</v>
      </c>
      <c r="F465" s="20">
        <v>2036</v>
      </c>
      <c r="G465" s="20">
        <v>53</v>
      </c>
      <c r="H465" s="11">
        <v>9903.5099898808203</v>
      </c>
      <c r="I465" s="10">
        <v>3992630.2224282199</v>
      </c>
      <c r="J465" s="34">
        <f t="shared" si="28"/>
        <v>2.4804475842137336E-3</v>
      </c>
      <c r="K465" s="34">
        <f t="shared" si="29"/>
        <v>2.4773738160701608E-3</v>
      </c>
      <c r="L465" s="34">
        <f t="shared" si="30"/>
        <v>0.98004503200668835</v>
      </c>
      <c r="M465" s="34">
        <f t="shared" si="31"/>
        <v>0.97761709410582531</v>
      </c>
    </row>
    <row r="466" spans="1:13" ht="69">
      <c r="A466" t="s">
        <v>164</v>
      </c>
      <c r="B466" t="s">
        <v>115</v>
      </c>
      <c r="C466" s="14" t="s">
        <v>291</v>
      </c>
      <c r="D466" t="s">
        <v>366</v>
      </c>
      <c r="E466" t="s">
        <v>383</v>
      </c>
      <c r="F466" s="20">
        <v>2036</v>
      </c>
      <c r="G466" s="20">
        <v>54</v>
      </c>
      <c r="H466" s="11">
        <v>10597.9989338249</v>
      </c>
      <c r="I466" s="10">
        <v>3926694.8864806201</v>
      </c>
      <c r="J466" s="34">
        <f t="shared" si="28"/>
        <v>2.6989616561024863E-3</v>
      </c>
      <c r="K466" s="34">
        <f t="shared" si="29"/>
        <v>2.6953227335988483E-3</v>
      </c>
      <c r="L466" s="34">
        <f t="shared" si="30"/>
        <v>0.97761709410582531</v>
      </c>
      <c r="M466" s="34">
        <f t="shared" si="31"/>
        <v>0.97498210052732703</v>
      </c>
    </row>
    <row r="467" spans="1:13" ht="69">
      <c r="A467" t="s">
        <v>164</v>
      </c>
      <c r="B467" t="s">
        <v>115</v>
      </c>
      <c r="C467" s="14" t="s">
        <v>291</v>
      </c>
      <c r="D467" t="s">
        <v>366</v>
      </c>
      <c r="E467" t="s">
        <v>383</v>
      </c>
      <c r="F467" s="20">
        <v>2036</v>
      </c>
      <c r="G467" s="20">
        <v>55</v>
      </c>
      <c r="H467" s="11">
        <v>11281.146508706701</v>
      </c>
      <c r="I467" s="10">
        <v>3853512.00162953</v>
      </c>
      <c r="J467" s="34">
        <f t="shared" si="28"/>
        <v>2.927497437126511E-3</v>
      </c>
      <c r="K467" s="34">
        <f t="shared" si="29"/>
        <v>2.9232164950055983E-3</v>
      </c>
      <c r="L467" s="34">
        <f t="shared" si="30"/>
        <v>0.97498210052732703</v>
      </c>
      <c r="M467" s="34">
        <f t="shared" si="31"/>
        <v>0.97213201676873029</v>
      </c>
    </row>
    <row r="468" spans="1:13" ht="69">
      <c r="A468" t="s">
        <v>164</v>
      </c>
      <c r="B468" t="s">
        <v>115</v>
      </c>
      <c r="C468" s="14" t="s">
        <v>291</v>
      </c>
      <c r="D468" t="s">
        <v>366</v>
      </c>
      <c r="E468" t="s">
        <v>383</v>
      </c>
      <c r="F468" s="20">
        <v>2036</v>
      </c>
      <c r="G468" s="20">
        <v>56</v>
      </c>
      <c r="H468" s="11">
        <v>12019.1619555699</v>
      </c>
      <c r="I468" s="10">
        <v>3784813.02861185</v>
      </c>
      <c r="J468" s="34">
        <f t="shared" si="28"/>
        <v>3.17562898476339E-3</v>
      </c>
      <c r="K468" s="34">
        <f t="shared" si="29"/>
        <v>3.1705920083058281E-3</v>
      </c>
      <c r="L468" s="34">
        <f t="shared" si="30"/>
        <v>0.97213201676873029</v>
      </c>
      <c r="M468" s="34">
        <f t="shared" si="31"/>
        <v>0.96904978276534515</v>
      </c>
    </row>
    <row r="469" spans="1:13" ht="69">
      <c r="A469" t="s">
        <v>164</v>
      </c>
      <c r="B469" t="s">
        <v>115</v>
      </c>
      <c r="C469" s="14" t="s">
        <v>291</v>
      </c>
      <c r="D469" t="s">
        <v>366</v>
      </c>
      <c r="E469" t="s">
        <v>383</v>
      </c>
      <c r="F469" s="20">
        <v>2036</v>
      </c>
      <c r="G469" s="20">
        <v>57</v>
      </c>
      <c r="H469" s="11">
        <v>12822.8502387607</v>
      </c>
      <c r="I469" s="10">
        <v>3702220.3105433499</v>
      </c>
      <c r="J469" s="34">
        <f t="shared" si="28"/>
        <v>3.4635567749015934E-3</v>
      </c>
      <c r="K469" s="34">
        <f t="shared" si="29"/>
        <v>3.4575655810777928E-3</v>
      </c>
      <c r="L469" s="34">
        <f t="shared" si="30"/>
        <v>0.96904978276534515</v>
      </c>
      <c r="M469" s="34">
        <f t="shared" si="31"/>
        <v>0.96569922959010479</v>
      </c>
    </row>
    <row r="470" spans="1:13" ht="69">
      <c r="A470" t="s">
        <v>164</v>
      </c>
      <c r="B470" t="s">
        <v>115</v>
      </c>
      <c r="C470" s="14" t="s">
        <v>291</v>
      </c>
      <c r="D470" t="s">
        <v>366</v>
      </c>
      <c r="E470" t="s">
        <v>383</v>
      </c>
      <c r="F470" s="20">
        <v>2036</v>
      </c>
      <c r="G470" s="20">
        <v>58</v>
      </c>
      <c r="H470" s="11">
        <v>13597.1377035113</v>
      </c>
      <c r="I470" s="10">
        <v>3595624.6846463601</v>
      </c>
      <c r="J470" s="34">
        <f t="shared" si="28"/>
        <v>3.7815786952326525E-3</v>
      </c>
      <c r="K470" s="34">
        <f t="shared" si="29"/>
        <v>3.7744375309793909E-3</v>
      </c>
      <c r="L470" s="34">
        <f t="shared" si="30"/>
        <v>0.96569922959010479</v>
      </c>
      <c r="M470" s="34">
        <f t="shared" si="31"/>
        <v>0.96205425817430201</v>
      </c>
    </row>
    <row r="471" spans="1:13" ht="69">
      <c r="A471" t="s">
        <v>164</v>
      </c>
      <c r="B471" t="s">
        <v>115</v>
      </c>
      <c r="C471" s="14" t="s">
        <v>291</v>
      </c>
      <c r="D471" t="s">
        <v>366</v>
      </c>
      <c r="E471" t="s">
        <v>383</v>
      </c>
      <c r="F471" s="20">
        <v>2036</v>
      </c>
      <c r="G471" s="20">
        <v>59</v>
      </c>
      <c r="H471" s="11">
        <v>13769.237494487599</v>
      </c>
      <c r="I471" s="10">
        <v>3492386.5273234099</v>
      </c>
      <c r="J471" s="34">
        <f t="shared" si="28"/>
        <v>3.9426442023988801E-3</v>
      </c>
      <c r="K471" s="34">
        <f t="shared" si="29"/>
        <v>3.9348821850537785E-3</v>
      </c>
      <c r="L471" s="34">
        <f t="shared" si="30"/>
        <v>0.96205425817430201</v>
      </c>
      <c r="M471" s="34">
        <f t="shared" si="31"/>
        <v>0.95826868801275678</v>
      </c>
    </row>
    <row r="472" spans="1:13" ht="69">
      <c r="A472" t="s">
        <v>164</v>
      </c>
      <c r="B472" t="s">
        <v>115</v>
      </c>
      <c r="C472" s="14" t="s">
        <v>291</v>
      </c>
      <c r="D472" t="s">
        <v>366</v>
      </c>
      <c r="E472" t="s">
        <v>383</v>
      </c>
      <c r="F472" s="20">
        <v>2036</v>
      </c>
      <c r="G472" s="20">
        <v>60</v>
      </c>
      <c r="H472" s="11">
        <v>14269.0199208047</v>
      </c>
      <c r="I472" s="10">
        <v>3402822.6038834299</v>
      </c>
      <c r="J472" s="34">
        <f t="shared" si="28"/>
        <v>4.1932893899671274E-3</v>
      </c>
      <c r="K472" s="34">
        <f t="shared" si="29"/>
        <v>4.1845098280480775E-3</v>
      </c>
      <c r="L472" s="34">
        <f t="shared" si="30"/>
        <v>0.95826868801275678</v>
      </c>
      <c r="M472" s="34">
        <f t="shared" si="31"/>
        <v>0.95425880326985668</v>
      </c>
    </row>
    <row r="473" spans="1:13" ht="69">
      <c r="A473" t="s">
        <v>164</v>
      </c>
      <c r="B473" t="s">
        <v>115</v>
      </c>
      <c r="C473" s="14" t="s">
        <v>291</v>
      </c>
      <c r="D473" t="s">
        <v>366</v>
      </c>
      <c r="E473" t="s">
        <v>383</v>
      </c>
      <c r="F473" s="20">
        <v>2036</v>
      </c>
      <c r="G473" s="20">
        <v>61</v>
      </c>
      <c r="H473" s="11">
        <v>14969.009391215701</v>
      </c>
      <c r="I473" s="10">
        <v>3300979.2436533798</v>
      </c>
      <c r="J473" s="34">
        <f t="shared" si="28"/>
        <v>4.5347178174463933E-3</v>
      </c>
      <c r="K473" s="34">
        <f t="shared" si="29"/>
        <v>4.5244515087379256E-3</v>
      </c>
      <c r="L473" s="34">
        <f t="shared" si="30"/>
        <v>0.95425880326985668</v>
      </c>
      <c r="M473" s="34">
        <f t="shared" si="31"/>
        <v>0.94994130558767598</v>
      </c>
    </row>
    <row r="474" spans="1:13" ht="69">
      <c r="A474" t="s">
        <v>164</v>
      </c>
      <c r="B474" t="s">
        <v>115</v>
      </c>
      <c r="C474" s="14" t="s">
        <v>291</v>
      </c>
      <c r="D474" t="s">
        <v>366</v>
      </c>
      <c r="E474" t="s">
        <v>383</v>
      </c>
      <c r="F474" s="20">
        <v>2036</v>
      </c>
      <c r="G474" s="20">
        <v>62</v>
      </c>
      <c r="H474" s="11">
        <v>15782.1148073446</v>
      </c>
      <c r="I474" s="10">
        <v>3212480.4159860699</v>
      </c>
      <c r="J474" s="34">
        <f t="shared" si="28"/>
        <v>4.9127505116635193E-3</v>
      </c>
      <c r="K474" s="34">
        <f t="shared" si="29"/>
        <v>4.9007026902566642E-3</v>
      </c>
      <c r="L474" s="34">
        <f t="shared" si="30"/>
        <v>0.94994130558767598</v>
      </c>
      <c r="M474" s="34">
        <f t="shared" si="31"/>
        <v>0.9452859256757965</v>
      </c>
    </row>
    <row r="475" spans="1:13" ht="69">
      <c r="A475" t="s">
        <v>164</v>
      </c>
      <c r="B475" t="s">
        <v>115</v>
      </c>
      <c r="C475" s="14" t="s">
        <v>291</v>
      </c>
      <c r="D475" t="s">
        <v>366</v>
      </c>
      <c r="E475" t="s">
        <v>383</v>
      </c>
      <c r="F475" s="20">
        <v>2036</v>
      </c>
      <c r="G475" s="20">
        <v>63</v>
      </c>
      <c r="H475" s="11">
        <v>16624.2986989786</v>
      </c>
      <c r="I475" s="10">
        <v>3123113.0746071399</v>
      </c>
      <c r="J475" s="34">
        <f t="shared" si="28"/>
        <v>5.322989690685404E-3</v>
      </c>
      <c r="K475" s="34">
        <f t="shared" si="29"/>
        <v>5.3088476847723554E-3</v>
      </c>
      <c r="L475" s="34">
        <f t="shared" si="30"/>
        <v>0.9452859256757965</v>
      </c>
      <c r="M475" s="34">
        <f t="shared" si="31"/>
        <v>0.94026754667782464</v>
      </c>
    </row>
    <row r="476" spans="1:13" ht="69">
      <c r="A476" t="s">
        <v>164</v>
      </c>
      <c r="B476" t="s">
        <v>115</v>
      </c>
      <c r="C476" s="14" t="s">
        <v>291</v>
      </c>
      <c r="D476" t="s">
        <v>366</v>
      </c>
      <c r="E476" t="s">
        <v>383</v>
      </c>
      <c r="F476" s="20">
        <v>2036</v>
      </c>
      <c r="G476" s="20">
        <v>64</v>
      </c>
      <c r="H476" s="11">
        <v>17652.6692492572</v>
      </c>
      <c r="I476" s="10">
        <v>3013674.5913694999</v>
      </c>
      <c r="J476" s="34">
        <f t="shared" si="28"/>
        <v>5.8575233370618566E-3</v>
      </c>
      <c r="K476" s="34">
        <f t="shared" si="29"/>
        <v>5.8404014940832694E-3</v>
      </c>
      <c r="L476" s="34">
        <f t="shared" si="30"/>
        <v>0.94026754667782464</v>
      </c>
      <c r="M476" s="34">
        <f t="shared" si="31"/>
        <v>0.93477600669336947</v>
      </c>
    </row>
    <row r="477" spans="1:13" ht="69">
      <c r="A477" t="s">
        <v>164</v>
      </c>
      <c r="B477" t="s">
        <v>115</v>
      </c>
      <c r="C477" s="14" t="s">
        <v>291</v>
      </c>
      <c r="D477" t="s">
        <v>366</v>
      </c>
      <c r="E477" t="s">
        <v>383</v>
      </c>
      <c r="F477" s="20">
        <v>2036</v>
      </c>
      <c r="G477" s="20">
        <v>65</v>
      </c>
      <c r="H477" s="11">
        <v>18648.6423113657</v>
      </c>
      <c r="I477" s="10">
        <v>2913260.0848559798</v>
      </c>
      <c r="J477" s="34">
        <f t="shared" si="28"/>
        <v>6.4012967494069851E-3</v>
      </c>
      <c r="K477" s="34">
        <f t="shared" si="29"/>
        <v>6.3808520967272297E-3</v>
      </c>
      <c r="L477" s="34">
        <f t="shared" si="30"/>
        <v>0.93477600669336947</v>
      </c>
      <c r="M477" s="34">
        <f t="shared" si="31"/>
        <v>0.92881133925108972</v>
      </c>
    </row>
    <row r="478" spans="1:13" ht="69">
      <c r="A478" t="s">
        <v>164</v>
      </c>
      <c r="B478" t="s">
        <v>115</v>
      </c>
      <c r="C478" s="14" t="s">
        <v>291</v>
      </c>
      <c r="D478" t="s">
        <v>366</v>
      </c>
      <c r="E478" t="s">
        <v>383</v>
      </c>
      <c r="F478" s="20">
        <v>2036</v>
      </c>
      <c r="G478" s="20">
        <v>66</v>
      </c>
      <c r="H478" s="11">
        <v>19093.940514457001</v>
      </c>
      <c r="I478" s="10">
        <v>2810015.5336246402</v>
      </c>
      <c r="J478" s="34">
        <f t="shared" si="28"/>
        <v>6.7949590619620949E-3</v>
      </c>
      <c r="K478" s="34">
        <f t="shared" si="29"/>
        <v>6.7719255278038126E-3</v>
      </c>
      <c r="L478" s="34">
        <f t="shared" si="30"/>
        <v>0.92881133925108972</v>
      </c>
      <c r="M478" s="34">
        <f t="shared" si="31"/>
        <v>0.92252149803230166</v>
      </c>
    </row>
    <row r="479" spans="1:13" ht="69">
      <c r="A479" t="s">
        <v>164</v>
      </c>
      <c r="B479" t="s">
        <v>115</v>
      </c>
      <c r="C479" s="14" t="s">
        <v>291</v>
      </c>
      <c r="D479" t="s">
        <v>366</v>
      </c>
      <c r="E479" t="s">
        <v>383</v>
      </c>
      <c r="F479" s="20">
        <v>2036</v>
      </c>
      <c r="G479" s="20">
        <v>67</v>
      </c>
      <c r="H479" s="11">
        <v>19953.1194993797</v>
      </c>
      <c r="I479" s="10">
        <v>2691155.4278384401</v>
      </c>
      <c r="J479" s="34">
        <f t="shared" si="28"/>
        <v>7.4143318862137306E-3</v>
      </c>
      <c r="K479" s="34">
        <f t="shared" si="29"/>
        <v>7.3869135323267887E-3</v>
      </c>
      <c r="L479" s="34">
        <f t="shared" si="30"/>
        <v>0.92252149803230166</v>
      </c>
      <c r="M479" s="34">
        <f t="shared" si="31"/>
        <v>0.91570691149462446</v>
      </c>
    </row>
    <row r="480" spans="1:13" ht="69">
      <c r="A480" t="s">
        <v>164</v>
      </c>
      <c r="B480" t="s">
        <v>115</v>
      </c>
      <c r="C480" s="14" t="s">
        <v>291</v>
      </c>
      <c r="D480" t="s">
        <v>366</v>
      </c>
      <c r="E480" t="s">
        <v>383</v>
      </c>
      <c r="F480" s="20">
        <v>2036</v>
      </c>
      <c r="G480" s="20">
        <v>68</v>
      </c>
      <c r="H480" s="11">
        <v>20897.858871998698</v>
      </c>
      <c r="I480" s="10">
        <v>2563830.2947941301</v>
      </c>
      <c r="J480" s="34">
        <f t="shared" si="28"/>
        <v>8.1510304774976335E-3</v>
      </c>
      <c r="K480" s="34">
        <f t="shared" si="29"/>
        <v>8.1179009030739602E-3</v>
      </c>
      <c r="L480" s="34">
        <f t="shared" si="30"/>
        <v>0.91570691149462446</v>
      </c>
      <c r="M480" s="34">
        <f t="shared" si="31"/>
        <v>0.90827329353085118</v>
      </c>
    </row>
    <row r="481" spans="1:13" ht="69">
      <c r="A481" t="s">
        <v>164</v>
      </c>
      <c r="B481" t="s">
        <v>115</v>
      </c>
      <c r="C481" s="14" t="s">
        <v>291</v>
      </c>
      <c r="D481" t="s">
        <v>366</v>
      </c>
      <c r="E481" t="s">
        <v>383</v>
      </c>
      <c r="F481" s="20">
        <v>2036</v>
      </c>
      <c r="G481" s="20">
        <v>69</v>
      </c>
      <c r="H481" s="11">
        <v>21127.531146111301</v>
      </c>
      <c r="I481" s="10">
        <v>2437937.9975799001</v>
      </c>
      <c r="J481" s="34">
        <f t="shared" si="28"/>
        <v>8.6661478540817054E-3</v>
      </c>
      <c r="K481" s="34">
        <f t="shared" si="29"/>
        <v>8.6287050345044136E-3</v>
      </c>
      <c r="L481" s="34">
        <f t="shared" si="30"/>
        <v>0.90827329353085118</v>
      </c>
      <c r="M481" s="34">
        <f t="shared" si="31"/>
        <v>0.90043607119025559</v>
      </c>
    </row>
    <row r="482" spans="1:13" ht="69">
      <c r="A482" t="s">
        <v>164</v>
      </c>
      <c r="B482" t="s">
        <v>115</v>
      </c>
      <c r="C482" s="14" t="s">
        <v>291</v>
      </c>
      <c r="D482" t="s">
        <v>366</v>
      </c>
      <c r="E482" t="s">
        <v>383</v>
      </c>
      <c r="F482" s="20">
        <v>2037</v>
      </c>
      <c r="G482" s="20">
        <v>30</v>
      </c>
      <c r="H482" s="11">
        <v>721.46677332022</v>
      </c>
      <c r="I482" s="10">
        <v>4637205.2196896402</v>
      </c>
      <c r="J482" s="34">
        <f t="shared" si="28"/>
        <v>1.5558223954740275E-4</v>
      </c>
      <c r="K482" s="34">
        <f t="shared" si="29"/>
        <v>1.5557013725842062E-4</v>
      </c>
      <c r="L482" s="34">
        <f t="shared" si="30"/>
        <v>1</v>
      </c>
      <c r="M482" s="34">
        <f t="shared" si="31"/>
        <v>0.99984442986274158</v>
      </c>
    </row>
    <row r="483" spans="1:13" ht="69">
      <c r="A483" t="s">
        <v>164</v>
      </c>
      <c r="B483" t="s">
        <v>115</v>
      </c>
      <c r="C483" s="14" t="s">
        <v>291</v>
      </c>
      <c r="D483" t="s">
        <v>366</v>
      </c>
      <c r="E483" t="s">
        <v>383</v>
      </c>
      <c r="F483" s="20">
        <v>2037</v>
      </c>
      <c r="G483" s="20">
        <v>31</v>
      </c>
      <c r="H483" s="11">
        <v>1018.20124369889</v>
      </c>
      <c r="I483" s="10">
        <v>4566323.2572588297</v>
      </c>
      <c r="J483" s="34">
        <f t="shared" si="28"/>
        <v>2.2298054393768822E-4</v>
      </c>
      <c r="K483" s="34">
        <f t="shared" si="29"/>
        <v>2.2295568562391566E-4</v>
      </c>
      <c r="L483" s="34">
        <f t="shared" si="30"/>
        <v>0.99984442986274158</v>
      </c>
      <c r="M483" s="34">
        <f t="shared" si="31"/>
        <v>0.99962150886236423</v>
      </c>
    </row>
    <row r="484" spans="1:13" ht="69">
      <c r="A484" t="s">
        <v>164</v>
      </c>
      <c r="B484" t="s">
        <v>115</v>
      </c>
      <c r="C484" s="14" t="s">
        <v>291</v>
      </c>
      <c r="D484" t="s">
        <v>366</v>
      </c>
      <c r="E484" t="s">
        <v>383</v>
      </c>
      <c r="F484" s="20">
        <v>2037</v>
      </c>
      <c r="G484" s="20">
        <v>32</v>
      </c>
      <c r="H484" s="11">
        <v>1031.2026012543899</v>
      </c>
      <c r="I484" s="10">
        <v>4472867.5699537201</v>
      </c>
      <c r="J484" s="34">
        <f t="shared" si="28"/>
        <v>2.3054619550586417E-4</v>
      </c>
      <c r="K484" s="34">
        <f t="shared" si="29"/>
        <v>2.3051962177389473E-4</v>
      </c>
      <c r="L484" s="34">
        <f t="shared" si="30"/>
        <v>0.99962150886236423</v>
      </c>
      <c r="M484" s="34">
        <f t="shared" si="31"/>
        <v>0.99939107649022418</v>
      </c>
    </row>
    <row r="485" spans="1:13" ht="69">
      <c r="A485" t="s">
        <v>164</v>
      </c>
      <c r="B485" t="s">
        <v>115</v>
      </c>
      <c r="C485" s="14" t="s">
        <v>291</v>
      </c>
      <c r="D485" t="s">
        <v>366</v>
      </c>
      <c r="E485" t="s">
        <v>383</v>
      </c>
      <c r="F485" s="20">
        <v>2037</v>
      </c>
      <c r="G485" s="20">
        <v>33</v>
      </c>
      <c r="H485" s="11">
        <v>1072.8839972538899</v>
      </c>
      <c r="I485" s="10">
        <v>4376001.4789393796</v>
      </c>
      <c r="J485" s="34">
        <f t="shared" si="28"/>
        <v>2.4517450517725302E-4</v>
      </c>
      <c r="K485" s="34">
        <f t="shared" si="29"/>
        <v>2.4514445236434312E-4</v>
      </c>
      <c r="L485" s="34">
        <f t="shared" si="30"/>
        <v>0.99939107649022418</v>
      </c>
      <c r="M485" s="34">
        <f t="shared" si="31"/>
        <v>0.99914608131208016</v>
      </c>
    </row>
    <row r="486" spans="1:13" ht="69">
      <c r="A486" t="s">
        <v>164</v>
      </c>
      <c r="B486" t="s">
        <v>115</v>
      </c>
      <c r="C486" s="14" t="s">
        <v>291</v>
      </c>
      <c r="D486" t="s">
        <v>366</v>
      </c>
      <c r="E486" t="s">
        <v>383</v>
      </c>
      <c r="F486" s="20">
        <v>2037</v>
      </c>
      <c r="G486" s="20">
        <v>34</v>
      </c>
      <c r="H486" s="11">
        <v>1155.60247655544</v>
      </c>
      <c r="I486" s="10">
        <v>4333464.9317526203</v>
      </c>
      <c r="J486" s="34">
        <f t="shared" si="28"/>
        <v>2.6666939614256204E-4</v>
      </c>
      <c r="K486" s="34">
        <f t="shared" si="29"/>
        <v>2.6663384301950366E-4</v>
      </c>
      <c r="L486" s="34">
        <f t="shared" si="30"/>
        <v>0.99914608131208016</v>
      </c>
      <c r="M486" s="34">
        <f t="shared" si="31"/>
        <v>0.99887967515268206</v>
      </c>
    </row>
    <row r="487" spans="1:13" ht="69">
      <c r="A487" t="s">
        <v>164</v>
      </c>
      <c r="B487" t="s">
        <v>115</v>
      </c>
      <c r="C487" s="14" t="s">
        <v>291</v>
      </c>
      <c r="D487" t="s">
        <v>366</v>
      </c>
      <c r="E487" t="s">
        <v>383</v>
      </c>
      <c r="F487" s="20">
        <v>2037</v>
      </c>
      <c r="G487" s="20">
        <v>35</v>
      </c>
      <c r="H487" s="11">
        <v>1266.2784447850299</v>
      </c>
      <c r="I487" s="10">
        <v>4313687.4431752199</v>
      </c>
      <c r="J487" s="34">
        <f t="shared" si="28"/>
        <v>2.9354895584482763E-4</v>
      </c>
      <c r="K487" s="34">
        <f t="shared" si="29"/>
        <v>2.9350587456566934E-4</v>
      </c>
      <c r="L487" s="34">
        <f t="shared" si="30"/>
        <v>0.99887967515268206</v>
      </c>
      <c r="M487" s="34">
        <f t="shared" si="31"/>
        <v>0.99858649810004052</v>
      </c>
    </row>
    <row r="488" spans="1:13" ht="69">
      <c r="A488" t="s">
        <v>164</v>
      </c>
      <c r="B488" t="s">
        <v>115</v>
      </c>
      <c r="C488" s="14" t="s">
        <v>291</v>
      </c>
      <c r="D488" t="s">
        <v>366</v>
      </c>
      <c r="E488" t="s">
        <v>383</v>
      </c>
      <c r="F488" s="20">
        <v>2037</v>
      </c>
      <c r="G488" s="20">
        <v>36</v>
      </c>
      <c r="H488" s="11">
        <v>1658.5934029180601</v>
      </c>
      <c r="I488" s="10">
        <v>4293882.8675700603</v>
      </c>
      <c r="J488" s="34">
        <f t="shared" si="28"/>
        <v>3.8626889788837443E-4</v>
      </c>
      <c r="K488" s="34">
        <f t="shared" si="29"/>
        <v>3.861943056621131E-4</v>
      </c>
      <c r="L488" s="34">
        <f t="shared" si="30"/>
        <v>0.99858649810004052</v>
      </c>
      <c r="M488" s="34">
        <f t="shared" si="31"/>
        <v>0.99820084968076317</v>
      </c>
    </row>
    <row r="489" spans="1:13" ht="69">
      <c r="A489" t="s">
        <v>164</v>
      </c>
      <c r="B489" t="s">
        <v>115</v>
      </c>
      <c r="C489" s="14" t="s">
        <v>291</v>
      </c>
      <c r="D489" t="s">
        <v>366</v>
      </c>
      <c r="E489" t="s">
        <v>383</v>
      </c>
      <c r="F489" s="20">
        <v>2037</v>
      </c>
      <c r="G489" s="20">
        <v>37</v>
      </c>
      <c r="H489" s="11">
        <v>1827.76069272428</v>
      </c>
      <c r="I489" s="10">
        <v>4293665.05880618</v>
      </c>
      <c r="J489" s="34">
        <f t="shared" si="28"/>
        <v>4.2568776737151329E-4</v>
      </c>
      <c r="K489" s="34">
        <f t="shared" si="29"/>
        <v>4.2559717518897422E-4</v>
      </c>
      <c r="L489" s="34">
        <f t="shared" si="30"/>
        <v>0.99820084968076317</v>
      </c>
      <c r="M489" s="34">
        <f t="shared" si="31"/>
        <v>0.99777601821886786</v>
      </c>
    </row>
    <row r="490" spans="1:13" ht="69">
      <c r="A490" t="s">
        <v>164</v>
      </c>
      <c r="B490" t="s">
        <v>115</v>
      </c>
      <c r="C490" s="14" t="s">
        <v>291</v>
      </c>
      <c r="D490" t="s">
        <v>366</v>
      </c>
      <c r="E490" t="s">
        <v>383</v>
      </c>
      <c r="F490" s="20">
        <v>2037</v>
      </c>
      <c r="G490" s="20">
        <v>38</v>
      </c>
      <c r="H490" s="11">
        <v>2047.4472998572601</v>
      </c>
      <c r="I490" s="10">
        <v>4331776.8933134796</v>
      </c>
      <c r="J490" s="34">
        <f t="shared" si="28"/>
        <v>4.7265760686283144E-4</v>
      </c>
      <c r="K490" s="34">
        <f t="shared" si="29"/>
        <v>4.7254592185308475E-4</v>
      </c>
      <c r="L490" s="34">
        <f t="shared" si="30"/>
        <v>0.99777601821886786</v>
      </c>
      <c r="M490" s="34">
        <f t="shared" si="31"/>
        <v>0.99730452323053576</v>
      </c>
    </row>
    <row r="491" spans="1:13" ht="69">
      <c r="A491" t="s">
        <v>164</v>
      </c>
      <c r="B491" t="s">
        <v>115</v>
      </c>
      <c r="C491" s="14" t="s">
        <v>291</v>
      </c>
      <c r="D491" t="s">
        <v>366</v>
      </c>
      <c r="E491" t="s">
        <v>383</v>
      </c>
      <c r="F491" s="20">
        <v>2037</v>
      </c>
      <c r="G491" s="20">
        <v>39</v>
      </c>
      <c r="H491" s="11">
        <v>2194.8163796745698</v>
      </c>
      <c r="I491" s="10">
        <v>4372193.8444780596</v>
      </c>
      <c r="J491" s="34">
        <f t="shared" si="28"/>
        <v>5.0199429799905888E-4</v>
      </c>
      <c r="K491" s="34">
        <f t="shared" si="29"/>
        <v>5.018683199423668E-4</v>
      </c>
      <c r="L491" s="34">
        <f t="shared" si="30"/>
        <v>0.99730452323053576</v>
      </c>
      <c r="M491" s="34">
        <f t="shared" si="31"/>
        <v>0.99680400768499111</v>
      </c>
    </row>
    <row r="492" spans="1:13" ht="69">
      <c r="A492" t="s">
        <v>164</v>
      </c>
      <c r="B492" t="s">
        <v>115</v>
      </c>
      <c r="C492" s="14" t="s">
        <v>291</v>
      </c>
      <c r="D492" t="s">
        <v>366</v>
      </c>
      <c r="E492" t="s">
        <v>383</v>
      </c>
      <c r="F492" s="20">
        <v>2037</v>
      </c>
      <c r="G492" s="20">
        <v>40</v>
      </c>
      <c r="H492" s="11">
        <v>2379.3155854154002</v>
      </c>
      <c r="I492" s="10">
        <v>4366448.4318104098</v>
      </c>
      <c r="J492" s="34">
        <f t="shared" si="28"/>
        <v>5.4490866491898368E-4</v>
      </c>
      <c r="K492" s="34">
        <f t="shared" si="29"/>
        <v>5.4476022915495026E-4</v>
      </c>
      <c r="L492" s="34">
        <f t="shared" si="30"/>
        <v>0.99680400768499111</v>
      </c>
      <c r="M492" s="34">
        <f t="shared" si="31"/>
        <v>0.99626098850534206</v>
      </c>
    </row>
    <row r="493" spans="1:13" ht="69">
      <c r="A493" t="s">
        <v>164</v>
      </c>
      <c r="B493" t="s">
        <v>115</v>
      </c>
      <c r="C493" s="14" t="s">
        <v>291</v>
      </c>
      <c r="D493" t="s">
        <v>366</v>
      </c>
      <c r="E493" t="s">
        <v>383</v>
      </c>
      <c r="F493" s="20">
        <v>2037</v>
      </c>
      <c r="G493" s="20">
        <v>41</v>
      </c>
      <c r="H493" s="11">
        <v>3030.86208168945</v>
      </c>
      <c r="I493" s="10">
        <v>4301941.7384723797</v>
      </c>
      <c r="J493" s="34">
        <f t="shared" si="28"/>
        <v>7.0453350276326843E-4</v>
      </c>
      <c r="K493" s="34">
        <f t="shared" si="29"/>
        <v>7.0428537730937713E-4</v>
      </c>
      <c r="L493" s="34">
        <f t="shared" si="30"/>
        <v>0.99626098850534206</v>
      </c>
      <c r="M493" s="34">
        <f t="shared" si="31"/>
        <v>0.99555933645915395</v>
      </c>
    </row>
    <row r="494" spans="1:13" ht="69">
      <c r="A494" t="s">
        <v>164</v>
      </c>
      <c r="B494" t="s">
        <v>115</v>
      </c>
      <c r="C494" s="14" t="s">
        <v>291</v>
      </c>
      <c r="D494" t="s">
        <v>366</v>
      </c>
      <c r="E494" t="s">
        <v>383</v>
      </c>
      <c r="F494" s="20">
        <v>2037</v>
      </c>
      <c r="G494" s="20">
        <v>42</v>
      </c>
      <c r="H494" s="11">
        <v>3271.08380030649</v>
      </c>
      <c r="I494" s="10">
        <v>4235386.7128657196</v>
      </c>
      <c r="J494" s="34">
        <f t="shared" si="28"/>
        <v>7.7232234552986794E-4</v>
      </c>
      <c r="K494" s="34">
        <f t="shared" si="29"/>
        <v>7.7202418139166173E-4</v>
      </c>
      <c r="L494" s="34">
        <f t="shared" si="30"/>
        <v>0.99555933645915395</v>
      </c>
      <c r="M494" s="34">
        <f t="shared" si="31"/>
        <v>0.99479074057739725</v>
      </c>
    </row>
    <row r="495" spans="1:13" ht="69">
      <c r="A495" t="s">
        <v>164</v>
      </c>
      <c r="B495" t="s">
        <v>115</v>
      </c>
      <c r="C495" s="14" t="s">
        <v>291</v>
      </c>
      <c r="D495" t="s">
        <v>366</v>
      </c>
      <c r="E495" t="s">
        <v>383</v>
      </c>
      <c r="F495" s="20">
        <v>2037</v>
      </c>
      <c r="G495" s="20">
        <v>43</v>
      </c>
      <c r="H495" s="11">
        <v>3576.9303619574298</v>
      </c>
      <c r="I495" s="10">
        <v>4177843.6824389701</v>
      </c>
      <c r="J495" s="34">
        <f t="shared" si="28"/>
        <v>8.5616663375716947E-4</v>
      </c>
      <c r="K495" s="34">
        <f t="shared" si="29"/>
        <v>8.5580022768050323E-4</v>
      </c>
      <c r="L495" s="34">
        <f t="shared" si="30"/>
        <v>0.99479074057739725</v>
      </c>
      <c r="M495" s="34">
        <f t="shared" si="31"/>
        <v>0.99393939843511669</v>
      </c>
    </row>
    <row r="496" spans="1:13" ht="69">
      <c r="A496" t="s">
        <v>164</v>
      </c>
      <c r="B496" t="s">
        <v>115</v>
      </c>
      <c r="C496" s="14" t="s">
        <v>291</v>
      </c>
      <c r="D496" t="s">
        <v>366</v>
      </c>
      <c r="E496" t="s">
        <v>383</v>
      </c>
      <c r="F496" s="20">
        <v>2037</v>
      </c>
      <c r="G496" s="20">
        <v>44</v>
      </c>
      <c r="H496" s="11">
        <v>3711.9538742056802</v>
      </c>
      <c r="I496" s="10">
        <v>4122332.6727847001</v>
      </c>
      <c r="J496" s="34">
        <f t="shared" si="28"/>
        <v>9.004498590595789E-4</v>
      </c>
      <c r="K496" s="34">
        <f t="shared" si="29"/>
        <v>9.0004457574011099E-4</v>
      </c>
      <c r="L496" s="34">
        <f t="shared" si="30"/>
        <v>0.99393939843511669</v>
      </c>
      <c r="M496" s="34">
        <f t="shared" si="31"/>
        <v>0.9930448086709408</v>
      </c>
    </row>
    <row r="497" spans="1:13" ht="69">
      <c r="A497" t="s">
        <v>164</v>
      </c>
      <c r="B497" t="s">
        <v>115</v>
      </c>
      <c r="C497" s="14" t="s">
        <v>291</v>
      </c>
      <c r="D497" t="s">
        <v>366</v>
      </c>
      <c r="E497" t="s">
        <v>383</v>
      </c>
      <c r="F497" s="20">
        <v>2037</v>
      </c>
      <c r="G497" s="20">
        <v>45</v>
      </c>
      <c r="H497" s="11">
        <v>3986.4576793695701</v>
      </c>
      <c r="I497" s="10">
        <v>4101021.1763781998</v>
      </c>
      <c r="J497" s="34">
        <f t="shared" si="28"/>
        <v>9.7206464144381573E-4</v>
      </c>
      <c r="K497" s="34">
        <f t="shared" si="29"/>
        <v>9.7159233965860015E-4</v>
      </c>
      <c r="L497" s="34">
        <f t="shared" si="30"/>
        <v>0.9930448086709408</v>
      </c>
      <c r="M497" s="34">
        <f t="shared" si="31"/>
        <v>0.9920799739418984</v>
      </c>
    </row>
    <row r="498" spans="1:13" ht="69">
      <c r="A498" t="s">
        <v>164</v>
      </c>
      <c r="B498" t="s">
        <v>115</v>
      </c>
      <c r="C498" s="14" t="s">
        <v>291</v>
      </c>
      <c r="D498" t="s">
        <v>366</v>
      </c>
      <c r="E498" t="s">
        <v>383</v>
      </c>
      <c r="F498" s="20">
        <v>2037</v>
      </c>
      <c r="G498" s="20">
        <v>46</v>
      </c>
      <c r="H498" s="11">
        <v>4948.4466231476599</v>
      </c>
      <c r="I498" s="10">
        <v>4073503.2243930502</v>
      </c>
      <c r="J498" s="34">
        <f t="shared" si="28"/>
        <v>1.2147889299596603E-3</v>
      </c>
      <c r="K498" s="34">
        <f t="shared" si="29"/>
        <v>1.2140513725765745E-3</v>
      </c>
      <c r="L498" s="34">
        <f t="shared" si="30"/>
        <v>0.9920799739418984</v>
      </c>
      <c r="M498" s="34">
        <f t="shared" si="31"/>
        <v>0.99087553788782845</v>
      </c>
    </row>
    <row r="499" spans="1:13" ht="69">
      <c r="A499" t="s">
        <v>164</v>
      </c>
      <c r="B499" t="s">
        <v>115</v>
      </c>
      <c r="C499" s="14" t="s">
        <v>291</v>
      </c>
      <c r="D499" t="s">
        <v>366</v>
      </c>
      <c r="E499" t="s">
        <v>383</v>
      </c>
      <c r="F499" s="20">
        <v>2037</v>
      </c>
      <c r="G499" s="20">
        <v>47</v>
      </c>
      <c r="H499" s="11">
        <v>5402.0223702537596</v>
      </c>
      <c r="I499" s="10">
        <v>4049127.0044227098</v>
      </c>
      <c r="J499" s="34">
        <f t="shared" si="28"/>
        <v>1.3341202595901123E-3</v>
      </c>
      <c r="K499" s="34">
        <f t="shared" si="29"/>
        <v>1.33323071678626E-3</v>
      </c>
      <c r="L499" s="34">
        <f t="shared" si="30"/>
        <v>0.99087553788782845</v>
      </c>
      <c r="M499" s="34">
        <f t="shared" si="31"/>
        <v>0.98955447218420434</v>
      </c>
    </row>
    <row r="500" spans="1:13" ht="69">
      <c r="A500" t="s">
        <v>164</v>
      </c>
      <c r="B500" t="s">
        <v>115</v>
      </c>
      <c r="C500" s="14" t="s">
        <v>291</v>
      </c>
      <c r="D500" t="s">
        <v>366</v>
      </c>
      <c r="E500" t="s">
        <v>383</v>
      </c>
      <c r="F500" s="20">
        <v>2037</v>
      </c>
      <c r="G500" s="20">
        <v>48</v>
      </c>
      <c r="H500" s="11">
        <v>5983.1948046179996</v>
      </c>
      <c r="I500" s="10">
        <v>4046512.3346978901</v>
      </c>
      <c r="J500" s="34">
        <f t="shared" si="28"/>
        <v>1.4786053543723353E-3</v>
      </c>
      <c r="K500" s="34">
        <f t="shared" si="29"/>
        <v>1.4775127560489043E-3</v>
      </c>
      <c r="L500" s="34">
        <f t="shared" si="30"/>
        <v>0.98955447218420434</v>
      </c>
      <c r="M500" s="34">
        <f t="shared" si="31"/>
        <v>0.98809239282874695</v>
      </c>
    </row>
    <row r="501" spans="1:13" ht="69">
      <c r="A501" t="s">
        <v>164</v>
      </c>
      <c r="B501" t="s">
        <v>115</v>
      </c>
      <c r="C501" s="14" t="s">
        <v>291</v>
      </c>
      <c r="D501" t="s">
        <v>366</v>
      </c>
      <c r="E501" t="s">
        <v>383</v>
      </c>
      <c r="F501" s="20">
        <v>2037</v>
      </c>
      <c r="G501" s="20">
        <v>49</v>
      </c>
      <c r="H501" s="11">
        <v>6465.4983398977702</v>
      </c>
      <c r="I501" s="10">
        <v>3997666.1807400701</v>
      </c>
      <c r="J501" s="34">
        <f t="shared" si="28"/>
        <v>1.6173182170755541E-3</v>
      </c>
      <c r="K501" s="34">
        <f t="shared" si="29"/>
        <v>1.6160110627576607E-3</v>
      </c>
      <c r="L501" s="34">
        <f t="shared" si="30"/>
        <v>0.98809239282874695</v>
      </c>
      <c r="M501" s="34">
        <f t="shared" si="31"/>
        <v>0.986495624590909</v>
      </c>
    </row>
    <row r="502" spans="1:13" ht="69">
      <c r="A502" t="s">
        <v>164</v>
      </c>
      <c r="B502" t="s">
        <v>115</v>
      </c>
      <c r="C502" s="14" t="s">
        <v>291</v>
      </c>
      <c r="D502" t="s">
        <v>366</v>
      </c>
      <c r="E502" t="s">
        <v>383</v>
      </c>
      <c r="F502" s="20">
        <v>2037</v>
      </c>
      <c r="G502" s="20">
        <v>50</v>
      </c>
      <c r="H502" s="11">
        <v>6992.9634171276603</v>
      </c>
      <c r="I502" s="10">
        <v>3939766.2373609599</v>
      </c>
      <c r="J502" s="34">
        <f t="shared" si="28"/>
        <v>1.7749691214704847E-3</v>
      </c>
      <c r="K502" s="34">
        <f t="shared" si="29"/>
        <v>1.7733947953771922E-3</v>
      </c>
      <c r="L502" s="34">
        <f t="shared" si="30"/>
        <v>0.986495624590909</v>
      </c>
      <c r="M502" s="34">
        <f t="shared" si="31"/>
        <v>0.9847461783845971</v>
      </c>
    </row>
    <row r="503" spans="1:13" ht="69">
      <c r="A503" t="s">
        <v>164</v>
      </c>
      <c r="B503" t="s">
        <v>115</v>
      </c>
      <c r="C503" s="14" t="s">
        <v>291</v>
      </c>
      <c r="D503" t="s">
        <v>366</v>
      </c>
      <c r="E503" t="s">
        <v>383</v>
      </c>
      <c r="F503" s="20">
        <v>2037</v>
      </c>
      <c r="G503" s="20">
        <v>51</v>
      </c>
      <c r="H503" s="11">
        <v>8012.4095463228996</v>
      </c>
      <c r="I503" s="10">
        <v>3941246.2605518298</v>
      </c>
      <c r="J503" s="34">
        <f t="shared" si="28"/>
        <v>2.0329634376109879E-3</v>
      </c>
      <c r="K503" s="34">
        <f t="shared" si="29"/>
        <v>2.0308983670830338E-3</v>
      </c>
      <c r="L503" s="34">
        <f t="shared" si="30"/>
        <v>0.9847461783845971</v>
      </c>
      <c r="M503" s="34">
        <f t="shared" si="31"/>
        <v>0.98274625897892454</v>
      </c>
    </row>
    <row r="504" spans="1:13" ht="69">
      <c r="A504" t="s">
        <v>164</v>
      </c>
      <c r="B504" t="s">
        <v>115</v>
      </c>
      <c r="C504" s="14" t="s">
        <v>291</v>
      </c>
      <c r="D504" t="s">
        <v>366</v>
      </c>
      <c r="E504" t="s">
        <v>383</v>
      </c>
      <c r="F504" s="20">
        <v>2037</v>
      </c>
      <c r="G504" s="20">
        <v>52</v>
      </c>
      <c r="H504" s="11">
        <v>8884.1889403179393</v>
      </c>
      <c r="I504" s="10">
        <v>3996912.3511638199</v>
      </c>
      <c r="J504" s="34">
        <f t="shared" si="28"/>
        <v>2.2227630129870233E-3</v>
      </c>
      <c r="K504" s="34">
        <f t="shared" si="29"/>
        <v>2.2202945045894928E-3</v>
      </c>
      <c r="L504" s="34">
        <f t="shared" si="30"/>
        <v>0.98274625897892454</v>
      </c>
      <c r="M504" s="34">
        <f t="shared" si="31"/>
        <v>0.9805642728607078</v>
      </c>
    </row>
    <row r="505" spans="1:13" ht="69">
      <c r="A505" t="s">
        <v>164</v>
      </c>
      <c r="B505" t="s">
        <v>115</v>
      </c>
      <c r="C505" s="14" t="s">
        <v>291</v>
      </c>
      <c r="D505" t="s">
        <v>366</v>
      </c>
      <c r="E505" t="s">
        <v>383</v>
      </c>
      <c r="F505" s="20">
        <v>2037</v>
      </c>
      <c r="G505" s="20">
        <v>53</v>
      </c>
      <c r="H505" s="11">
        <v>9761.4525097638107</v>
      </c>
      <c r="I505" s="10">
        <v>4010722.0271334699</v>
      </c>
      <c r="J505" s="34">
        <f t="shared" si="28"/>
        <v>2.4338392049424785E-3</v>
      </c>
      <c r="K505" s="34">
        <f t="shared" si="29"/>
        <v>2.4308798196809311E-3</v>
      </c>
      <c r="L505" s="34">
        <f t="shared" si="30"/>
        <v>0.9805642728607078</v>
      </c>
      <c r="M505" s="34">
        <f t="shared" si="31"/>
        <v>0.97818063895791063</v>
      </c>
    </row>
    <row r="506" spans="1:13" ht="69">
      <c r="A506" t="s">
        <v>164</v>
      </c>
      <c r="B506" t="s">
        <v>115</v>
      </c>
      <c r="C506" s="14" t="s">
        <v>291</v>
      </c>
      <c r="D506" t="s">
        <v>366</v>
      </c>
      <c r="E506" t="s">
        <v>383</v>
      </c>
      <c r="F506" s="20">
        <v>2037</v>
      </c>
      <c r="G506" s="20">
        <v>54</v>
      </c>
      <c r="H506" s="11">
        <v>10512.545012292299</v>
      </c>
      <c r="I506" s="10">
        <v>3967432.3815569398</v>
      </c>
      <c r="J506" s="34">
        <f t="shared" si="28"/>
        <v>2.6497099386396752E-3</v>
      </c>
      <c r="K506" s="34">
        <f t="shared" si="29"/>
        <v>2.6462025557931756E-3</v>
      </c>
      <c r="L506" s="34">
        <f t="shared" si="30"/>
        <v>0.97818063895791063</v>
      </c>
      <c r="M506" s="34">
        <f t="shared" si="31"/>
        <v>0.97559217485107286</v>
      </c>
    </row>
    <row r="507" spans="1:13" ht="69">
      <c r="A507" t="s">
        <v>164</v>
      </c>
      <c r="B507" t="s">
        <v>115</v>
      </c>
      <c r="C507" s="14" t="s">
        <v>291</v>
      </c>
      <c r="D507" t="s">
        <v>366</v>
      </c>
      <c r="E507" t="s">
        <v>383</v>
      </c>
      <c r="F507" s="20">
        <v>2037</v>
      </c>
      <c r="G507" s="20">
        <v>55</v>
      </c>
      <c r="H507" s="11">
        <v>11274.686658807101</v>
      </c>
      <c r="I507" s="10">
        <v>3899645.44613472</v>
      </c>
      <c r="J507" s="34">
        <f t="shared" si="28"/>
        <v>2.8912081404688802E-3</v>
      </c>
      <c r="K507" s="34">
        <f t="shared" si="29"/>
        <v>2.8870326232789401E-3</v>
      </c>
      <c r="L507" s="34">
        <f t="shared" si="30"/>
        <v>0.97559217485107286</v>
      </c>
      <c r="M507" s="34">
        <f t="shared" si="31"/>
        <v>0.97277560841526212</v>
      </c>
    </row>
    <row r="508" spans="1:13" ht="69">
      <c r="A508" t="s">
        <v>164</v>
      </c>
      <c r="B508" t="s">
        <v>115</v>
      </c>
      <c r="C508" s="14" t="s">
        <v>291</v>
      </c>
      <c r="D508" t="s">
        <v>366</v>
      </c>
      <c r="E508" t="s">
        <v>383</v>
      </c>
      <c r="F508" s="20">
        <v>2037</v>
      </c>
      <c r="G508" s="20">
        <v>56</v>
      </c>
      <c r="H508" s="11">
        <v>11990.953281919201</v>
      </c>
      <c r="I508" s="10">
        <v>3824578.8253633399</v>
      </c>
      <c r="J508" s="34">
        <f t="shared" si="28"/>
        <v>3.1352349708153931E-3</v>
      </c>
      <c r="K508" s="34">
        <f t="shared" si="29"/>
        <v>3.1303252540331172E-3</v>
      </c>
      <c r="L508" s="34">
        <f t="shared" si="30"/>
        <v>0.97277560841526212</v>
      </c>
      <c r="M508" s="34">
        <f t="shared" si="31"/>
        <v>0.96973050436173236</v>
      </c>
    </row>
    <row r="509" spans="1:13" ht="69">
      <c r="A509" t="s">
        <v>164</v>
      </c>
      <c r="B509" t="s">
        <v>115</v>
      </c>
      <c r="C509" s="14" t="s">
        <v>291</v>
      </c>
      <c r="D509" t="s">
        <v>366</v>
      </c>
      <c r="E509" t="s">
        <v>383</v>
      </c>
      <c r="F509" s="20">
        <v>2037</v>
      </c>
      <c r="G509" s="20">
        <v>57</v>
      </c>
      <c r="H509" s="11">
        <v>12812.095968206</v>
      </c>
      <c r="I509" s="10">
        <v>3753869.7283022902</v>
      </c>
      <c r="J509" s="34">
        <f t="shared" si="28"/>
        <v>3.4130369180393337E-3</v>
      </c>
      <c r="K509" s="34">
        <f t="shared" si="29"/>
        <v>3.4072191281966369E-3</v>
      </c>
      <c r="L509" s="34">
        <f t="shared" si="30"/>
        <v>0.96973050436173236</v>
      </c>
      <c r="M509" s="34">
        <f t="shared" si="31"/>
        <v>0.96642642003807533</v>
      </c>
    </row>
    <row r="510" spans="1:13" ht="69">
      <c r="A510" t="s">
        <v>164</v>
      </c>
      <c r="B510" t="s">
        <v>115</v>
      </c>
      <c r="C510" s="14" t="s">
        <v>291</v>
      </c>
      <c r="D510" t="s">
        <v>366</v>
      </c>
      <c r="E510" t="s">
        <v>383</v>
      </c>
      <c r="F510" s="20">
        <v>2037</v>
      </c>
      <c r="G510" s="20">
        <v>58</v>
      </c>
      <c r="H510" s="11">
        <v>13664.4351071662</v>
      </c>
      <c r="I510" s="10">
        <v>3669142.8328799</v>
      </c>
      <c r="J510" s="34">
        <f t="shared" si="28"/>
        <v>3.7241491349741277E-3</v>
      </c>
      <c r="K510" s="34">
        <f t="shared" si="29"/>
        <v>3.7172230921241889E-3</v>
      </c>
      <c r="L510" s="34">
        <f t="shared" si="30"/>
        <v>0.96642642003807533</v>
      </c>
      <c r="M510" s="34">
        <f t="shared" si="31"/>
        <v>0.96283399743267084</v>
      </c>
    </row>
    <row r="511" spans="1:13" ht="69">
      <c r="A511" t="s">
        <v>164</v>
      </c>
      <c r="B511" t="s">
        <v>115</v>
      </c>
      <c r="C511" s="14" t="s">
        <v>291</v>
      </c>
      <c r="D511" t="s">
        <v>366</v>
      </c>
      <c r="E511" t="s">
        <v>383</v>
      </c>
      <c r="F511" s="20">
        <v>2037</v>
      </c>
      <c r="G511" s="20">
        <v>59</v>
      </c>
      <c r="H511" s="11">
        <v>13846.992873040201</v>
      </c>
      <c r="I511" s="10">
        <v>3560504.6335590798</v>
      </c>
      <c r="J511" s="34">
        <f t="shared" si="28"/>
        <v>3.8890534624016902E-3</v>
      </c>
      <c r="K511" s="34">
        <f t="shared" si="29"/>
        <v>3.8815008879458102E-3</v>
      </c>
      <c r="L511" s="34">
        <f t="shared" si="30"/>
        <v>0.96283399743267084</v>
      </c>
      <c r="M511" s="34">
        <f t="shared" si="31"/>
        <v>0.95909675641669156</v>
      </c>
    </row>
    <row r="512" spans="1:13" ht="69">
      <c r="A512" t="s">
        <v>164</v>
      </c>
      <c r="B512" t="s">
        <v>115</v>
      </c>
      <c r="C512" s="14" t="s">
        <v>291</v>
      </c>
      <c r="D512" t="s">
        <v>366</v>
      </c>
      <c r="E512" t="s">
        <v>383</v>
      </c>
      <c r="F512" s="20">
        <v>2037</v>
      </c>
      <c r="G512" s="20">
        <v>60</v>
      </c>
      <c r="H512" s="11">
        <v>14228.211751556601</v>
      </c>
      <c r="I512" s="10">
        <v>3455772.2130911299</v>
      </c>
      <c r="J512" s="34">
        <f t="shared" si="28"/>
        <v>4.1172307878561548E-3</v>
      </c>
      <c r="K512" s="34">
        <f t="shared" si="29"/>
        <v>4.1087666134801415E-3</v>
      </c>
      <c r="L512" s="34">
        <f t="shared" si="30"/>
        <v>0.95909675641669156</v>
      </c>
      <c r="M512" s="34">
        <f t="shared" si="31"/>
        <v>0.95515605168482953</v>
      </c>
    </row>
    <row r="513" spans="1:13" ht="69">
      <c r="A513" t="s">
        <v>164</v>
      </c>
      <c r="B513" t="s">
        <v>115</v>
      </c>
      <c r="C513" s="14" t="s">
        <v>291</v>
      </c>
      <c r="D513" t="s">
        <v>366</v>
      </c>
      <c r="E513" t="s">
        <v>383</v>
      </c>
      <c r="F513" s="20">
        <v>2037</v>
      </c>
      <c r="G513" s="20">
        <v>61</v>
      </c>
      <c r="H513" s="11">
        <v>14946.5286945608</v>
      </c>
      <c r="I513" s="10">
        <v>3364227.3137356602</v>
      </c>
      <c r="J513" s="34">
        <f t="shared" si="28"/>
        <v>4.442782041967336E-3</v>
      </c>
      <c r="K513" s="34">
        <f t="shared" si="29"/>
        <v>4.4329274851153677E-3</v>
      </c>
      <c r="L513" s="34">
        <f t="shared" si="30"/>
        <v>0.95515605168482953</v>
      </c>
      <c r="M513" s="34">
        <f t="shared" si="31"/>
        <v>0.95092191417074157</v>
      </c>
    </row>
    <row r="514" spans="1:13" ht="69">
      <c r="A514" t="s">
        <v>164</v>
      </c>
      <c r="B514" t="s">
        <v>115</v>
      </c>
      <c r="C514" s="14" t="s">
        <v>291</v>
      </c>
      <c r="D514" t="s">
        <v>366</v>
      </c>
      <c r="E514" t="s">
        <v>383</v>
      </c>
      <c r="F514" s="20">
        <v>2037</v>
      </c>
      <c r="G514" s="20">
        <v>62</v>
      </c>
      <c r="H514" s="11">
        <v>15650.991180704799</v>
      </c>
      <c r="I514" s="10">
        <v>3260331.80023363</v>
      </c>
      <c r="J514" s="34">
        <f t="shared" ref="J514:J577" si="32">IF(I514&gt;0,H514/I514,0)</f>
        <v>4.8004289562133757E-3</v>
      </c>
      <c r="K514" s="34">
        <f t="shared" ref="K514:K577" si="33">1-EXP(-J514)</f>
        <v>4.788925311968506E-3</v>
      </c>
      <c r="L514" s="34">
        <f t="shared" ref="L514:L577" si="34">IF(G514=30,1,M513)</f>
        <v>0.95092191417074157</v>
      </c>
      <c r="M514" s="34">
        <f t="shared" ref="M514:M577" si="35">L514*(1-K514)</f>
        <v>0.94636802014626376</v>
      </c>
    </row>
    <row r="515" spans="1:13" ht="69">
      <c r="A515" t="s">
        <v>164</v>
      </c>
      <c r="B515" t="s">
        <v>115</v>
      </c>
      <c r="C515" s="14" t="s">
        <v>291</v>
      </c>
      <c r="D515" t="s">
        <v>366</v>
      </c>
      <c r="E515" t="s">
        <v>383</v>
      </c>
      <c r="F515" s="20">
        <v>2037</v>
      </c>
      <c r="G515" s="20">
        <v>63</v>
      </c>
      <c r="H515" s="11">
        <v>16495.704225671601</v>
      </c>
      <c r="I515" s="10">
        <v>3169346.29733086</v>
      </c>
      <c r="J515" s="34">
        <f t="shared" si="32"/>
        <v>5.2047654873069093E-3</v>
      </c>
      <c r="K515" s="34">
        <f t="shared" si="33"/>
        <v>5.1912441640280527E-3</v>
      </c>
      <c r="L515" s="34">
        <f t="shared" si="34"/>
        <v>0.94636802014626376</v>
      </c>
      <c r="M515" s="34">
        <f t="shared" si="35"/>
        <v>0.94145519268465672</v>
      </c>
    </row>
    <row r="516" spans="1:13" ht="69">
      <c r="A516" t="s">
        <v>164</v>
      </c>
      <c r="B516" t="s">
        <v>115</v>
      </c>
      <c r="C516" s="14" t="s">
        <v>291</v>
      </c>
      <c r="D516" t="s">
        <v>366</v>
      </c>
      <c r="E516" t="s">
        <v>383</v>
      </c>
      <c r="F516" s="20">
        <v>2037</v>
      </c>
      <c r="G516" s="20">
        <v>64</v>
      </c>
      <c r="H516" s="11">
        <v>17647.646812411898</v>
      </c>
      <c r="I516" s="10">
        <v>3077390.84627032</v>
      </c>
      <c r="J516" s="34">
        <f t="shared" si="32"/>
        <v>5.7346134092132531E-3</v>
      </c>
      <c r="K516" s="34">
        <f t="shared" si="33"/>
        <v>5.7182018999430984E-3</v>
      </c>
      <c r="L516" s="34">
        <f t="shared" si="34"/>
        <v>0.94145519268465672</v>
      </c>
      <c r="M516" s="34">
        <f t="shared" si="35"/>
        <v>0.93607176181313601</v>
      </c>
    </row>
    <row r="517" spans="1:13" ht="69">
      <c r="A517" t="s">
        <v>164</v>
      </c>
      <c r="B517" t="s">
        <v>115</v>
      </c>
      <c r="C517" s="14" t="s">
        <v>291</v>
      </c>
      <c r="D517" t="s">
        <v>366</v>
      </c>
      <c r="E517" t="s">
        <v>383</v>
      </c>
      <c r="F517" s="20">
        <v>2037</v>
      </c>
      <c r="G517" s="20">
        <v>65</v>
      </c>
      <c r="H517" s="11">
        <v>18608.098200916302</v>
      </c>
      <c r="I517" s="10">
        <v>2965282.3929193402</v>
      </c>
      <c r="J517" s="34">
        <f t="shared" si="32"/>
        <v>6.2753207739504723E-3</v>
      </c>
      <c r="K517" s="34">
        <f t="shared" si="33"/>
        <v>6.2556720706654634E-3</v>
      </c>
      <c r="L517" s="34">
        <f t="shared" si="34"/>
        <v>0.93607176181313601</v>
      </c>
      <c r="M517" s="34">
        <f t="shared" si="35"/>
        <v>0.93021600383662295</v>
      </c>
    </row>
    <row r="518" spans="1:13" ht="69">
      <c r="A518" t="s">
        <v>164</v>
      </c>
      <c r="B518" t="s">
        <v>115</v>
      </c>
      <c r="C518" s="14" t="s">
        <v>291</v>
      </c>
      <c r="D518" t="s">
        <v>366</v>
      </c>
      <c r="E518" t="s">
        <v>383</v>
      </c>
      <c r="F518" s="20">
        <v>2037</v>
      </c>
      <c r="G518" s="20">
        <v>66</v>
      </c>
      <c r="H518" s="11">
        <v>19055.011210642901</v>
      </c>
      <c r="I518" s="10">
        <v>2862059.7139311498</v>
      </c>
      <c r="J518" s="34">
        <f t="shared" si="32"/>
        <v>6.6577965225156346E-3</v>
      </c>
      <c r="K518" s="34">
        <f t="shared" si="33"/>
        <v>6.6356824993534236E-3</v>
      </c>
      <c r="L518" s="34">
        <f t="shared" si="34"/>
        <v>0.93021600383662295</v>
      </c>
      <c r="M518" s="34">
        <f t="shared" si="35"/>
        <v>0.92404338577934575</v>
      </c>
    </row>
    <row r="519" spans="1:13" ht="69">
      <c r="A519" t="s">
        <v>164</v>
      </c>
      <c r="B519" t="s">
        <v>115</v>
      </c>
      <c r="C519" s="14" t="s">
        <v>291</v>
      </c>
      <c r="D519" t="s">
        <v>366</v>
      </c>
      <c r="E519" t="s">
        <v>383</v>
      </c>
      <c r="F519" s="20">
        <v>2037</v>
      </c>
      <c r="G519" s="20">
        <v>67</v>
      </c>
      <c r="H519" s="11">
        <v>19967.054217598201</v>
      </c>
      <c r="I519" s="10">
        <v>2755640.59675535</v>
      </c>
      <c r="J519" s="34">
        <f t="shared" si="32"/>
        <v>7.2458847649104026E-3</v>
      </c>
      <c r="K519" s="34">
        <f t="shared" si="33"/>
        <v>7.2196966321359524E-3</v>
      </c>
      <c r="L519" s="34">
        <f t="shared" si="34"/>
        <v>0.92404338577934575</v>
      </c>
      <c r="M519" s="34">
        <f t="shared" si="35"/>
        <v>0.91737207285908706</v>
      </c>
    </row>
    <row r="520" spans="1:13" ht="69">
      <c r="A520" t="s">
        <v>164</v>
      </c>
      <c r="B520" t="s">
        <v>115</v>
      </c>
      <c r="C520" s="14" t="s">
        <v>291</v>
      </c>
      <c r="D520" t="s">
        <v>366</v>
      </c>
      <c r="E520" t="s">
        <v>383</v>
      </c>
      <c r="F520" s="20">
        <v>2037</v>
      </c>
      <c r="G520" s="20">
        <v>68</v>
      </c>
      <c r="H520" s="11">
        <v>20723.631141166701</v>
      </c>
      <c r="I520" s="10">
        <v>2634190.4329027301</v>
      </c>
      <c r="J520" s="34">
        <f t="shared" si="32"/>
        <v>7.8671727306861491E-3</v>
      </c>
      <c r="K520" s="34">
        <f t="shared" si="33"/>
        <v>7.8363075209809674E-3</v>
      </c>
      <c r="L520" s="34">
        <f t="shared" si="34"/>
        <v>0.91737207285908706</v>
      </c>
      <c r="M520" s="34">
        <f t="shared" si="35"/>
        <v>0.91018326318500353</v>
      </c>
    </row>
    <row r="521" spans="1:13" ht="69">
      <c r="A521" t="s">
        <v>164</v>
      </c>
      <c r="B521" t="s">
        <v>115</v>
      </c>
      <c r="C521" s="14" t="s">
        <v>291</v>
      </c>
      <c r="D521" t="s">
        <v>366</v>
      </c>
      <c r="E521" t="s">
        <v>383</v>
      </c>
      <c r="F521" s="20">
        <v>2037</v>
      </c>
      <c r="G521" s="20">
        <v>69</v>
      </c>
      <c r="H521" s="11">
        <v>20978.140248100201</v>
      </c>
      <c r="I521" s="10">
        <v>2504301.8980699298</v>
      </c>
      <c r="J521" s="34">
        <f t="shared" si="32"/>
        <v>8.3768415718041399E-3</v>
      </c>
      <c r="K521" s="34">
        <f t="shared" si="33"/>
        <v>8.3418535988407649E-3</v>
      </c>
      <c r="L521" s="34">
        <f t="shared" si="34"/>
        <v>0.91018326318500353</v>
      </c>
      <c r="M521" s="34">
        <f t="shared" si="35"/>
        <v>0.90259064765539909</v>
      </c>
    </row>
    <row r="522" spans="1:13" ht="69">
      <c r="A522" t="s">
        <v>164</v>
      </c>
      <c r="B522" t="s">
        <v>115</v>
      </c>
      <c r="C522" s="14" t="s">
        <v>291</v>
      </c>
      <c r="D522" t="s">
        <v>366</v>
      </c>
      <c r="E522" t="s">
        <v>383</v>
      </c>
      <c r="F522" s="20">
        <v>2038</v>
      </c>
      <c r="G522" s="20">
        <v>30</v>
      </c>
      <c r="H522" s="11">
        <v>726.23043538909201</v>
      </c>
      <c r="I522" s="10">
        <v>4658887.9209695198</v>
      </c>
      <c r="J522" s="34">
        <f t="shared" si="32"/>
        <v>1.5588064098308736E-4</v>
      </c>
      <c r="K522" s="34">
        <f t="shared" si="33"/>
        <v>1.558684922272624E-4</v>
      </c>
      <c r="L522" s="34">
        <f t="shared" si="34"/>
        <v>1</v>
      </c>
      <c r="M522" s="34">
        <f t="shared" si="35"/>
        <v>0.99984413150777274</v>
      </c>
    </row>
    <row r="523" spans="1:13" ht="69">
      <c r="A523" t="s">
        <v>164</v>
      </c>
      <c r="B523" t="s">
        <v>115</v>
      </c>
      <c r="C523" s="14" t="s">
        <v>291</v>
      </c>
      <c r="D523" t="s">
        <v>366</v>
      </c>
      <c r="E523" t="s">
        <v>383</v>
      </c>
      <c r="F523" s="20">
        <v>2038</v>
      </c>
      <c r="G523" s="20">
        <v>31</v>
      </c>
      <c r="H523" s="11">
        <v>1032.6025487214599</v>
      </c>
      <c r="I523" s="10">
        <v>4631623.11877291</v>
      </c>
      <c r="J523" s="34">
        <f t="shared" si="32"/>
        <v>2.229461513256793E-4</v>
      </c>
      <c r="K523" s="34">
        <f t="shared" si="33"/>
        <v>2.2292130067935734E-4</v>
      </c>
      <c r="L523" s="34">
        <f t="shared" si="34"/>
        <v>0.99984413150777274</v>
      </c>
      <c r="M523" s="34">
        <f t="shared" si="35"/>
        <v>0.99962124495350035</v>
      </c>
    </row>
    <row r="524" spans="1:13" ht="69">
      <c r="A524" t="s">
        <v>164</v>
      </c>
      <c r="B524" t="s">
        <v>115</v>
      </c>
      <c r="C524" s="14" t="s">
        <v>291</v>
      </c>
      <c r="D524" t="s">
        <v>366</v>
      </c>
      <c r="E524" t="s">
        <v>383</v>
      </c>
      <c r="F524" s="20">
        <v>2038</v>
      </c>
      <c r="G524" s="20">
        <v>32</v>
      </c>
      <c r="H524" s="11">
        <v>1050.4576094117101</v>
      </c>
      <c r="I524" s="10">
        <v>4560821.0359904598</v>
      </c>
      <c r="J524" s="34">
        <f t="shared" si="32"/>
        <v>2.3032204094883661E-4</v>
      </c>
      <c r="K524" s="34">
        <f t="shared" si="33"/>
        <v>2.3029551886377675E-4</v>
      </c>
      <c r="L524" s="34">
        <f t="shared" si="34"/>
        <v>0.99962124495350035</v>
      </c>
      <c r="M524" s="34">
        <f t="shared" si="35"/>
        <v>0.99939103666022655</v>
      </c>
    </row>
    <row r="525" spans="1:13" ht="69">
      <c r="A525" t="s">
        <v>164</v>
      </c>
      <c r="B525" t="s">
        <v>115</v>
      </c>
      <c r="C525" s="14" t="s">
        <v>291</v>
      </c>
      <c r="D525" t="s">
        <v>366</v>
      </c>
      <c r="E525" t="s">
        <v>383</v>
      </c>
      <c r="F525" s="20">
        <v>2038</v>
      </c>
      <c r="G525" s="20">
        <v>33</v>
      </c>
      <c r="H525" s="11">
        <v>1078.7347924460801</v>
      </c>
      <c r="I525" s="10">
        <v>4467269.5628976999</v>
      </c>
      <c r="J525" s="34">
        <f t="shared" si="32"/>
        <v>2.4147519581208291E-4</v>
      </c>
      <c r="K525" s="34">
        <f t="shared" si="33"/>
        <v>2.4144604302356321E-4</v>
      </c>
      <c r="L525" s="34">
        <f t="shared" si="34"/>
        <v>0.99939103666022655</v>
      </c>
      <c r="M525" s="34">
        <f t="shared" si="35"/>
        <v>0.99914973764899173</v>
      </c>
    </row>
    <row r="526" spans="1:13" ht="69">
      <c r="A526" t="s">
        <v>164</v>
      </c>
      <c r="B526" t="s">
        <v>115</v>
      </c>
      <c r="C526" s="14" t="s">
        <v>291</v>
      </c>
      <c r="D526" t="s">
        <v>366</v>
      </c>
      <c r="E526" t="s">
        <v>383</v>
      </c>
      <c r="F526" s="20">
        <v>2038</v>
      </c>
      <c r="G526" s="20">
        <v>34</v>
      </c>
      <c r="H526" s="11">
        <v>1124.46447046505</v>
      </c>
      <c r="I526" s="10">
        <v>4370254.6507374598</v>
      </c>
      <c r="J526" s="34">
        <f t="shared" si="32"/>
        <v>2.5729953065213302E-4</v>
      </c>
      <c r="K526" s="34">
        <f t="shared" si="33"/>
        <v>2.5726643196666288E-4</v>
      </c>
      <c r="L526" s="34">
        <f t="shared" si="34"/>
        <v>0.99914973764899173</v>
      </c>
      <c r="M526" s="34">
        <f t="shared" si="35"/>
        <v>0.99889268996098635</v>
      </c>
    </row>
    <row r="527" spans="1:13" ht="69">
      <c r="A527" t="s">
        <v>164</v>
      </c>
      <c r="B527" t="s">
        <v>115</v>
      </c>
      <c r="C527" s="14" t="s">
        <v>291</v>
      </c>
      <c r="D527" t="s">
        <v>366</v>
      </c>
      <c r="E527" t="s">
        <v>383</v>
      </c>
      <c r="F527" s="20">
        <v>2038</v>
      </c>
      <c r="G527" s="20">
        <v>35</v>
      </c>
      <c r="H527" s="11">
        <v>1227.41391063891</v>
      </c>
      <c r="I527" s="10">
        <v>4327437.5777100101</v>
      </c>
      <c r="J527" s="34">
        <f t="shared" si="32"/>
        <v>2.8363526650531881E-4</v>
      </c>
      <c r="K527" s="34">
        <f t="shared" si="33"/>
        <v>2.8359504582586847E-4</v>
      </c>
      <c r="L527" s="34">
        <f t="shared" si="34"/>
        <v>0.99889268996098635</v>
      </c>
      <c r="M527" s="34">
        <f t="shared" si="35"/>
        <v>0.9986094089428017</v>
      </c>
    </row>
    <row r="528" spans="1:13" ht="69">
      <c r="A528" t="s">
        <v>164</v>
      </c>
      <c r="B528" t="s">
        <v>115</v>
      </c>
      <c r="C528" s="14" t="s">
        <v>291</v>
      </c>
      <c r="D528" t="s">
        <v>366</v>
      </c>
      <c r="E528" t="s">
        <v>383</v>
      </c>
      <c r="F528" s="20">
        <v>2038</v>
      </c>
      <c r="G528" s="20">
        <v>36</v>
      </c>
      <c r="H528" s="11">
        <v>1608.95909958883</v>
      </c>
      <c r="I528" s="10">
        <v>4307287.0316797504</v>
      </c>
      <c r="J528" s="34">
        <f t="shared" si="32"/>
        <v>3.7354350609909785E-4</v>
      </c>
      <c r="K528" s="34">
        <f t="shared" si="33"/>
        <v>3.7347374740981376E-4</v>
      </c>
      <c r="L528" s="34">
        <f t="shared" si="34"/>
        <v>0.9986094089428017</v>
      </c>
      <c r="M528" s="34">
        <f t="shared" si="35"/>
        <v>0.99823645454464516</v>
      </c>
    </row>
    <row r="529" spans="1:13" ht="69">
      <c r="A529" t="s">
        <v>164</v>
      </c>
      <c r="B529" t="s">
        <v>115</v>
      </c>
      <c r="C529" s="14" t="s">
        <v>291</v>
      </c>
      <c r="D529" t="s">
        <v>366</v>
      </c>
      <c r="E529" t="s">
        <v>383</v>
      </c>
      <c r="F529" s="20">
        <v>2038</v>
      </c>
      <c r="G529" s="20">
        <v>37</v>
      </c>
      <c r="H529" s="11">
        <v>1770.70288266477</v>
      </c>
      <c r="I529" s="10">
        <v>4287194.97881258</v>
      </c>
      <c r="J529" s="34">
        <f t="shared" si="32"/>
        <v>4.1302130913467333E-4</v>
      </c>
      <c r="K529" s="34">
        <f t="shared" si="33"/>
        <v>4.1293602757519476E-4</v>
      </c>
      <c r="L529" s="34">
        <f t="shared" si="34"/>
        <v>0.99823645454464516</v>
      </c>
      <c r="M529" s="34">
        <f t="shared" si="35"/>
        <v>0.99782424674852477</v>
      </c>
    </row>
    <row r="530" spans="1:13" ht="69">
      <c r="A530" t="s">
        <v>164</v>
      </c>
      <c r="B530" t="s">
        <v>115</v>
      </c>
      <c r="C530" s="14" t="s">
        <v>291</v>
      </c>
      <c r="D530" t="s">
        <v>366</v>
      </c>
      <c r="E530" t="s">
        <v>383</v>
      </c>
      <c r="F530" s="20">
        <v>2038</v>
      </c>
      <c r="G530" s="20">
        <v>38</v>
      </c>
      <c r="H530" s="11">
        <v>1961.6225960546401</v>
      </c>
      <c r="I530" s="10">
        <v>4286461.3133674404</v>
      </c>
      <c r="J530" s="34">
        <f t="shared" si="32"/>
        <v>4.5763217083921167E-4</v>
      </c>
      <c r="K530" s="34">
        <f t="shared" si="33"/>
        <v>4.5752747320892961E-4</v>
      </c>
      <c r="L530" s="34">
        <f t="shared" si="34"/>
        <v>0.99782424674852477</v>
      </c>
      <c r="M530" s="34">
        <f t="shared" si="35"/>
        <v>0.99736771474220332</v>
      </c>
    </row>
    <row r="531" spans="1:13" ht="69">
      <c r="A531" t="s">
        <v>164</v>
      </c>
      <c r="B531" t="s">
        <v>115</v>
      </c>
      <c r="C531" s="14" t="s">
        <v>291</v>
      </c>
      <c r="D531" t="s">
        <v>366</v>
      </c>
      <c r="E531" t="s">
        <v>383</v>
      </c>
      <c r="F531" s="20">
        <v>2038</v>
      </c>
      <c r="G531" s="20">
        <v>39</v>
      </c>
      <c r="H531" s="11">
        <v>2125.2186338247998</v>
      </c>
      <c r="I531" s="10">
        <v>4323911.8051841203</v>
      </c>
      <c r="J531" s="34">
        <f t="shared" si="32"/>
        <v>4.91503696092225E-4</v>
      </c>
      <c r="K531" s="34">
        <f t="shared" si="33"/>
        <v>4.9138292793737826E-4</v>
      </c>
      <c r="L531" s="34">
        <f t="shared" si="34"/>
        <v>0.99736771474220332</v>
      </c>
      <c r="M531" s="34">
        <f t="shared" si="35"/>
        <v>0.99687762527430313</v>
      </c>
    </row>
    <row r="532" spans="1:13" ht="69">
      <c r="A532" t="s">
        <v>164</v>
      </c>
      <c r="B532" t="s">
        <v>115</v>
      </c>
      <c r="C532" s="14" t="s">
        <v>291</v>
      </c>
      <c r="D532" t="s">
        <v>366</v>
      </c>
      <c r="E532" t="s">
        <v>383</v>
      </c>
      <c r="F532" s="20">
        <v>2038</v>
      </c>
      <c r="G532" s="20">
        <v>40</v>
      </c>
      <c r="H532" s="11">
        <v>2332.94964452063</v>
      </c>
      <c r="I532" s="10">
        <v>4363691.6212401995</v>
      </c>
      <c r="J532" s="34">
        <f t="shared" si="32"/>
        <v>5.3462752344025292E-4</v>
      </c>
      <c r="K532" s="34">
        <f t="shared" si="33"/>
        <v>5.3448463561089898E-4</v>
      </c>
      <c r="L532" s="34">
        <f t="shared" si="34"/>
        <v>0.99687762527430313</v>
      </c>
      <c r="M532" s="34">
        <f t="shared" si="35"/>
        <v>0.9963448095000097</v>
      </c>
    </row>
    <row r="533" spans="1:13" ht="69">
      <c r="A533" t="s">
        <v>164</v>
      </c>
      <c r="B533" t="s">
        <v>115</v>
      </c>
      <c r="C533" s="14" t="s">
        <v>291</v>
      </c>
      <c r="D533" t="s">
        <v>366</v>
      </c>
      <c r="E533" t="s">
        <v>383</v>
      </c>
      <c r="F533" s="20">
        <v>2038</v>
      </c>
      <c r="G533" s="20">
        <v>41</v>
      </c>
      <c r="H533" s="11">
        <v>3024.9404045599399</v>
      </c>
      <c r="I533" s="10">
        <v>4357285.2396058002</v>
      </c>
      <c r="J533" s="34">
        <f t="shared" si="32"/>
        <v>6.9422593156504106E-4</v>
      </c>
      <c r="K533" s="34">
        <f t="shared" si="33"/>
        <v>6.9398501249695599E-4</v>
      </c>
      <c r="L533" s="34">
        <f t="shared" si="34"/>
        <v>0.9963448095000097</v>
      </c>
      <c r="M533" s="34">
        <f t="shared" si="35"/>
        <v>0.99565336113493752</v>
      </c>
    </row>
    <row r="534" spans="1:13" ht="69">
      <c r="A534" t="s">
        <v>164</v>
      </c>
      <c r="B534" t="s">
        <v>115</v>
      </c>
      <c r="C534" s="14" t="s">
        <v>291</v>
      </c>
      <c r="D534" t="s">
        <v>366</v>
      </c>
      <c r="E534" t="s">
        <v>383</v>
      </c>
      <c r="F534" s="20">
        <v>2038</v>
      </c>
      <c r="G534" s="20">
        <v>42</v>
      </c>
      <c r="H534" s="11">
        <v>3271.3782698473301</v>
      </c>
      <c r="I534" s="10">
        <v>4292405.58250752</v>
      </c>
      <c r="J534" s="34">
        <f t="shared" si="32"/>
        <v>7.6213167813845531E-4</v>
      </c>
      <c r="K534" s="34">
        <f t="shared" si="33"/>
        <v>7.6184132955703365E-4</v>
      </c>
      <c r="L534" s="34">
        <f t="shared" si="34"/>
        <v>0.99565336113493752</v>
      </c>
      <c r="M534" s="34">
        <f t="shared" si="35"/>
        <v>0.9948948312545125</v>
      </c>
    </row>
    <row r="535" spans="1:13" ht="69">
      <c r="A535" t="s">
        <v>164</v>
      </c>
      <c r="B535" t="s">
        <v>115</v>
      </c>
      <c r="C535" s="14" t="s">
        <v>291</v>
      </c>
      <c r="D535" t="s">
        <v>366</v>
      </c>
      <c r="E535" t="s">
        <v>383</v>
      </c>
      <c r="F535" s="20">
        <v>2038</v>
      </c>
      <c r="G535" s="20">
        <v>43</v>
      </c>
      <c r="H535" s="11">
        <v>3560.5528519495101</v>
      </c>
      <c r="I535" s="10">
        <v>4225181.0646685604</v>
      </c>
      <c r="J535" s="34">
        <f t="shared" si="32"/>
        <v>8.4269828853566868E-4</v>
      </c>
      <c r="K535" s="34">
        <f t="shared" si="33"/>
        <v>8.4234331805088658E-4</v>
      </c>
      <c r="L535" s="34">
        <f t="shared" si="34"/>
        <v>0.9948948312545125</v>
      </c>
      <c r="M535" s="34">
        <f t="shared" si="35"/>
        <v>0.99405678824124188</v>
      </c>
    </row>
    <row r="536" spans="1:13" ht="69">
      <c r="A536" t="s">
        <v>164</v>
      </c>
      <c r="B536" t="s">
        <v>115</v>
      </c>
      <c r="C536" s="14" t="s">
        <v>291</v>
      </c>
      <c r="D536" t="s">
        <v>366</v>
      </c>
      <c r="E536" t="s">
        <v>383</v>
      </c>
      <c r="F536" s="20">
        <v>2038</v>
      </c>
      <c r="G536" s="20">
        <v>44</v>
      </c>
      <c r="H536" s="11">
        <v>3681.9168149838101</v>
      </c>
      <c r="I536" s="10">
        <v>4166838.05319189</v>
      </c>
      <c r="J536" s="34">
        <f t="shared" si="32"/>
        <v>8.8362368970960621E-4</v>
      </c>
      <c r="K536" s="34">
        <f t="shared" si="33"/>
        <v>8.8323340925922089E-4</v>
      </c>
      <c r="L536" s="34">
        <f t="shared" si="34"/>
        <v>0.99405678824124188</v>
      </c>
      <c r="M536" s="34">
        <f t="shared" si="35"/>
        <v>0.99317880407516634</v>
      </c>
    </row>
    <row r="537" spans="1:13" ht="69">
      <c r="A537" t="s">
        <v>164</v>
      </c>
      <c r="B537" t="s">
        <v>115</v>
      </c>
      <c r="C537" s="14" t="s">
        <v>291</v>
      </c>
      <c r="D537" t="s">
        <v>366</v>
      </c>
      <c r="E537" t="s">
        <v>383</v>
      </c>
      <c r="F537" s="20">
        <v>2038</v>
      </c>
      <c r="G537" s="20">
        <v>45</v>
      </c>
      <c r="H537" s="11">
        <v>3925.7785162690898</v>
      </c>
      <c r="I537" s="10">
        <v>4110649.0562323099</v>
      </c>
      <c r="J537" s="34">
        <f t="shared" si="32"/>
        <v>9.5502643562263463E-4</v>
      </c>
      <c r="K537" s="34">
        <f t="shared" si="33"/>
        <v>9.5457054301761879E-4</v>
      </c>
      <c r="L537" s="34">
        <f t="shared" si="34"/>
        <v>0.99317880407516634</v>
      </c>
      <c r="M537" s="34">
        <f t="shared" si="35"/>
        <v>0.99223074484484675</v>
      </c>
    </row>
    <row r="538" spans="1:13" ht="69">
      <c r="A538" t="s">
        <v>164</v>
      </c>
      <c r="B538" t="s">
        <v>115</v>
      </c>
      <c r="C538" s="14" t="s">
        <v>291</v>
      </c>
      <c r="D538" t="s">
        <v>366</v>
      </c>
      <c r="E538" t="s">
        <v>383</v>
      </c>
      <c r="F538" s="20">
        <v>2038</v>
      </c>
      <c r="G538" s="20">
        <v>46</v>
      </c>
      <c r="H538" s="11">
        <v>4862.1983917060898</v>
      </c>
      <c r="I538" s="10">
        <v>4088384.27637272</v>
      </c>
      <c r="J538" s="34">
        <f t="shared" si="32"/>
        <v>1.1892713754441668E-3</v>
      </c>
      <c r="K538" s="34">
        <f t="shared" si="33"/>
        <v>1.1885644725028177E-3</v>
      </c>
      <c r="L538" s="34">
        <f t="shared" si="34"/>
        <v>0.99223074484484675</v>
      </c>
      <c r="M538" s="34">
        <f t="shared" si="35"/>
        <v>0.99105141463299917</v>
      </c>
    </row>
    <row r="539" spans="1:13" ht="69">
      <c r="A539" t="s">
        <v>164</v>
      </c>
      <c r="B539" t="s">
        <v>115</v>
      </c>
      <c r="C539" s="14" t="s">
        <v>291</v>
      </c>
      <c r="D539" t="s">
        <v>366</v>
      </c>
      <c r="E539" t="s">
        <v>383</v>
      </c>
      <c r="F539" s="20">
        <v>2038</v>
      </c>
      <c r="G539" s="20">
        <v>47</v>
      </c>
      <c r="H539" s="11">
        <v>5307.68212542734</v>
      </c>
      <c r="I539" s="10">
        <v>4060072.7277962202</v>
      </c>
      <c r="J539" s="34">
        <f t="shared" si="32"/>
        <v>1.3072874505645404E-3</v>
      </c>
      <c r="K539" s="34">
        <f t="shared" si="33"/>
        <v>1.306433322562861E-3</v>
      </c>
      <c r="L539" s="34">
        <f t="shared" si="34"/>
        <v>0.99105141463299917</v>
      </c>
      <c r="M539" s="34">
        <f t="shared" si="35"/>
        <v>0.98975667204054951</v>
      </c>
    </row>
    <row r="540" spans="1:13" ht="69">
      <c r="A540" t="s">
        <v>164</v>
      </c>
      <c r="B540" t="s">
        <v>115</v>
      </c>
      <c r="C540" s="14" t="s">
        <v>291</v>
      </c>
      <c r="D540" t="s">
        <v>366</v>
      </c>
      <c r="E540" t="s">
        <v>383</v>
      </c>
      <c r="F540" s="20">
        <v>2038</v>
      </c>
      <c r="G540" s="20">
        <v>48</v>
      </c>
      <c r="H540" s="11">
        <v>5833.0826829118296</v>
      </c>
      <c r="I540" s="10">
        <v>4034494.8027600502</v>
      </c>
      <c r="J540" s="34">
        <f t="shared" si="32"/>
        <v>1.4458025026879058E-3</v>
      </c>
      <c r="K540" s="34">
        <f t="shared" si="33"/>
        <v>1.4447578337718481E-3</v>
      </c>
      <c r="L540" s="34">
        <f t="shared" si="34"/>
        <v>0.98975667204054951</v>
      </c>
      <c r="M540" s="34">
        <f t="shared" si="35"/>
        <v>0.98832671333509092</v>
      </c>
    </row>
    <row r="541" spans="1:13" ht="69">
      <c r="A541" t="s">
        <v>164</v>
      </c>
      <c r="B541" t="s">
        <v>115</v>
      </c>
      <c r="C541" s="14" t="s">
        <v>291</v>
      </c>
      <c r="D541" t="s">
        <v>366</v>
      </c>
      <c r="E541" t="s">
        <v>383</v>
      </c>
      <c r="F541" s="20">
        <v>2038</v>
      </c>
      <c r="G541" s="20">
        <v>49</v>
      </c>
      <c r="H541" s="11">
        <v>6295.0885013805801</v>
      </c>
      <c r="I541" s="10">
        <v>4030416.7625199999</v>
      </c>
      <c r="J541" s="34">
        <f t="shared" si="32"/>
        <v>1.5618951766776109E-3</v>
      </c>
      <c r="K541" s="34">
        <f t="shared" si="33"/>
        <v>1.5606760532030917E-3</v>
      </c>
      <c r="L541" s="34">
        <f t="shared" si="34"/>
        <v>0.98832671333509092</v>
      </c>
      <c r="M541" s="34">
        <f t="shared" si="35"/>
        <v>0.98678425550084792</v>
      </c>
    </row>
    <row r="542" spans="1:13" ht="69">
      <c r="A542" t="s">
        <v>164</v>
      </c>
      <c r="B542" t="s">
        <v>115</v>
      </c>
      <c r="C542" s="14" t="s">
        <v>291</v>
      </c>
      <c r="D542" t="s">
        <v>366</v>
      </c>
      <c r="E542" t="s">
        <v>383</v>
      </c>
      <c r="F542" s="20">
        <v>2038</v>
      </c>
      <c r="G542" s="20">
        <v>50</v>
      </c>
      <c r="H542" s="11">
        <v>6837.6089280049</v>
      </c>
      <c r="I542" s="10">
        <v>3980271.9364896198</v>
      </c>
      <c r="J542" s="34">
        <f t="shared" si="32"/>
        <v>1.7178748178787236E-3</v>
      </c>
      <c r="K542" s="34">
        <f t="shared" si="33"/>
        <v>1.7164001155060005E-3</v>
      </c>
      <c r="L542" s="34">
        <f t="shared" si="34"/>
        <v>0.98678425550084792</v>
      </c>
      <c r="M542" s="34">
        <f t="shared" si="35"/>
        <v>0.98509053889072673</v>
      </c>
    </row>
    <row r="543" spans="1:13" ht="69">
      <c r="A543" t="s">
        <v>164</v>
      </c>
      <c r="B543" t="s">
        <v>115</v>
      </c>
      <c r="C543" s="14" t="s">
        <v>291</v>
      </c>
      <c r="D543" t="s">
        <v>366</v>
      </c>
      <c r="E543" t="s">
        <v>383</v>
      </c>
      <c r="F543" s="20">
        <v>2038</v>
      </c>
      <c r="G543" s="20">
        <v>51</v>
      </c>
      <c r="H543" s="11">
        <v>7719.2576981565599</v>
      </c>
      <c r="I543" s="10">
        <v>3920984.3732088502</v>
      </c>
      <c r="J543" s="34">
        <f t="shared" si="32"/>
        <v>1.9687040200671046E-3</v>
      </c>
      <c r="K543" s="34">
        <f t="shared" si="33"/>
        <v>1.9667673933978502E-3</v>
      </c>
      <c r="L543" s="34">
        <f t="shared" si="34"/>
        <v>0.98509053889072673</v>
      </c>
      <c r="M543" s="34">
        <f t="shared" si="35"/>
        <v>0.98315309493929171</v>
      </c>
    </row>
    <row r="544" spans="1:13" ht="69">
      <c r="A544" t="s">
        <v>164</v>
      </c>
      <c r="B544" t="s">
        <v>115</v>
      </c>
      <c r="C544" s="14" t="s">
        <v>291</v>
      </c>
      <c r="D544" t="s">
        <v>366</v>
      </c>
      <c r="E544" t="s">
        <v>383</v>
      </c>
      <c r="F544" s="20">
        <v>2038</v>
      </c>
      <c r="G544" s="20">
        <v>52</v>
      </c>
      <c r="H544" s="11">
        <v>8450.2169787654002</v>
      </c>
      <c r="I544" s="10">
        <v>3920861.0186754102</v>
      </c>
      <c r="J544" s="34">
        <f t="shared" si="32"/>
        <v>2.1551942133414739E-3</v>
      </c>
      <c r="K544" s="34">
        <f t="shared" si="33"/>
        <v>2.1528734498242885E-3</v>
      </c>
      <c r="L544" s="34">
        <f t="shared" si="34"/>
        <v>0.98315309493929171</v>
      </c>
      <c r="M544" s="34">
        <f t="shared" si="35"/>
        <v>0.98103649074408428</v>
      </c>
    </row>
    <row r="545" spans="1:13" ht="69">
      <c r="A545" t="s">
        <v>164</v>
      </c>
      <c r="B545" t="s">
        <v>115</v>
      </c>
      <c r="C545" s="14" t="s">
        <v>291</v>
      </c>
      <c r="D545" t="s">
        <v>366</v>
      </c>
      <c r="E545" t="s">
        <v>383</v>
      </c>
      <c r="F545" s="20">
        <v>2038</v>
      </c>
      <c r="G545" s="20">
        <v>53</v>
      </c>
      <c r="H545" s="11">
        <v>9367.6671831547792</v>
      </c>
      <c r="I545" s="10">
        <v>3974299.6429398102</v>
      </c>
      <c r="J545" s="34">
        <f t="shared" si="32"/>
        <v>2.3570611239130089E-3</v>
      </c>
      <c r="K545" s="34">
        <f t="shared" si="33"/>
        <v>2.3542854365918853E-3</v>
      </c>
      <c r="L545" s="34">
        <f t="shared" si="34"/>
        <v>0.98103649074408428</v>
      </c>
      <c r="M545" s="34">
        <f t="shared" si="35"/>
        <v>0.97872685082116029</v>
      </c>
    </row>
    <row r="546" spans="1:13" ht="69">
      <c r="A546" t="s">
        <v>164</v>
      </c>
      <c r="B546" t="s">
        <v>115</v>
      </c>
      <c r="C546" s="14" t="s">
        <v>291</v>
      </c>
      <c r="D546" t="s">
        <v>366</v>
      </c>
      <c r="E546" t="s">
        <v>383</v>
      </c>
      <c r="F546" s="20">
        <v>2038</v>
      </c>
      <c r="G546" s="20">
        <v>54</v>
      </c>
      <c r="H546" s="11">
        <v>10362.0009356061</v>
      </c>
      <c r="I546" s="10">
        <v>3985893.2889279602</v>
      </c>
      <c r="J546" s="34">
        <f t="shared" si="32"/>
        <v>2.5996684267463287E-3</v>
      </c>
      <c r="K546" s="34">
        <f t="shared" si="33"/>
        <v>2.5962922150924994E-3</v>
      </c>
      <c r="L546" s="34">
        <f t="shared" si="34"/>
        <v>0.97872685082116029</v>
      </c>
      <c r="M546" s="34">
        <f t="shared" si="35"/>
        <v>0.97618578991767135</v>
      </c>
    </row>
    <row r="547" spans="1:13" ht="69">
      <c r="A547" t="s">
        <v>164</v>
      </c>
      <c r="B547" t="s">
        <v>115</v>
      </c>
      <c r="C547" s="14" t="s">
        <v>291</v>
      </c>
      <c r="D547" t="s">
        <v>366</v>
      </c>
      <c r="E547" t="s">
        <v>383</v>
      </c>
      <c r="F547" s="20">
        <v>2038</v>
      </c>
      <c r="G547" s="20">
        <v>55</v>
      </c>
      <c r="H547" s="11">
        <v>11182.207972943401</v>
      </c>
      <c r="I547" s="10">
        <v>3940617.9343690602</v>
      </c>
      <c r="J547" s="34">
        <f t="shared" si="32"/>
        <v>2.8376788004274779E-3</v>
      </c>
      <c r="K547" s="34">
        <f t="shared" si="33"/>
        <v>2.8336563956041783E-3</v>
      </c>
      <c r="L547" s="34">
        <f t="shared" si="34"/>
        <v>0.97618578991767135</v>
      </c>
      <c r="M547" s="34">
        <f t="shared" si="35"/>
        <v>0.97341961481077321</v>
      </c>
    </row>
    <row r="548" spans="1:13" ht="69">
      <c r="A548" t="s">
        <v>164</v>
      </c>
      <c r="B548" t="s">
        <v>115</v>
      </c>
      <c r="C548" s="14" t="s">
        <v>291</v>
      </c>
      <c r="D548" t="s">
        <v>366</v>
      </c>
      <c r="E548" t="s">
        <v>383</v>
      </c>
      <c r="F548" s="20">
        <v>2038</v>
      </c>
      <c r="G548" s="20">
        <v>56</v>
      </c>
      <c r="H548" s="11">
        <v>11960.688839717899</v>
      </c>
      <c r="I548" s="10">
        <v>3870853.5926576899</v>
      </c>
      <c r="J548" s="34">
        <f t="shared" si="32"/>
        <v>3.0899357346930315E-3</v>
      </c>
      <c r="K548" s="34">
        <f t="shared" si="33"/>
        <v>3.0851667964395535E-3</v>
      </c>
      <c r="L548" s="34">
        <f t="shared" si="34"/>
        <v>0.97341961481077321</v>
      </c>
      <c r="M548" s="34">
        <f t="shared" si="35"/>
        <v>0.97041645293615608</v>
      </c>
    </row>
    <row r="549" spans="1:13" ht="69">
      <c r="A549" t="s">
        <v>164</v>
      </c>
      <c r="B549" t="s">
        <v>115</v>
      </c>
      <c r="C549" s="14" t="s">
        <v>291</v>
      </c>
      <c r="D549" t="s">
        <v>366</v>
      </c>
      <c r="E549" t="s">
        <v>383</v>
      </c>
      <c r="F549" s="20">
        <v>2038</v>
      </c>
      <c r="G549" s="20">
        <v>57</v>
      </c>
      <c r="H549" s="11">
        <v>12772.9009900686</v>
      </c>
      <c r="I549" s="10">
        <v>3793822.5555823399</v>
      </c>
      <c r="J549" s="34">
        <f t="shared" si="32"/>
        <v>3.3667628896544423E-3</v>
      </c>
      <c r="K549" s="34">
        <f t="shared" si="33"/>
        <v>3.3611016985549691E-3</v>
      </c>
      <c r="L549" s="34">
        <f t="shared" si="34"/>
        <v>0.97041645293615608</v>
      </c>
      <c r="M549" s="34">
        <f t="shared" si="35"/>
        <v>0.96715478454788673</v>
      </c>
    </row>
    <row r="550" spans="1:13" ht="69">
      <c r="A550" t="s">
        <v>164</v>
      </c>
      <c r="B550" t="s">
        <v>115</v>
      </c>
      <c r="C550" s="14" t="s">
        <v>291</v>
      </c>
      <c r="D550" t="s">
        <v>366</v>
      </c>
      <c r="E550" t="s">
        <v>383</v>
      </c>
      <c r="F550" s="20">
        <v>2038</v>
      </c>
      <c r="G550" s="20">
        <v>58</v>
      </c>
      <c r="H550" s="11">
        <v>13645.5195541103</v>
      </c>
      <c r="I550" s="10">
        <v>3720915.4603375099</v>
      </c>
      <c r="J550" s="34">
        <f t="shared" si="32"/>
        <v>3.6672479392672276E-3</v>
      </c>
      <c r="K550" s="34">
        <f t="shared" si="33"/>
        <v>3.6605317979699903E-3</v>
      </c>
      <c r="L550" s="34">
        <f t="shared" si="34"/>
        <v>0.96715478454788673</v>
      </c>
      <c r="M550" s="34">
        <f t="shared" si="35"/>
        <v>0.96361448370549041</v>
      </c>
    </row>
    <row r="551" spans="1:13" ht="69">
      <c r="A551" t="s">
        <v>164</v>
      </c>
      <c r="B551" t="s">
        <v>115</v>
      </c>
      <c r="C551" s="14" t="s">
        <v>291</v>
      </c>
      <c r="D551" t="s">
        <v>366</v>
      </c>
      <c r="E551" t="s">
        <v>383</v>
      </c>
      <c r="F551" s="20">
        <v>2038</v>
      </c>
      <c r="G551" s="20">
        <v>59</v>
      </c>
      <c r="H551" s="11">
        <v>13915.979355764601</v>
      </c>
      <c r="I551" s="10">
        <v>3633923.79550615</v>
      </c>
      <c r="J551" s="34">
        <f t="shared" si="32"/>
        <v>3.8294637254016268E-3</v>
      </c>
      <c r="K551" s="34">
        <f t="shared" si="33"/>
        <v>3.8221406799507918E-3</v>
      </c>
      <c r="L551" s="34">
        <f t="shared" si="34"/>
        <v>0.96361448370549041</v>
      </c>
      <c r="M551" s="34">
        <f t="shared" si="35"/>
        <v>0.95993141358752987</v>
      </c>
    </row>
    <row r="552" spans="1:13" ht="69">
      <c r="A552" t="s">
        <v>164</v>
      </c>
      <c r="B552" t="s">
        <v>115</v>
      </c>
      <c r="C552" s="14" t="s">
        <v>291</v>
      </c>
      <c r="D552" t="s">
        <v>366</v>
      </c>
      <c r="E552" t="s">
        <v>383</v>
      </c>
      <c r="F552" s="20">
        <v>2038</v>
      </c>
      <c r="G552" s="20">
        <v>60</v>
      </c>
      <c r="H552" s="11">
        <v>14305.776787806</v>
      </c>
      <c r="I552" s="10">
        <v>3523794.4265117301</v>
      </c>
      <c r="J552" s="34">
        <f t="shared" si="32"/>
        <v>4.0597648603376548E-3</v>
      </c>
      <c r="K552" s="34">
        <f t="shared" si="33"/>
        <v>4.0515351556323909E-3</v>
      </c>
      <c r="L552" s="34">
        <f t="shared" si="34"/>
        <v>0.95993141358752987</v>
      </c>
      <c r="M552" s="34">
        <f t="shared" si="35"/>
        <v>0.95604221771838405</v>
      </c>
    </row>
    <row r="553" spans="1:13" ht="69">
      <c r="A553" t="s">
        <v>164</v>
      </c>
      <c r="B553" t="s">
        <v>115</v>
      </c>
      <c r="C553" s="14" t="s">
        <v>291</v>
      </c>
      <c r="D553" t="s">
        <v>366</v>
      </c>
      <c r="E553" t="s">
        <v>383</v>
      </c>
      <c r="F553" s="20">
        <v>2038</v>
      </c>
      <c r="G553" s="20">
        <v>61</v>
      </c>
      <c r="H553" s="11">
        <v>14873.018372999601</v>
      </c>
      <c r="I553" s="10">
        <v>3417263.9245886402</v>
      </c>
      <c r="J553" s="34">
        <f t="shared" si="32"/>
        <v>4.3523177317332813E-3</v>
      </c>
      <c r="K553" s="34">
        <f t="shared" si="33"/>
        <v>4.3428601227291086E-3</v>
      </c>
      <c r="L553" s="34">
        <f t="shared" si="34"/>
        <v>0.95604221771838405</v>
      </c>
      <c r="M553" s="34">
        <f t="shared" si="35"/>
        <v>0.95189026009540934</v>
      </c>
    </row>
    <row r="554" spans="1:13" ht="69">
      <c r="A554" t="s">
        <v>164</v>
      </c>
      <c r="B554" t="s">
        <v>115</v>
      </c>
      <c r="C554" s="14" t="s">
        <v>291</v>
      </c>
      <c r="D554" t="s">
        <v>366</v>
      </c>
      <c r="E554" t="s">
        <v>383</v>
      </c>
      <c r="F554" s="20">
        <v>2038</v>
      </c>
      <c r="G554" s="20">
        <v>62</v>
      </c>
      <c r="H554" s="11">
        <v>15638.6357235503</v>
      </c>
      <c r="I554" s="10">
        <v>3323520.6744580101</v>
      </c>
      <c r="J554" s="34">
        <f t="shared" si="32"/>
        <v>4.7054425879570023E-3</v>
      </c>
      <c r="K554" s="34">
        <f t="shared" si="33"/>
        <v>4.694389336591942E-3</v>
      </c>
      <c r="L554" s="34">
        <f t="shared" si="34"/>
        <v>0.95189026009540934</v>
      </c>
      <c r="M554" s="34">
        <f t="shared" si="35"/>
        <v>0.94742171660881169</v>
      </c>
    </row>
    <row r="555" spans="1:13" ht="69">
      <c r="A555" t="s">
        <v>164</v>
      </c>
      <c r="B555" t="s">
        <v>115</v>
      </c>
      <c r="C555" s="14" t="s">
        <v>291</v>
      </c>
      <c r="D555" t="s">
        <v>366</v>
      </c>
      <c r="E555" t="s">
        <v>383</v>
      </c>
      <c r="F555" s="20">
        <v>2038</v>
      </c>
      <c r="G555" s="20">
        <v>63</v>
      </c>
      <c r="H555" s="11">
        <v>16373.6628190677</v>
      </c>
      <c r="I555" s="10">
        <v>3217355.0071691601</v>
      </c>
      <c r="J555" s="34">
        <f t="shared" si="32"/>
        <v>5.0891688304780273E-3</v>
      </c>
      <c r="K555" s="34">
        <f t="shared" si="33"/>
        <v>5.0762409508038342E-3</v>
      </c>
      <c r="L555" s="34">
        <f t="shared" si="34"/>
        <v>0.94742171660881169</v>
      </c>
      <c r="M555" s="34">
        <f t="shared" si="35"/>
        <v>0.94261237569328116</v>
      </c>
    </row>
    <row r="556" spans="1:13" ht="69">
      <c r="A556" t="s">
        <v>164</v>
      </c>
      <c r="B556" t="s">
        <v>115</v>
      </c>
      <c r="C556" s="14" t="s">
        <v>291</v>
      </c>
      <c r="D556" t="s">
        <v>366</v>
      </c>
      <c r="E556" t="s">
        <v>383</v>
      </c>
      <c r="F556" s="20">
        <v>2038</v>
      </c>
      <c r="G556" s="20">
        <v>64</v>
      </c>
      <c r="H556" s="11">
        <v>17528.855982781399</v>
      </c>
      <c r="I556" s="10">
        <v>3123757.04204523</v>
      </c>
      <c r="J556" s="34">
        <f t="shared" si="32"/>
        <v>5.6114658556494718E-3</v>
      </c>
      <c r="K556" s="34">
        <f t="shared" si="33"/>
        <v>5.5957509893438395E-3</v>
      </c>
      <c r="L556" s="34">
        <f t="shared" si="34"/>
        <v>0.94261237569328116</v>
      </c>
      <c r="M556" s="34">
        <f t="shared" si="35"/>
        <v>0.93733775155942778</v>
      </c>
    </row>
    <row r="557" spans="1:13" ht="69">
      <c r="A557" t="s">
        <v>164</v>
      </c>
      <c r="B557" t="s">
        <v>115</v>
      </c>
      <c r="C557" s="14" t="s">
        <v>291</v>
      </c>
      <c r="D557" t="s">
        <v>366</v>
      </c>
      <c r="E557" t="s">
        <v>383</v>
      </c>
      <c r="F557" s="20">
        <v>2038</v>
      </c>
      <c r="G557" s="20">
        <v>65</v>
      </c>
      <c r="H557" s="11">
        <v>18617.055995729501</v>
      </c>
      <c r="I557" s="10">
        <v>3028812.1426253398</v>
      </c>
      <c r="J557" s="34">
        <f t="shared" si="32"/>
        <v>6.1466525882296714E-3</v>
      </c>
      <c r="K557" s="34">
        <f t="shared" si="33"/>
        <v>6.1278005645994948E-3</v>
      </c>
      <c r="L557" s="34">
        <f t="shared" si="34"/>
        <v>0.93733775155942778</v>
      </c>
      <c r="M557" s="34">
        <f t="shared" si="35"/>
        <v>0.9315939327562015</v>
      </c>
    </row>
    <row r="558" spans="1:13" ht="69">
      <c r="A558" t="s">
        <v>164</v>
      </c>
      <c r="B558" t="s">
        <v>115</v>
      </c>
      <c r="C558" s="14" t="s">
        <v>291</v>
      </c>
      <c r="D558" t="s">
        <v>366</v>
      </c>
      <c r="E558" t="s">
        <v>383</v>
      </c>
      <c r="F558" s="20">
        <v>2038</v>
      </c>
      <c r="G558" s="20">
        <v>66</v>
      </c>
      <c r="H558" s="11">
        <v>19007.762957176499</v>
      </c>
      <c r="I558" s="10">
        <v>2914037.0635138601</v>
      </c>
      <c r="J558" s="34">
        <f t="shared" si="32"/>
        <v>6.5228281394115809E-3</v>
      </c>
      <c r="K558" s="34">
        <f t="shared" si="33"/>
        <v>6.5016006753871869E-3</v>
      </c>
      <c r="L558" s="34">
        <f t="shared" si="34"/>
        <v>0.9315939327562015</v>
      </c>
      <c r="M558" s="34">
        <f t="shared" si="35"/>
        <v>0.92553708101380716</v>
      </c>
    </row>
    <row r="559" spans="1:13" ht="69">
      <c r="A559" t="s">
        <v>164</v>
      </c>
      <c r="B559" t="s">
        <v>115</v>
      </c>
      <c r="C559" s="14" t="s">
        <v>291</v>
      </c>
      <c r="D559" t="s">
        <v>366</v>
      </c>
      <c r="E559" t="s">
        <v>383</v>
      </c>
      <c r="F559" s="20">
        <v>2038</v>
      </c>
      <c r="G559" s="20">
        <v>67</v>
      </c>
      <c r="H559" s="11">
        <v>19939.886502014298</v>
      </c>
      <c r="I559" s="10">
        <v>2807575.45389181</v>
      </c>
      <c r="J559" s="34">
        <f t="shared" si="32"/>
        <v>7.1021729707652168E-3</v>
      </c>
      <c r="K559" s="34">
        <f t="shared" si="33"/>
        <v>7.0770121410704823E-3</v>
      </c>
      <c r="L559" s="34">
        <f t="shared" si="34"/>
        <v>0.92553708101380716</v>
      </c>
      <c r="M559" s="34">
        <f t="shared" si="35"/>
        <v>0.9189870438544615</v>
      </c>
    </row>
    <row r="560" spans="1:13" ht="69">
      <c r="A560" t="s">
        <v>164</v>
      </c>
      <c r="B560" t="s">
        <v>115</v>
      </c>
      <c r="C560" s="14" t="s">
        <v>291</v>
      </c>
      <c r="D560" t="s">
        <v>366</v>
      </c>
      <c r="E560" t="s">
        <v>383</v>
      </c>
      <c r="F560" s="20">
        <v>2038</v>
      </c>
      <c r="G560" s="20">
        <v>68</v>
      </c>
      <c r="H560" s="11">
        <v>20755.020212534298</v>
      </c>
      <c r="I560" s="10">
        <v>2698309.7891556001</v>
      </c>
      <c r="J560" s="34">
        <f t="shared" si="32"/>
        <v>7.6918596582008112E-3</v>
      </c>
      <c r="K560" s="34">
        <f t="shared" si="33"/>
        <v>7.6623530078394619E-3</v>
      </c>
      <c r="L560" s="34">
        <f t="shared" si="34"/>
        <v>0.9189870438544615</v>
      </c>
      <c r="M560" s="34">
        <f t="shared" si="35"/>
        <v>0.91194544071481776</v>
      </c>
    </row>
    <row r="561" spans="1:13" ht="69">
      <c r="A561" t="s">
        <v>164</v>
      </c>
      <c r="B561" t="s">
        <v>115</v>
      </c>
      <c r="C561" s="14" t="s">
        <v>291</v>
      </c>
      <c r="D561" t="s">
        <v>366</v>
      </c>
      <c r="E561" t="s">
        <v>383</v>
      </c>
      <c r="F561" s="20">
        <v>2038</v>
      </c>
      <c r="G561" s="20">
        <v>69</v>
      </c>
      <c r="H561" s="11">
        <v>20853.767316435598</v>
      </c>
      <c r="I561" s="10">
        <v>2574331.1404870502</v>
      </c>
      <c r="J561" s="34">
        <f t="shared" si="32"/>
        <v>8.1006545694390242E-3</v>
      </c>
      <c r="K561" s="34">
        <f t="shared" si="33"/>
        <v>8.0679326830581655E-3</v>
      </c>
      <c r="L561" s="34">
        <f t="shared" si="34"/>
        <v>0.91194544071481776</v>
      </c>
      <c r="M561" s="34">
        <f t="shared" si="35"/>
        <v>0.90458792628850881</v>
      </c>
    </row>
    <row r="562" spans="1:13" ht="69">
      <c r="A562" t="s">
        <v>164</v>
      </c>
      <c r="B562" t="s">
        <v>115</v>
      </c>
      <c r="C562" s="14" t="s">
        <v>291</v>
      </c>
      <c r="D562" t="s">
        <v>366</v>
      </c>
      <c r="E562" t="s">
        <v>383</v>
      </c>
      <c r="F562" s="20">
        <v>2039</v>
      </c>
      <c r="G562" s="20">
        <v>30</v>
      </c>
      <c r="H562" s="11">
        <v>727.31519909755002</v>
      </c>
      <c r="I562" s="10">
        <v>4660724.2282409398</v>
      </c>
      <c r="J562" s="34">
        <f t="shared" si="32"/>
        <v>1.5605197035484223E-4</v>
      </c>
      <c r="K562" s="34">
        <f t="shared" si="33"/>
        <v>1.5603979487943676E-4</v>
      </c>
      <c r="L562" s="34">
        <f t="shared" si="34"/>
        <v>1</v>
      </c>
      <c r="M562" s="34">
        <f t="shared" si="35"/>
        <v>0.99984396020512056</v>
      </c>
    </row>
    <row r="563" spans="1:13" ht="69">
      <c r="A563" t="s">
        <v>164</v>
      </c>
      <c r="B563" t="s">
        <v>115</v>
      </c>
      <c r="C563" s="14" t="s">
        <v>291</v>
      </c>
      <c r="D563" t="s">
        <v>366</v>
      </c>
      <c r="E563" t="s">
        <v>383</v>
      </c>
      <c r="F563" s="20">
        <v>2039</v>
      </c>
      <c r="G563" s="20">
        <v>31</v>
      </c>
      <c r="H563" s="11">
        <v>1038.1253274685</v>
      </c>
      <c r="I563" s="10">
        <v>4653326.1005117605</v>
      </c>
      <c r="J563" s="34">
        <f t="shared" si="32"/>
        <v>2.2309318217657897E-4</v>
      </c>
      <c r="K563" s="34">
        <f t="shared" si="33"/>
        <v>2.2306829874307876E-4</v>
      </c>
      <c r="L563" s="34">
        <f t="shared" si="34"/>
        <v>0.99984396020512056</v>
      </c>
      <c r="M563" s="34">
        <f t="shared" si="35"/>
        <v>0.99962092671390912</v>
      </c>
    </row>
    <row r="564" spans="1:13" ht="69">
      <c r="A564" t="s">
        <v>164</v>
      </c>
      <c r="B564" t="s">
        <v>115</v>
      </c>
      <c r="C564" s="14" t="s">
        <v>291</v>
      </c>
      <c r="D564" t="s">
        <v>366</v>
      </c>
      <c r="E564" t="s">
        <v>383</v>
      </c>
      <c r="F564" s="20">
        <v>2039</v>
      </c>
      <c r="G564" s="20">
        <v>32</v>
      </c>
      <c r="H564" s="11">
        <v>1063.9103729954099</v>
      </c>
      <c r="I564" s="10">
        <v>4626092.5172946099</v>
      </c>
      <c r="J564" s="34">
        <f t="shared" si="32"/>
        <v>2.299803492943536E-4</v>
      </c>
      <c r="K564" s="34">
        <f t="shared" si="33"/>
        <v>2.2995390584101827E-4</v>
      </c>
      <c r="L564" s="34">
        <f t="shared" si="34"/>
        <v>0.99962092671390912</v>
      </c>
      <c r="M564" s="34">
        <f t="shared" si="35"/>
        <v>0.99939105997745081</v>
      </c>
    </row>
    <row r="565" spans="1:13" ht="69">
      <c r="A565" t="s">
        <v>164</v>
      </c>
      <c r="B565" t="s">
        <v>115</v>
      </c>
      <c r="C565" s="14" t="s">
        <v>291</v>
      </c>
      <c r="D565" t="s">
        <v>366</v>
      </c>
      <c r="E565" t="s">
        <v>383</v>
      </c>
      <c r="F565" s="20">
        <v>2039</v>
      </c>
      <c r="G565" s="20">
        <v>33</v>
      </c>
      <c r="H565" s="11">
        <v>1097.4830340732699</v>
      </c>
      <c r="I565" s="10">
        <v>4555166.1189788003</v>
      </c>
      <c r="J565" s="34">
        <f t="shared" si="32"/>
        <v>2.4093150620801268E-4</v>
      </c>
      <c r="K565" s="34">
        <f t="shared" si="33"/>
        <v>2.409024845434482E-4</v>
      </c>
      <c r="L565" s="34">
        <f t="shared" si="34"/>
        <v>0.99939105997745081</v>
      </c>
      <c r="M565" s="34">
        <f t="shared" si="35"/>
        <v>0.99915030418807171</v>
      </c>
    </row>
    <row r="566" spans="1:13" ht="69">
      <c r="A566" t="s">
        <v>164</v>
      </c>
      <c r="B566" t="s">
        <v>115</v>
      </c>
      <c r="C566" s="14" t="s">
        <v>291</v>
      </c>
      <c r="D566" t="s">
        <v>366</v>
      </c>
      <c r="E566" t="s">
        <v>383</v>
      </c>
      <c r="F566" s="20">
        <v>2039</v>
      </c>
      <c r="G566" s="20">
        <v>34</v>
      </c>
      <c r="H566" s="11">
        <v>1130.4999477904601</v>
      </c>
      <c r="I566" s="10">
        <v>4461478.2053865297</v>
      </c>
      <c r="J566" s="34">
        <f t="shared" si="32"/>
        <v>2.5339134155705613E-4</v>
      </c>
      <c r="K566" s="34">
        <f t="shared" si="33"/>
        <v>2.533592406824825E-4</v>
      </c>
      <c r="L566" s="34">
        <f t="shared" si="34"/>
        <v>0.99915030418807171</v>
      </c>
      <c r="M566" s="34">
        <f t="shared" si="35"/>
        <v>0.99889716022567498</v>
      </c>
    </row>
    <row r="567" spans="1:13" ht="69">
      <c r="A567" t="s">
        <v>164</v>
      </c>
      <c r="B567" t="s">
        <v>115</v>
      </c>
      <c r="C567" s="14" t="s">
        <v>291</v>
      </c>
      <c r="D567" t="s">
        <v>366</v>
      </c>
      <c r="E567" t="s">
        <v>383</v>
      </c>
      <c r="F567" s="20">
        <v>2039</v>
      </c>
      <c r="G567" s="20">
        <v>35</v>
      </c>
      <c r="H567" s="11">
        <v>1196.0934577744599</v>
      </c>
      <c r="I567" s="10">
        <v>4364280.0794039797</v>
      </c>
      <c r="J567" s="34">
        <f t="shared" si="32"/>
        <v>2.7406432126551508E-4</v>
      </c>
      <c r="K567" s="34">
        <f t="shared" si="33"/>
        <v>2.7402676907006818E-4</v>
      </c>
      <c r="L567" s="34">
        <f t="shared" si="34"/>
        <v>0.99889716022567498</v>
      </c>
      <c r="M567" s="34">
        <f t="shared" si="35"/>
        <v>0.99862343566422507</v>
      </c>
    </row>
    <row r="568" spans="1:13" ht="69">
      <c r="A568" t="s">
        <v>164</v>
      </c>
      <c r="B568" t="s">
        <v>115</v>
      </c>
      <c r="C568" s="14" t="s">
        <v>291</v>
      </c>
      <c r="D568" t="s">
        <v>366</v>
      </c>
      <c r="E568" t="s">
        <v>383</v>
      </c>
      <c r="F568" s="20">
        <v>2039</v>
      </c>
      <c r="G568" s="20">
        <v>36</v>
      </c>
      <c r="H568" s="11">
        <v>1559.7975557919001</v>
      </c>
      <c r="I568" s="10">
        <v>4321126.5262416201</v>
      </c>
      <c r="J568" s="34">
        <f t="shared" si="32"/>
        <v>3.6097011886124122E-4</v>
      </c>
      <c r="K568" s="34">
        <f t="shared" si="33"/>
        <v>3.6090497698626489E-4</v>
      </c>
      <c r="L568" s="34">
        <f t="shared" si="34"/>
        <v>0.99862343566422507</v>
      </c>
      <c r="M568" s="34">
        <f t="shared" si="35"/>
        <v>0.99826302749615869</v>
      </c>
    </row>
    <row r="569" spans="1:13" ht="69">
      <c r="A569" t="s">
        <v>164</v>
      </c>
      <c r="B569" t="s">
        <v>115</v>
      </c>
      <c r="C569" s="14" t="s">
        <v>291</v>
      </c>
      <c r="D569" t="s">
        <v>366</v>
      </c>
      <c r="E569" t="s">
        <v>383</v>
      </c>
      <c r="F569" s="20">
        <v>2039</v>
      </c>
      <c r="G569" s="20">
        <v>37</v>
      </c>
      <c r="H569" s="11">
        <v>1719.9169972142799</v>
      </c>
      <c r="I569" s="10">
        <v>4300699.5766671002</v>
      </c>
      <c r="J569" s="34">
        <f t="shared" si="32"/>
        <v>3.9991563385302972E-4</v>
      </c>
      <c r="K569" s="34">
        <f t="shared" si="33"/>
        <v>3.998356782547452E-4</v>
      </c>
      <c r="L569" s="34">
        <f t="shared" si="34"/>
        <v>0.99826302749615869</v>
      </c>
      <c r="M569" s="34">
        <f t="shared" si="35"/>
        <v>0.99786388632148315</v>
      </c>
    </row>
    <row r="570" spans="1:13" ht="69">
      <c r="A570" t="s">
        <v>164</v>
      </c>
      <c r="B570" t="s">
        <v>115</v>
      </c>
      <c r="C570" s="14" t="s">
        <v>291</v>
      </c>
      <c r="D570" t="s">
        <v>366</v>
      </c>
      <c r="E570" t="s">
        <v>383</v>
      </c>
      <c r="F570" s="20">
        <v>2039</v>
      </c>
      <c r="G570" s="20">
        <v>38</v>
      </c>
      <c r="H570" s="11">
        <v>1902.46658420376</v>
      </c>
      <c r="I570" s="10">
        <v>4280127.4534466499</v>
      </c>
      <c r="J570" s="34">
        <f t="shared" si="32"/>
        <v>4.4448830201814773E-4</v>
      </c>
      <c r="K570" s="34">
        <f t="shared" si="33"/>
        <v>4.4438953172742934E-4</v>
      </c>
      <c r="L570" s="34">
        <f t="shared" si="34"/>
        <v>0.99786388632148315</v>
      </c>
      <c r="M570" s="34">
        <f t="shared" si="35"/>
        <v>0.99742044605631308</v>
      </c>
    </row>
    <row r="571" spans="1:13" ht="69">
      <c r="A571" t="s">
        <v>164</v>
      </c>
      <c r="B571" t="s">
        <v>115</v>
      </c>
      <c r="C571" s="14" t="s">
        <v>291</v>
      </c>
      <c r="D571" t="s">
        <v>366</v>
      </c>
      <c r="E571" t="s">
        <v>383</v>
      </c>
      <c r="F571" s="20">
        <v>2039</v>
      </c>
      <c r="G571" s="20">
        <v>39</v>
      </c>
      <c r="H571" s="11">
        <v>2038.9809861307399</v>
      </c>
      <c r="I571" s="10">
        <v>4278820.8310973803</v>
      </c>
      <c r="J571" s="34">
        <f t="shared" si="32"/>
        <v>4.7652871354461612E-4</v>
      </c>
      <c r="K571" s="34">
        <f t="shared" si="33"/>
        <v>4.7641519176999658E-4</v>
      </c>
      <c r="L571" s="34">
        <f t="shared" si="34"/>
        <v>0.99742044605631308</v>
      </c>
      <c r="M571" s="34">
        <f t="shared" si="35"/>
        <v>0.9969452598032299</v>
      </c>
    </row>
    <row r="572" spans="1:13" ht="69">
      <c r="A572" t="s">
        <v>164</v>
      </c>
      <c r="B572" t="s">
        <v>115</v>
      </c>
      <c r="C572" s="14" t="s">
        <v>291</v>
      </c>
      <c r="D572" t="s">
        <v>366</v>
      </c>
      <c r="E572" t="s">
        <v>383</v>
      </c>
      <c r="F572" s="20">
        <v>2039</v>
      </c>
      <c r="G572" s="20">
        <v>40</v>
      </c>
      <c r="H572" s="11">
        <v>2260.5309627888601</v>
      </c>
      <c r="I572" s="10">
        <v>4315636.9939122302</v>
      </c>
      <c r="J572" s="34">
        <f t="shared" si="32"/>
        <v>5.2380007076073228E-4</v>
      </c>
      <c r="K572" s="34">
        <f t="shared" si="33"/>
        <v>5.2366291145278243E-4</v>
      </c>
      <c r="L572" s="34">
        <f t="shared" si="34"/>
        <v>0.9969452598032299</v>
      </c>
      <c r="M572" s="34">
        <f t="shared" si="35"/>
        <v>0.99642319654592226</v>
      </c>
    </row>
    <row r="573" spans="1:13" ht="69">
      <c r="A573" t="s">
        <v>164</v>
      </c>
      <c r="B573" t="s">
        <v>115</v>
      </c>
      <c r="C573" s="14" t="s">
        <v>291</v>
      </c>
      <c r="D573" t="s">
        <v>366</v>
      </c>
      <c r="E573" t="s">
        <v>383</v>
      </c>
      <c r="F573" s="20">
        <v>2039</v>
      </c>
      <c r="G573" s="20">
        <v>41</v>
      </c>
      <c r="H573" s="11">
        <v>2964.8424262973799</v>
      </c>
      <c r="I573" s="10">
        <v>4354675.44117619</v>
      </c>
      <c r="J573" s="34">
        <f t="shared" si="32"/>
        <v>6.8084119387243726E-4</v>
      </c>
      <c r="K573" s="34">
        <f t="shared" si="33"/>
        <v>6.8060947409787076E-4</v>
      </c>
      <c r="L573" s="34">
        <f t="shared" si="34"/>
        <v>0.99642319654592226</v>
      </c>
      <c r="M573" s="34">
        <f t="shared" si="35"/>
        <v>0.99574502147814226</v>
      </c>
    </row>
    <row r="574" spans="1:13" ht="69">
      <c r="A574" t="s">
        <v>164</v>
      </c>
      <c r="B574" t="s">
        <v>115</v>
      </c>
      <c r="C574" s="14" t="s">
        <v>291</v>
      </c>
      <c r="D574" t="s">
        <v>366</v>
      </c>
      <c r="E574" t="s">
        <v>383</v>
      </c>
      <c r="F574" s="20">
        <v>2039</v>
      </c>
      <c r="G574" s="20">
        <v>42</v>
      </c>
      <c r="H574" s="11">
        <v>3265.5446694450002</v>
      </c>
      <c r="I574" s="10">
        <v>4347777.30692749</v>
      </c>
      <c r="J574" s="34">
        <f t="shared" si="32"/>
        <v>7.5108370068583676E-4</v>
      </c>
      <c r="K574" s="34">
        <f t="shared" si="33"/>
        <v>7.5080170792762857E-4</v>
      </c>
      <c r="L574" s="34">
        <f t="shared" si="34"/>
        <v>0.99574502147814226</v>
      </c>
      <c r="M574" s="34">
        <f t="shared" si="35"/>
        <v>0.99499741441535605</v>
      </c>
    </row>
    <row r="575" spans="1:13" ht="69">
      <c r="A575" t="s">
        <v>164</v>
      </c>
      <c r="B575" t="s">
        <v>115</v>
      </c>
      <c r="C575" s="14" t="s">
        <v>291</v>
      </c>
      <c r="D575" t="s">
        <v>366</v>
      </c>
      <c r="E575" t="s">
        <v>383</v>
      </c>
      <c r="F575" s="20">
        <v>2039</v>
      </c>
      <c r="G575" s="20">
        <v>43</v>
      </c>
      <c r="H575" s="11">
        <v>3560.7131585830298</v>
      </c>
      <c r="I575" s="10">
        <v>4282220.3675299399</v>
      </c>
      <c r="J575" s="34">
        <f t="shared" si="32"/>
        <v>8.3151095762895361E-4</v>
      </c>
      <c r="K575" s="34">
        <f t="shared" si="33"/>
        <v>8.3116534819194232E-4</v>
      </c>
      <c r="L575" s="34">
        <f t="shared" si="34"/>
        <v>0.99499741441535605</v>
      </c>
      <c r="M575" s="34">
        <f t="shared" si="35"/>
        <v>0.99417040704295345</v>
      </c>
    </row>
    <row r="576" spans="1:13" ht="69">
      <c r="A576" t="s">
        <v>164</v>
      </c>
      <c r="B576" t="s">
        <v>115</v>
      </c>
      <c r="C576" s="14" t="s">
        <v>291</v>
      </c>
      <c r="D576" t="s">
        <v>366</v>
      </c>
      <c r="E576" t="s">
        <v>383</v>
      </c>
      <c r="F576" s="20">
        <v>2039</v>
      </c>
      <c r="G576" s="20">
        <v>44</v>
      </c>
      <c r="H576" s="11">
        <v>3664.5995469761501</v>
      </c>
      <c r="I576" s="10">
        <v>4214233.5630891202</v>
      </c>
      <c r="J576" s="34">
        <f t="shared" si="32"/>
        <v>8.6957675508851553E-4</v>
      </c>
      <c r="K576" s="34">
        <f t="shared" si="33"/>
        <v>8.6919878278857166E-4</v>
      </c>
      <c r="L576" s="34">
        <f t="shared" si="34"/>
        <v>0.99417040704295345</v>
      </c>
      <c r="M576" s="34">
        <f t="shared" si="35"/>
        <v>0.99330627533526727</v>
      </c>
    </row>
    <row r="577" spans="1:13" ht="69">
      <c r="A577" t="s">
        <v>164</v>
      </c>
      <c r="B577" t="s">
        <v>115</v>
      </c>
      <c r="C577" s="14" t="s">
        <v>291</v>
      </c>
      <c r="D577" t="s">
        <v>366</v>
      </c>
      <c r="E577" t="s">
        <v>383</v>
      </c>
      <c r="F577" s="20">
        <v>2039</v>
      </c>
      <c r="G577" s="20">
        <v>45</v>
      </c>
      <c r="H577" s="11">
        <v>3895.2768982347102</v>
      </c>
      <c r="I577" s="10">
        <v>4155230.7454485102</v>
      </c>
      <c r="J577" s="34">
        <f t="shared" si="32"/>
        <v>9.3743937144801306E-4</v>
      </c>
      <c r="K577" s="34">
        <f t="shared" si="33"/>
        <v>9.3700011243069703E-4</v>
      </c>
      <c r="L577" s="34">
        <f t="shared" si="34"/>
        <v>0.99330627533526727</v>
      </c>
      <c r="M577" s="34">
        <f t="shared" si="35"/>
        <v>0.9923755472436</v>
      </c>
    </row>
    <row r="578" spans="1:13" ht="69">
      <c r="A578" t="s">
        <v>164</v>
      </c>
      <c r="B578" t="s">
        <v>115</v>
      </c>
      <c r="C578" s="14" t="s">
        <v>291</v>
      </c>
      <c r="D578" t="s">
        <v>366</v>
      </c>
      <c r="E578" t="s">
        <v>383</v>
      </c>
      <c r="F578" s="20">
        <v>2039</v>
      </c>
      <c r="G578" s="20">
        <v>46</v>
      </c>
      <c r="H578" s="11">
        <v>4786.7258151374099</v>
      </c>
      <c r="I578" s="10">
        <v>4098196.9646925</v>
      </c>
      <c r="J578" s="34">
        <f t="shared" ref="J578:J641" si="36">IF(I578&gt;0,H578/I578,0)</f>
        <v>1.1680077498414166E-3</v>
      </c>
      <c r="K578" s="34">
        <f t="shared" ref="K578:K641" si="37">1-EXP(-J578)</f>
        <v>1.167325894286253E-3</v>
      </c>
      <c r="L578" s="34">
        <f t="shared" ref="L578:L641" si="38">IF(G578=30,1,M577)</f>
        <v>0.9923755472436</v>
      </c>
      <c r="M578" s="34">
        <f t="shared" ref="M578:M641" si="39">L578*(1-K578)</f>
        <v>0.99121712157044606</v>
      </c>
    </row>
    <row r="579" spans="1:13" ht="69">
      <c r="A579" t="s">
        <v>164</v>
      </c>
      <c r="B579" t="s">
        <v>115</v>
      </c>
      <c r="C579" s="14" t="s">
        <v>291</v>
      </c>
      <c r="D579" t="s">
        <v>366</v>
      </c>
      <c r="E579" t="s">
        <v>383</v>
      </c>
      <c r="F579" s="20">
        <v>2039</v>
      </c>
      <c r="G579" s="20">
        <v>47</v>
      </c>
      <c r="H579" s="11">
        <v>5218.7125279879401</v>
      </c>
      <c r="I579" s="10">
        <v>4075157.0609645001</v>
      </c>
      <c r="J579" s="34">
        <f t="shared" si="36"/>
        <v>1.2806162927994696E-3</v>
      </c>
      <c r="K579" s="34">
        <f t="shared" si="37"/>
        <v>1.2797966536731709E-3</v>
      </c>
      <c r="L579" s="34">
        <f t="shared" si="38"/>
        <v>0.99121712157044606</v>
      </c>
      <c r="M579" s="34">
        <f t="shared" si="39"/>
        <v>0.9899485652151967</v>
      </c>
    </row>
    <row r="580" spans="1:13" ht="69">
      <c r="A580" t="s">
        <v>164</v>
      </c>
      <c r="B580" t="s">
        <v>115</v>
      </c>
      <c r="C580" s="14" t="s">
        <v>291</v>
      </c>
      <c r="D580" t="s">
        <v>366</v>
      </c>
      <c r="E580" t="s">
        <v>383</v>
      </c>
      <c r="F580" s="20">
        <v>2039</v>
      </c>
      <c r="G580" s="20">
        <v>48</v>
      </c>
      <c r="H580" s="11">
        <v>5735.0693829350903</v>
      </c>
      <c r="I580" s="10">
        <v>4045673.0729785701</v>
      </c>
      <c r="J580" s="34">
        <f t="shared" si="36"/>
        <v>1.4175810253280613E-3</v>
      </c>
      <c r="K580" s="34">
        <f t="shared" si="37"/>
        <v>1.4165767319581635E-3</v>
      </c>
      <c r="L580" s="34">
        <f t="shared" si="38"/>
        <v>0.9899485652151967</v>
      </c>
      <c r="M580" s="34">
        <f t="shared" si="39"/>
        <v>0.98854622711187745</v>
      </c>
    </row>
    <row r="581" spans="1:13" ht="69">
      <c r="A581" t="s">
        <v>164</v>
      </c>
      <c r="B581" t="s">
        <v>115</v>
      </c>
      <c r="C581" s="14" t="s">
        <v>291</v>
      </c>
      <c r="D581" t="s">
        <v>366</v>
      </c>
      <c r="E581" t="s">
        <v>383</v>
      </c>
      <c r="F581" s="20">
        <v>2039</v>
      </c>
      <c r="G581" s="20">
        <v>49</v>
      </c>
      <c r="H581" s="11">
        <v>6143.3240313813503</v>
      </c>
      <c r="I581" s="10">
        <v>4018760.9135585502</v>
      </c>
      <c r="J581" s="34">
        <f t="shared" si="36"/>
        <v>1.5286612375110249E-3</v>
      </c>
      <c r="K581" s="34">
        <f t="shared" si="37"/>
        <v>1.5274934300579801E-3</v>
      </c>
      <c r="L581" s="34">
        <f t="shared" si="38"/>
        <v>0.98854622711187745</v>
      </c>
      <c r="M581" s="34">
        <f t="shared" si="39"/>
        <v>0.98703622924465551</v>
      </c>
    </row>
    <row r="582" spans="1:13" ht="69">
      <c r="A582" t="s">
        <v>164</v>
      </c>
      <c r="B582" t="s">
        <v>115</v>
      </c>
      <c r="C582" s="14" t="s">
        <v>291</v>
      </c>
      <c r="D582" t="s">
        <v>366</v>
      </c>
      <c r="E582" t="s">
        <v>383</v>
      </c>
      <c r="F582" s="20">
        <v>2039</v>
      </c>
      <c r="G582" s="20">
        <v>50</v>
      </c>
      <c r="H582" s="11">
        <v>6672.6854388612601</v>
      </c>
      <c r="I582" s="10">
        <v>4013301.9028531201</v>
      </c>
      <c r="J582" s="34">
        <f t="shared" si="36"/>
        <v>1.6626422831827184E-3</v>
      </c>
      <c r="K582" s="34">
        <f t="shared" si="37"/>
        <v>1.6612608592124767E-3</v>
      </c>
      <c r="L582" s="34">
        <f t="shared" si="38"/>
        <v>0.98703622924465551</v>
      </c>
      <c r="M582" s="34">
        <f t="shared" si="39"/>
        <v>0.98539650459038663</v>
      </c>
    </row>
    <row r="583" spans="1:13" ht="69">
      <c r="A583" t="s">
        <v>164</v>
      </c>
      <c r="B583" t="s">
        <v>115</v>
      </c>
      <c r="C583" s="14" t="s">
        <v>291</v>
      </c>
      <c r="D583" t="s">
        <v>366</v>
      </c>
      <c r="E583" t="s">
        <v>383</v>
      </c>
      <c r="F583" s="20">
        <v>2039</v>
      </c>
      <c r="G583" s="20">
        <v>51</v>
      </c>
      <c r="H583" s="11">
        <v>7557.5300356682101</v>
      </c>
      <c r="I583" s="10">
        <v>3961737.45332808</v>
      </c>
      <c r="J583" s="34">
        <f t="shared" si="36"/>
        <v>1.9076302063680329E-3</v>
      </c>
      <c r="K583" s="34">
        <f t="shared" si="37"/>
        <v>1.9058118363088905E-3</v>
      </c>
      <c r="L583" s="34">
        <f t="shared" si="38"/>
        <v>0.98539650459038663</v>
      </c>
      <c r="M583" s="34">
        <f t="shared" si="39"/>
        <v>0.98351852426848085</v>
      </c>
    </row>
    <row r="584" spans="1:13" ht="69">
      <c r="A584" t="s">
        <v>164</v>
      </c>
      <c r="B584" t="s">
        <v>115</v>
      </c>
      <c r="C584" s="14" t="s">
        <v>291</v>
      </c>
      <c r="D584" t="s">
        <v>366</v>
      </c>
      <c r="E584" t="s">
        <v>383</v>
      </c>
      <c r="F584" s="20">
        <v>2039</v>
      </c>
      <c r="G584" s="20">
        <v>52</v>
      </c>
      <c r="H584" s="11">
        <v>8157.5054281042003</v>
      </c>
      <c r="I584" s="10">
        <v>3901178.3674101601</v>
      </c>
      <c r="J584" s="34">
        <f t="shared" si="36"/>
        <v>2.0910362613129245E-3</v>
      </c>
      <c r="K584" s="34">
        <f t="shared" si="37"/>
        <v>2.0888515680128616E-3</v>
      </c>
      <c r="L584" s="34">
        <f t="shared" si="38"/>
        <v>0.98351852426848085</v>
      </c>
      <c r="M584" s="34">
        <f t="shared" si="39"/>
        <v>0.981464100056893</v>
      </c>
    </row>
    <row r="585" spans="1:13" ht="69">
      <c r="A585" t="s">
        <v>164</v>
      </c>
      <c r="B585" t="s">
        <v>115</v>
      </c>
      <c r="C585" s="14" t="s">
        <v>291</v>
      </c>
      <c r="D585" t="s">
        <v>366</v>
      </c>
      <c r="E585" t="s">
        <v>383</v>
      </c>
      <c r="F585" s="20">
        <v>2039</v>
      </c>
      <c r="G585" s="20">
        <v>53</v>
      </c>
      <c r="H585" s="11">
        <v>8926.2059574799805</v>
      </c>
      <c r="I585" s="10">
        <v>3899185.1689536702</v>
      </c>
      <c r="J585" s="34">
        <f t="shared" si="36"/>
        <v>2.2892490535080922E-3</v>
      </c>
      <c r="K585" s="34">
        <f t="shared" si="37"/>
        <v>2.2866307212795478E-3</v>
      </c>
      <c r="L585" s="34">
        <f t="shared" si="38"/>
        <v>0.981464100056893</v>
      </c>
      <c r="M585" s="34">
        <f t="shared" si="39"/>
        <v>0.97921985409386991</v>
      </c>
    </row>
    <row r="586" spans="1:13" ht="69">
      <c r="A586" t="s">
        <v>164</v>
      </c>
      <c r="B586" t="s">
        <v>115</v>
      </c>
      <c r="C586" s="14" t="s">
        <v>291</v>
      </c>
      <c r="D586" t="s">
        <v>366</v>
      </c>
      <c r="E586" t="s">
        <v>383</v>
      </c>
      <c r="F586" s="20">
        <v>2039</v>
      </c>
      <c r="G586" s="20">
        <v>54</v>
      </c>
      <c r="H586" s="11">
        <v>9962.5830887579505</v>
      </c>
      <c r="I586" s="10">
        <v>3950273.2688987702</v>
      </c>
      <c r="J586" s="34">
        <f t="shared" si="36"/>
        <v>2.5219984569663078E-3</v>
      </c>
      <c r="K586" s="34">
        <f t="shared" si="37"/>
        <v>2.5188208906915532E-3</v>
      </c>
      <c r="L586" s="34">
        <f t="shared" si="38"/>
        <v>0.97921985409386991</v>
      </c>
      <c r="M586" s="34">
        <f t="shared" si="39"/>
        <v>0.9767533746687983</v>
      </c>
    </row>
    <row r="587" spans="1:13" ht="69">
      <c r="A587" t="s">
        <v>164</v>
      </c>
      <c r="B587" t="s">
        <v>115</v>
      </c>
      <c r="C587" s="14" t="s">
        <v>291</v>
      </c>
      <c r="D587" t="s">
        <v>366</v>
      </c>
      <c r="E587" t="s">
        <v>383</v>
      </c>
      <c r="F587" s="20">
        <v>2039</v>
      </c>
      <c r="G587" s="20">
        <v>55</v>
      </c>
      <c r="H587" s="11">
        <v>11026.3499910848</v>
      </c>
      <c r="I587" s="10">
        <v>3959472.8411056199</v>
      </c>
      <c r="J587" s="34">
        <f t="shared" si="36"/>
        <v>2.7848025314415005E-3</v>
      </c>
      <c r="K587" s="34">
        <f t="shared" si="37"/>
        <v>2.7809285657828253E-3</v>
      </c>
      <c r="L587" s="34">
        <f t="shared" si="38"/>
        <v>0.9767533746687983</v>
      </c>
      <c r="M587" s="34">
        <f t="shared" si="39"/>
        <v>0.97403709330745702</v>
      </c>
    </row>
    <row r="588" spans="1:13" ht="69">
      <c r="A588" t="s">
        <v>164</v>
      </c>
      <c r="B588" t="s">
        <v>115</v>
      </c>
      <c r="C588" s="14" t="s">
        <v>291</v>
      </c>
      <c r="D588" t="s">
        <v>366</v>
      </c>
      <c r="E588" t="s">
        <v>383</v>
      </c>
      <c r="F588" s="20">
        <v>2039</v>
      </c>
      <c r="G588" s="20">
        <v>56</v>
      </c>
      <c r="H588" s="11">
        <v>11852.5170577154</v>
      </c>
      <c r="I588" s="10">
        <v>3912081.1410253099</v>
      </c>
      <c r="J588" s="34">
        <f t="shared" si="36"/>
        <v>3.0297216827688284E-3</v>
      </c>
      <c r="K588" s="34">
        <f t="shared" si="37"/>
        <v>3.0251367075997404E-3</v>
      </c>
      <c r="L588" s="34">
        <f t="shared" si="38"/>
        <v>0.97403709330745702</v>
      </c>
      <c r="M588" s="34">
        <f t="shared" si="39"/>
        <v>0.97109049794192892</v>
      </c>
    </row>
    <row r="589" spans="1:13" ht="69">
      <c r="A589" t="s">
        <v>164</v>
      </c>
      <c r="B589" t="s">
        <v>115</v>
      </c>
      <c r="C589" s="14" t="s">
        <v>291</v>
      </c>
      <c r="D589" t="s">
        <v>366</v>
      </c>
      <c r="E589" t="s">
        <v>383</v>
      </c>
      <c r="F589" s="20">
        <v>2039</v>
      </c>
      <c r="G589" s="20">
        <v>57</v>
      </c>
      <c r="H589" s="11">
        <v>12740.644989893701</v>
      </c>
      <c r="I589" s="10">
        <v>3840259.64731482</v>
      </c>
      <c r="J589" s="34">
        <f t="shared" si="36"/>
        <v>3.3176519714759895E-3</v>
      </c>
      <c r="K589" s="34">
        <f t="shared" si="37"/>
        <v>3.3121546452595796E-3</v>
      </c>
      <c r="L589" s="34">
        <f t="shared" si="38"/>
        <v>0.97109049794192892</v>
      </c>
      <c r="M589" s="34">
        <f t="shared" si="39"/>
        <v>0.96787409603820307</v>
      </c>
    </row>
    <row r="590" spans="1:13" ht="69">
      <c r="A590" t="s">
        <v>164</v>
      </c>
      <c r="B590" t="s">
        <v>115</v>
      </c>
      <c r="C590" s="14" t="s">
        <v>291</v>
      </c>
      <c r="D590" t="s">
        <v>366</v>
      </c>
      <c r="E590" t="s">
        <v>383</v>
      </c>
      <c r="F590" s="20">
        <v>2039</v>
      </c>
      <c r="G590" s="20">
        <v>58</v>
      </c>
      <c r="H590" s="11">
        <v>13602.3549004087</v>
      </c>
      <c r="I590" s="10">
        <v>3761080.1939588799</v>
      </c>
      <c r="J590" s="34">
        <f t="shared" si="36"/>
        <v>3.6166085802310376E-3</v>
      </c>
      <c r="K590" s="34">
        <f t="shared" si="37"/>
        <v>3.610076528417383E-3</v>
      </c>
      <c r="L590" s="34">
        <f t="shared" si="38"/>
        <v>0.96787409603820307</v>
      </c>
      <c r="M590" s="34">
        <f t="shared" si="39"/>
        <v>0.96437999648163231</v>
      </c>
    </row>
    <row r="591" spans="1:13" ht="69">
      <c r="A591" t="s">
        <v>164</v>
      </c>
      <c r="B591" t="s">
        <v>115</v>
      </c>
      <c r="C591" s="14" t="s">
        <v>291</v>
      </c>
      <c r="D591" t="s">
        <v>366</v>
      </c>
      <c r="E591" t="s">
        <v>383</v>
      </c>
      <c r="F591" s="20">
        <v>2039</v>
      </c>
      <c r="G591" s="20">
        <v>59</v>
      </c>
      <c r="H591" s="11">
        <v>13900.690377598299</v>
      </c>
      <c r="I591" s="10">
        <v>3685837.09891902</v>
      </c>
      <c r="J591" s="34">
        <f t="shared" si="36"/>
        <v>3.7713794735190777E-3</v>
      </c>
      <c r="K591" s="34">
        <f t="shared" si="37"/>
        <v>3.7642767537751087E-3</v>
      </c>
      <c r="L591" s="34">
        <f t="shared" si="38"/>
        <v>0.96437999648163231</v>
      </c>
      <c r="M591" s="34">
        <f t="shared" si="39"/>
        <v>0.96074980327907078</v>
      </c>
    </row>
    <row r="592" spans="1:13" ht="69">
      <c r="A592" t="s">
        <v>164</v>
      </c>
      <c r="B592" t="s">
        <v>115</v>
      </c>
      <c r="C592" s="14" t="s">
        <v>291</v>
      </c>
      <c r="D592" t="s">
        <v>366</v>
      </c>
      <c r="E592" t="s">
        <v>383</v>
      </c>
      <c r="F592" s="20">
        <v>2039</v>
      </c>
      <c r="G592" s="20">
        <v>60</v>
      </c>
      <c r="H592" s="11">
        <v>14383.780496834899</v>
      </c>
      <c r="I592" s="10">
        <v>3597110.6733093602</v>
      </c>
      <c r="J592" s="34">
        <f t="shared" si="36"/>
        <v>3.998703905210052E-3</v>
      </c>
      <c r="K592" s="34">
        <f t="shared" si="37"/>
        <v>3.990719734406234E-3</v>
      </c>
      <c r="L592" s="34">
        <f t="shared" si="38"/>
        <v>0.96074980327907078</v>
      </c>
      <c r="M592" s="34">
        <f t="shared" si="39"/>
        <v>0.95691572007929804</v>
      </c>
    </row>
    <row r="593" spans="1:13" ht="69">
      <c r="A593" t="s">
        <v>164</v>
      </c>
      <c r="B593" t="s">
        <v>115</v>
      </c>
      <c r="C593" s="14" t="s">
        <v>291</v>
      </c>
      <c r="D593" t="s">
        <v>366</v>
      </c>
      <c r="E593" t="s">
        <v>383</v>
      </c>
      <c r="F593" s="20">
        <v>2039</v>
      </c>
      <c r="G593" s="20">
        <v>61</v>
      </c>
      <c r="H593" s="11">
        <v>14928.9423341603</v>
      </c>
      <c r="I593" s="10">
        <v>3485187.1551044201</v>
      </c>
      <c r="J593" s="34">
        <f t="shared" si="36"/>
        <v>4.2835410753466439E-3</v>
      </c>
      <c r="K593" s="34">
        <f t="shared" si="37"/>
        <v>4.2743797988440413E-3</v>
      </c>
      <c r="L593" s="34">
        <f t="shared" si="38"/>
        <v>0.95691572007929804</v>
      </c>
      <c r="M593" s="34">
        <f t="shared" si="39"/>
        <v>0.95282549885619483</v>
      </c>
    </row>
    <row r="594" spans="1:13" ht="69">
      <c r="A594" t="s">
        <v>164</v>
      </c>
      <c r="B594" t="s">
        <v>115</v>
      </c>
      <c r="C594" s="14" t="s">
        <v>291</v>
      </c>
      <c r="D594" t="s">
        <v>366</v>
      </c>
      <c r="E594" t="s">
        <v>383</v>
      </c>
      <c r="F594" s="20">
        <v>2039</v>
      </c>
      <c r="G594" s="20">
        <v>62</v>
      </c>
      <c r="H594" s="11">
        <v>15579.996005175401</v>
      </c>
      <c r="I594" s="10">
        <v>3376640.96130628</v>
      </c>
      <c r="J594" s="34">
        <f t="shared" si="36"/>
        <v>4.6140517110673674E-3</v>
      </c>
      <c r="K594" s="34">
        <f t="shared" si="37"/>
        <v>4.6034233273918312E-3</v>
      </c>
      <c r="L594" s="34">
        <f t="shared" si="38"/>
        <v>0.95282549885619483</v>
      </c>
      <c r="M594" s="34">
        <f t="shared" si="39"/>
        <v>0.94843923972782651</v>
      </c>
    </row>
    <row r="595" spans="1:13" ht="69">
      <c r="A595" t="s">
        <v>164</v>
      </c>
      <c r="B595" t="s">
        <v>115</v>
      </c>
      <c r="C595" s="14" t="s">
        <v>291</v>
      </c>
      <c r="D595" t="s">
        <v>366</v>
      </c>
      <c r="E595" t="s">
        <v>383</v>
      </c>
      <c r="F595" s="20">
        <v>2039</v>
      </c>
      <c r="G595" s="20">
        <v>63</v>
      </c>
      <c r="H595" s="11">
        <v>16378.4336926057</v>
      </c>
      <c r="I595" s="10">
        <v>3280463.10826921</v>
      </c>
      <c r="J595" s="34">
        <f t="shared" si="36"/>
        <v>4.9927199764325499E-3</v>
      </c>
      <c r="K595" s="34">
        <f t="shared" si="37"/>
        <v>4.9802770666519391E-3</v>
      </c>
      <c r="L595" s="34">
        <f t="shared" si="38"/>
        <v>0.94843923972782651</v>
      </c>
      <c r="M595" s="34">
        <f t="shared" si="39"/>
        <v>0.94371574953309723</v>
      </c>
    </row>
    <row r="596" spans="1:13" ht="69">
      <c r="A596" t="s">
        <v>164</v>
      </c>
      <c r="B596" t="s">
        <v>115</v>
      </c>
      <c r="C596" s="14" t="s">
        <v>291</v>
      </c>
      <c r="D596" t="s">
        <v>366</v>
      </c>
      <c r="E596" t="s">
        <v>383</v>
      </c>
      <c r="F596" s="20">
        <v>2039</v>
      </c>
      <c r="G596" s="20">
        <v>64</v>
      </c>
      <c r="H596" s="11">
        <v>17419.925860641</v>
      </c>
      <c r="I596" s="10">
        <v>3171908.0476423702</v>
      </c>
      <c r="J596" s="34">
        <f t="shared" si="36"/>
        <v>5.4919391101482147E-3</v>
      </c>
      <c r="K596" s="34">
        <f t="shared" si="37"/>
        <v>5.4768859821147098E-3</v>
      </c>
      <c r="L596" s="34">
        <f t="shared" si="38"/>
        <v>0.94371574953309723</v>
      </c>
      <c r="M596" s="34">
        <f t="shared" si="39"/>
        <v>0.93854712597337853</v>
      </c>
    </row>
    <row r="597" spans="1:13" ht="69">
      <c r="A597" t="s">
        <v>164</v>
      </c>
      <c r="B597" t="s">
        <v>115</v>
      </c>
      <c r="C597" s="14" t="s">
        <v>291</v>
      </c>
      <c r="D597" t="s">
        <v>366</v>
      </c>
      <c r="E597" t="s">
        <v>383</v>
      </c>
      <c r="F597" s="20">
        <v>2039</v>
      </c>
      <c r="G597" s="20">
        <v>65</v>
      </c>
      <c r="H597" s="11">
        <v>18515.493162467301</v>
      </c>
      <c r="I597" s="10">
        <v>3075295.22557399</v>
      </c>
      <c r="J597" s="34">
        <f t="shared" si="36"/>
        <v>6.0207205501746474E-3</v>
      </c>
      <c r="K597" s="34">
        <f t="shared" si="37"/>
        <v>6.0026323317784458E-3</v>
      </c>
      <c r="L597" s="34">
        <f t="shared" si="38"/>
        <v>0.93854712597337853</v>
      </c>
      <c r="M597" s="34">
        <f t="shared" si="39"/>
        <v>0.93291337265011298</v>
      </c>
    </row>
    <row r="598" spans="1:13" ht="69">
      <c r="A598" t="s">
        <v>164</v>
      </c>
      <c r="B598" t="s">
        <v>115</v>
      </c>
      <c r="C598" s="14" t="s">
        <v>291</v>
      </c>
      <c r="D598" t="s">
        <v>366</v>
      </c>
      <c r="E598" t="s">
        <v>383</v>
      </c>
      <c r="F598" s="20">
        <v>2039</v>
      </c>
      <c r="G598" s="20">
        <v>66</v>
      </c>
      <c r="H598" s="11">
        <v>19018.7499891191</v>
      </c>
      <c r="I598" s="10">
        <v>2977348.5278458302</v>
      </c>
      <c r="J598" s="34">
        <f t="shared" si="36"/>
        <v>6.3878144635218558E-3</v>
      </c>
      <c r="K598" s="34">
        <f t="shared" si="37"/>
        <v>6.3674557490077666E-3</v>
      </c>
      <c r="L598" s="34">
        <f t="shared" si="38"/>
        <v>0.93291337265011298</v>
      </c>
      <c r="M598" s="34">
        <f t="shared" si="39"/>
        <v>0.92697308803210576</v>
      </c>
    </row>
    <row r="599" spans="1:13" ht="69">
      <c r="A599" t="s">
        <v>164</v>
      </c>
      <c r="B599" t="s">
        <v>115</v>
      </c>
      <c r="C599" s="14" t="s">
        <v>291</v>
      </c>
      <c r="D599" t="s">
        <v>366</v>
      </c>
      <c r="E599" t="s">
        <v>383</v>
      </c>
      <c r="F599" s="20">
        <v>2039</v>
      </c>
      <c r="G599" s="20">
        <v>67</v>
      </c>
      <c r="H599" s="11">
        <v>19912.683909691001</v>
      </c>
      <c r="I599" s="10">
        <v>2859471.4082540199</v>
      </c>
      <c r="J599" s="34">
        <f t="shared" si="36"/>
        <v>6.9637639502923357E-3</v>
      </c>
      <c r="K599" s="34">
        <f t="shared" si="37"/>
        <v>6.9395731317359877E-3</v>
      </c>
      <c r="L599" s="34">
        <f t="shared" si="38"/>
        <v>0.92697308803210576</v>
      </c>
      <c r="M599" s="34">
        <f t="shared" si="39"/>
        <v>0.92054029049655584</v>
      </c>
    </row>
    <row r="600" spans="1:13" ht="69">
      <c r="A600" t="s">
        <v>164</v>
      </c>
      <c r="B600" t="s">
        <v>115</v>
      </c>
      <c r="C600" s="14" t="s">
        <v>291</v>
      </c>
      <c r="D600" t="s">
        <v>366</v>
      </c>
      <c r="E600" t="s">
        <v>383</v>
      </c>
      <c r="F600" s="20">
        <v>2039</v>
      </c>
      <c r="G600" s="20">
        <v>68</v>
      </c>
      <c r="H600" s="11">
        <v>20749.2629857067</v>
      </c>
      <c r="I600" s="10">
        <v>2750106.71873825</v>
      </c>
      <c r="J600" s="34">
        <f t="shared" si="36"/>
        <v>7.5448937469693791E-3</v>
      </c>
      <c r="K600" s="34">
        <f t="shared" si="37"/>
        <v>7.5165024840350148E-3</v>
      </c>
      <c r="L600" s="34">
        <f t="shared" si="38"/>
        <v>0.92054029049655584</v>
      </c>
      <c r="M600" s="34">
        <f t="shared" si="39"/>
        <v>0.91362104711638414</v>
      </c>
    </row>
    <row r="601" spans="1:13" ht="69">
      <c r="A601" t="s">
        <v>164</v>
      </c>
      <c r="B601" t="s">
        <v>115</v>
      </c>
      <c r="C601" s="14" t="s">
        <v>291</v>
      </c>
      <c r="D601" t="s">
        <v>366</v>
      </c>
      <c r="E601" t="s">
        <v>383</v>
      </c>
      <c r="F601" s="20">
        <v>2039</v>
      </c>
      <c r="G601" s="20">
        <v>69</v>
      </c>
      <c r="H601" s="11">
        <v>20919.053676970201</v>
      </c>
      <c r="I601" s="10">
        <v>2638037.1059205001</v>
      </c>
      <c r="J601" s="34">
        <f t="shared" si="36"/>
        <v>7.9297799223604325E-3</v>
      </c>
      <c r="K601" s="34">
        <f t="shared" si="37"/>
        <v>7.8984221590164827E-3</v>
      </c>
      <c r="L601" s="34">
        <f t="shared" si="38"/>
        <v>0.91362104711638414</v>
      </c>
      <c r="M601" s="34">
        <f t="shared" si="39"/>
        <v>0.90640488239289629</v>
      </c>
    </row>
    <row r="602" spans="1:13" ht="69">
      <c r="A602" t="s">
        <v>164</v>
      </c>
      <c r="B602" t="s">
        <v>115</v>
      </c>
      <c r="C602" s="14" t="s">
        <v>291</v>
      </c>
      <c r="D602" t="s">
        <v>366</v>
      </c>
      <c r="E602" t="s">
        <v>383</v>
      </c>
      <c r="F602" s="20">
        <v>2040</v>
      </c>
      <c r="G602" s="20">
        <v>30</v>
      </c>
      <c r="H602" s="11">
        <v>735.11971190254997</v>
      </c>
      <c r="I602" s="10">
        <v>4711632.7871777099</v>
      </c>
      <c r="J602" s="34">
        <f t="shared" si="36"/>
        <v>1.5602228465323378E-4</v>
      </c>
      <c r="K602" s="34">
        <f t="shared" si="37"/>
        <v>1.560101138096126E-4</v>
      </c>
      <c r="L602" s="34">
        <f t="shared" si="38"/>
        <v>1</v>
      </c>
      <c r="M602" s="34">
        <f t="shared" si="39"/>
        <v>0.99984398988619039</v>
      </c>
    </row>
    <row r="603" spans="1:13" ht="69">
      <c r="A603" t="s">
        <v>164</v>
      </c>
      <c r="B603" t="s">
        <v>115</v>
      </c>
      <c r="C603" s="14" t="s">
        <v>291</v>
      </c>
      <c r="D603" t="s">
        <v>366</v>
      </c>
      <c r="E603" t="s">
        <v>383</v>
      </c>
      <c r="F603" s="20">
        <v>2040</v>
      </c>
      <c r="G603" s="20">
        <v>31</v>
      </c>
      <c r="H603" s="11">
        <v>1038.16686959805</v>
      </c>
      <c r="I603" s="10">
        <v>4655206.4442708399</v>
      </c>
      <c r="J603" s="34">
        <f t="shared" si="36"/>
        <v>2.2301199356598275E-4</v>
      </c>
      <c r="K603" s="34">
        <f t="shared" si="37"/>
        <v>2.2298712823975997E-4</v>
      </c>
      <c r="L603" s="34">
        <f t="shared" si="38"/>
        <v>0.99984398988619039</v>
      </c>
      <c r="M603" s="34">
        <f t="shared" si="39"/>
        <v>0.99962103754619791</v>
      </c>
    </row>
    <row r="604" spans="1:13" ht="69">
      <c r="A604" t="s">
        <v>164</v>
      </c>
      <c r="B604" t="s">
        <v>115</v>
      </c>
      <c r="C604" s="14" t="s">
        <v>291</v>
      </c>
      <c r="D604" t="s">
        <v>366</v>
      </c>
      <c r="E604" t="s">
        <v>383</v>
      </c>
      <c r="F604" s="20">
        <v>2040</v>
      </c>
      <c r="G604" s="20">
        <v>32</v>
      </c>
      <c r="H604" s="11">
        <v>1067.6164560939401</v>
      </c>
      <c r="I604" s="10">
        <v>4647818.4418232599</v>
      </c>
      <c r="J604" s="34">
        <f t="shared" si="36"/>
        <v>2.297027023446149E-4</v>
      </c>
      <c r="K604" s="34">
        <f t="shared" si="37"/>
        <v>2.2967632269876859E-4</v>
      </c>
      <c r="L604" s="34">
        <f t="shared" si="38"/>
        <v>0.99962103754619791</v>
      </c>
      <c r="M604" s="34">
        <f t="shared" si="39"/>
        <v>0.99939144826220194</v>
      </c>
    </row>
    <row r="605" spans="1:13" ht="69">
      <c r="A605" t="s">
        <v>164</v>
      </c>
      <c r="B605" t="s">
        <v>115</v>
      </c>
      <c r="C605" s="14" t="s">
        <v>291</v>
      </c>
      <c r="D605" t="s">
        <v>366</v>
      </c>
      <c r="E605" t="s">
        <v>383</v>
      </c>
      <c r="F605" s="20">
        <v>2040</v>
      </c>
      <c r="G605" s="20">
        <v>33</v>
      </c>
      <c r="H605" s="11">
        <v>1109.6740375745201</v>
      </c>
      <c r="I605" s="10">
        <v>4620410.1467611101</v>
      </c>
      <c r="J605" s="34">
        <f t="shared" si="36"/>
        <v>2.4016786439454889E-4</v>
      </c>
      <c r="K605" s="34">
        <f t="shared" si="37"/>
        <v>2.4013902640174223E-4</v>
      </c>
      <c r="L605" s="34">
        <f t="shared" si="38"/>
        <v>0.99939144826220194</v>
      </c>
      <c r="M605" s="34">
        <f t="shared" si="39"/>
        <v>0.99915145537282202</v>
      </c>
    </row>
    <row r="606" spans="1:13" ht="69">
      <c r="A606" t="s">
        <v>164</v>
      </c>
      <c r="B606" t="s">
        <v>115</v>
      </c>
      <c r="C606" s="14" t="s">
        <v>291</v>
      </c>
      <c r="D606" t="s">
        <v>366</v>
      </c>
      <c r="E606" t="s">
        <v>383</v>
      </c>
      <c r="F606" s="20">
        <v>2040</v>
      </c>
      <c r="G606" s="20">
        <v>34</v>
      </c>
      <c r="H606" s="11">
        <v>1148.35044267849</v>
      </c>
      <c r="I606" s="10">
        <v>4549317.7380314199</v>
      </c>
      <c r="J606" s="34">
        <f t="shared" si="36"/>
        <v>2.5242256285563469E-4</v>
      </c>
      <c r="K606" s="34">
        <f t="shared" si="37"/>
        <v>2.5239070696092547E-4</v>
      </c>
      <c r="L606" s="34">
        <f t="shared" si="38"/>
        <v>0.99915145537282202</v>
      </c>
      <c r="M606" s="34">
        <f t="shared" si="39"/>
        <v>0.99889927883063945</v>
      </c>
    </row>
    <row r="607" spans="1:13" ht="69">
      <c r="A607" t="s">
        <v>164</v>
      </c>
      <c r="B607" t="s">
        <v>115</v>
      </c>
      <c r="C607" s="14" t="s">
        <v>291</v>
      </c>
      <c r="D607" t="s">
        <v>366</v>
      </c>
      <c r="E607" t="s">
        <v>383</v>
      </c>
      <c r="F607" s="20">
        <v>2040</v>
      </c>
      <c r="G607" s="20">
        <v>35</v>
      </c>
      <c r="H607" s="11">
        <v>1201.86569821125</v>
      </c>
      <c r="I607" s="10">
        <v>4455458.1069452697</v>
      </c>
      <c r="J607" s="34">
        <f t="shared" si="36"/>
        <v>2.6975131835214753E-4</v>
      </c>
      <c r="K607" s="34">
        <f t="shared" si="37"/>
        <v>2.6971493873650942E-4</v>
      </c>
      <c r="L607" s="34">
        <f t="shared" si="38"/>
        <v>0.99889927883063945</v>
      </c>
      <c r="M607" s="34">
        <f t="shared" si="39"/>
        <v>0.99862986077284566</v>
      </c>
    </row>
    <row r="608" spans="1:13" ht="69">
      <c r="A608" t="s">
        <v>164</v>
      </c>
      <c r="B608" t="s">
        <v>115</v>
      </c>
      <c r="C608" s="14" t="s">
        <v>291</v>
      </c>
      <c r="D608" t="s">
        <v>366</v>
      </c>
      <c r="E608" t="s">
        <v>383</v>
      </c>
      <c r="F608" s="20">
        <v>2040</v>
      </c>
      <c r="G608" s="20">
        <v>36</v>
      </c>
      <c r="H608" s="11">
        <v>1519.73316266763</v>
      </c>
      <c r="I608" s="10">
        <v>4358023.6452805996</v>
      </c>
      <c r="J608" s="34">
        <f t="shared" si="36"/>
        <v>3.4872072443053006E-4</v>
      </c>
      <c r="K608" s="34">
        <f t="shared" si="37"/>
        <v>3.4865992842580962E-4</v>
      </c>
      <c r="L608" s="34">
        <f t="shared" si="38"/>
        <v>0.99862986077284566</v>
      </c>
      <c r="M608" s="34">
        <f t="shared" si="39"/>
        <v>0.99828167855706473</v>
      </c>
    </row>
    <row r="609" spans="1:13" ht="69">
      <c r="A609" t="s">
        <v>164</v>
      </c>
      <c r="B609" t="s">
        <v>115</v>
      </c>
      <c r="C609" s="14" t="s">
        <v>291</v>
      </c>
      <c r="D609" t="s">
        <v>366</v>
      </c>
      <c r="E609" t="s">
        <v>383</v>
      </c>
      <c r="F609" s="20">
        <v>2040</v>
      </c>
      <c r="G609" s="20">
        <v>37</v>
      </c>
      <c r="H609" s="11">
        <v>1668.6724193304799</v>
      </c>
      <c r="I609" s="10">
        <v>4314639.1479641097</v>
      </c>
      <c r="J609" s="34">
        <f t="shared" si="36"/>
        <v>3.8674669238975728E-4</v>
      </c>
      <c r="K609" s="34">
        <f t="shared" si="37"/>
        <v>3.8667191552788083E-4</v>
      </c>
      <c r="L609" s="34">
        <f t="shared" si="38"/>
        <v>0.99828167855706473</v>
      </c>
      <c r="M609" s="34">
        <f t="shared" si="39"/>
        <v>0.99789567106818067</v>
      </c>
    </row>
    <row r="610" spans="1:13" ht="69">
      <c r="A610" t="s">
        <v>164</v>
      </c>
      <c r="B610" t="s">
        <v>115</v>
      </c>
      <c r="C610" s="14" t="s">
        <v>291</v>
      </c>
      <c r="D610" t="s">
        <v>366</v>
      </c>
      <c r="E610" t="s">
        <v>383</v>
      </c>
      <c r="F610" s="20">
        <v>2040</v>
      </c>
      <c r="G610" s="20">
        <v>38</v>
      </c>
      <c r="H610" s="11">
        <v>1849.28013143267</v>
      </c>
      <c r="I610" s="10">
        <v>4293736.9704691898</v>
      </c>
      <c r="J610" s="34">
        <f t="shared" si="36"/>
        <v>4.306924583763205E-4</v>
      </c>
      <c r="K610" s="34">
        <f t="shared" si="37"/>
        <v>4.3059972369330346E-4</v>
      </c>
      <c r="L610" s="34">
        <f t="shared" si="38"/>
        <v>0.99789567106818067</v>
      </c>
      <c r="M610" s="34">
        <f t="shared" si="39"/>
        <v>0.99746597746794396</v>
      </c>
    </row>
    <row r="611" spans="1:13" ht="69">
      <c r="A611" t="s">
        <v>164</v>
      </c>
      <c r="B611" t="s">
        <v>115</v>
      </c>
      <c r="C611" s="14" t="s">
        <v>291</v>
      </c>
      <c r="D611" t="s">
        <v>366</v>
      </c>
      <c r="E611" t="s">
        <v>383</v>
      </c>
      <c r="F611" s="20">
        <v>2040</v>
      </c>
      <c r="G611" s="20">
        <v>39</v>
      </c>
      <c r="H611" s="11">
        <v>1978.7774926802899</v>
      </c>
      <c r="I611" s="10">
        <v>4272629.9205868496</v>
      </c>
      <c r="J611" s="34">
        <f t="shared" si="36"/>
        <v>4.6312868876050538E-4</v>
      </c>
      <c r="K611" s="34">
        <f t="shared" si="37"/>
        <v>4.630214612233452E-4</v>
      </c>
      <c r="L611" s="34">
        <f t="shared" si="38"/>
        <v>0.99746597746794396</v>
      </c>
      <c r="M611" s="34">
        <f t="shared" si="39"/>
        <v>0.99700412931353621</v>
      </c>
    </row>
    <row r="612" spans="1:13" ht="69">
      <c r="A612" t="s">
        <v>164</v>
      </c>
      <c r="B612" t="s">
        <v>115</v>
      </c>
      <c r="C612" s="14" t="s">
        <v>291</v>
      </c>
      <c r="D612" t="s">
        <v>366</v>
      </c>
      <c r="E612" t="s">
        <v>383</v>
      </c>
      <c r="F612" s="20">
        <v>2040</v>
      </c>
      <c r="G612" s="20">
        <v>40</v>
      </c>
      <c r="H612" s="11">
        <v>2170.6609401743899</v>
      </c>
      <c r="I612" s="10">
        <v>4270778.3404219802</v>
      </c>
      <c r="J612" s="34">
        <f t="shared" si="36"/>
        <v>5.0825886223819213E-4</v>
      </c>
      <c r="K612" s="34">
        <f t="shared" si="37"/>
        <v>5.0812972058267292E-4</v>
      </c>
      <c r="L612" s="34">
        <f t="shared" si="38"/>
        <v>0.99700412931353621</v>
      </c>
      <c r="M612" s="34">
        <f t="shared" si="39"/>
        <v>0.9964975218838884</v>
      </c>
    </row>
    <row r="613" spans="1:13" ht="69">
      <c r="A613" t="s">
        <v>164</v>
      </c>
      <c r="B613" t="s">
        <v>115</v>
      </c>
      <c r="C613" s="14" t="s">
        <v>291</v>
      </c>
      <c r="D613" t="s">
        <v>366</v>
      </c>
      <c r="E613" t="s">
        <v>383</v>
      </c>
      <c r="F613" s="20">
        <v>2040</v>
      </c>
      <c r="G613" s="20">
        <v>41</v>
      </c>
      <c r="H613" s="11">
        <v>2870.5545644597601</v>
      </c>
      <c r="I613" s="10">
        <v>4306859.2910176702</v>
      </c>
      <c r="J613" s="34">
        <f t="shared" si="36"/>
        <v>6.6650762667044903E-4</v>
      </c>
      <c r="K613" s="34">
        <f t="shared" si="37"/>
        <v>6.6628555980141613E-4</v>
      </c>
      <c r="L613" s="34">
        <f t="shared" si="38"/>
        <v>0.9964975218838884</v>
      </c>
      <c r="M613" s="34">
        <f t="shared" si="39"/>
        <v>0.99583356997467931</v>
      </c>
    </row>
    <row r="614" spans="1:13" ht="69">
      <c r="A614" t="s">
        <v>164</v>
      </c>
      <c r="B614" t="s">
        <v>115</v>
      </c>
      <c r="C614" s="14" t="s">
        <v>291</v>
      </c>
      <c r="D614" t="s">
        <v>366</v>
      </c>
      <c r="E614" t="s">
        <v>383</v>
      </c>
      <c r="F614" s="20">
        <v>2040</v>
      </c>
      <c r="G614" s="20">
        <v>42</v>
      </c>
      <c r="H614" s="11">
        <v>3200.6135350948198</v>
      </c>
      <c r="I614" s="10">
        <v>4345330.8775396002</v>
      </c>
      <c r="J614" s="34">
        <f t="shared" si="36"/>
        <v>7.365638257004404E-4</v>
      </c>
      <c r="K614" s="34">
        <f t="shared" si="37"/>
        <v>7.3629262915442251E-4</v>
      </c>
      <c r="L614" s="34">
        <f t="shared" si="38"/>
        <v>0.99583356997467931</v>
      </c>
      <c r="M614" s="34">
        <f t="shared" si="39"/>
        <v>0.99510034505724243</v>
      </c>
    </row>
    <row r="615" spans="1:13" ht="69">
      <c r="A615" t="s">
        <v>164</v>
      </c>
      <c r="B615" t="s">
        <v>115</v>
      </c>
      <c r="C615" s="14" t="s">
        <v>291</v>
      </c>
      <c r="D615" t="s">
        <v>366</v>
      </c>
      <c r="E615" t="s">
        <v>383</v>
      </c>
      <c r="F615" s="20">
        <v>2040</v>
      </c>
      <c r="G615" s="20">
        <v>43</v>
      </c>
      <c r="H615" s="11">
        <v>3552.5268120689798</v>
      </c>
      <c r="I615" s="10">
        <v>4337620.4962715302</v>
      </c>
      <c r="J615" s="34">
        <f t="shared" si="36"/>
        <v>8.1900360234893994E-4</v>
      </c>
      <c r="K615" s="34">
        <f t="shared" si="37"/>
        <v>8.186683104399739E-4</v>
      </c>
      <c r="L615" s="34">
        <f t="shared" si="38"/>
        <v>0.99510034505724243</v>
      </c>
      <c r="M615" s="34">
        <f t="shared" si="39"/>
        <v>0.99428568793903616</v>
      </c>
    </row>
    <row r="616" spans="1:13" ht="69">
      <c r="A616" t="s">
        <v>164</v>
      </c>
      <c r="B616" t="s">
        <v>115</v>
      </c>
      <c r="C616" s="14" t="s">
        <v>291</v>
      </c>
      <c r="D616" t="s">
        <v>366</v>
      </c>
      <c r="E616" t="s">
        <v>383</v>
      </c>
      <c r="F616" s="20">
        <v>2040</v>
      </c>
      <c r="G616" s="20">
        <v>44</v>
      </c>
      <c r="H616" s="11">
        <v>3661.1610063860699</v>
      </c>
      <c r="I616" s="10">
        <v>4271294.0689815702</v>
      </c>
      <c r="J616" s="34">
        <f t="shared" si="36"/>
        <v>8.5715498564560837E-4</v>
      </c>
      <c r="K616" s="34">
        <f t="shared" si="37"/>
        <v>8.5678773324915358E-4</v>
      </c>
      <c r="L616" s="34">
        <f t="shared" si="38"/>
        <v>0.99428568793903616</v>
      </c>
      <c r="M616" s="34">
        <f t="shared" si="39"/>
        <v>0.99343379615826477</v>
      </c>
    </row>
    <row r="617" spans="1:13" ht="69">
      <c r="A617" t="s">
        <v>164</v>
      </c>
      <c r="B617" t="s">
        <v>115</v>
      </c>
      <c r="C617" s="14" t="s">
        <v>291</v>
      </c>
      <c r="D617" t="s">
        <v>366</v>
      </c>
      <c r="E617" t="s">
        <v>383</v>
      </c>
      <c r="F617" s="20">
        <v>2040</v>
      </c>
      <c r="G617" s="20">
        <v>45</v>
      </c>
      <c r="H617" s="11">
        <v>3874.3462378295699</v>
      </c>
      <c r="I617" s="10">
        <v>4202687.6057487903</v>
      </c>
      <c r="J617" s="34">
        <f t="shared" si="36"/>
        <v>9.2187347746949182E-4</v>
      </c>
      <c r="K617" s="34">
        <f t="shared" si="37"/>
        <v>9.2144868266097468E-4</v>
      </c>
      <c r="L617" s="34">
        <f t="shared" si="38"/>
        <v>0.99343379615826477</v>
      </c>
      <c r="M617" s="34">
        <f t="shared" si="39"/>
        <v>0.99251839789548379</v>
      </c>
    </row>
    <row r="618" spans="1:13" ht="69">
      <c r="A618" t="s">
        <v>164</v>
      </c>
      <c r="B618" t="s">
        <v>115</v>
      </c>
      <c r="C618" s="14" t="s">
        <v>291</v>
      </c>
      <c r="D618" t="s">
        <v>366</v>
      </c>
      <c r="E618" t="s">
        <v>383</v>
      </c>
      <c r="F618" s="20">
        <v>2040</v>
      </c>
      <c r="G618" s="20">
        <v>46</v>
      </c>
      <c r="H618" s="11">
        <v>4745.4260793349404</v>
      </c>
      <c r="I618" s="10">
        <v>4142858.6694258498</v>
      </c>
      <c r="J618" s="34">
        <f t="shared" si="36"/>
        <v>1.1454472522454161E-3</v>
      </c>
      <c r="K618" s="34">
        <f t="shared" si="37"/>
        <v>1.1447914779504353E-3</v>
      </c>
      <c r="L618" s="34">
        <f t="shared" si="38"/>
        <v>0.99251839789548379</v>
      </c>
      <c r="M618" s="34">
        <f t="shared" si="39"/>
        <v>0.99138217129186401</v>
      </c>
    </row>
    <row r="619" spans="1:13" ht="69">
      <c r="A619" t="s">
        <v>164</v>
      </c>
      <c r="B619" t="s">
        <v>115</v>
      </c>
      <c r="C619" s="14" t="s">
        <v>291</v>
      </c>
      <c r="D619" t="s">
        <v>366</v>
      </c>
      <c r="E619" t="s">
        <v>383</v>
      </c>
      <c r="F619" s="20">
        <v>2040</v>
      </c>
      <c r="G619" s="20">
        <v>47</v>
      </c>
      <c r="H619" s="11">
        <v>5136.6043665170901</v>
      </c>
      <c r="I619" s="10">
        <v>4085174.3998970501</v>
      </c>
      <c r="J619" s="34">
        <f t="shared" si="36"/>
        <v>1.2573770085914904E-3</v>
      </c>
      <c r="K619" s="34">
        <f t="shared" si="37"/>
        <v>1.2565868413346726E-3</v>
      </c>
      <c r="L619" s="34">
        <f t="shared" si="38"/>
        <v>0.99138217129186401</v>
      </c>
      <c r="M619" s="34">
        <f t="shared" si="39"/>
        <v>0.99013641350068482</v>
      </c>
    </row>
    <row r="620" spans="1:13" ht="69">
      <c r="A620" t="s">
        <v>164</v>
      </c>
      <c r="B620" t="s">
        <v>115</v>
      </c>
      <c r="C620" s="14" t="s">
        <v>291</v>
      </c>
      <c r="D620" t="s">
        <v>366</v>
      </c>
      <c r="E620" t="s">
        <v>383</v>
      </c>
      <c r="F620" s="20">
        <v>2040</v>
      </c>
      <c r="G620" s="20">
        <v>48</v>
      </c>
      <c r="H620" s="11">
        <v>5639.0768759985303</v>
      </c>
      <c r="I620" s="10">
        <v>4060971.0427400102</v>
      </c>
      <c r="J620" s="34">
        <f t="shared" si="36"/>
        <v>1.3886030746463396E-3</v>
      </c>
      <c r="K620" s="34">
        <f t="shared" si="37"/>
        <v>1.3876394114969992E-3</v>
      </c>
      <c r="L620" s="34">
        <f t="shared" si="38"/>
        <v>0.99013641350068482</v>
      </c>
      <c r="M620" s="34">
        <f t="shared" si="39"/>
        <v>0.988762461190553</v>
      </c>
    </row>
    <row r="621" spans="1:13" ht="69">
      <c r="A621" t="s">
        <v>164</v>
      </c>
      <c r="B621" t="s">
        <v>115</v>
      </c>
      <c r="C621" s="14" t="s">
        <v>291</v>
      </c>
      <c r="D621" t="s">
        <v>366</v>
      </c>
      <c r="E621" t="s">
        <v>383</v>
      </c>
      <c r="F621" s="20">
        <v>2040</v>
      </c>
      <c r="G621" s="20">
        <v>49</v>
      </c>
      <c r="H621" s="11">
        <v>6040.1834523453899</v>
      </c>
      <c r="I621" s="10">
        <v>4030183.5053837299</v>
      </c>
      <c r="J621" s="34">
        <f t="shared" si="36"/>
        <v>1.4987365821622258E-3</v>
      </c>
      <c r="K621" s="34">
        <f t="shared" si="37"/>
        <v>1.4976140373605951E-3</v>
      </c>
      <c r="L621" s="34">
        <f t="shared" si="38"/>
        <v>0.988762461190553</v>
      </c>
      <c r="M621" s="34">
        <f t="shared" si="39"/>
        <v>0.98728167664905886</v>
      </c>
    </row>
    <row r="622" spans="1:13" ht="69">
      <c r="A622" t="s">
        <v>164</v>
      </c>
      <c r="B622" t="s">
        <v>115</v>
      </c>
      <c r="C622" s="14" t="s">
        <v>291</v>
      </c>
      <c r="D622" t="s">
        <v>366</v>
      </c>
      <c r="E622" t="s">
        <v>383</v>
      </c>
      <c r="F622" s="20">
        <v>2040</v>
      </c>
      <c r="G622" s="20">
        <v>50</v>
      </c>
      <c r="H622" s="11">
        <v>6513.6400629138498</v>
      </c>
      <c r="I622" s="10">
        <v>4002020.3503871299</v>
      </c>
      <c r="J622" s="34">
        <f t="shared" si="36"/>
        <v>1.6275879412466661E-3</v>
      </c>
      <c r="K622" s="34">
        <f t="shared" si="37"/>
        <v>1.626264138292699E-3</v>
      </c>
      <c r="L622" s="34">
        <f t="shared" si="38"/>
        <v>0.98728167664905886</v>
      </c>
      <c r="M622" s="34">
        <f t="shared" si="39"/>
        <v>0.98567609586393101</v>
      </c>
    </row>
    <row r="623" spans="1:13" ht="69">
      <c r="A623" t="s">
        <v>164</v>
      </c>
      <c r="B623" t="s">
        <v>115</v>
      </c>
      <c r="C623" s="14" t="s">
        <v>291</v>
      </c>
      <c r="D623" t="s">
        <v>366</v>
      </c>
      <c r="E623" t="s">
        <v>383</v>
      </c>
      <c r="F623" s="20">
        <v>2040</v>
      </c>
      <c r="G623" s="20">
        <v>51</v>
      </c>
      <c r="H623" s="11">
        <v>7379.7006617962898</v>
      </c>
      <c r="I623" s="10">
        <v>3995043.4435267001</v>
      </c>
      <c r="J623" s="34">
        <f t="shared" si="36"/>
        <v>1.8472141207259863E-3</v>
      </c>
      <c r="K623" s="34">
        <f t="shared" si="37"/>
        <v>1.8455090707477639E-3</v>
      </c>
      <c r="L623" s="34">
        <f t="shared" si="38"/>
        <v>0.98567609586393101</v>
      </c>
      <c r="M623" s="34">
        <f t="shared" si="39"/>
        <v>0.98385702168819489</v>
      </c>
    </row>
    <row r="624" spans="1:13" ht="69">
      <c r="A624" t="s">
        <v>164</v>
      </c>
      <c r="B624" t="s">
        <v>115</v>
      </c>
      <c r="C624" s="14" t="s">
        <v>291</v>
      </c>
      <c r="D624" t="s">
        <v>366</v>
      </c>
      <c r="E624" t="s">
        <v>383</v>
      </c>
      <c r="F624" s="20">
        <v>2040</v>
      </c>
      <c r="G624" s="20">
        <v>52</v>
      </c>
      <c r="H624" s="11">
        <v>7996.76537711326</v>
      </c>
      <c r="I624" s="10">
        <v>3942178.1531643602</v>
      </c>
      <c r="J624" s="34">
        <f t="shared" si="36"/>
        <v>2.0285144573423983E-3</v>
      </c>
      <c r="K624" s="34">
        <f t="shared" si="37"/>
        <v>2.0264584123645957E-3</v>
      </c>
      <c r="L624" s="34">
        <f t="shared" si="38"/>
        <v>0.98385702168819489</v>
      </c>
      <c r="M624" s="34">
        <f t="shared" si="39"/>
        <v>0.9818632763500309</v>
      </c>
    </row>
    <row r="625" spans="1:13" ht="69">
      <c r="A625" t="s">
        <v>164</v>
      </c>
      <c r="B625" t="s">
        <v>115</v>
      </c>
      <c r="C625" s="14" t="s">
        <v>291</v>
      </c>
      <c r="D625" t="s">
        <v>366</v>
      </c>
      <c r="E625" t="s">
        <v>383</v>
      </c>
      <c r="F625" s="20">
        <v>2040</v>
      </c>
      <c r="G625" s="20">
        <v>53</v>
      </c>
      <c r="H625" s="11">
        <v>8625.8181354772205</v>
      </c>
      <c r="I625" s="10">
        <v>3880093.6283972701</v>
      </c>
      <c r="J625" s="34">
        <f t="shared" si="36"/>
        <v>2.2230953584076894E-3</v>
      </c>
      <c r="K625" s="34">
        <f t="shared" si="37"/>
        <v>2.2206261120504278E-3</v>
      </c>
      <c r="L625" s="34">
        <f t="shared" si="38"/>
        <v>0.9818632763500309</v>
      </c>
      <c r="M625" s="34">
        <f t="shared" si="39"/>
        <v>0.97968292512010469</v>
      </c>
    </row>
    <row r="626" spans="1:13" ht="69">
      <c r="A626" t="s">
        <v>164</v>
      </c>
      <c r="B626" t="s">
        <v>115</v>
      </c>
      <c r="C626" s="14" t="s">
        <v>291</v>
      </c>
      <c r="D626" t="s">
        <v>366</v>
      </c>
      <c r="E626" t="s">
        <v>383</v>
      </c>
      <c r="F626" s="20">
        <v>2040</v>
      </c>
      <c r="G626" s="20">
        <v>54</v>
      </c>
      <c r="H626" s="11">
        <v>9500.8792087383408</v>
      </c>
      <c r="I626" s="10">
        <v>3876130.1673680302</v>
      </c>
      <c r="J626" s="34">
        <f t="shared" si="36"/>
        <v>2.4511249102838121E-3</v>
      </c>
      <c r="K626" s="34">
        <f t="shared" si="37"/>
        <v>2.4481233565161187E-3</v>
      </c>
      <c r="L626" s="34">
        <f t="shared" si="38"/>
        <v>0.97968292512010469</v>
      </c>
      <c r="M626" s="34">
        <f t="shared" si="39"/>
        <v>0.97728454046913815</v>
      </c>
    </row>
    <row r="627" spans="1:13" ht="69">
      <c r="A627" t="s">
        <v>164</v>
      </c>
      <c r="B627" t="s">
        <v>115</v>
      </c>
      <c r="C627" s="14" t="s">
        <v>291</v>
      </c>
      <c r="D627" t="s">
        <v>366</v>
      </c>
      <c r="E627" t="s">
        <v>383</v>
      </c>
      <c r="F627" s="20">
        <v>2040</v>
      </c>
      <c r="G627" s="20">
        <v>55</v>
      </c>
      <c r="H627" s="11">
        <v>10610.6191613707</v>
      </c>
      <c r="I627" s="10">
        <v>3924681.0021728599</v>
      </c>
      <c r="J627" s="34">
        <f t="shared" si="36"/>
        <v>2.7035621890024279E-3</v>
      </c>
      <c r="K627" s="34">
        <f t="shared" si="37"/>
        <v>2.699910856023946E-3</v>
      </c>
      <c r="L627" s="34">
        <f t="shared" si="38"/>
        <v>0.97728454046913815</v>
      </c>
      <c r="M627" s="34">
        <f t="shared" si="39"/>
        <v>0.97464595932890119</v>
      </c>
    </row>
    <row r="628" spans="1:13" ht="69">
      <c r="A628" t="s">
        <v>164</v>
      </c>
      <c r="B628" t="s">
        <v>115</v>
      </c>
      <c r="C628" s="14" t="s">
        <v>291</v>
      </c>
      <c r="D628" t="s">
        <v>366</v>
      </c>
      <c r="E628" t="s">
        <v>383</v>
      </c>
      <c r="F628" s="20">
        <v>2040</v>
      </c>
      <c r="G628" s="20">
        <v>56</v>
      </c>
      <c r="H628" s="11">
        <v>11668.7128395051</v>
      </c>
      <c r="I628" s="10">
        <v>3931344.8778594499</v>
      </c>
      <c r="J628" s="34">
        <f t="shared" si="36"/>
        <v>2.9681224115495346E-3</v>
      </c>
      <c r="K628" s="34">
        <f t="shared" si="37"/>
        <v>2.9637218910624208E-3</v>
      </c>
      <c r="L628" s="34">
        <f t="shared" si="38"/>
        <v>0.97464595932890119</v>
      </c>
      <c r="M628" s="34">
        <f t="shared" si="39"/>
        <v>0.97175737976320264</v>
      </c>
    </row>
    <row r="629" spans="1:13" ht="69">
      <c r="A629" t="s">
        <v>164</v>
      </c>
      <c r="B629" t="s">
        <v>115</v>
      </c>
      <c r="C629" s="14" t="s">
        <v>291</v>
      </c>
      <c r="D629" t="s">
        <v>366</v>
      </c>
      <c r="E629" t="s">
        <v>383</v>
      </c>
      <c r="F629" s="20">
        <v>2040</v>
      </c>
      <c r="G629" s="20">
        <v>57</v>
      </c>
      <c r="H629" s="11">
        <v>12621.771193322</v>
      </c>
      <c r="I629" s="10">
        <v>3881745.9042004901</v>
      </c>
      <c r="J629" s="34">
        <f t="shared" si="36"/>
        <v>3.251570686186288E-3</v>
      </c>
      <c r="K629" s="34">
        <f t="shared" si="37"/>
        <v>3.2462900552214791E-3</v>
      </c>
      <c r="L629" s="34">
        <f t="shared" si="38"/>
        <v>0.97175737976320264</v>
      </c>
      <c r="M629" s="34">
        <f t="shared" si="39"/>
        <v>0.9686027734451893</v>
      </c>
    </row>
    <row r="630" spans="1:13" ht="69">
      <c r="A630" t="s">
        <v>164</v>
      </c>
      <c r="B630" t="s">
        <v>115</v>
      </c>
      <c r="C630" s="14" t="s">
        <v>291</v>
      </c>
      <c r="D630" t="s">
        <v>366</v>
      </c>
      <c r="E630" t="s">
        <v>383</v>
      </c>
      <c r="F630" s="20">
        <v>2040</v>
      </c>
      <c r="G630" s="20">
        <v>58</v>
      </c>
      <c r="H630" s="11">
        <v>13557.799043040701</v>
      </c>
      <c r="I630" s="10">
        <v>3807682.4896477298</v>
      </c>
      <c r="J630" s="34">
        <f t="shared" si="36"/>
        <v>3.5606432731461832E-3</v>
      </c>
      <c r="K630" s="34">
        <f t="shared" si="37"/>
        <v>3.5543116999406932E-3</v>
      </c>
      <c r="L630" s="34">
        <f t="shared" si="38"/>
        <v>0.9686027734451893</v>
      </c>
      <c r="M630" s="34">
        <f t="shared" si="39"/>
        <v>0.96516005727493803</v>
      </c>
    </row>
    <row r="631" spans="1:13" ht="69">
      <c r="A631" t="s">
        <v>164</v>
      </c>
      <c r="B631" t="s">
        <v>115</v>
      </c>
      <c r="C631" s="14" t="s">
        <v>291</v>
      </c>
      <c r="D631" t="s">
        <v>366</v>
      </c>
      <c r="E631" t="s">
        <v>383</v>
      </c>
      <c r="F631" s="20">
        <v>2040</v>
      </c>
      <c r="G631" s="20">
        <v>59</v>
      </c>
      <c r="H631" s="11">
        <v>13847.5987791349</v>
      </c>
      <c r="I631" s="10">
        <v>3726219.14825843</v>
      </c>
      <c r="J631" s="34">
        <f t="shared" si="36"/>
        <v>3.7162598945923581E-3</v>
      </c>
      <c r="K631" s="34">
        <f t="shared" si="37"/>
        <v>3.7093631468044785E-3</v>
      </c>
      <c r="L631" s="34">
        <f t="shared" si="38"/>
        <v>0.96516005727493803</v>
      </c>
      <c r="M631" s="34">
        <f t="shared" si="39"/>
        <v>0.96157992812771464</v>
      </c>
    </row>
    <row r="632" spans="1:13" ht="69">
      <c r="A632" t="s">
        <v>164</v>
      </c>
      <c r="B632" t="s">
        <v>115</v>
      </c>
      <c r="C632" s="14" t="s">
        <v>291</v>
      </c>
      <c r="D632" t="s">
        <v>366</v>
      </c>
      <c r="E632" t="s">
        <v>383</v>
      </c>
      <c r="F632" s="20">
        <v>2040</v>
      </c>
      <c r="G632" s="20">
        <v>60</v>
      </c>
      <c r="H632" s="11">
        <v>14359.729455639999</v>
      </c>
      <c r="I632" s="10">
        <v>3649154.3839730001</v>
      </c>
      <c r="J632" s="34">
        <f t="shared" si="36"/>
        <v>3.9350841166675742E-3</v>
      </c>
      <c r="K632" s="34">
        <f t="shared" si="37"/>
        <v>3.9273518189040235E-3</v>
      </c>
      <c r="L632" s="34">
        <f t="shared" si="38"/>
        <v>0.96157992812771464</v>
      </c>
      <c r="M632" s="34">
        <f t="shared" si="39"/>
        <v>0.95780346544796069</v>
      </c>
    </row>
    <row r="633" spans="1:13" ht="69">
      <c r="A633" t="s">
        <v>164</v>
      </c>
      <c r="B633" t="s">
        <v>115</v>
      </c>
      <c r="C633" s="14" t="s">
        <v>291</v>
      </c>
      <c r="D633" t="s">
        <v>366</v>
      </c>
      <c r="E633" t="s">
        <v>383</v>
      </c>
      <c r="F633" s="20">
        <v>2040</v>
      </c>
      <c r="G633" s="20">
        <v>61</v>
      </c>
      <c r="H633" s="11">
        <v>14974.7944199024</v>
      </c>
      <c r="I633" s="10">
        <v>3558372.8915881501</v>
      </c>
      <c r="J633" s="34">
        <f t="shared" si="36"/>
        <v>4.2083263548073364E-3</v>
      </c>
      <c r="K633" s="34">
        <f t="shared" si="37"/>
        <v>4.1994837579796274E-3</v>
      </c>
      <c r="L633" s="34">
        <f t="shared" si="38"/>
        <v>0.95780346544796069</v>
      </c>
      <c r="M633" s="34">
        <f t="shared" si="39"/>
        <v>0.95378118535147538</v>
      </c>
    </row>
    <row r="634" spans="1:13" ht="69">
      <c r="A634" t="s">
        <v>164</v>
      </c>
      <c r="B634" t="s">
        <v>115</v>
      </c>
      <c r="C634" s="14" t="s">
        <v>291</v>
      </c>
      <c r="D634" t="s">
        <v>366</v>
      </c>
      <c r="E634" t="s">
        <v>383</v>
      </c>
      <c r="F634" s="20">
        <v>2040</v>
      </c>
      <c r="G634" s="20">
        <v>62</v>
      </c>
      <c r="H634" s="11">
        <v>15635.346206730201</v>
      </c>
      <c r="I634" s="10">
        <v>3444433.6302718599</v>
      </c>
      <c r="J634" s="34">
        <f t="shared" si="36"/>
        <v>4.5393083116239763E-3</v>
      </c>
      <c r="K634" s="34">
        <f t="shared" si="37"/>
        <v>4.529021222958618E-3</v>
      </c>
      <c r="L634" s="34">
        <f t="shared" si="38"/>
        <v>0.95378118535147538</v>
      </c>
      <c r="M634" s="34">
        <f t="shared" si="39"/>
        <v>0.94946149012095993</v>
      </c>
    </row>
    <row r="635" spans="1:13" ht="69">
      <c r="A635" t="s">
        <v>164</v>
      </c>
      <c r="B635" t="s">
        <v>115</v>
      </c>
      <c r="C635" s="14" t="s">
        <v>291</v>
      </c>
      <c r="D635" t="s">
        <v>366</v>
      </c>
      <c r="E635" t="s">
        <v>383</v>
      </c>
      <c r="F635" s="20">
        <v>2040</v>
      </c>
      <c r="G635" s="20">
        <v>63</v>
      </c>
      <c r="H635" s="11">
        <v>16320.326008699099</v>
      </c>
      <c r="I635" s="10">
        <v>3333630.3890195</v>
      </c>
      <c r="J635" s="34">
        <f t="shared" si="36"/>
        <v>4.8956615173823444E-3</v>
      </c>
      <c r="K635" s="34">
        <f t="shared" si="37"/>
        <v>4.8836972987535976E-3</v>
      </c>
      <c r="L635" s="34">
        <f t="shared" si="38"/>
        <v>0.94946149012095993</v>
      </c>
      <c r="M635" s="34">
        <f t="shared" si="39"/>
        <v>0.94482460760638565</v>
      </c>
    </row>
    <row r="636" spans="1:13" ht="69">
      <c r="A636" t="s">
        <v>164</v>
      </c>
      <c r="B636" t="s">
        <v>115</v>
      </c>
      <c r="C636" s="14" t="s">
        <v>291</v>
      </c>
      <c r="D636" t="s">
        <v>366</v>
      </c>
      <c r="E636" t="s">
        <v>383</v>
      </c>
      <c r="F636" s="20">
        <v>2040</v>
      </c>
      <c r="G636" s="20">
        <v>64</v>
      </c>
      <c r="H636" s="11">
        <v>17426.163324580899</v>
      </c>
      <c r="I636" s="10">
        <v>3234888.02596637</v>
      </c>
      <c r="J636" s="34">
        <f t="shared" si="36"/>
        <v>5.386944829218661E-3</v>
      </c>
      <c r="K636" s="34">
        <f t="shared" si="37"/>
        <v>5.3724612609873379E-3</v>
      </c>
      <c r="L636" s="34">
        <f t="shared" si="38"/>
        <v>0.94482460760638565</v>
      </c>
      <c r="M636" s="34">
        <f t="shared" si="39"/>
        <v>0.9397485740035928</v>
      </c>
    </row>
    <row r="637" spans="1:13" ht="69">
      <c r="A637" t="s">
        <v>164</v>
      </c>
      <c r="B637" t="s">
        <v>115</v>
      </c>
      <c r="C637" s="14" t="s">
        <v>291</v>
      </c>
      <c r="D637" t="s">
        <v>366</v>
      </c>
      <c r="E637" t="s">
        <v>383</v>
      </c>
      <c r="F637" s="20">
        <v>2040</v>
      </c>
      <c r="G637" s="20">
        <v>65</v>
      </c>
      <c r="H637" s="11">
        <v>18404.2068855404</v>
      </c>
      <c r="I637" s="10">
        <v>3123550.5956018101</v>
      </c>
      <c r="J637" s="34">
        <f t="shared" si="36"/>
        <v>5.8920790050447343E-3</v>
      </c>
      <c r="K637" s="34">
        <f t="shared" si="37"/>
        <v>5.8747547495380248E-3</v>
      </c>
      <c r="L637" s="34">
        <f t="shared" si="38"/>
        <v>0.9397485740035928</v>
      </c>
      <c r="M637" s="34">
        <f t="shared" si="39"/>
        <v>0.93422778160509357</v>
      </c>
    </row>
    <row r="638" spans="1:13" ht="69">
      <c r="A638" t="s">
        <v>164</v>
      </c>
      <c r="B638" t="s">
        <v>115</v>
      </c>
      <c r="C638" s="14" t="s">
        <v>291</v>
      </c>
      <c r="D638" t="s">
        <v>366</v>
      </c>
      <c r="E638" t="s">
        <v>383</v>
      </c>
      <c r="F638" s="20">
        <v>2040</v>
      </c>
      <c r="G638" s="20">
        <v>66</v>
      </c>
      <c r="H638" s="11">
        <v>18900.607111863701</v>
      </c>
      <c r="I638" s="10">
        <v>3023905.12303288</v>
      </c>
      <c r="J638" s="34">
        <f t="shared" si="36"/>
        <v>6.2503968685720529E-3</v>
      </c>
      <c r="K638" s="34">
        <f t="shared" si="37"/>
        <v>6.2309037724056493E-3</v>
      </c>
      <c r="L638" s="34">
        <f t="shared" si="38"/>
        <v>0.93422778160509357</v>
      </c>
      <c r="M638" s="34">
        <f t="shared" si="39"/>
        <v>0.9284066981964042</v>
      </c>
    </row>
    <row r="639" spans="1:13" ht="69">
      <c r="A639" t="s">
        <v>164</v>
      </c>
      <c r="B639" t="s">
        <v>115</v>
      </c>
      <c r="C639" s="14" t="s">
        <v>291</v>
      </c>
      <c r="D639" t="s">
        <v>366</v>
      </c>
      <c r="E639" t="s">
        <v>383</v>
      </c>
      <c r="F639" s="20">
        <v>2040</v>
      </c>
      <c r="G639" s="20">
        <v>67</v>
      </c>
      <c r="H639" s="11">
        <v>19930.004361718798</v>
      </c>
      <c r="I639" s="10">
        <v>2922485.8357019201</v>
      </c>
      <c r="J639" s="34">
        <f t="shared" si="36"/>
        <v>6.8195383937359709E-3</v>
      </c>
      <c r="K639" s="34">
        <f t="shared" si="37"/>
        <v>6.79633811014968E-3</v>
      </c>
      <c r="L639" s="34">
        <f t="shared" si="38"/>
        <v>0.9284066981964042</v>
      </c>
      <c r="M639" s="34">
        <f t="shared" si="39"/>
        <v>0.92209693237173374</v>
      </c>
    </row>
    <row r="640" spans="1:13" ht="69">
      <c r="A640" t="s">
        <v>164</v>
      </c>
      <c r="B640" t="s">
        <v>115</v>
      </c>
      <c r="C640" s="14" t="s">
        <v>291</v>
      </c>
      <c r="D640" t="s">
        <v>366</v>
      </c>
      <c r="E640" t="s">
        <v>383</v>
      </c>
      <c r="F640" s="20">
        <v>2040</v>
      </c>
      <c r="G640" s="20">
        <v>68</v>
      </c>
      <c r="H640" s="11">
        <v>20723.941636917702</v>
      </c>
      <c r="I640" s="10">
        <v>2801861.9095121799</v>
      </c>
      <c r="J640" s="34">
        <f t="shared" si="36"/>
        <v>7.39648930111829E-3</v>
      </c>
      <c r="K640" s="34">
        <f t="shared" si="37"/>
        <v>7.3692025908606018E-3</v>
      </c>
      <c r="L640" s="34">
        <f t="shared" si="38"/>
        <v>0.92209693237173374</v>
      </c>
      <c r="M640" s="34">
        <f t="shared" si="39"/>
        <v>0.91530181326867532</v>
      </c>
    </row>
    <row r="641" spans="1:13" ht="69">
      <c r="A641" t="s">
        <v>164</v>
      </c>
      <c r="B641" t="s">
        <v>115</v>
      </c>
      <c r="C641" s="14" t="s">
        <v>291</v>
      </c>
      <c r="D641" t="s">
        <v>366</v>
      </c>
      <c r="E641" t="s">
        <v>383</v>
      </c>
      <c r="F641" s="20">
        <v>2040</v>
      </c>
      <c r="G641" s="20">
        <v>69</v>
      </c>
      <c r="H641" s="11">
        <v>20921.4096034291</v>
      </c>
      <c r="I641" s="10">
        <v>2689631.1742813899</v>
      </c>
      <c r="J641" s="34">
        <f t="shared" si="36"/>
        <v>7.7785422044042299E-3</v>
      </c>
      <c r="K641" s="34">
        <f t="shared" si="37"/>
        <v>7.7483676337370966E-3</v>
      </c>
      <c r="L641" s="34">
        <f t="shared" si="38"/>
        <v>0.91530181326867532</v>
      </c>
      <c r="M641" s="34">
        <f t="shared" si="39"/>
        <v>0.90820971832364339</v>
      </c>
    </row>
    <row r="642" spans="1:13" ht="69">
      <c r="A642" t="s">
        <v>164</v>
      </c>
      <c r="B642" t="s">
        <v>115</v>
      </c>
      <c r="C642" s="14" t="s">
        <v>291</v>
      </c>
      <c r="D642" t="s">
        <v>366</v>
      </c>
      <c r="E642" t="s">
        <v>383</v>
      </c>
      <c r="F642" s="20">
        <v>2041</v>
      </c>
      <c r="G642" s="20">
        <v>30</v>
      </c>
      <c r="H642" s="11">
        <v>749.84388039666601</v>
      </c>
      <c r="I642" s="10">
        <v>4807132.5370072303</v>
      </c>
      <c r="J642" s="34">
        <f t="shared" ref="J642:J705" si="40">IF(I642&gt;0,H642/I642,0)</f>
        <v>1.5598568889542107E-4</v>
      </c>
      <c r="K642" s="34">
        <f t="shared" ref="K642:K705" si="41">1-EXP(-J642)</f>
        <v>1.5597352376039986E-4</v>
      </c>
      <c r="L642" s="34">
        <f t="shared" ref="L642:L705" si="42">IF(G642=30,1,M641)</f>
        <v>1</v>
      </c>
      <c r="M642" s="34">
        <f t="shared" ref="M642:M705" si="43">L642*(1-K642)</f>
        <v>0.9998440264762396</v>
      </c>
    </row>
    <row r="643" spans="1:13" ht="69">
      <c r="A643" t="s">
        <v>164</v>
      </c>
      <c r="B643" t="s">
        <v>115</v>
      </c>
      <c r="C643" s="14" t="s">
        <v>291</v>
      </c>
      <c r="D643" t="s">
        <v>366</v>
      </c>
      <c r="E643" t="s">
        <v>383</v>
      </c>
      <c r="F643" s="20">
        <v>2041</v>
      </c>
      <c r="G643" s="20">
        <v>31</v>
      </c>
      <c r="H643" s="11">
        <v>1048.82680491415</v>
      </c>
      <c r="I643" s="10">
        <v>4706104.1767359003</v>
      </c>
      <c r="J643" s="34">
        <f t="shared" si="40"/>
        <v>2.2286519072376424E-4</v>
      </c>
      <c r="K643" s="34">
        <f t="shared" si="41"/>
        <v>2.2284035812192293E-4</v>
      </c>
      <c r="L643" s="34">
        <f t="shared" si="42"/>
        <v>0.9998440264762396</v>
      </c>
      <c r="M643" s="34">
        <f t="shared" si="43"/>
        <v>0.99962122087531358</v>
      </c>
    </row>
    <row r="644" spans="1:13" ht="69">
      <c r="A644" t="s">
        <v>164</v>
      </c>
      <c r="B644" t="s">
        <v>115</v>
      </c>
      <c r="C644" s="14" t="s">
        <v>291</v>
      </c>
      <c r="D644" t="s">
        <v>366</v>
      </c>
      <c r="E644" t="s">
        <v>383</v>
      </c>
      <c r="F644" s="20">
        <v>2041</v>
      </c>
      <c r="G644" s="20">
        <v>32</v>
      </c>
      <c r="H644" s="11">
        <v>1066.54469023416</v>
      </c>
      <c r="I644" s="10">
        <v>4649748.0397721203</v>
      </c>
      <c r="J644" s="34">
        <f t="shared" si="40"/>
        <v>2.2937687829778199E-4</v>
      </c>
      <c r="K644" s="34">
        <f t="shared" si="41"/>
        <v>2.2935057343287379E-4</v>
      </c>
      <c r="L644" s="34">
        <f t="shared" si="42"/>
        <v>0.99962122087531358</v>
      </c>
      <c r="M644" s="34">
        <f t="shared" si="43"/>
        <v>0.99939195717509011</v>
      </c>
    </row>
    <row r="645" spans="1:13" ht="69">
      <c r="A645" t="s">
        <v>164</v>
      </c>
      <c r="B645" t="s">
        <v>115</v>
      </c>
      <c r="C645" s="14" t="s">
        <v>291</v>
      </c>
      <c r="D645" t="s">
        <v>366</v>
      </c>
      <c r="E645" t="s">
        <v>383</v>
      </c>
      <c r="F645" s="20">
        <v>2041</v>
      </c>
      <c r="G645" s="20">
        <v>33</v>
      </c>
      <c r="H645" s="11">
        <v>1112.41393312738</v>
      </c>
      <c r="I645" s="10">
        <v>4642164.4680558499</v>
      </c>
      <c r="J645" s="34">
        <f t="shared" si="40"/>
        <v>2.3963259828087516E-4</v>
      </c>
      <c r="K645" s="34">
        <f t="shared" si="41"/>
        <v>2.3960388868304872E-4</v>
      </c>
      <c r="L645" s="34">
        <f t="shared" si="42"/>
        <v>0.99939195717509011</v>
      </c>
      <c r="M645" s="34">
        <f t="shared" si="43"/>
        <v>0.99915249897583236</v>
      </c>
    </row>
    <row r="646" spans="1:13" ht="69">
      <c r="A646" t="s">
        <v>164</v>
      </c>
      <c r="B646" t="s">
        <v>115</v>
      </c>
      <c r="C646" s="14" t="s">
        <v>291</v>
      </c>
      <c r="D646" t="s">
        <v>366</v>
      </c>
      <c r="E646" t="s">
        <v>383</v>
      </c>
      <c r="F646" s="20">
        <v>2041</v>
      </c>
      <c r="G646" s="20">
        <v>34</v>
      </c>
      <c r="H646" s="11">
        <v>1160.1814501045501</v>
      </c>
      <c r="I646" s="10">
        <v>4614538.3893158603</v>
      </c>
      <c r="J646" s="34">
        <f t="shared" si="40"/>
        <v>2.5141874489347475E-4</v>
      </c>
      <c r="K646" s="34">
        <f t="shared" si="41"/>
        <v>2.5138714184946842E-4</v>
      </c>
      <c r="L646" s="34">
        <f t="shared" si="42"/>
        <v>0.99915249897583236</v>
      </c>
      <c r="M646" s="34">
        <f t="shared" si="43"/>
        <v>0.99890132488484307</v>
      </c>
    </row>
    <row r="647" spans="1:13" ht="69">
      <c r="A647" t="s">
        <v>164</v>
      </c>
      <c r="B647" t="s">
        <v>115</v>
      </c>
      <c r="C647" s="14" t="s">
        <v>291</v>
      </c>
      <c r="D647" t="s">
        <v>366</v>
      </c>
      <c r="E647" t="s">
        <v>383</v>
      </c>
      <c r="F647" s="20">
        <v>2041</v>
      </c>
      <c r="G647" s="20">
        <v>35</v>
      </c>
      <c r="H647" s="11">
        <v>1219.85032684921</v>
      </c>
      <c r="I647" s="10">
        <v>4543243.7647234602</v>
      </c>
      <c r="J647" s="34">
        <f t="shared" si="40"/>
        <v>2.6849766158727349E-4</v>
      </c>
      <c r="K647" s="34">
        <f t="shared" si="41"/>
        <v>2.6846161931592949E-4</v>
      </c>
      <c r="L647" s="34">
        <f t="shared" si="42"/>
        <v>0.99890132488484307</v>
      </c>
      <c r="M647" s="34">
        <f t="shared" si="43"/>
        <v>0.99863315821762766</v>
      </c>
    </row>
    <row r="648" spans="1:13" ht="69">
      <c r="A648" t="s">
        <v>164</v>
      </c>
      <c r="B648" t="s">
        <v>115</v>
      </c>
      <c r="C648" s="14" t="s">
        <v>291</v>
      </c>
      <c r="D648" t="s">
        <v>366</v>
      </c>
      <c r="E648" t="s">
        <v>383</v>
      </c>
      <c r="F648" s="20">
        <v>2041</v>
      </c>
      <c r="G648" s="20">
        <v>36</v>
      </c>
      <c r="H648" s="11">
        <v>1523.74882213707</v>
      </c>
      <c r="I648" s="10">
        <v>4449158.4766003797</v>
      </c>
      <c r="J648" s="34">
        <f t="shared" si="40"/>
        <v>3.4248023084612009E-4</v>
      </c>
      <c r="K648" s="34">
        <f t="shared" si="41"/>
        <v>3.4242159118635929E-4</v>
      </c>
      <c r="L648" s="34">
        <f t="shared" si="42"/>
        <v>0.99863315821762766</v>
      </c>
      <c r="M648" s="34">
        <f t="shared" si="43"/>
        <v>0.99829120466257937</v>
      </c>
    </row>
    <row r="649" spans="1:13" ht="69">
      <c r="A649" t="s">
        <v>164</v>
      </c>
      <c r="B649" t="s">
        <v>115</v>
      </c>
      <c r="C649" s="14" t="s">
        <v>291</v>
      </c>
      <c r="D649" t="s">
        <v>366</v>
      </c>
      <c r="E649" t="s">
        <v>383</v>
      </c>
      <c r="F649" s="20">
        <v>2041</v>
      </c>
      <c r="G649" s="20">
        <v>37</v>
      </c>
      <c r="H649" s="11">
        <v>1628.24959679367</v>
      </c>
      <c r="I649" s="10">
        <v>4351603.96923743</v>
      </c>
      <c r="J649" s="34">
        <f t="shared" si="40"/>
        <v>3.741722841288341E-4</v>
      </c>
      <c r="K649" s="34">
        <f t="shared" si="41"/>
        <v>3.7410229040990561E-4</v>
      </c>
      <c r="L649" s="34">
        <f t="shared" si="42"/>
        <v>0.99829120466257937</v>
      </c>
      <c r="M649" s="34">
        <f t="shared" si="43"/>
        <v>0.997917741636419</v>
      </c>
    </row>
    <row r="650" spans="1:13" ht="69">
      <c r="A650" t="s">
        <v>164</v>
      </c>
      <c r="B650" t="s">
        <v>115</v>
      </c>
      <c r="C650" s="14" t="s">
        <v>291</v>
      </c>
      <c r="D650" t="s">
        <v>366</v>
      </c>
      <c r="E650" t="s">
        <v>383</v>
      </c>
      <c r="F650" s="20">
        <v>2041</v>
      </c>
      <c r="G650" s="20">
        <v>38</v>
      </c>
      <c r="H650" s="11">
        <v>1796.8070479059299</v>
      </c>
      <c r="I650" s="10">
        <v>4307785.2295375103</v>
      </c>
      <c r="J650" s="34">
        <f t="shared" si="40"/>
        <v>4.1710692436234517E-4</v>
      </c>
      <c r="K650" s="34">
        <f t="shared" si="41"/>
        <v>4.1701994736254022E-4</v>
      </c>
      <c r="L650" s="34">
        <f t="shared" si="42"/>
        <v>0.997917741636419</v>
      </c>
      <c r="M650" s="34">
        <f t="shared" si="43"/>
        <v>0.99750159003232963</v>
      </c>
    </row>
    <row r="651" spans="1:13" ht="69">
      <c r="A651" t="s">
        <v>164</v>
      </c>
      <c r="B651" t="s">
        <v>115</v>
      </c>
      <c r="C651" s="14" t="s">
        <v>291</v>
      </c>
      <c r="D651" t="s">
        <v>366</v>
      </c>
      <c r="E651" t="s">
        <v>383</v>
      </c>
      <c r="F651" s="20">
        <v>2041</v>
      </c>
      <c r="G651" s="20">
        <v>39</v>
      </c>
      <c r="H651" s="11">
        <v>1926.4779776263099</v>
      </c>
      <c r="I651" s="10">
        <v>4286353.5360861197</v>
      </c>
      <c r="J651" s="34">
        <f t="shared" si="40"/>
        <v>4.4944448968280436E-4</v>
      </c>
      <c r="K651" s="34">
        <f t="shared" si="41"/>
        <v>4.4934350463776696E-4</v>
      </c>
      <c r="L651" s="34">
        <f t="shared" si="42"/>
        <v>0.99750159003232963</v>
      </c>
      <c r="M651" s="34">
        <f t="shared" si="43"/>
        <v>0.99705336917198273</v>
      </c>
    </row>
    <row r="652" spans="1:13" ht="69">
      <c r="A652" t="s">
        <v>164</v>
      </c>
      <c r="B652" t="s">
        <v>115</v>
      </c>
      <c r="C652" s="14" t="s">
        <v>291</v>
      </c>
      <c r="D652" t="s">
        <v>366</v>
      </c>
      <c r="E652" t="s">
        <v>383</v>
      </c>
      <c r="F652" s="20">
        <v>2041</v>
      </c>
      <c r="G652" s="20">
        <v>40</v>
      </c>
      <c r="H652" s="11">
        <v>2109.4454776576199</v>
      </c>
      <c r="I652" s="10">
        <v>4264739.6594147803</v>
      </c>
      <c r="J652" s="34">
        <f t="shared" si="40"/>
        <v>4.9462467726507935E-4</v>
      </c>
      <c r="K652" s="34">
        <f t="shared" si="41"/>
        <v>4.9450237064552205E-4</v>
      </c>
      <c r="L652" s="34">
        <f t="shared" si="42"/>
        <v>0.99705336917198273</v>
      </c>
      <c r="M652" s="34">
        <f t="shared" si="43"/>
        <v>0.99656032391726712</v>
      </c>
    </row>
    <row r="653" spans="1:13" ht="69">
      <c r="A653" t="s">
        <v>164</v>
      </c>
      <c r="B653" t="s">
        <v>115</v>
      </c>
      <c r="C653" s="14" t="s">
        <v>291</v>
      </c>
      <c r="D653" t="s">
        <v>366</v>
      </c>
      <c r="E653" t="s">
        <v>383</v>
      </c>
      <c r="F653" s="20">
        <v>2041</v>
      </c>
      <c r="G653" s="20">
        <v>41</v>
      </c>
      <c r="H653" s="11">
        <v>2759.1076867173201</v>
      </c>
      <c r="I653" s="10">
        <v>4262248.6822409099</v>
      </c>
      <c r="J653" s="34">
        <f t="shared" si="40"/>
        <v>6.473361580738874E-4</v>
      </c>
      <c r="K653" s="34">
        <f t="shared" si="41"/>
        <v>6.4712668122623995E-4</v>
      </c>
      <c r="L653" s="34">
        <f t="shared" si="42"/>
        <v>0.99656032391726712</v>
      </c>
      <c r="M653" s="34">
        <f t="shared" si="43"/>
        <v>0.99591542314220882</v>
      </c>
    </row>
    <row r="654" spans="1:13" ht="69">
      <c r="A654" t="s">
        <v>164</v>
      </c>
      <c r="B654" t="s">
        <v>115</v>
      </c>
      <c r="C654" s="14" t="s">
        <v>291</v>
      </c>
      <c r="D654" t="s">
        <v>366</v>
      </c>
      <c r="E654" t="s">
        <v>383</v>
      </c>
      <c r="F654" s="20">
        <v>2041</v>
      </c>
      <c r="G654" s="20">
        <v>42</v>
      </c>
      <c r="H654" s="11">
        <v>3101.47892126025</v>
      </c>
      <c r="I654" s="10">
        <v>4297778.9412938999</v>
      </c>
      <c r="J654" s="34">
        <f t="shared" si="40"/>
        <v>7.2164691661095787E-4</v>
      </c>
      <c r="K654" s="34">
        <f t="shared" si="41"/>
        <v>7.2138659209941558E-4</v>
      </c>
      <c r="L654" s="34">
        <f t="shared" si="42"/>
        <v>0.99591542314220882</v>
      </c>
      <c r="M654" s="34">
        <f t="shared" si="43"/>
        <v>0.995196983109089</v>
      </c>
    </row>
    <row r="655" spans="1:13" ht="69">
      <c r="A655" t="s">
        <v>164</v>
      </c>
      <c r="B655" t="s">
        <v>115</v>
      </c>
      <c r="C655" s="14" t="s">
        <v>291</v>
      </c>
      <c r="D655" t="s">
        <v>366</v>
      </c>
      <c r="E655" t="s">
        <v>383</v>
      </c>
      <c r="F655" s="20">
        <v>2041</v>
      </c>
      <c r="G655" s="20">
        <v>43</v>
      </c>
      <c r="H655" s="11">
        <v>3484.00730000059</v>
      </c>
      <c r="I655" s="10">
        <v>4335352.6223097397</v>
      </c>
      <c r="J655" s="34">
        <f t="shared" si="40"/>
        <v>8.0362720256522534E-4</v>
      </c>
      <c r="K655" s="34">
        <f t="shared" si="41"/>
        <v>8.0330438070685961E-4</v>
      </c>
      <c r="L655" s="34">
        <f t="shared" si="42"/>
        <v>0.995196983109089</v>
      </c>
      <c r="M655" s="34">
        <f t="shared" si="43"/>
        <v>0.99439753701289124</v>
      </c>
    </row>
    <row r="656" spans="1:13" ht="69">
      <c r="A656" t="s">
        <v>164</v>
      </c>
      <c r="B656" t="s">
        <v>115</v>
      </c>
      <c r="C656" s="14" t="s">
        <v>291</v>
      </c>
      <c r="D656" t="s">
        <v>366</v>
      </c>
      <c r="E656" t="s">
        <v>383</v>
      </c>
      <c r="F656" s="20">
        <v>2041</v>
      </c>
      <c r="G656" s="20">
        <v>44</v>
      </c>
      <c r="H656" s="11">
        <v>3652.3244705403399</v>
      </c>
      <c r="I656" s="10">
        <v>4326731.1218172498</v>
      </c>
      <c r="J656" s="34">
        <f t="shared" si="40"/>
        <v>8.4413021463796074E-4</v>
      </c>
      <c r="K656" s="34">
        <f t="shared" si="41"/>
        <v>8.4377403695545805E-4</v>
      </c>
      <c r="L656" s="34">
        <f t="shared" si="42"/>
        <v>0.99439753701289124</v>
      </c>
      <c r="M656" s="34">
        <f t="shared" si="43"/>
        <v>0.99355849018874731</v>
      </c>
    </row>
    <row r="657" spans="1:13" ht="69">
      <c r="A657" t="s">
        <v>164</v>
      </c>
      <c r="B657" t="s">
        <v>115</v>
      </c>
      <c r="C657" s="14" t="s">
        <v>291</v>
      </c>
      <c r="D657" t="s">
        <v>366</v>
      </c>
      <c r="E657" t="s">
        <v>383</v>
      </c>
      <c r="F657" s="20">
        <v>2041</v>
      </c>
      <c r="G657" s="20">
        <v>45</v>
      </c>
      <c r="H657" s="11">
        <v>3869.9886043108399</v>
      </c>
      <c r="I657" s="10">
        <v>4259779.90982995</v>
      </c>
      <c r="J657" s="34">
        <f t="shared" si="40"/>
        <v>9.0849496599117239E-4</v>
      </c>
      <c r="K657" s="34">
        <f t="shared" si="41"/>
        <v>9.0808240938422546E-4</v>
      </c>
      <c r="L657" s="34">
        <f t="shared" si="42"/>
        <v>0.99355849018874731</v>
      </c>
      <c r="M657" s="34">
        <f t="shared" si="43"/>
        <v>0.99265625720111261</v>
      </c>
    </row>
    <row r="658" spans="1:13" ht="69">
      <c r="A658" t="s">
        <v>164</v>
      </c>
      <c r="B658" t="s">
        <v>115</v>
      </c>
      <c r="C658" s="14" t="s">
        <v>291</v>
      </c>
      <c r="D658" t="s">
        <v>366</v>
      </c>
      <c r="E658" t="s">
        <v>383</v>
      </c>
      <c r="F658" s="20">
        <v>2041</v>
      </c>
      <c r="G658" s="20">
        <v>46</v>
      </c>
      <c r="H658" s="11">
        <v>4716.5312699099104</v>
      </c>
      <c r="I658" s="10">
        <v>4190390.0292334999</v>
      </c>
      <c r="J658" s="34">
        <f t="shared" si="40"/>
        <v>1.1255590140788522E-3</v>
      </c>
      <c r="K658" s="34">
        <f t="shared" si="41"/>
        <v>1.1249258101234672E-3</v>
      </c>
      <c r="L658" s="34">
        <f t="shared" si="42"/>
        <v>0.99265625720111261</v>
      </c>
      <c r="M658" s="34">
        <f t="shared" si="43"/>
        <v>0.99153959255680657</v>
      </c>
    </row>
    <row r="659" spans="1:13" ht="69">
      <c r="A659" t="s">
        <v>164</v>
      </c>
      <c r="B659" t="s">
        <v>115</v>
      </c>
      <c r="C659" s="14" t="s">
        <v>291</v>
      </c>
      <c r="D659" t="s">
        <v>366</v>
      </c>
      <c r="E659" t="s">
        <v>383</v>
      </c>
      <c r="F659" s="20">
        <v>2041</v>
      </c>
      <c r="G659" s="20">
        <v>47</v>
      </c>
      <c r="H659" s="11">
        <v>5095.2239544150998</v>
      </c>
      <c r="I659" s="10">
        <v>4129940.79562417</v>
      </c>
      <c r="J659" s="34">
        <f t="shared" si="40"/>
        <v>1.2337280863235823E-3</v>
      </c>
      <c r="K659" s="34">
        <f t="shared" si="41"/>
        <v>1.2329673567047506E-3</v>
      </c>
      <c r="L659" s="34">
        <f t="shared" si="42"/>
        <v>0.99153959255680657</v>
      </c>
      <c r="M659" s="34">
        <f t="shared" si="43"/>
        <v>0.99031705660630365</v>
      </c>
    </row>
    <row r="660" spans="1:13" ht="69">
      <c r="A660" t="s">
        <v>164</v>
      </c>
      <c r="B660" t="s">
        <v>115</v>
      </c>
      <c r="C660" s="14" t="s">
        <v>291</v>
      </c>
      <c r="D660" t="s">
        <v>366</v>
      </c>
      <c r="E660" t="s">
        <v>383</v>
      </c>
      <c r="F660" s="20">
        <v>2041</v>
      </c>
      <c r="G660" s="20">
        <v>48</v>
      </c>
      <c r="H660" s="11">
        <v>5553.3998909766196</v>
      </c>
      <c r="I660" s="10">
        <v>4071215.4258153299</v>
      </c>
      <c r="J660" s="34">
        <f t="shared" si="40"/>
        <v>1.3640643665679905E-3</v>
      </c>
      <c r="K660" s="34">
        <f t="shared" si="41"/>
        <v>1.3631344536383372E-3</v>
      </c>
      <c r="L660" s="34">
        <f t="shared" si="42"/>
        <v>0.99031705660630365</v>
      </c>
      <c r="M660" s="34">
        <f t="shared" si="43"/>
        <v>0.98896712130641784</v>
      </c>
    </row>
    <row r="661" spans="1:13" ht="69">
      <c r="A661" t="s">
        <v>164</v>
      </c>
      <c r="B661" t="s">
        <v>115</v>
      </c>
      <c r="C661" s="14" t="s">
        <v>291</v>
      </c>
      <c r="D661" t="s">
        <v>366</v>
      </c>
      <c r="E661" t="s">
        <v>383</v>
      </c>
      <c r="F661" s="20">
        <v>2041</v>
      </c>
      <c r="G661" s="20">
        <v>49</v>
      </c>
      <c r="H661" s="11">
        <v>5943.7538468680996</v>
      </c>
      <c r="I661" s="10">
        <v>4045717.4532298399</v>
      </c>
      <c r="J661" s="34">
        <f t="shared" si="40"/>
        <v>1.469147046371958E-3</v>
      </c>
      <c r="K661" s="34">
        <f t="shared" si="41"/>
        <v>1.4680683781553849E-3</v>
      </c>
      <c r="L661" s="34">
        <f t="shared" si="42"/>
        <v>0.98896712130641784</v>
      </c>
      <c r="M661" s="34">
        <f t="shared" si="43"/>
        <v>0.98751524994859252</v>
      </c>
    </row>
    <row r="662" spans="1:13" ht="69">
      <c r="A662" t="s">
        <v>164</v>
      </c>
      <c r="B662" t="s">
        <v>115</v>
      </c>
      <c r="C662" s="14" t="s">
        <v>291</v>
      </c>
      <c r="D662" t="s">
        <v>366</v>
      </c>
      <c r="E662" t="s">
        <v>383</v>
      </c>
      <c r="F662" s="20">
        <v>2041</v>
      </c>
      <c r="G662" s="20">
        <v>50</v>
      </c>
      <c r="H662" s="11">
        <v>6409.1243146849602</v>
      </c>
      <c r="I662" s="10">
        <v>4013708.0797137702</v>
      </c>
      <c r="J662" s="34">
        <f t="shared" si="40"/>
        <v>1.5968087831494746E-3</v>
      </c>
      <c r="K662" s="34">
        <f t="shared" si="41"/>
        <v>1.5955345623237527E-3</v>
      </c>
      <c r="L662" s="34">
        <f t="shared" si="42"/>
        <v>0.98751524994859252</v>
      </c>
      <c r="M662" s="34">
        <f t="shared" si="43"/>
        <v>0.98593963523647776</v>
      </c>
    </row>
    <row r="663" spans="1:13" ht="69">
      <c r="A663" t="s">
        <v>164</v>
      </c>
      <c r="B663" t="s">
        <v>115</v>
      </c>
      <c r="C663" s="14" t="s">
        <v>291</v>
      </c>
      <c r="D663" t="s">
        <v>366</v>
      </c>
      <c r="E663" t="s">
        <v>383</v>
      </c>
      <c r="F663" s="20">
        <v>2041</v>
      </c>
      <c r="G663" s="20">
        <v>51</v>
      </c>
      <c r="H663" s="11">
        <v>7204.5357440015796</v>
      </c>
      <c r="I663" s="10">
        <v>3984164.0610364401</v>
      </c>
      <c r="J663" s="34">
        <f t="shared" si="40"/>
        <v>1.8082929401575377E-3</v>
      </c>
      <c r="K663" s="34">
        <f t="shared" si="41"/>
        <v>1.8066589635300501E-3</v>
      </c>
      <c r="L663" s="34">
        <f t="shared" si="42"/>
        <v>0.98593963523647776</v>
      </c>
      <c r="M663" s="34">
        <f t="shared" si="43"/>
        <v>0.98415837855697819</v>
      </c>
    </row>
    <row r="664" spans="1:13" ht="69">
      <c r="A664" t="s">
        <v>164</v>
      </c>
      <c r="B664" t="s">
        <v>115</v>
      </c>
      <c r="C664" s="14" t="s">
        <v>291</v>
      </c>
      <c r="D664" t="s">
        <v>366</v>
      </c>
      <c r="E664" t="s">
        <v>383</v>
      </c>
      <c r="F664" s="20">
        <v>2041</v>
      </c>
      <c r="G664" s="20">
        <v>52</v>
      </c>
      <c r="H664" s="11">
        <v>7824.4978978127801</v>
      </c>
      <c r="I664" s="10">
        <v>3975777.4950137902</v>
      </c>
      <c r="J664" s="34">
        <f t="shared" si="40"/>
        <v>1.968042202468788E-3</v>
      </c>
      <c r="K664" s="34">
        <f t="shared" si="41"/>
        <v>1.9661068772222068E-3</v>
      </c>
      <c r="L664" s="34">
        <f t="shared" si="42"/>
        <v>0.98415837855697819</v>
      </c>
      <c r="M664" s="34">
        <f t="shared" si="43"/>
        <v>0.98222341800062141</v>
      </c>
    </row>
    <row r="665" spans="1:13" ht="69">
      <c r="A665" t="s">
        <v>164</v>
      </c>
      <c r="B665" t="s">
        <v>115</v>
      </c>
      <c r="C665" s="14" t="s">
        <v>291</v>
      </c>
      <c r="D665" t="s">
        <v>366</v>
      </c>
      <c r="E665" t="s">
        <v>383</v>
      </c>
      <c r="F665" s="20">
        <v>2041</v>
      </c>
      <c r="G665" s="20">
        <v>53</v>
      </c>
      <c r="H665" s="11">
        <v>8470.8735473264405</v>
      </c>
      <c r="I665" s="10">
        <v>3921349.4873268101</v>
      </c>
      <c r="J665" s="34">
        <f t="shared" si="40"/>
        <v>2.1601934677597553E-3</v>
      </c>
      <c r="K665" s="34">
        <f t="shared" si="41"/>
        <v>2.1578619290111289E-3</v>
      </c>
      <c r="L665" s="34">
        <f t="shared" si="42"/>
        <v>0.98222341800062141</v>
      </c>
      <c r="M665" s="34">
        <f t="shared" si="43"/>
        <v>0.98010391548113474</v>
      </c>
    </row>
    <row r="666" spans="1:13" ht="69">
      <c r="A666" t="s">
        <v>164</v>
      </c>
      <c r="B666" t="s">
        <v>115</v>
      </c>
      <c r="C666" s="14" t="s">
        <v>291</v>
      </c>
      <c r="D666" t="s">
        <v>366</v>
      </c>
      <c r="E666" t="s">
        <v>383</v>
      </c>
      <c r="F666" s="20">
        <v>2041</v>
      </c>
      <c r="G666" s="20">
        <v>54</v>
      </c>
      <c r="H666" s="11">
        <v>9195.4931429710996</v>
      </c>
      <c r="I666" s="10">
        <v>3857663.6393197901</v>
      </c>
      <c r="J666" s="34">
        <f t="shared" si="40"/>
        <v>2.383694900002353E-3</v>
      </c>
      <c r="K666" s="34">
        <f t="shared" si="41"/>
        <v>2.3808561553292362E-3</v>
      </c>
      <c r="L666" s="34">
        <f t="shared" si="42"/>
        <v>0.98010391548113474</v>
      </c>
      <c r="M666" s="34">
        <f t="shared" si="43"/>
        <v>0.97777042904109923</v>
      </c>
    </row>
    <row r="667" spans="1:13" ht="69">
      <c r="A667" t="s">
        <v>164</v>
      </c>
      <c r="B667" t="s">
        <v>115</v>
      </c>
      <c r="C667" s="14" t="s">
        <v>291</v>
      </c>
      <c r="D667" t="s">
        <v>366</v>
      </c>
      <c r="E667" t="s">
        <v>383</v>
      </c>
      <c r="F667" s="20">
        <v>2041</v>
      </c>
      <c r="G667" s="20">
        <v>55</v>
      </c>
      <c r="H667" s="11">
        <v>10133.003730992699</v>
      </c>
      <c r="I667" s="10">
        <v>3851572.6663639699</v>
      </c>
      <c r="J667" s="34">
        <f t="shared" si="40"/>
        <v>2.6308743489341039E-3</v>
      </c>
      <c r="K667" s="34">
        <f t="shared" si="41"/>
        <v>2.6274166319517622E-3</v>
      </c>
      <c r="L667" s="34">
        <f t="shared" si="42"/>
        <v>0.97777042904109923</v>
      </c>
      <c r="M667" s="34">
        <f t="shared" si="43"/>
        <v>0.975201418753606</v>
      </c>
    </row>
    <row r="668" spans="1:13" ht="69">
      <c r="A668" t="s">
        <v>164</v>
      </c>
      <c r="B668" t="s">
        <v>115</v>
      </c>
      <c r="C668" s="14" t="s">
        <v>291</v>
      </c>
      <c r="D668" t="s">
        <v>366</v>
      </c>
      <c r="E668" t="s">
        <v>383</v>
      </c>
      <c r="F668" s="20">
        <v>2041</v>
      </c>
      <c r="G668" s="20">
        <v>56</v>
      </c>
      <c r="H668" s="11">
        <v>11231.084956775299</v>
      </c>
      <c r="I668" s="10">
        <v>3897435.7135024201</v>
      </c>
      <c r="J668" s="34">
        <f t="shared" si="40"/>
        <v>2.8816600920102196E-3</v>
      </c>
      <c r="K668" s="34">
        <f t="shared" si="41"/>
        <v>2.8775120948965061E-3</v>
      </c>
      <c r="L668" s="34">
        <f t="shared" si="42"/>
        <v>0.975201418753606</v>
      </c>
      <c r="M668" s="34">
        <f t="shared" si="43"/>
        <v>0.97239526487618222</v>
      </c>
    </row>
    <row r="669" spans="1:13" ht="69">
      <c r="A669" t="s">
        <v>164</v>
      </c>
      <c r="B669" t="s">
        <v>115</v>
      </c>
      <c r="C669" s="14" t="s">
        <v>291</v>
      </c>
      <c r="D669" t="s">
        <v>366</v>
      </c>
      <c r="E669" t="s">
        <v>383</v>
      </c>
      <c r="F669" s="20">
        <v>2041</v>
      </c>
      <c r="G669" s="20">
        <v>57</v>
      </c>
      <c r="H669" s="11">
        <v>12432.781753450299</v>
      </c>
      <c r="I669" s="10">
        <v>3901458.6581757902</v>
      </c>
      <c r="J669" s="34">
        <f t="shared" si="40"/>
        <v>3.1867008836288708E-3</v>
      </c>
      <c r="K669" s="34">
        <f t="shared" si="41"/>
        <v>3.1816287415983302E-3</v>
      </c>
      <c r="L669" s="34">
        <f t="shared" si="42"/>
        <v>0.97239526487618222</v>
      </c>
      <c r="M669" s="34">
        <f t="shared" si="43"/>
        <v>0.96930146415325802</v>
      </c>
    </row>
    <row r="670" spans="1:13" ht="69">
      <c r="A670" t="s">
        <v>164</v>
      </c>
      <c r="B670" t="s">
        <v>115</v>
      </c>
      <c r="C670" s="14" t="s">
        <v>291</v>
      </c>
      <c r="D670" t="s">
        <v>366</v>
      </c>
      <c r="E670" t="s">
        <v>383</v>
      </c>
      <c r="F670" s="20">
        <v>2041</v>
      </c>
      <c r="G670" s="20">
        <v>58</v>
      </c>
      <c r="H670" s="11">
        <v>13438.5286068101</v>
      </c>
      <c r="I670" s="10">
        <v>3849459.5891936901</v>
      </c>
      <c r="J670" s="34">
        <f t="shared" si="40"/>
        <v>3.4910169324897217E-3</v>
      </c>
      <c r="K670" s="34">
        <f t="shared" si="41"/>
        <v>3.4849304176470808E-3</v>
      </c>
      <c r="L670" s="34">
        <f t="shared" si="42"/>
        <v>0.96930146415325802</v>
      </c>
      <c r="M670" s="34">
        <f t="shared" si="43"/>
        <v>0.96592351599696047</v>
      </c>
    </row>
    <row r="671" spans="1:13" ht="69">
      <c r="A671" t="s">
        <v>164</v>
      </c>
      <c r="B671" t="s">
        <v>115</v>
      </c>
      <c r="C671" s="14" t="s">
        <v>291</v>
      </c>
      <c r="D671" t="s">
        <v>366</v>
      </c>
      <c r="E671" t="s">
        <v>383</v>
      </c>
      <c r="F671" s="20">
        <v>2041</v>
      </c>
      <c r="G671" s="20">
        <v>59</v>
      </c>
      <c r="H671" s="11">
        <v>13806.837628929899</v>
      </c>
      <c r="I671" s="10">
        <v>3773019.16507588</v>
      </c>
      <c r="J671" s="34">
        <f t="shared" si="40"/>
        <v>3.6593605875978176E-3</v>
      </c>
      <c r="K671" s="34">
        <f t="shared" si="41"/>
        <v>3.6526732872108614E-3</v>
      </c>
      <c r="L671" s="34">
        <f t="shared" si="42"/>
        <v>0.96592351599696047</v>
      </c>
      <c r="M671" s="34">
        <f t="shared" si="43"/>
        <v>0.96239531297258962</v>
      </c>
    </row>
    <row r="672" spans="1:13" ht="69">
      <c r="A672" t="s">
        <v>164</v>
      </c>
      <c r="B672" t="s">
        <v>115</v>
      </c>
      <c r="C672" s="14" t="s">
        <v>291</v>
      </c>
      <c r="D672" t="s">
        <v>366</v>
      </c>
      <c r="E672" t="s">
        <v>383</v>
      </c>
      <c r="F672" s="20">
        <v>2041</v>
      </c>
      <c r="G672" s="20">
        <v>60</v>
      </c>
      <c r="H672" s="11">
        <v>14307.348607903001</v>
      </c>
      <c r="I672" s="10">
        <v>3689784.0366588701</v>
      </c>
      <c r="J672" s="34">
        <f t="shared" si="40"/>
        <v>3.8775571864792455E-3</v>
      </c>
      <c r="K672" s="34">
        <f t="shared" si="41"/>
        <v>3.8700491690026873E-3</v>
      </c>
      <c r="L672" s="34">
        <f t="shared" si="42"/>
        <v>0.96239531297258962</v>
      </c>
      <c r="M672" s="34">
        <f t="shared" si="43"/>
        <v>0.95867079579136794</v>
      </c>
    </row>
    <row r="673" spans="1:13" ht="69">
      <c r="A673" t="s">
        <v>164</v>
      </c>
      <c r="B673" t="s">
        <v>115</v>
      </c>
      <c r="C673" s="14" t="s">
        <v>291</v>
      </c>
      <c r="D673" t="s">
        <v>366</v>
      </c>
      <c r="E673" t="s">
        <v>383</v>
      </c>
      <c r="F673" s="20">
        <v>2041</v>
      </c>
      <c r="G673" s="20">
        <v>61</v>
      </c>
      <c r="H673" s="11">
        <v>14936.6068972298</v>
      </c>
      <c r="I673" s="10">
        <v>3610570.6134100002</v>
      </c>
      <c r="J673" s="34">
        <f t="shared" si="40"/>
        <v>4.1369103381481672E-3</v>
      </c>
      <c r="K673" s="34">
        <f t="shared" si="41"/>
        <v>4.1283651122475673E-3</v>
      </c>
      <c r="L673" s="34">
        <f t="shared" si="42"/>
        <v>0.95867079579136794</v>
      </c>
      <c r="M673" s="34">
        <f t="shared" si="43"/>
        <v>0.95471305272389229</v>
      </c>
    </row>
    <row r="674" spans="1:13" ht="69">
      <c r="A674" t="s">
        <v>164</v>
      </c>
      <c r="B674" t="s">
        <v>115</v>
      </c>
      <c r="C674" s="14" t="s">
        <v>291</v>
      </c>
      <c r="D674" t="s">
        <v>366</v>
      </c>
      <c r="E674" t="s">
        <v>383</v>
      </c>
      <c r="F674" s="20">
        <v>2041</v>
      </c>
      <c r="G674" s="20">
        <v>62</v>
      </c>
      <c r="H674" s="11">
        <v>15694.534542040299</v>
      </c>
      <c r="I674" s="10">
        <v>3517492.7057900401</v>
      </c>
      <c r="J674" s="34">
        <f t="shared" si="40"/>
        <v>4.4618527612597441E-3</v>
      </c>
      <c r="K674" s="34">
        <f t="shared" si="41"/>
        <v>4.4519134842532226E-3</v>
      </c>
      <c r="L674" s="34">
        <f t="shared" si="42"/>
        <v>0.95471305272389229</v>
      </c>
      <c r="M674" s="34">
        <f t="shared" si="43"/>
        <v>0.95046275281087822</v>
      </c>
    </row>
    <row r="675" spans="1:13" ht="69">
      <c r="A675" t="s">
        <v>164</v>
      </c>
      <c r="B675" t="s">
        <v>115</v>
      </c>
      <c r="C675" s="14" t="s">
        <v>291</v>
      </c>
      <c r="D675" t="s">
        <v>366</v>
      </c>
      <c r="E675" t="s">
        <v>383</v>
      </c>
      <c r="F675" s="20">
        <v>2041</v>
      </c>
      <c r="G675" s="20">
        <v>63</v>
      </c>
      <c r="H675" s="11">
        <v>16387.479188211699</v>
      </c>
      <c r="I675" s="10">
        <v>3401293.2303621098</v>
      </c>
      <c r="J675" s="34">
        <f t="shared" si="40"/>
        <v>4.8180142311537921E-3</v>
      </c>
      <c r="K675" s="34">
        <f t="shared" si="41"/>
        <v>4.8064262184610573E-3</v>
      </c>
      <c r="L675" s="34">
        <f t="shared" si="42"/>
        <v>0.95046275281087822</v>
      </c>
      <c r="M675" s="34">
        <f t="shared" si="43"/>
        <v>0.94589442371609733</v>
      </c>
    </row>
    <row r="676" spans="1:13" ht="69">
      <c r="A676" t="s">
        <v>164</v>
      </c>
      <c r="B676" t="s">
        <v>115</v>
      </c>
      <c r="C676" s="14" t="s">
        <v>291</v>
      </c>
      <c r="D676" t="s">
        <v>366</v>
      </c>
      <c r="E676" t="s">
        <v>383</v>
      </c>
      <c r="F676" s="20">
        <v>2041</v>
      </c>
      <c r="G676" s="20">
        <v>64</v>
      </c>
      <c r="H676" s="11">
        <v>17379.043023953702</v>
      </c>
      <c r="I676" s="10">
        <v>3288106.694958</v>
      </c>
      <c r="J676" s="34">
        <f t="shared" si="40"/>
        <v>5.2854255157239322E-3</v>
      </c>
      <c r="K676" s="34">
        <f t="shared" si="41"/>
        <v>5.2714822304973374E-3</v>
      </c>
      <c r="L676" s="34">
        <f t="shared" si="42"/>
        <v>0.94589442371609733</v>
      </c>
      <c r="M676" s="34">
        <f t="shared" si="43"/>
        <v>0.94090815806955141</v>
      </c>
    </row>
    <row r="677" spans="1:13" ht="69">
      <c r="A677" t="s">
        <v>164</v>
      </c>
      <c r="B677" t="s">
        <v>115</v>
      </c>
      <c r="C677" s="14" t="s">
        <v>291</v>
      </c>
      <c r="D677" t="s">
        <v>366</v>
      </c>
      <c r="E677" t="s">
        <v>383</v>
      </c>
      <c r="F677" s="20">
        <v>2041</v>
      </c>
      <c r="G677" s="20">
        <v>65</v>
      </c>
      <c r="H677" s="11">
        <v>18425.310290210899</v>
      </c>
      <c r="I677" s="10">
        <v>3186399.5402755202</v>
      </c>
      <c r="J677" s="34">
        <f t="shared" si="40"/>
        <v>5.7824858613360541E-3</v>
      </c>
      <c r="K677" s="34">
        <f t="shared" si="41"/>
        <v>5.7657994684040537E-3</v>
      </c>
      <c r="L677" s="34">
        <f t="shared" si="42"/>
        <v>0.94090815806955141</v>
      </c>
      <c r="M677" s="34">
        <f t="shared" si="43"/>
        <v>0.935483070311937</v>
      </c>
    </row>
    <row r="678" spans="1:13" ht="69">
      <c r="A678" t="s">
        <v>164</v>
      </c>
      <c r="B678" t="s">
        <v>115</v>
      </c>
      <c r="C678" s="14" t="s">
        <v>291</v>
      </c>
      <c r="D678" t="s">
        <v>366</v>
      </c>
      <c r="E678" t="s">
        <v>383</v>
      </c>
      <c r="F678" s="20">
        <v>2041</v>
      </c>
      <c r="G678" s="20">
        <v>66</v>
      </c>
      <c r="H678" s="11">
        <v>18784.927836436</v>
      </c>
      <c r="I678" s="10">
        <v>3072273.7197468099</v>
      </c>
      <c r="J678" s="34">
        <f t="shared" si="40"/>
        <v>6.1143405666289688E-3</v>
      </c>
      <c r="K678" s="34">
        <f t="shared" si="41"/>
        <v>6.0956860257829204E-3</v>
      </c>
      <c r="L678" s="34">
        <f t="shared" si="42"/>
        <v>0.935483070311937</v>
      </c>
      <c r="M678" s="34">
        <f t="shared" si="43"/>
        <v>0.92978065923288</v>
      </c>
    </row>
    <row r="679" spans="1:13" ht="69">
      <c r="A679" t="s">
        <v>164</v>
      </c>
      <c r="B679" t="s">
        <v>115</v>
      </c>
      <c r="C679" s="14" t="s">
        <v>291</v>
      </c>
      <c r="D679" t="s">
        <v>366</v>
      </c>
      <c r="E679" t="s">
        <v>383</v>
      </c>
      <c r="F679" s="20">
        <v>2041</v>
      </c>
      <c r="G679" s="20">
        <v>67</v>
      </c>
      <c r="H679" s="11">
        <v>19827.840325224599</v>
      </c>
      <c r="I679" s="10">
        <v>2969109.1956014698</v>
      </c>
      <c r="J679" s="34">
        <f t="shared" si="40"/>
        <v>6.6780434867798645E-3</v>
      </c>
      <c r="K679" s="34">
        <f t="shared" si="41"/>
        <v>6.6557949075829459E-3</v>
      </c>
      <c r="L679" s="34">
        <f t="shared" si="42"/>
        <v>0.92978065923288</v>
      </c>
      <c r="M679" s="34">
        <f t="shared" si="43"/>
        <v>0.92359222985598866</v>
      </c>
    </row>
    <row r="680" spans="1:13" ht="69">
      <c r="A680" t="s">
        <v>164</v>
      </c>
      <c r="B680" t="s">
        <v>115</v>
      </c>
      <c r="C680" s="14" t="s">
        <v>291</v>
      </c>
      <c r="D680" t="s">
        <v>366</v>
      </c>
      <c r="E680" t="s">
        <v>383</v>
      </c>
      <c r="F680" s="20">
        <v>2041</v>
      </c>
      <c r="G680" s="20">
        <v>68</v>
      </c>
      <c r="H680" s="11">
        <v>20762.341362998799</v>
      </c>
      <c r="I680" s="10">
        <v>2864563.6544652302</v>
      </c>
      <c r="J680" s="34">
        <f t="shared" si="40"/>
        <v>7.2479944129134064E-3</v>
      </c>
      <c r="K680" s="34">
        <f t="shared" si="41"/>
        <v>7.2217910469111191E-3</v>
      </c>
      <c r="L680" s="34">
        <f t="shared" si="42"/>
        <v>0.92359222985598866</v>
      </c>
      <c r="M680" s="34">
        <f t="shared" si="43"/>
        <v>0.916922239759418</v>
      </c>
    </row>
    <row r="681" spans="1:13" ht="69">
      <c r="A681" t="s">
        <v>164</v>
      </c>
      <c r="B681" t="s">
        <v>115</v>
      </c>
      <c r="C681" s="14" t="s">
        <v>291</v>
      </c>
      <c r="D681" t="s">
        <v>366</v>
      </c>
      <c r="E681" t="s">
        <v>383</v>
      </c>
      <c r="F681" s="20">
        <v>2041</v>
      </c>
      <c r="G681" s="20">
        <v>69</v>
      </c>
      <c r="H681" s="11">
        <v>20920.379089843202</v>
      </c>
      <c r="I681" s="10">
        <v>2741240.6792853302</v>
      </c>
      <c r="J681" s="34">
        <f t="shared" si="40"/>
        <v>7.6317191875677846E-3</v>
      </c>
      <c r="K681" s="34">
        <f t="shared" si="41"/>
        <v>7.6026715601053008E-3</v>
      </c>
      <c r="L681" s="34">
        <f t="shared" si="42"/>
        <v>0.916922239759418</v>
      </c>
      <c r="M681" s="34">
        <f t="shared" si="43"/>
        <v>0.90995118112437101</v>
      </c>
    </row>
    <row r="682" spans="1:13" ht="69">
      <c r="A682" t="s">
        <v>164</v>
      </c>
      <c r="B682" t="s">
        <v>115</v>
      </c>
      <c r="C682" s="14" t="s">
        <v>291</v>
      </c>
      <c r="D682" t="s">
        <v>366</v>
      </c>
      <c r="E682" t="s">
        <v>383</v>
      </c>
      <c r="F682" s="20">
        <v>2042</v>
      </c>
      <c r="G682" s="20">
        <v>30</v>
      </c>
      <c r="H682" s="11">
        <v>760.594100491375</v>
      </c>
      <c r="I682" s="10">
        <v>4881124.6743085096</v>
      </c>
      <c r="J682" s="34">
        <f t="shared" si="40"/>
        <v>1.5582353478793808E-4</v>
      </c>
      <c r="K682" s="34">
        <f t="shared" si="41"/>
        <v>1.5581139493148211E-4</v>
      </c>
      <c r="L682" s="34">
        <f t="shared" si="42"/>
        <v>1</v>
      </c>
      <c r="M682" s="34">
        <f t="shared" si="43"/>
        <v>0.99984418860506852</v>
      </c>
    </row>
    <row r="683" spans="1:13" ht="69">
      <c r="A683" t="s">
        <v>164</v>
      </c>
      <c r="B683" t="s">
        <v>115</v>
      </c>
      <c r="C683" s="14" t="s">
        <v>291</v>
      </c>
      <c r="D683" t="s">
        <v>366</v>
      </c>
      <c r="E683" t="s">
        <v>383</v>
      </c>
      <c r="F683" s="20">
        <v>2042</v>
      </c>
      <c r="G683" s="20">
        <v>31</v>
      </c>
      <c r="H683" s="11">
        <v>1068.1008110114301</v>
      </c>
      <c r="I683" s="10">
        <v>4801540.2525634104</v>
      </c>
      <c r="J683" s="34">
        <f t="shared" si="40"/>
        <v>2.2244962133582041E-4</v>
      </c>
      <c r="K683" s="34">
        <f t="shared" si="41"/>
        <v>2.2242488125334692E-4</v>
      </c>
      <c r="L683" s="34">
        <f t="shared" si="42"/>
        <v>0.99984418860506852</v>
      </c>
      <c r="M683" s="34">
        <f t="shared" si="43"/>
        <v>0.9996217983801462</v>
      </c>
    </row>
    <row r="684" spans="1:13" ht="69">
      <c r="A684" t="s">
        <v>164</v>
      </c>
      <c r="B684" t="s">
        <v>115</v>
      </c>
      <c r="C684" s="14" t="s">
        <v>291</v>
      </c>
      <c r="D684" t="s">
        <v>366</v>
      </c>
      <c r="E684" t="s">
        <v>383</v>
      </c>
      <c r="F684" s="20">
        <v>2042</v>
      </c>
      <c r="G684" s="20">
        <v>32</v>
      </c>
      <c r="H684" s="11">
        <v>1076.6949892607499</v>
      </c>
      <c r="I684" s="10">
        <v>4700636.3016240196</v>
      </c>
      <c r="J684" s="34">
        <f t="shared" si="40"/>
        <v>2.2905303030756991E-4</v>
      </c>
      <c r="K684" s="34">
        <f t="shared" si="41"/>
        <v>2.2902679966496642E-4</v>
      </c>
      <c r="L684" s="34">
        <f t="shared" si="42"/>
        <v>0.9996217983801462</v>
      </c>
      <c r="M684" s="34">
        <f t="shared" si="43"/>
        <v>0.99939285819878787</v>
      </c>
    </row>
    <row r="685" spans="1:13" ht="69">
      <c r="A685" t="s">
        <v>164</v>
      </c>
      <c r="B685" t="s">
        <v>115</v>
      </c>
      <c r="C685" s="14" t="s">
        <v>291</v>
      </c>
      <c r="D685" t="s">
        <v>366</v>
      </c>
      <c r="E685" t="s">
        <v>383</v>
      </c>
      <c r="F685" s="20">
        <v>2042</v>
      </c>
      <c r="G685" s="20">
        <v>33</v>
      </c>
      <c r="H685" s="11">
        <v>1110.56405077509</v>
      </c>
      <c r="I685" s="10">
        <v>4644144.9420848498</v>
      </c>
      <c r="J685" s="34">
        <f t="shared" si="40"/>
        <v>2.3913208235842344E-4</v>
      </c>
      <c r="K685" s="34">
        <f t="shared" si="41"/>
        <v>2.3910349256095476E-4</v>
      </c>
      <c r="L685" s="34">
        <f t="shared" si="42"/>
        <v>0.99939285819878787</v>
      </c>
      <c r="M685" s="34">
        <f t="shared" si="43"/>
        <v>0.99915389987595205</v>
      </c>
    </row>
    <row r="686" spans="1:13" ht="69">
      <c r="A686" t="s">
        <v>164</v>
      </c>
      <c r="B686" t="s">
        <v>115</v>
      </c>
      <c r="C686" s="14" t="s">
        <v>291</v>
      </c>
      <c r="D686" t="s">
        <v>366</v>
      </c>
      <c r="E686" t="s">
        <v>383</v>
      </c>
      <c r="F686" s="20">
        <v>2042</v>
      </c>
      <c r="G686" s="20">
        <v>34</v>
      </c>
      <c r="H686" s="11">
        <v>1162.3887203008701</v>
      </c>
      <c r="I686" s="10">
        <v>4636322.5855978401</v>
      </c>
      <c r="J686" s="34">
        <f t="shared" si="40"/>
        <v>2.5071351245309939E-4</v>
      </c>
      <c r="K686" s="34">
        <f t="shared" si="41"/>
        <v>2.5068208644685175E-4</v>
      </c>
      <c r="L686" s="34">
        <f t="shared" si="42"/>
        <v>0.99915389987595205</v>
      </c>
      <c r="M686" s="34">
        <f t="shared" si="43"/>
        <v>0.9989034298916496</v>
      </c>
    </row>
    <row r="687" spans="1:13" ht="69">
      <c r="A687" t="s">
        <v>164</v>
      </c>
      <c r="B687" t="s">
        <v>115</v>
      </c>
      <c r="C687" s="14" t="s">
        <v>291</v>
      </c>
      <c r="D687" t="s">
        <v>366</v>
      </c>
      <c r="E687" t="s">
        <v>383</v>
      </c>
      <c r="F687" s="20">
        <v>2042</v>
      </c>
      <c r="G687" s="20">
        <v>35</v>
      </c>
      <c r="H687" s="11">
        <v>1231.9792808612201</v>
      </c>
      <c r="I687" s="10">
        <v>4608440.8128206097</v>
      </c>
      <c r="J687" s="34">
        <f t="shared" si="40"/>
        <v>2.6733104121330435E-4</v>
      </c>
      <c r="K687" s="34">
        <f t="shared" si="41"/>
        <v>2.6729531145441854E-4</v>
      </c>
      <c r="L687" s="34">
        <f t="shared" si="42"/>
        <v>0.9989034298916496</v>
      </c>
      <c r="M687" s="34">
        <f t="shared" si="43"/>
        <v>0.99863642768824379</v>
      </c>
    </row>
    <row r="688" spans="1:13" ht="69">
      <c r="A688" t="s">
        <v>164</v>
      </c>
      <c r="B688" t="s">
        <v>115</v>
      </c>
      <c r="C688" s="14" t="s">
        <v>291</v>
      </c>
      <c r="D688" t="s">
        <v>366</v>
      </c>
      <c r="E688" t="s">
        <v>383</v>
      </c>
      <c r="F688" s="20">
        <v>2042</v>
      </c>
      <c r="G688" s="20">
        <v>36</v>
      </c>
      <c r="H688" s="11">
        <v>1541.63401780347</v>
      </c>
      <c r="I688" s="10">
        <v>4536888.6078070803</v>
      </c>
      <c r="J688" s="34">
        <f t="shared" si="40"/>
        <v>3.3979983884784503E-4</v>
      </c>
      <c r="K688" s="34">
        <f t="shared" si="41"/>
        <v>3.3974211342113758E-4</v>
      </c>
      <c r="L688" s="34">
        <f t="shared" si="42"/>
        <v>0.99863642768824379</v>
      </c>
      <c r="M688" s="34">
        <f t="shared" si="43"/>
        <v>0.99829714883776166</v>
      </c>
    </row>
    <row r="689" spans="1:13" ht="69">
      <c r="A689" t="s">
        <v>164</v>
      </c>
      <c r="B689" t="s">
        <v>115</v>
      </c>
      <c r="C689" s="14" t="s">
        <v>291</v>
      </c>
      <c r="D689" t="s">
        <v>366</v>
      </c>
      <c r="E689" t="s">
        <v>383</v>
      </c>
      <c r="F689" s="20">
        <v>2042</v>
      </c>
      <c r="G689" s="20">
        <v>37</v>
      </c>
      <c r="H689" s="11">
        <v>1633.8729399050101</v>
      </c>
      <c r="I689" s="10">
        <v>4442699.3217774797</v>
      </c>
      <c r="J689" s="34">
        <f t="shared" si="40"/>
        <v>3.6776581568237075E-4</v>
      </c>
      <c r="K689" s="34">
        <f t="shared" si="41"/>
        <v>3.6769819812421112E-4</v>
      </c>
      <c r="L689" s="34">
        <f t="shared" si="42"/>
        <v>0.99829714883776166</v>
      </c>
      <c r="M689" s="34">
        <f t="shared" si="43"/>
        <v>0.9979300767749415</v>
      </c>
    </row>
    <row r="690" spans="1:13" ht="69">
      <c r="A690" t="s">
        <v>164</v>
      </c>
      <c r="B690" t="s">
        <v>115</v>
      </c>
      <c r="C690" s="14" t="s">
        <v>291</v>
      </c>
      <c r="D690" t="s">
        <v>366</v>
      </c>
      <c r="E690" t="s">
        <v>383</v>
      </c>
      <c r="F690" s="20">
        <v>2042</v>
      </c>
      <c r="G690" s="20">
        <v>38</v>
      </c>
      <c r="H690" s="11">
        <v>1756.8435231333599</v>
      </c>
      <c r="I690" s="10">
        <v>4344819.0972973099</v>
      </c>
      <c r="J690" s="34">
        <f t="shared" si="40"/>
        <v>4.0435366439679906E-4</v>
      </c>
      <c r="K690" s="34">
        <f t="shared" si="41"/>
        <v>4.0427192447145543E-4</v>
      </c>
      <c r="L690" s="34">
        <f t="shared" si="42"/>
        <v>0.9979300767749415</v>
      </c>
      <c r="M690" s="34">
        <f t="shared" si="43"/>
        <v>0.99752664166231575</v>
      </c>
    </row>
    <row r="691" spans="1:13" ht="69">
      <c r="A691" t="s">
        <v>164</v>
      </c>
      <c r="B691" t="s">
        <v>115</v>
      </c>
      <c r="C691" s="14" t="s">
        <v>291</v>
      </c>
      <c r="D691" t="s">
        <v>366</v>
      </c>
      <c r="E691" t="s">
        <v>383</v>
      </c>
      <c r="F691" s="20">
        <v>2042</v>
      </c>
      <c r="G691" s="20">
        <v>39</v>
      </c>
      <c r="H691" s="11">
        <v>1876.0776908345399</v>
      </c>
      <c r="I691" s="10">
        <v>4300513.9739973703</v>
      </c>
      <c r="J691" s="34">
        <f t="shared" si="40"/>
        <v>4.3624499354683114E-4</v>
      </c>
      <c r="K691" s="34">
        <f t="shared" si="41"/>
        <v>4.3614985253503935E-4</v>
      </c>
      <c r="L691" s="34">
        <f t="shared" si="42"/>
        <v>0.99752664166231575</v>
      </c>
      <c r="M691" s="34">
        <f t="shared" si="43"/>
        <v>0.99709157056465492</v>
      </c>
    </row>
    <row r="692" spans="1:13" ht="69">
      <c r="A692" t="s">
        <v>164</v>
      </c>
      <c r="B692" t="s">
        <v>115</v>
      </c>
      <c r="C692" s="14" t="s">
        <v>291</v>
      </c>
      <c r="D692" t="s">
        <v>366</v>
      </c>
      <c r="E692" t="s">
        <v>383</v>
      </c>
      <c r="F692" s="20">
        <v>2042</v>
      </c>
      <c r="G692" s="20">
        <v>40</v>
      </c>
      <c r="H692" s="11">
        <v>2058.20916128727</v>
      </c>
      <c r="I692" s="10">
        <v>4278578.3015155802</v>
      </c>
      <c r="J692" s="34">
        <f t="shared" si="40"/>
        <v>4.8104978248456981E-4</v>
      </c>
      <c r="K692" s="34">
        <f t="shared" si="41"/>
        <v>4.8093409658889197E-4</v>
      </c>
      <c r="L692" s="34">
        <f t="shared" si="42"/>
        <v>0.99709157056465492</v>
      </c>
      <c r="M692" s="34">
        <f t="shared" si="43"/>
        <v>0.99661203523094899</v>
      </c>
    </row>
    <row r="693" spans="1:13" ht="69">
      <c r="A693" t="s">
        <v>164</v>
      </c>
      <c r="B693" t="s">
        <v>115</v>
      </c>
      <c r="C693" s="14" t="s">
        <v>291</v>
      </c>
      <c r="D693" t="s">
        <v>366</v>
      </c>
      <c r="E693" t="s">
        <v>383</v>
      </c>
      <c r="F693" s="20">
        <v>2042</v>
      </c>
      <c r="G693" s="20">
        <v>41</v>
      </c>
      <c r="H693" s="11">
        <v>2685.3591685947599</v>
      </c>
      <c r="I693" s="10">
        <v>4256366.70404418</v>
      </c>
      <c r="J693" s="34">
        <f t="shared" si="40"/>
        <v>6.3090409152089042E-4</v>
      </c>
      <c r="K693" s="34">
        <f t="shared" si="41"/>
        <v>6.3070511338214619E-4</v>
      </c>
      <c r="L693" s="34">
        <f t="shared" si="42"/>
        <v>0.99661203523094899</v>
      </c>
      <c r="M693" s="34">
        <f t="shared" si="43"/>
        <v>0.99598346692427064</v>
      </c>
    </row>
    <row r="694" spans="1:13" ht="69">
      <c r="A694" t="s">
        <v>164</v>
      </c>
      <c r="B694" t="s">
        <v>115</v>
      </c>
      <c r="C694" s="14" t="s">
        <v>291</v>
      </c>
      <c r="D694" t="s">
        <v>366</v>
      </c>
      <c r="E694" t="s">
        <v>383</v>
      </c>
      <c r="F694" s="20">
        <v>2042</v>
      </c>
      <c r="G694" s="20">
        <v>42</v>
      </c>
      <c r="H694" s="11">
        <v>2987.5147249319498</v>
      </c>
      <c r="I694" s="10">
        <v>4253434.5059352098</v>
      </c>
      <c r="J694" s="34">
        <f t="shared" si="40"/>
        <v>7.0237703690116649E-4</v>
      </c>
      <c r="K694" s="34">
        <f t="shared" si="41"/>
        <v>7.0213042789102342E-4</v>
      </c>
      <c r="L694" s="34">
        <f t="shared" si="42"/>
        <v>0.99598346692427064</v>
      </c>
      <c r="M694" s="34">
        <f t="shared" si="43"/>
        <v>0.99528415662646674</v>
      </c>
    </row>
    <row r="695" spans="1:13" ht="69">
      <c r="A695" t="s">
        <v>164</v>
      </c>
      <c r="B695" t="s">
        <v>115</v>
      </c>
      <c r="C695" s="14" t="s">
        <v>291</v>
      </c>
      <c r="D695" t="s">
        <v>366</v>
      </c>
      <c r="E695" t="s">
        <v>383</v>
      </c>
      <c r="F695" s="20">
        <v>2042</v>
      </c>
      <c r="G695" s="20">
        <v>43</v>
      </c>
      <c r="H695" s="11">
        <v>3381.33283623123</v>
      </c>
      <c r="I695" s="10">
        <v>4288077.6128972499</v>
      </c>
      <c r="J695" s="34">
        <f t="shared" si="40"/>
        <v>7.8854282535866329E-4</v>
      </c>
      <c r="K695" s="34">
        <f t="shared" si="41"/>
        <v>7.8823200716815478E-4</v>
      </c>
      <c r="L695" s="34">
        <f t="shared" si="42"/>
        <v>0.99528415662646674</v>
      </c>
      <c r="M695" s="34">
        <f t="shared" si="43"/>
        <v>0.99449964179798644</v>
      </c>
    </row>
    <row r="696" spans="1:13" ht="69">
      <c r="A696" t="s">
        <v>164</v>
      </c>
      <c r="B696" t="s">
        <v>115</v>
      </c>
      <c r="C696" s="14" t="s">
        <v>291</v>
      </c>
      <c r="D696" t="s">
        <v>366</v>
      </c>
      <c r="E696" t="s">
        <v>383</v>
      </c>
      <c r="F696" s="20">
        <v>2042</v>
      </c>
      <c r="G696" s="20">
        <v>44</v>
      </c>
      <c r="H696" s="11">
        <v>3586.2728481762701</v>
      </c>
      <c r="I696" s="10">
        <v>4324650.2285412801</v>
      </c>
      <c r="J696" s="34">
        <f t="shared" si="40"/>
        <v>8.2926309843696486E-4</v>
      </c>
      <c r="K696" s="34">
        <f t="shared" si="41"/>
        <v>8.289193548183249E-4</v>
      </c>
      <c r="L696" s="34">
        <f t="shared" si="42"/>
        <v>0.99449964179798644</v>
      </c>
      <c r="M696" s="34">
        <f t="shared" si="43"/>
        <v>0.99367528179654019</v>
      </c>
    </row>
    <row r="697" spans="1:13" ht="69">
      <c r="A697" t="s">
        <v>164</v>
      </c>
      <c r="B697" t="s">
        <v>115</v>
      </c>
      <c r="C697" s="14" t="s">
        <v>291</v>
      </c>
      <c r="D697" t="s">
        <v>366</v>
      </c>
      <c r="E697" t="s">
        <v>383</v>
      </c>
      <c r="F697" s="20">
        <v>2042</v>
      </c>
      <c r="G697" s="20">
        <v>45</v>
      </c>
      <c r="H697" s="11">
        <v>3864.17450140958</v>
      </c>
      <c r="I697" s="10">
        <v>4315254.0272473702</v>
      </c>
      <c r="J697" s="34">
        <f t="shared" si="40"/>
        <v>8.9546860439974462E-4</v>
      </c>
      <c r="K697" s="34">
        <f t="shared" si="41"/>
        <v>8.9506779203618603E-4</v>
      </c>
      <c r="L697" s="34">
        <f t="shared" si="42"/>
        <v>0.99367528179654019</v>
      </c>
      <c r="M697" s="34">
        <f t="shared" si="43"/>
        <v>0.99278587505606164</v>
      </c>
    </row>
    <row r="698" spans="1:13" ht="69">
      <c r="A698" t="s">
        <v>164</v>
      </c>
      <c r="B698" t="s">
        <v>115</v>
      </c>
      <c r="C698" s="14" t="s">
        <v>291</v>
      </c>
      <c r="D698" t="s">
        <v>366</v>
      </c>
      <c r="E698" t="s">
        <v>383</v>
      </c>
      <c r="F698" s="20">
        <v>2042</v>
      </c>
      <c r="G698" s="20">
        <v>46</v>
      </c>
      <c r="H698" s="11">
        <v>4712.3635497565901</v>
      </c>
      <c r="I698" s="10">
        <v>4247514.8673834</v>
      </c>
      <c r="J698" s="34">
        <f t="shared" si="40"/>
        <v>1.1094401542753284E-3</v>
      </c>
      <c r="K698" s="34">
        <f t="shared" si="41"/>
        <v>1.1088249530780692E-3</v>
      </c>
      <c r="L698" s="34">
        <f t="shared" si="42"/>
        <v>0.99278587505606164</v>
      </c>
      <c r="M698" s="34">
        <f t="shared" si="43"/>
        <v>0.991685049304736</v>
      </c>
    </row>
    <row r="699" spans="1:13" ht="69">
      <c r="A699" t="s">
        <v>164</v>
      </c>
      <c r="B699" t="s">
        <v>115</v>
      </c>
      <c r="C699" s="14" t="s">
        <v>291</v>
      </c>
      <c r="D699" t="s">
        <v>366</v>
      </c>
      <c r="E699" t="s">
        <v>383</v>
      </c>
      <c r="F699" s="20">
        <v>2042</v>
      </c>
      <c r="G699" s="20">
        <v>47</v>
      </c>
      <c r="H699" s="11">
        <v>5071.4606177313399</v>
      </c>
      <c r="I699" s="10">
        <v>4177558.7494951799</v>
      </c>
      <c r="J699" s="34">
        <f t="shared" si="40"/>
        <v>1.2139770908893095E-3</v>
      </c>
      <c r="K699" s="34">
        <f t="shared" si="41"/>
        <v>1.2132405187914586E-3</v>
      </c>
      <c r="L699" s="34">
        <f t="shared" si="42"/>
        <v>0.991685049304736</v>
      </c>
      <c r="M699" s="34">
        <f t="shared" si="43"/>
        <v>0.99048189682103982</v>
      </c>
    </row>
    <row r="700" spans="1:13" ht="69">
      <c r="A700" t="s">
        <v>164</v>
      </c>
      <c r="B700" t="s">
        <v>115</v>
      </c>
      <c r="C700" s="14" t="s">
        <v>291</v>
      </c>
      <c r="D700" t="s">
        <v>366</v>
      </c>
      <c r="E700" t="s">
        <v>383</v>
      </c>
      <c r="F700" s="20">
        <v>2042</v>
      </c>
      <c r="G700" s="20">
        <v>48</v>
      </c>
      <c r="H700" s="11">
        <v>5518.6066777982296</v>
      </c>
      <c r="I700" s="10">
        <v>4116087.2413487602</v>
      </c>
      <c r="J700" s="34">
        <f t="shared" si="40"/>
        <v>1.3407409401725635E-3</v>
      </c>
      <c r="K700" s="34">
        <f t="shared" si="41"/>
        <v>1.3398425485865451E-3</v>
      </c>
      <c r="L700" s="34">
        <f t="shared" si="42"/>
        <v>0.99048189682103982</v>
      </c>
      <c r="M700" s="34">
        <f t="shared" si="43"/>
        <v>0.98915480703207426</v>
      </c>
    </row>
    <row r="701" spans="1:13" ht="69">
      <c r="A701" t="s">
        <v>164</v>
      </c>
      <c r="B701" t="s">
        <v>115</v>
      </c>
      <c r="C701" s="14" t="s">
        <v>291</v>
      </c>
      <c r="D701" t="s">
        <v>366</v>
      </c>
      <c r="E701" t="s">
        <v>383</v>
      </c>
      <c r="F701" s="20">
        <v>2042</v>
      </c>
      <c r="G701" s="20">
        <v>49</v>
      </c>
      <c r="H701" s="11">
        <v>5864.1288067835403</v>
      </c>
      <c r="I701" s="10">
        <v>4056197.6029936802</v>
      </c>
      <c r="J701" s="34">
        <f t="shared" si="40"/>
        <v>1.4457206923192093E-3</v>
      </c>
      <c r="K701" s="34">
        <f t="shared" si="41"/>
        <v>1.4446761415959353E-3</v>
      </c>
      <c r="L701" s="34">
        <f t="shared" si="42"/>
        <v>0.98915480703207426</v>
      </c>
      <c r="M701" s="34">
        <f t="shared" si="43"/>
        <v>0.98772579868201005</v>
      </c>
    </row>
    <row r="702" spans="1:13" ht="69">
      <c r="A702" t="s">
        <v>164</v>
      </c>
      <c r="B702" t="s">
        <v>115</v>
      </c>
      <c r="C702" s="14" t="s">
        <v>291</v>
      </c>
      <c r="D702" t="s">
        <v>366</v>
      </c>
      <c r="E702" t="s">
        <v>383</v>
      </c>
      <c r="F702" s="20">
        <v>2042</v>
      </c>
      <c r="G702" s="20">
        <v>50</v>
      </c>
      <c r="H702" s="11">
        <v>6319.8706503236199</v>
      </c>
      <c r="I702" s="10">
        <v>4029481.0741957701</v>
      </c>
      <c r="J702" s="34">
        <f t="shared" si="40"/>
        <v>1.5684080738820644E-3</v>
      </c>
      <c r="K702" s="34">
        <f t="shared" si="41"/>
        <v>1.5671787647091318E-3</v>
      </c>
      <c r="L702" s="34">
        <f t="shared" si="42"/>
        <v>0.98772579868201005</v>
      </c>
      <c r="M702" s="34">
        <f t="shared" si="43"/>
        <v>0.9861778557849602</v>
      </c>
    </row>
    <row r="703" spans="1:13" ht="69">
      <c r="A703" t="s">
        <v>164</v>
      </c>
      <c r="B703" t="s">
        <v>115</v>
      </c>
      <c r="C703" s="14" t="s">
        <v>291</v>
      </c>
      <c r="D703" t="s">
        <v>366</v>
      </c>
      <c r="E703" t="s">
        <v>383</v>
      </c>
      <c r="F703" s="20">
        <v>2042</v>
      </c>
      <c r="G703" s="20">
        <v>51</v>
      </c>
      <c r="H703" s="11">
        <v>7097.6022580158597</v>
      </c>
      <c r="I703" s="10">
        <v>3996120.9489780199</v>
      </c>
      <c r="J703" s="34">
        <f t="shared" si="40"/>
        <v>1.7761229824214961E-3</v>
      </c>
      <c r="K703" s="34">
        <f t="shared" si="41"/>
        <v>1.7745466094126749E-3</v>
      </c>
      <c r="L703" s="34">
        <f t="shared" si="42"/>
        <v>0.9861778557849602</v>
      </c>
      <c r="M703" s="34">
        <f t="shared" si="43"/>
        <v>0.98442783721469918</v>
      </c>
    </row>
    <row r="704" spans="1:13" ht="69">
      <c r="A704" t="s">
        <v>164</v>
      </c>
      <c r="B704" t="s">
        <v>115</v>
      </c>
      <c r="C704" s="14" t="s">
        <v>291</v>
      </c>
      <c r="D704" t="s">
        <v>366</v>
      </c>
      <c r="E704" t="s">
        <v>383</v>
      </c>
      <c r="F704" s="20">
        <v>2042</v>
      </c>
      <c r="G704" s="20">
        <v>52</v>
      </c>
      <c r="H704" s="11">
        <v>7656.8588677647804</v>
      </c>
      <c r="I704" s="10">
        <v>3965308.5030976902</v>
      </c>
      <c r="J704" s="34">
        <f t="shared" si="40"/>
        <v>1.9309617049425686E-3</v>
      </c>
      <c r="K704" s="34">
        <f t="shared" si="41"/>
        <v>1.9290985977786779E-3</v>
      </c>
      <c r="L704" s="34">
        <f t="shared" si="42"/>
        <v>0.98442783721469918</v>
      </c>
      <c r="M704" s="34">
        <f t="shared" si="43"/>
        <v>0.982528778854314</v>
      </c>
    </row>
    <row r="705" spans="1:13" ht="69">
      <c r="A705" t="s">
        <v>164</v>
      </c>
      <c r="B705" t="s">
        <v>115</v>
      </c>
      <c r="C705" s="14" t="s">
        <v>291</v>
      </c>
      <c r="D705" t="s">
        <v>366</v>
      </c>
      <c r="E705" t="s">
        <v>383</v>
      </c>
      <c r="F705" s="20">
        <v>2042</v>
      </c>
      <c r="G705" s="20">
        <v>53</v>
      </c>
      <c r="H705" s="11">
        <v>8314.6231191726802</v>
      </c>
      <c r="I705" s="10">
        <v>3955231.3408302101</v>
      </c>
      <c r="J705" s="34">
        <f t="shared" si="40"/>
        <v>2.1021837669367338E-3</v>
      </c>
      <c r="K705" s="34">
        <f t="shared" si="41"/>
        <v>2.0999757261486174E-3</v>
      </c>
      <c r="L705" s="34">
        <f t="shared" si="42"/>
        <v>0.982528778854314</v>
      </c>
      <c r="M705" s="34">
        <f t="shared" si="43"/>
        <v>0.98046549226847746</v>
      </c>
    </row>
    <row r="706" spans="1:13" ht="69">
      <c r="A706" t="s">
        <v>164</v>
      </c>
      <c r="B706" t="s">
        <v>115</v>
      </c>
      <c r="C706" s="14" t="s">
        <v>291</v>
      </c>
      <c r="D706" t="s">
        <v>366</v>
      </c>
      <c r="E706" t="s">
        <v>383</v>
      </c>
      <c r="F706" s="20">
        <v>2042</v>
      </c>
      <c r="G706" s="20">
        <v>54</v>
      </c>
      <c r="H706" s="11">
        <v>9057.1332740780199</v>
      </c>
      <c r="I706" s="10">
        <v>3899162.9053781298</v>
      </c>
      <c r="J706" s="34">
        <f t="shared" ref="J706:J769" si="44">IF(I706&gt;0,H706/I706,0)</f>
        <v>2.3228404387991798E-3</v>
      </c>
      <c r="K706" s="34">
        <f t="shared" ref="K706:K769" si="45">1-EXP(-J706)</f>
        <v>2.3201447325829072E-3</v>
      </c>
      <c r="L706" s="34">
        <f t="shared" ref="L706:L769" si="46">IF(G706=30,1,M705)</f>
        <v>0.98046549226847746</v>
      </c>
      <c r="M706" s="34">
        <f t="shared" ref="M706:M769" si="47">L706*(1-K706)</f>
        <v>0.97819067042111141</v>
      </c>
    </row>
    <row r="707" spans="1:13" ht="69">
      <c r="A707" t="s">
        <v>164</v>
      </c>
      <c r="B707" t="s">
        <v>115</v>
      </c>
      <c r="C707" s="14" t="s">
        <v>291</v>
      </c>
      <c r="D707" t="s">
        <v>366</v>
      </c>
      <c r="E707" t="s">
        <v>383</v>
      </c>
      <c r="F707" s="20">
        <v>2042</v>
      </c>
      <c r="G707" s="20">
        <v>55</v>
      </c>
      <c r="H707" s="11">
        <v>9835.1464272702997</v>
      </c>
      <c r="I707" s="10">
        <v>3833744.4767540498</v>
      </c>
      <c r="J707" s="34">
        <f t="shared" si="44"/>
        <v>2.5654152192212637E-3</v>
      </c>
      <c r="K707" s="34">
        <f t="shared" si="45"/>
        <v>2.5621273537786982E-3</v>
      </c>
      <c r="L707" s="34">
        <f t="shared" si="46"/>
        <v>0.97819067042111141</v>
      </c>
      <c r="M707" s="34">
        <f t="shared" si="47"/>
        <v>0.97568442134721434</v>
      </c>
    </row>
    <row r="708" spans="1:13" ht="69">
      <c r="A708" t="s">
        <v>164</v>
      </c>
      <c r="B708" t="s">
        <v>115</v>
      </c>
      <c r="C708" s="14" t="s">
        <v>291</v>
      </c>
      <c r="D708" t="s">
        <v>366</v>
      </c>
      <c r="E708" t="s">
        <v>383</v>
      </c>
      <c r="F708" s="20">
        <v>2042</v>
      </c>
      <c r="G708" s="20">
        <v>56</v>
      </c>
      <c r="H708" s="11">
        <v>10742.4730380042</v>
      </c>
      <c r="I708" s="10">
        <v>3825402.2601054399</v>
      </c>
      <c r="J708" s="34">
        <f t="shared" si="44"/>
        <v>2.8081943564565426E-3</v>
      </c>
      <c r="K708" s="34">
        <f t="shared" si="45"/>
        <v>2.8042550669776789E-3</v>
      </c>
      <c r="L708" s="34">
        <f t="shared" si="46"/>
        <v>0.97568442134721434</v>
      </c>
      <c r="M708" s="34">
        <f t="shared" si="47"/>
        <v>0.97294835336488028</v>
      </c>
    </row>
    <row r="709" spans="1:13" ht="69">
      <c r="A709" t="s">
        <v>164</v>
      </c>
      <c r="B709" t="s">
        <v>115</v>
      </c>
      <c r="C709" s="14" t="s">
        <v>291</v>
      </c>
      <c r="D709" t="s">
        <v>366</v>
      </c>
      <c r="E709" t="s">
        <v>383</v>
      </c>
      <c r="F709" s="20">
        <v>2042</v>
      </c>
      <c r="G709" s="20">
        <v>57</v>
      </c>
      <c r="H709" s="11">
        <v>12004.7411010285</v>
      </c>
      <c r="I709" s="10">
        <v>3868450.5157083101</v>
      </c>
      <c r="J709" s="34">
        <f t="shared" si="44"/>
        <v>3.1032427718234471E-3</v>
      </c>
      <c r="K709" s="34">
        <f t="shared" si="45"/>
        <v>3.0984326908757298E-3</v>
      </c>
      <c r="L709" s="34">
        <f t="shared" si="46"/>
        <v>0.97294835336488028</v>
      </c>
      <c r="M709" s="34">
        <f t="shared" si="47"/>
        <v>0.96993373838028085</v>
      </c>
    </row>
    <row r="710" spans="1:13" ht="69">
      <c r="A710" t="s">
        <v>164</v>
      </c>
      <c r="B710" t="s">
        <v>115</v>
      </c>
      <c r="C710" s="14" t="s">
        <v>291</v>
      </c>
      <c r="D710" t="s">
        <v>366</v>
      </c>
      <c r="E710" t="s">
        <v>383</v>
      </c>
      <c r="F710" s="20">
        <v>2042</v>
      </c>
      <c r="G710" s="20">
        <v>58</v>
      </c>
      <c r="H710" s="11">
        <v>13266.831587464299</v>
      </c>
      <c r="I710" s="10">
        <v>3869624.4391552201</v>
      </c>
      <c r="J710" s="34">
        <f t="shared" si="44"/>
        <v>3.4284545686714212E-3</v>
      </c>
      <c r="K710" s="34">
        <f t="shared" si="45"/>
        <v>3.4225841290681513E-3</v>
      </c>
      <c r="L710" s="34">
        <f t="shared" si="46"/>
        <v>0.96993373838028085</v>
      </c>
      <c r="M710" s="34">
        <f t="shared" si="47"/>
        <v>0.96661405856105276</v>
      </c>
    </row>
    <row r="711" spans="1:13" ht="69">
      <c r="A711" t="s">
        <v>164</v>
      </c>
      <c r="B711" t="s">
        <v>115</v>
      </c>
      <c r="C711" s="14" t="s">
        <v>291</v>
      </c>
      <c r="D711" t="s">
        <v>366</v>
      </c>
      <c r="E711" t="s">
        <v>383</v>
      </c>
      <c r="F711" s="20">
        <v>2042</v>
      </c>
      <c r="G711" s="20">
        <v>59</v>
      </c>
      <c r="H711" s="11">
        <v>13719.760525396399</v>
      </c>
      <c r="I711" s="10">
        <v>3815076.0170847098</v>
      </c>
      <c r="J711" s="34">
        <f t="shared" si="44"/>
        <v>3.5961958461525893E-3</v>
      </c>
      <c r="K711" s="34">
        <f t="shared" si="45"/>
        <v>3.5897372782819348E-3</v>
      </c>
      <c r="L711" s="34">
        <f t="shared" si="46"/>
        <v>0.96661405856105276</v>
      </c>
      <c r="M711" s="34">
        <f t="shared" si="47"/>
        <v>0.96314416804132474</v>
      </c>
    </row>
    <row r="712" spans="1:13" ht="69">
      <c r="A712" t="s">
        <v>164</v>
      </c>
      <c r="B712" t="s">
        <v>115</v>
      </c>
      <c r="C712" s="14" t="s">
        <v>291</v>
      </c>
      <c r="D712" t="s">
        <v>366</v>
      </c>
      <c r="E712" t="s">
        <v>383</v>
      </c>
      <c r="F712" s="20">
        <v>2042</v>
      </c>
      <c r="G712" s="20">
        <v>60</v>
      </c>
      <c r="H712" s="11">
        <v>14295.996815784199</v>
      </c>
      <c r="I712" s="10">
        <v>3736760.3678832501</v>
      </c>
      <c r="J712" s="34">
        <f t="shared" si="44"/>
        <v>3.8257729713298163E-3</v>
      </c>
      <c r="K712" s="34">
        <f t="shared" si="45"/>
        <v>3.8184640256755387E-3</v>
      </c>
      <c r="L712" s="34">
        <f t="shared" si="46"/>
        <v>0.96314416804132474</v>
      </c>
      <c r="M712" s="34">
        <f t="shared" si="47"/>
        <v>0.95946643668411979</v>
      </c>
    </row>
    <row r="713" spans="1:13" ht="69">
      <c r="A713" t="s">
        <v>164</v>
      </c>
      <c r="B713" t="s">
        <v>115</v>
      </c>
      <c r="C713" s="14" t="s">
        <v>291</v>
      </c>
      <c r="D713" t="s">
        <v>366</v>
      </c>
      <c r="E713" t="s">
        <v>383</v>
      </c>
      <c r="F713" s="20">
        <v>2042</v>
      </c>
      <c r="G713" s="20">
        <v>61</v>
      </c>
      <c r="H713" s="11">
        <v>14898.681254277401</v>
      </c>
      <c r="I713" s="10">
        <v>3651428.0295268702</v>
      </c>
      <c r="J713" s="34">
        <f t="shared" si="44"/>
        <v>4.0802341258819449E-3</v>
      </c>
      <c r="K713" s="34">
        <f t="shared" si="45"/>
        <v>4.0719212805825356E-3</v>
      </c>
      <c r="L713" s="34">
        <f t="shared" si="46"/>
        <v>0.95946643668411979</v>
      </c>
      <c r="M713" s="34">
        <f t="shared" si="47"/>
        <v>0.95555956488258098</v>
      </c>
    </row>
    <row r="714" spans="1:13" ht="69">
      <c r="A714" t="s">
        <v>164</v>
      </c>
      <c r="B714" t="s">
        <v>115</v>
      </c>
      <c r="C714" s="14" t="s">
        <v>291</v>
      </c>
      <c r="D714" t="s">
        <v>366</v>
      </c>
      <c r="E714" t="s">
        <v>383</v>
      </c>
      <c r="F714" s="20">
        <v>2042</v>
      </c>
      <c r="G714" s="20">
        <v>62</v>
      </c>
      <c r="H714" s="11">
        <v>15693.705144096401</v>
      </c>
      <c r="I714" s="10">
        <v>3569798.1346400799</v>
      </c>
      <c r="J714" s="34">
        <f t="shared" si="44"/>
        <v>4.3962444239662021E-3</v>
      </c>
      <c r="K714" s="34">
        <f t="shared" si="45"/>
        <v>4.3865950869088621E-3</v>
      </c>
      <c r="L714" s="34">
        <f t="shared" si="46"/>
        <v>0.95555956488258098</v>
      </c>
      <c r="M714" s="34">
        <f t="shared" si="47"/>
        <v>0.95136791199001824</v>
      </c>
    </row>
    <row r="715" spans="1:13" ht="69">
      <c r="A715" t="s">
        <v>164</v>
      </c>
      <c r="B715" t="s">
        <v>115</v>
      </c>
      <c r="C715" s="14" t="s">
        <v>291</v>
      </c>
      <c r="D715" t="s">
        <v>366</v>
      </c>
      <c r="E715" t="s">
        <v>383</v>
      </c>
      <c r="F715" s="20">
        <v>2042</v>
      </c>
      <c r="G715" s="20">
        <v>63</v>
      </c>
      <c r="H715" s="11">
        <v>16494.409116828199</v>
      </c>
      <c r="I715" s="10">
        <v>3474163.57650204</v>
      </c>
      <c r="J715" s="34">
        <f t="shared" si="44"/>
        <v>4.7477353191974882E-3</v>
      </c>
      <c r="K715" s="34">
        <f t="shared" si="45"/>
        <v>4.7364826391592674E-3</v>
      </c>
      <c r="L715" s="34">
        <f t="shared" si="46"/>
        <v>0.95136791199001824</v>
      </c>
      <c r="M715" s="34">
        <f t="shared" si="47"/>
        <v>0.94686177439142427</v>
      </c>
    </row>
    <row r="716" spans="1:13" ht="69">
      <c r="A716" t="s">
        <v>164</v>
      </c>
      <c r="B716" t="s">
        <v>115</v>
      </c>
      <c r="C716" s="14" t="s">
        <v>291</v>
      </c>
      <c r="D716" t="s">
        <v>366</v>
      </c>
      <c r="E716" t="s">
        <v>383</v>
      </c>
      <c r="F716" s="20">
        <v>2042</v>
      </c>
      <c r="G716" s="20">
        <v>64</v>
      </c>
      <c r="H716" s="11">
        <v>17495.9261092987</v>
      </c>
      <c r="I716" s="10">
        <v>3355576.7046497101</v>
      </c>
      <c r="J716" s="34">
        <f t="shared" si="44"/>
        <v>5.2139848524562658E-3</v>
      </c>
      <c r="K716" s="34">
        <f t="shared" si="45"/>
        <v>5.200415626924193E-3</v>
      </c>
      <c r="L716" s="34">
        <f t="shared" si="46"/>
        <v>0.94686177439142427</v>
      </c>
      <c r="M716" s="34">
        <f t="shared" si="47"/>
        <v>0.94193769962334195</v>
      </c>
    </row>
    <row r="717" spans="1:13" ht="69">
      <c r="A717" t="s">
        <v>164</v>
      </c>
      <c r="B717" t="s">
        <v>115</v>
      </c>
      <c r="C717" s="14" t="s">
        <v>291</v>
      </c>
      <c r="D717" t="s">
        <v>366</v>
      </c>
      <c r="E717" t="s">
        <v>383</v>
      </c>
      <c r="F717" s="20">
        <v>2042</v>
      </c>
      <c r="G717" s="20">
        <v>65</v>
      </c>
      <c r="H717" s="11">
        <v>18429.588930918399</v>
      </c>
      <c r="I717" s="10">
        <v>3239610.1253420101</v>
      </c>
      <c r="J717" s="34">
        <f t="shared" si="44"/>
        <v>5.688829278175182E-3</v>
      </c>
      <c r="K717" s="34">
        <f t="shared" si="45"/>
        <v>5.6726785296941085E-3</v>
      </c>
      <c r="L717" s="34">
        <f t="shared" si="46"/>
        <v>0.94193769962334195</v>
      </c>
      <c r="M717" s="34">
        <f t="shared" si="47"/>
        <v>0.93659438985837917</v>
      </c>
    </row>
    <row r="718" spans="1:13" ht="69">
      <c r="A718" t="s">
        <v>164</v>
      </c>
      <c r="B718" t="s">
        <v>115</v>
      </c>
      <c r="C718" s="14" t="s">
        <v>291</v>
      </c>
      <c r="D718" t="s">
        <v>366</v>
      </c>
      <c r="E718" t="s">
        <v>383</v>
      </c>
      <c r="F718" s="20">
        <v>2042</v>
      </c>
      <c r="G718" s="20">
        <v>66</v>
      </c>
      <c r="H718" s="11">
        <v>18843.583348485899</v>
      </c>
      <c r="I718" s="10">
        <v>3134918.9165136698</v>
      </c>
      <c r="J718" s="34">
        <f t="shared" si="44"/>
        <v>6.0108678566531378E-3</v>
      </c>
      <c r="K718" s="34">
        <f t="shared" si="45"/>
        <v>5.9928387321070975E-3</v>
      </c>
      <c r="L718" s="34">
        <f t="shared" si="46"/>
        <v>0.93659438985837917</v>
      </c>
      <c r="M718" s="34">
        <f t="shared" si="47"/>
        <v>0.93098153072256162</v>
      </c>
    </row>
    <row r="719" spans="1:13" ht="69">
      <c r="A719" t="s">
        <v>164</v>
      </c>
      <c r="B719" t="s">
        <v>115</v>
      </c>
      <c r="C719" s="14" t="s">
        <v>291</v>
      </c>
      <c r="D719" t="s">
        <v>366</v>
      </c>
      <c r="E719" t="s">
        <v>383</v>
      </c>
      <c r="F719" s="20">
        <v>2042</v>
      </c>
      <c r="G719" s="20">
        <v>67</v>
      </c>
      <c r="H719" s="11">
        <v>19771.8093633057</v>
      </c>
      <c r="I719" s="10">
        <v>3017509.9302464598</v>
      </c>
      <c r="J719" s="34">
        <f t="shared" si="44"/>
        <v>6.5523593361267937E-3</v>
      </c>
      <c r="K719" s="34">
        <f t="shared" si="45"/>
        <v>6.5309394388473052E-3</v>
      </c>
      <c r="L719" s="34">
        <f t="shared" si="46"/>
        <v>0.93098153072256162</v>
      </c>
      <c r="M719" s="34">
        <f t="shared" si="47"/>
        <v>0.92490134672672719</v>
      </c>
    </row>
    <row r="720" spans="1:13" ht="69">
      <c r="A720" t="s">
        <v>164</v>
      </c>
      <c r="B720" t="s">
        <v>115</v>
      </c>
      <c r="C720" s="14" t="s">
        <v>291</v>
      </c>
      <c r="D720" t="s">
        <v>366</v>
      </c>
      <c r="E720" t="s">
        <v>383</v>
      </c>
      <c r="F720" s="20">
        <v>2042</v>
      </c>
      <c r="G720" s="20">
        <v>68</v>
      </c>
      <c r="H720" s="11">
        <v>20724.267503616498</v>
      </c>
      <c r="I720" s="10">
        <v>2911173.4310426898</v>
      </c>
      <c r="J720" s="34">
        <f t="shared" si="44"/>
        <v>7.1188707902550908E-3</v>
      </c>
      <c r="K720" s="34">
        <f t="shared" si="45"/>
        <v>7.0935916514678343E-3</v>
      </c>
      <c r="L720" s="34">
        <f t="shared" si="46"/>
        <v>0.92490134672672719</v>
      </c>
      <c r="M720" s="34">
        <f t="shared" si="47"/>
        <v>0.91834047425515508</v>
      </c>
    </row>
    <row r="721" spans="1:13" ht="69">
      <c r="A721" t="s">
        <v>164</v>
      </c>
      <c r="B721" t="s">
        <v>115</v>
      </c>
      <c r="C721" s="14" t="s">
        <v>291</v>
      </c>
      <c r="D721" t="s">
        <v>366</v>
      </c>
      <c r="E721" t="s">
        <v>383</v>
      </c>
      <c r="F721" s="20">
        <v>2042</v>
      </c>
      <c r="G721" s="20">
        <v>69</v>
      </c>
      <c r="H721" s="11">
        <v>21037.449854749899</v>
      </c>
      <c r="I721" s="10">
        <v>2803526.66911388</v>
      </c>
      <c r="J721" s="34">
        <f t="shared" si="44"/>
        <v>7.5039235711637708E-3</v>
      </c>
      <c r="K721" s="34">
        <f t="shared" si="45"/>
        <v>7.4758394276770446E-3</v>
      </c>
      <c r="L721" s="34">
        <f t="shared" si="46"/>
        <v>0.91834047425515508</v>
      </c>
      <c r="M721" s="34">
        <f t="shared" si="47"/>
        <v>0.91147510832968681</v>
      </c>
    </row>
    <row r="722" spans="1:13" ht="69">
      <c r="A722" t="s">
        <v>164</v>
      </c>
      <c r="B722" t="s">
        <v>115</v>
      </c>
      <c r="C722" s="14" t="s">
        <v>291</v>
      </c>
      <c r="D722" t="s">
        <v>366</v>
      </c>
      <c r="E722" t="s">
        <v>383</v>
      </c>
      <c r="F722" s="20">
        <v>2043</v>
      </c>
      <c r="G722" s="20">
        <v>30</v>
      </c>
      <c r="H722" s="11">
        <v>751.44051410914005</v>
      </c>
      <c r="I722" s="10">
        <v>4831815.9488528296</v>
      </c>
      <c r="J722" s="34">
        <f t="shared" si="44"/>
        <v>1.5551927516766178E-4</v>
      </c>
      <c r="K722" s="34">
        <f t="shared" si="45"/>
        <v>1.5550718267209884E-4</v>
      </c>
      <c r="L722" s="34">
        <f t="shared" si="46"/>
        <v>1</v>
      </c>
      <c r="M722" s="34">
        <f t="shared" si="47"/>
        <v>0.9998444928173279</v>
      </c>
    </row>
    <row r="723" spans="1:13" ht="69">
      <c r="A723" t="s">
        <v>164</v>
      </c>
      <c r="B723" t="s">
        <v>115</v>
      </c>
      <c r="C723" s="14" t="s">
        <v>291</v>
      </c>
      <c r="D723" t="s">
        <v>366</v>
      </c>
      <c r="E723" t="s">
        <v>383</v>
      </c>
      <c r="F723" s="20">
        <v>2043</v>
      </c>
      <c r="G723" s="20">
        <v>31</v>
      </c>
      <c r="H723" s="11">
        <v>1081.85709931579</v>
      </c>
      <c r="I723" s="10">
        <v>4875498.5539792599</v>
      </c>
      <c r="J723" s="34">
        <f t="shared" si="44"/>
        <v>2.2189671216963142E-4</v>
      </c>
      <c r="K723" s="34">
        <f t="shared" si="45"/>
        <v>2.2187209491508764E-4</v>
      </c>
      <c r="L723" s="34">
        <f t="shared" si="46"/>
        <v>0.9998444928173279</v>
      </c>
      <c r="M723" s="34">
        <f t="shared" si="47"/>
        <v>0.99962265522511717</v>
      </c>
    </row>
    <row r="724" spans="1:13" ht="69">
      <c r="A724" t="s">
        <v>164</v>
      </c>
      <c r="B724" t="s">
        <v>115</v>
      </c>
      <c r="C724" s="14" t="s">
        <v>291</v>
      </c>
      <c r="D724" t="s">
        <v>366</v>
      </c>
      <c r="E724" t="s">
        <v>383</v>
      </c>
      <c r="F724" s="20">
        <v>2043</v>
      </c>
      <c r="G724" s="20">
        <v>32</v>
      </c>
      <c r="H724" s="11">
        <v>1095.87460425568</v>
      </c>
      <c r="I724" s="10">
        <v>4796015.8519112105</v>
      </c>
      <c r="J724" s="34">
        <f t="shared" si="44"/>
        <v>2.2849686867047663E-4</v>
      </c>
      <c r="K724" s="34">
        <f t="shared" si="45"/>
        <v>2.2847076524923349E-4</v>
      </c>
      <c r="L724" s="34">
        <f t="shared" si="46"/>
        <v>0.99962265522511717</v>
      </c>
      <c r="M724" s="34">
        <f t="shared" si="47"/>
        <v>0.99939427067211739</v>
      </c>
    </row>
    <row r="725" spans="1:13" ht="69">
      <c r="A725" t="s">
        <v>164</v>
      </c>
      <c r="B725" t="s">
        <v>115</v>
      </c>
      <c r="C725" s="14" t="s">
        <v>291</v>
      </c>
      <c r="D725" t="s">
        <v>366</v>
      </c>
      <c r="E725" t="s">
        <v>383</v>
      </c>
      <c r="F725" s="20">
        <v>2043</v>
      </c>
      <c r="G725" s="20">
        <v>33</v>
      </c>
      <c r="H725" s="11">
        <v>1120.48471347436</v>
      </c>
      <c r="I725" s="10">
        <v>4695027.4485732298</v>
      </c>
      <c r="J725" s="34">
        <f t="shared" si="44"/>
        <v>2.3865349579902108E-4</v>
      </c>
      <c r="K725" s="34">
        <f t="shared" si="45"/>
        <v>2.3862502031879451E-4</v>
      </c>
      <c r="L725" s="34">
        <f t="shared" si="46"/>
        <v>0.99939427067211739</v>
      </c>
      <c r="M725" s="34">
        <f t="shared" si="47"/>
        <v>0.99915579019397172</v>
      </c>
    </row>
    <row r="726" spans="1:13" ht="69">
      <c r="A726" t="s">
        <v>164</v>
      </c>
      <c r="B726" t="s">
        <v>115</v>
      </c>
      <c r="C726" s="14" t="s">
        <v>291</v>
      </c>
      <c r="D726" t="s">
        <v>366</v>
      </c>
      <c r="E726" t="s">
        <v>383</v>
      </c>
      <c r="F726" s="20">
        <v>2043</v>
      </c>
      <c r="G726" s="20">
        <v>34</v>
      </c>
      <c r="H726" s="11">
        <v>1159.8677316713499</v>
      </c>
      <c r="I726" s="10">
        <v>4638359.74472812</v>
      </c>
      <c r="J726" s="34">
        <f t="shared" si="44"/>
        <v>2.5005989088915228E-4</v>
      </c>
      <c r="K726" s="34">
        <f t="shared" si="45"/>
        <v>2.5002862852052665E-4</v>
      </c>
      <c r="L726" s="34">
        <f t="shared" si="46"/>
        <v>0.99915579019397172</v>
      </c>
      <c r="M726" s="34">
        <f t="shared" si="47"/>
        <v>0.99890597264207115</v>
      </c>
    </row>
    <row r="727" spans="1:13" ht="69">
      <c r="A727" t="s">
        <v>164</v>
      </c>
      <c r="B727" t="s">
        <v>115</v>
      </c>
      <c r="C727" s="14" t="s">
        <v>291</v>
      </c>
      <c r="D727" t="s">
        <v>366</v>
      </c>
      <c r="E727" t="s">
        <v>383</v>
      </c>
      <c r="F727" s="20">
        <v>2043</v>
      </c>
      <c r="G727" s="20">
        <v>35</v>
      </c>
      <c r="H727" s="11">
        <v>1233.7668290517499</v>
      </c>
      <c r="I727" s="10">
        <v>4630260.4594633104</v>
      </c>
      <c r="J727" s="34">
        <f t="shared" si="44"/>
        <v>2.6645732780111356E-4</v>
      </c>
      <c r="K727" s="34">
        <f t="shared" si="45"/>
        <v>2.6642183120018093E-4</v>
      </c>
      <c r="L727" s="34">
        <f t="shared" si="46"/>
        <v>0.99890597264207115</v>
      </c>
      <c r="M727" s="34">
        <f t="shared" si="47"/>
        <v>0.998639842283643</v>
      </c>
    </row>
    <row r="728" spans="1:13" ht="69">
      <c r="A728" t="s">
        <v>164</v>
      </c>
      <c r="B728" t="s">
        <v>115</v>
      </c>
      <c r="C728" s="14" t="s">
        <v>291</v>
      </c>
      <c r="D728" t="s">
        <v>366</v>
      </c>
      <c r="E728" t="s">
        <v>383</v>
      </c>
      <c r="F728" s="20">
        <v>2043</v>
      </c>
      <c r="G728" s="20">
        <v>36</v>
      </c>
      <c r="H728" s="11">
        <v>1552.2865237272299</v>
      </c>
      <c r="I728" s="10">
        <v>4602065.3698171098</v>
      </c>
      <c r="J728" s="34">
        <f t="shared" si="44"/>
        <v>3.3730214566441921E-4</v>
      </c>
      <c r="K728" s="34">
        <f t="shared" si="45"/>
        <v>3.3724526569112179E-4</v>
      </c>
      <c r="L728" s="34">
        <f t="shared" si="46"/>
        <v>0.998639842283643</v>
      </c>
      <c r="M728" s="34">
        <f t="shared" si="47"/>
        <v>0.99830305572470235</v>
      </c>
    </row>
    <row r="729" spans="1:13" ht="69">
      <c r="A729" t="s">
        <v>164</v>
      </c>
      <c r="B729" t="s">
        <v>115</v>
      </c>
      <c r="C729" s="14" t="s">
        <v>291</v>
      </c>
      <c r="D729" t="s">
        <v>366</v>
      </c>
      <c r="E729" t="s">
        <v>383</v>
      </c>
      <c r="F729" s="20">
        <v>2043</v>
      </c>
      <c r="G729" s="20">
        <v>37</v>
      </c>
      <c r="H729" s="11">
        <v>1653.0549549627599</v>
      </c>
      <c r="I729" s="10">
        <v>4530378.5651543299</v>
      </c>
      <c r="J729" s="34">
        <f t="shared" si="44"/>
        <v>3.6488230093558366E-4</v>
      </c>
      <c r="K729" s="34">
        <f t="shared" si="45"/>
        <v>3.6481573948476953E-4</v>
      </c>
      <c r="L729" s="34">
        <f t="shared" si="46"/>
        <v>0.99830305572470235</v>
      </c>
      <c r="M729" s="34">
        <f t="shared" si="47"/>
        <v>0.99793885905719826</v>
      </c>
    </row>
    <row r="730" spans="1:13" ht="69">
      <c r="A730" t="s">
        <v>164</v>
      </c>
      <c r="B730" t="s">
        <v>115</v>
      </c>
      <c r="C730" s="14" t="s">
        <v>291</v>
      </c>
      <c r="D730" t="s">
        <v>366</v>
      </c>
      <c r="E730" t="s">
        <v>383</v>
      </c>
      <c r="F730" s="20">
        <v>2043</v>
      </c>
      <c r="G730" s="20">
        <v>38</v>
      </c>
      <c r="H730" s="11">
        <v>1764.4254641995899</v>
      </c>
      <c r="I730" s="10">
        <v>4435875.3376196697</v>
      </c>
      <c r="J730" s="34">
        <f t="shared" si="44"/>
        <v>3.9776263531030525E-4</v>
      </c>
      <c r="K730" s="34">
        <f t="shared" si="45"/>
        <v>3.9768353824087832E-4</v>
      </c>
      <c r="L730" s="34">
        <f t="shared" si="46"/>
        <v>0.99793885905719826</v>
      </c>
      <c r="M730" s="34">
        <f t="shared" si="47"/>
        <v>0.99754199520078035</v>
      </c>
    </row>
    <row r="731" spans="1:13" ht="69">
      <c r="A731" t="s">
        <v>164</v>
      </c>
      <c r="B731" t="s">
        <v>115</v>
      </c>
      <c r="C731" s="14" t="s">
        <v>291</v>
      </c>
      <c r="D731" t="s">
        <v>366</v>
      </c>
      <c r="E731" t="s">
        <v>383</v>
      </c>
      <c r="F731" s="20">
        <v>2043</v>
      </c>
      <c r="G731" s="20">
        <v>39</v>
      </c>
      <c r="H731" s="11">
        <v>1838.56659622698</v>
      </c>
      <c r="I731" s="10">
        <v>4337621.4779760102</v>
      </c>
      <c r="J731" s="34">
        <f t="shared" si="44"/>
        <v>4.2386515410857811E-4</v>
      </c>
      <c r="K731" s="34">
        <f t="shared" si="45"/>
        <v>4.2377533596482664E-4</v>
      </c>
      <c r="L731" s="34">
        <f t="shared" si="46"/>
        <v>0.99754199520078035</v>
      </c>
      <c r="M731" s="34">
        <f t="shared" si="47"/>
        <v>0.99711926150662511</v>
      </c>
    </row>
    <row r="732" spans="1:13" ht="69">
      <c r="A732" t="s">
        <v>164</v>
      </c>
      <c r="B732" t="s">
        <v>115</v>
      </c>
      <c r="C732" s="14" t="s">
        <v>291</v>
      </c>
      <c r="D732" t="s">
        <v>366</v>
      </c>
      <c r="E732" t="s">
        <v>383</v>
      </c>
      <c r="F732" s="20">
        <v>2043</v>
      </c>
      <c r="G732" s="20">
        <v>40</v>
      </c>
      <c r="H732" s="11">
        <v>2008.9444044182201</v>
      </c>
      <c r="I732" s="10">
        <v>4292855.1255967701</v>
      </c>
      <c r="J732" s="34">
        <f t="shared" si="44"/>
        <v>4.6797395804009279E-4</v>
      </c>
      <c r="K732" s="34">
        <f t="shared" si="45"/>
        <v>4.6786447530644537E-4</v>
      </c>
      <c r="L732" s="34">
        <f t="shared" si="46"/>
        <v>0.99711926150662511</v>
      </c>
      <c r="M732" s="34">
        <f t="shared" si="47"/>
        <v>0.99665274482652233</v>
      </c>
    </row>
    <row r="733" spans="1:13" ht="69">
      <c r="A733" t="s">
        <v>164</v>
      </c>
      <c r="B733" t="s">
        <v>115</v>
      </c>
      <c r="C733" s="14" t="s">
        <v>291</v>
      </c>
      <c r="D733" t="s">
        <v>366</v>
      </c>
      <c r="E733" t="s">
        <v>383</v>
      </c>
      <c r="F733" s="20">
        <v>2043</v>
      </c>
      <c r="G733" s="20">
        <v>41</v>
      </c>
      <c r="H733" s="11">
        <v>2624.6581979441198</v>
      </c>
      <c r="I733" s="10">
        <v>4270325.8866123101</v>
      </c>
      <c r="J733" s="34">
        <f t="shared" si="44"/>
        <v>6.1462714266668909E-4</v>
      </c>
      <c r="K733" s="34">
        <f t="shared" si="45"/>
        <v>6.1443829809604278E-4</v>
      </c>
      <c r="L733" s="34">
        <f t="shared" si="46"/>
        <v>0.99665274482652233</v>
      </c>
      <c r="M733" s="34">
        <f t="shared" si="47"/>
        <v>0.9960403632101984</v>
      </c>
    </row>
    <row r="734" spans="1:13" ht="69">
      <c r="A734" t="s">
        <v>164</v>
      </c>
      <c r="B734" t="s">
        <v>115</v>
      </c>
      <c r="C734" s="14" t="s">
        <v>291</v>
      </c>
      <c r="D734" t="s">
        <v>366</v>
      </c>
      <c r="E734" t="s">
        <v>383</v>
      </c>
      <c r="F734" s="20">
        <v>2043</v>
      </c>
      <c r="G734" s="20">
        <v>42</v>
      </c>
      <c r="H734" s="11">
        <v>2913.2612017828001</v>
      </c>
      <c r="I734" s="10">
        <v>4247725.62588662</v>
      </c>
      <c r="J734" s="34">
        <f t="shared" si="44"/>
        <v>6.8584024919799769E-4</v>
      </c>
      <c r="K734" s="34">
        <f t="shared" si="45"/>
        <v>6.856051145323061E-4</v>
      </c>
      <c r="L734" s="34">
        <f t="shared" si="46"/>
        <v>0.9960403632101984</v>
      </c>
      <c r="M734" s="34">
        <f t="shared" si="47"/>
        <v>0.99535747284290088</v>
      </c>
    </row>
    <row r="735" spans="1:13" ht="69">
      <c r="A735" t="s">
        <v>164</v>
      </c>
      <c r="B735" t="s">
        <v>115</v>
      </c>
      <c r="C735" s="14" t="s">
        <v>291</v>
      </c>
      <c r="D735" t="s">
        <v>366</v>
      </c>
      <c r="E735" t="s">
        <v>383</v>
      </c>
      <c r="F735" s="20">
        <v>2043</v>
      </c>
      <c r="G735" s="20">
        <v>43</v>
      </c>
      <c r="H735" s="11">
        <v>3263.6287225414999</v>
      </c>
      <c r="I735" s="10">
        <v>4244014.6769657005</v>
      </c>
      <c r="J735" s="34">
        <f t="shared" si="44"/>
        <v>7.6899562582918846E-4</v>
      </c>
      <c r="K735" s="34">
        <f t="shared" si="45"/>
        <v>7.687000244698261E-4</v>
      </c>
      <c r="L735" s="34">
        <f t="shared" si="46"/>
        <v>0.99535747284290088</v>
      </c>
      <c r="M735" s="34">
        <f t="shared" si="47"/>
        <v>0.99459234152917031</v>
      </c>
    </row>
    <row r="736" spans="1:13" ht="69">
      <c r="A736" t="s">
        <v>164</v>
      </c>
      <c r="B736" t="s">
        <v>115</v>
      </c>
      <c r="C736" s="14" t="s">
        <v>291</v>
      </c>
      <c r="D736" t="s">
        <v>366</v>
      </c>
      <c r="E736" t="s">
        <v>383</v>
      </c>
      <c r="F736" s="20">
        <v>2043</v>
      </c>
      <c r="G736" s="20">
        <v>44</v>
      </c>
      <c r="H736" s="11">
        <v>3484.9341012540099</v>
      </c>
      <c r="I736" s="10">
        <v>4277670.9714455502</v>
      </c>
      <c r="J736" s="34">
        <f t="shared" si="44"/>
        <v>8.1468026047743186E-4</v>
      </c>
      <c r="K736" s="34">
        <f t="shared" si="45"/>
        <v>8.1434849861339309E-4</v>
      </c>
      <c r="L736" s="34">
        <f t="shared" si="46"/>
        <v>0.99459234152917031</v>
      </c>
      <c r="M736" s="34">
        <f t="shared" si="47"/>
        <v>0.99378239674911362</v>
      </c>
    </row>
    <row r="737" spans="1:13" ht="69">
      <c r="A737" t="s">
        <v>164</v>
      </c>
      <c r="B737" t="s">
        <v>115</v>
      </c>
      <c r="C737" s="14" t="s">
        <v>291</v>
      </c>
      <c r="D737" t="s">
        <v>366</v>
      </c>
      <c r="E737" t="s">
        <v>383</v>
      </c>
      <c r="F737" s="20">
        <v>2043</v>
      </c>
      <c r="G737" s="20">
        <v>45</v>
      </c>
      <c r="H737" s="11">
        <v>3798.83272590148</v>
      </c>
      <c r="I737" s="10">
        <v>4313370.0932779601</v>
      </c>
      <c r="J737" s="34">
        <f t="shared" si="44"/>
        <v>8.8071105510321383E-4</v>
      </c>
      <c r="K737" s="34">
        <f t="shared" si="45"/>
        <v>8.8032334295107262E-4</v>
      </c>
      <c r="L737" s="34">
        <f t="shared" si="46"/>
        <v>0.99378239674911362</v>
      </c>
      <c r="M737" s="34">
        <f t="shared" si="47"/>
        <v>0.99290754690744154</v>
      </c>
    </row>
    <row r="738" spans="1:13" ht="69">
      <c r="A738" t="s">
        <v>164</v>
      </c>
      <c r="B738" t="s">
        <v>115</v>
      </c>
      <c r="C738" s="14" t="s">
        <v>291</v>
      </c>
      <c r="D738" t="s">
        <v>366</v>
      </c>
      <c r="E738" t="s">
        <v>383</v>
      </c>
      <c r="F738" s="20">
        <v>2043</v>
      </c>
      <c r="G738" s="20">
        <v>46</v>
      </c>
      <c r="H738" s="11">
        <v>4706.5650407611101</v>
      </c>
      <c r="I738" s="10">
        <v>4303030.2189451698</v>
      </c>
      <c r="J738" s="34">
        <f t="shared" si="44"/>
        <v>1.0937792209869401E-3</v>
      </c>
      <c r="K738" s="34">
        <f t="shared" si="45"/>
        <v>1.0931812625262216E-3</v>
      </c>
      <c r="L738" s="34">
        <f t="shared" si="46"/>
        <v>0.99290754690744154</v>
      </c>
      <c r="M738" s="34">
        <f t="shared" si="47"/>
        <v>0.99182211898174144</v>
      </c>
    </row>
    <row r="739" spans="1:13" ht="69">
      <c r="A739" t="s">
        <v>164</v>
      </c>
      <c r="B739" t="s">
        <v>115</v>
      </c>
      <c r="C739" s="14" t="s">
        <v>291</v>
      </c>
      <c r="D739" t="s">
        <v>366</v>
      </c>
      <c r="E739" t="s">
        <v>383</v>
      </c>
      <c r="F739" s="20">
        <v>2043</v>
      </c>
      <c r="G739" s="20">
        <v>47</v>
      </c>
      <c r="H739" s="11">
        <v>5072.4526635375296</v>
      </c>
      <c r="I739" s="10">
        <v>4234727.8217045199</v>
      </c>
      <c r="J739" s="34">
        <f t="shared" si="44"/>
        <v>1.197822593825125E-3</v>
      </c>
      <c r="K739" s="34">
        <f t="shared" si="45"/>
        <v>1.197105490691297E-3</v>
      </c>
      <c r="L739" s="34">
        <f t="shared" si="46"/>
        <v>0.99182211898174144</v>
      </c>
      <c r="M739" s="34">
        <f t="shared" si="47"/>
        <v>0.99063480327731934</v>
      </c>
    </row>
    <row r="740" spans="1:13" ht="69">
      <c r="A740" t="s">
        <v>164</v>
      </c>
      <c r="B740" t="s">
        <v>115</v>
      </c>
      <c r="C740" s="14" t="s">
        <v>291</v>
      </c>
      <c r="D740" t="s">
        <v>366</v>
      </c>
      <c r="E740" t="s">
        <v>383</v>
      </c>
      <c r="F740" s="20">
        <v>2043</v>
      </c>
      <c r="G740" s="20">
        <v>48</v>
      </c>
      <c r="H740" s="11">
        <v>5500.3727910797697</v>
      </c>
      <c r="I740" s="10">
        <v>4163795.4112422699</v>
      </c>
      <c r="J740" s="34">
        <f t="shared" si="44"/>
        <v>1.3209997725221402E-3</v>
      </c>
      <c r="K740" s="34">
        <f t="shared" si="45"/>
        <v>1.3201276363954406E-3</v>
      </c>
      <c r="L740" s="34">
        <f t="shared" si="46"/>
        <v>0.99063480327731934</v>
      </c>
      <c r="M740" s="34">
        <f t="shared" si="47"/>
        <v>0.98932703889593776</v>
      </c>
    </row>
    <row r="741" spans="1:13" ht="69">
      <c r="A741" t="s">
        <v>164</v>
      </c>
      <c r="B741" t="s">
        <v>115</v>
      </c>
      <c r="C741" s="14" t="s">
        <v>291</v>
      </c>
      <c r="D741" t="s">
        <v>366</v>
      </c>
      <c r="E741" t="s">
        <v>383</v>
      </c>
      <c r="F741" s="20">
        <v>2043</v>
      </c>
      <c r="G741" s="20">
        <v>49</v>
      </c>
      <c r="H741" s="11">
        <v>5837.2017519367901</v>
      </c>
      <c r="I741" s="10">
        <v>4101176.8844713802</v>
      </c>
      <c r="J741" s="34">
        <f t="shared" si="44"/>
        <v>1.4232991934677731E-3</v>
      </c>
      <c r="K741" s="34">
        <f t="shared" si="45"/>
        <v>1.4222867835483877E-3</v>
      </c>
      <c r="L741" s="34">
        <f t="shared" si="46"/>
        <v>0.98932703889593776</v>
      </c>
      <c r="M741" s="34">
        <f t="shared" si="47"/>
        <v>0.98791993212390905</v>
      </c>
    </row>
    <row r="742" spans="1:13" ht="69">
      <c r="A742" t="s">
        <v>164</v>
      </c>
      <c r="B742" t="s">
        <v>115</v>
      </c>
      <c r="C742" s="14" t="s">
        <v>291</v>
      </c>
      <c r="D742" t="s">
        <v>366</v>
      </c>
      <c r="E742" t="s">
        <v>383</v>
      </c>
      <c r="F742" s="20">
        <v>2043</v>
      </c>
      <c r="G742" s="20">
        <v>50</v>
      </c>
      <c r="H742" s="11">
        <v>6245.5358967218699</v>
      </c>
      <c r="I742" s="10">
        <v>4040204.2739619301</v>
      </c>
      <c r="J742" s="34">
        <f t="shared" si="44"/>
        <v>1.5458465644850512E-3</v>
      </c>
      <c r="K742" s="34">
        <f t="shared" si="45"/>
        <v>1.544652359116605E-3</v>
      </c>
      <c r="L742" s="34">
        <f t="shared" si="46"/>
        <v>0.98791993212390905</v>
      </c>
      <c r="M742" s="34">
        <f t="shared" si="47"/>
        <v>0.98639393927013552</v>
      </c>
    </row>
    <row r="743" spans="1:13" ht="69">
      <c r="A743" t="s">
        <v>164</v>
      </c>
      <c r="B743" t="s">
        <v>115</v>
      </c>
      <c r="C743" s="14" t="s">
        <v>291</v>
      </c>
      <c r="D743" t="s">
        <v>366</v>
      </c>
      <c r="E743" t="s">
        <v>383</v>
      </c>
      <c r="F743" s="20">
        <v>2043</v>
      </c>
      <c r="G743" s="20">
        <v>51</v>
      </c>
      <c r="H743" s="11">
        <v>7005.9838996680401</v>
      </c>
      <c r="I743" s="10">
        <v>4012138.06656068</v>
      </c>
      <c r="J743" s="34">
        <f t="shared" si="44"/>
        <v>1.7461971107274907E-3</v>
      </c>
      <c r="K743" s="34">
        <f t="shared" si="45"/>
        <v>1.7446733955841509E-3</v>
      </c>
      <c r="L743" s="34">
        <f t="shared" si="46"/>
        <v>0.98639393927013552</v>
      </c>
      <c r="M743" s="34">
        <f t="shared" si="47"/>
        <v>0.98467300400672542</v>
      </c>
    </row>
    <row r="744" spans="1:13" ht="69">
      <c r="A744" t="s">
        <v>164</v>
      </c>
      <c r="B744" t="s">
        <v>115</v>
      </c>
      <c r="C744" s="14" t="s">
        <v>291</v>
      </c>
      <c r="D744" t="s">
        <v>366</v>
      </c>
      <c r="E744" t="s">
        <v>383</v>
      </c>
      <c r="F744" s="20">
        <v>2043</v>
      </c>
      <c r="G744" s="20">
        <v>52</v>
      </c>
      <c r="H744" s="11">
        <v>7557.6728892519895</v>
      </c>
      <c r="I744" s="10">
        <v>3977538.1458014101</v>
      </c>
      <c r="J744" s="34">
        <f t="shared" si="44"/>
        <v>1.9000880977671278E-3</v>
      </c>
      <c r="K744" s="34">
        <f t="shared" si="45"/>
        <v>1.8982840731602835E-3</v>
      </c>
      <c r="L744" s="34">
        <f t="shared" si="46"/>
        <v>0.98467300400672542</v>
      </c>
      <c r="M744" s="34">
        <f t="shared" si="47"/>
        <v>0.98280381492594859</v>
      </c>
    </row>
    <row r="745" spans="1:13" ht="69">
      <c r="A745" t="s">
        <v>164</v>
      </c>
      <c r="B745" t="s">
        <v>115</v>
      </c>
      <c r="C745" s="14" t="s">
        <v>291</v>
      </c>
      <c r="D745" t="s">
        <v>366</v>
      </c>
      <c r="E745" t="s">
        <v>383</v>
      </c>
      <c r="F745" s="20">
        <v>2043</v>
      </c>
      <c r="G745" s="20">
        <v>53</v>
      </c>
      <c r="H745" s="11">
        <v>8152.6245834126803</v>
      </c>
      <c r="I745" s="10">
        <v>3945182.8623755299</v>
      </c>
      <c r="J745" s="34">
        <f t="shared" si="44"/>
        <v>2.066475716794457E-3</v>
      </c>
      <c r="K745" s="34">
        <f t="shared" si="45"/>
        <v>2.0643420258436018E-3</v>
      </c>
      <c r="L745" s="34">
        <f t="shared" si="46"/>
        <v>0.98280381492594859</v>
      </c>
      <c r="M745" s="34">
        <f t="shared" si="47"/>
        <v>0.9807749717076375</v>
      </c>
    </row>
    <row r="746" spans="1:13" ht="69">
      <c r="A746" t="s">
        <v>164</v>
      </c>
      <c r="B746" t="s">
        <v>115</v>
      </c>
      <c r="C746" s="14" t="s">
        <v>291</v>
      </c>
      <c r="D746" t="s">
        <v>366</v>
      </c>
      <c r="E746" t="s">
        <v>383</v>
      </c>
      <c r="F746" s="20">
        <v>2043</v>
      </c>
      <c r="G746" s="20">
        <v>54</v>
      </c>
      <c r="H746" s="11">
        <v>8914.3243501786801</v>
      </c>
      <c r="I746" s="10">
        <v>3933320.8468533801</v>
      </c>
      <c r="J746" s="34">
        <f t="shared" si="44"/>
        <v>2.2663608429782829E-3</v>
      </c>
      <c r="K746" s="34">
        <f t="shared" si="45"/>
        <v>2.2637945862969966E-3</v>
      </c>
      <c r="L746" s="34">
        <f t="shared" si="46"/>
        <v>0.9807749717076375</v>
      </c>
      <c r="M746" s="34">
        <f t="shared" si="47"/>
        <v>0.97855469863631017</v>
      </c>
    </row>
    <row r="747" spans="1:13" ht="69">
      <c r="A747" t="s">
        <v>164</v>
      </c>
      <c r="B747" t="s">
        <v>115</v>
      </c>
      <c r="C747" s="14" t="s">
        <v>291</v>
      </c>
      <c r="D747" t="s">
        <v>366</v>
      </c>
      <c r="E747" t="s">
        <v>383</v>
      </c>
      <c r="F747" s="20">
        <v>2043</v>
      </c>
      <c r="G747" s="20">
        <v>55</v>
      </c>
      <c r="H747" s="11">
        <v>9712.0977672266199</v>
      </c>
      <c r="I747" s="10">
        <v>3875480.0859975601</v>
      </c>
      <c r="J747" s="34">
        <f t="shared" si="44"/>
        <v>2.5060373300116435E-3</v>
      </c>
      <c r="K747" s="34">
        <f t="shared" si="45"/>
        <v>2.5028998398982649E-3</v>
      </c>
      <c r="L747" s="34">
        <f t="shared" si="46"/>
        <v>0.97855469863631017</v>
      </c>
      <c r="M747" s="34">
        <f t="shared" si="47"/>
        <v>0.97610547423776162</v>
      </c>
    </row>
    <row r="748" spans="1:13" ht="69">
      <c r="A748" t="s">
        <v>164</v>
      </c>
      <c r="B748" t="s">
        <v>115</v>
      </c>
      <c r="C748" s="14" t="s">
        <v>291</v>
      </c>
      <c r="D748" t="s">
        <v>366</v>
      </c>
      <c r="E748" t="s">
        <v>383</v>
      </c>
      <c r="F748" s="20">
        <v>2043</v>
      </c>
      <c r="G748" s="20">
        <v>56</v>
      </c>
      <c r="H748" s="11">
        <v>10439.7960806223</v>
      </c>
      <c r="I748" s="10">
        <v>3808231.8698235499</v>
      </c>
      <c r="J748" s="34">
        <f t="shared" si="44"/>
        <v>2.7413761654975109E-3</v>
      </c>
      <c r="K748" s="34">
        <f t="shared" si="45"/>
        <v>2.7376220251442707E-3</v>
      </c>
      <c r="L748" s="34">
        <f t="shared" si="46"/>
        <v>0.97610547423776162</v>
      </c>
      <c r="M748" s="34">
        <f t="shared" si="47"/>
        <v>0.9734332663926244</v>
      </c>
    </row>
    <row r="749" spans="1:13" ht="69">
      <c r="A749" t="s">
        <v>164</v>
      </c>
      <c r="B749" t="s">
        <v>115</v>
      </c>
      <c r="C749" s="14" t="s">
        <v>291</v>
      </c>
      <c r="D749" t="s">
        <v>366</v>
      </c>
      <c r="E749" t="s">
        <v>383</v>
      </c>
      <c r="F749" s="20">
        <v>2043</v>
      </c>
      <c r="G749" s="20">
        <v>57</v>
      </c>
      <c r="H749" s="11">
        <v>11512.731770325299</v>
      </c>
      <c r="I749" s="10">
        <v>3797529.6909664501</v>
      </c>
      <c r="J749" s="34">
        <f t="shared" si="44"/>
        <v>3.0316370659883829E-3</v>
      </c>
      <c r="K749" s="34">
        <f t="shared" si="45"/>
        <v>3.0270462946944132E-3</v>
      </c>
      <c r="L749" s="34">
        <f t="shared" si="46"/>
        <v>0.9734332663926244</v>
      </c>
      <c r="M749" s="34">
        <f t="shared" si="47"/>
        <v>0.97048663883045827</v>
      </c>
    </row>
    <row r="750" spans="1:13" ht="69">
      <c r="A750" t="s">
        <v>164</v>
      </c>
      <c r="B750" t="s">
        <v>115</v>
      </c>
      <c r="C750" s="14" t="s">
        <v>291</v>
      </c>
      <c r="D750" t="s">
        <v>366</v>
      </c>
      <c r="E750" t="s">
        <v>383</v>
      </c>
      <c r="F750" s="20">
        <v>2043</v>
      </c>
      <c r="G750" s="20">
        <v>58</v>
      </c>
      <c r="H750" s="11">
        <v>12845.850021791501</v>
      </c>
      <c r="I750" s="10">
        <v>3837543.4149263501</v>
      </c>
      <c r="J750" s="34">
        <f t="shared" si="44"/>
        <v>3.347414903979148E-3</v>
      </c>
      <c r="K750" s="34">
        <f t="shared" si="45"/>
        <v>3.3418185568828696E-3</v>
      </c>
      <c r="L750" s="34">
        <f t="shared" si="46"/>
        <v>0.97048663883045827</v>
      </c>
      <c r="M750" s="34">
        <f t="shared" si="47"/>
        <v>0.96724344857160771</v>
      </c>
    </row>
    <row r="751" spans="1:13" ht="69">
      <c r="A751" t="s">
        <v>164</v>
      </c>
      <c r="B751" t="s">
        <v>115</v>
      </c>
      <c r="C751" s="14" t="s">
        <v>291</v>
      </c>
      <c r="D751" t="s">
        <v>366</v>
      </c>
      <c r="E751" t="s">
        <v>383</v>
      </c>
      <c r="F751" s="20">
        <v>2043</v>
      </c>
      <c r="G751" s="20">
        <v>59</v>
      </c>
      <c r="H751" s="11">
        <v>13573.0103261847</v>
      </c>
      <c r="I751" s="10">
        <v>3835696.8977409401</v>
      </c>
      <c r="J751" s="34">
        <f t="shared" si="44"/>
        <v>3.538603463213847E-3</v>
      </c>
      <c r="K751" s="34">
        <f t="shared" si="45"/>
        <v>3.5323499843474826E-3</v>
      </c>
      <c r="L751" s="34">
        <f t="shared" si="46"/>
        <v>0.96724344857160771</v>
      </c>
      <c r="M751" s="34">
        <f t="shared" si="47"/>
        <v>0.96382680619118555</v>
      </c>
    </row>
    <row r="752" spans="1:13" ht="69">
      <c r="A752" t="s">
        <v>164</v>
      </c>
      <c r="B752" t="s">
        <v>115</v>
      </c>
      <c r="C752" s="14" t="s">
        <v>291</v>
      </c>
      <c r="D752" t="s">
        <v>366</v>
      </c>
      <c r="E752" t="s">
        <v>383</v>
      </c>
      <c r="F752" s="20">
        <v>2043</v>
      </c>
      <c r="G752" s="20">
        <v>60</v>
      </c>
      <c r="H752" s="11">
        <v>14235.589745770199</v>
      </c>
      <c r="I752" s="10">
        <v>3779076.4322268902</v>
      </c>
      <c r="J752" s="34">
        <f t="shared" si="44"/>
        <v>3.7669494123942914E-3</v>
      </c>
      <c r="K752" s="34">
        <f t="shared" si="45"/>
        <v>3.7598633588505903E-3</v>
      </c>
      <c r="L752" s="34">
        <f t="shared" si="46"/>
        <v>0.96382680619118555</v>
      </c>
      <c r="M752" s="34">
        <f t="shared" si="47"/>
        <v>0.96020294909830928</v>
      </c>
    </row>
    <row r="753" spans="1:13" ht="69">
      <c r="A753" t="s">
        <v>164</v>
      </c>
      <c r="B753" t="s">
        <v>115</v>
      </c>
      <c r="C753" s="14" t="s">
        <v>291</v>
      </c>
      <c r="D753" t="s">
        <v>366</v>
      </c>
      <c r="E753" t="s">
        <v>383</v>
      </c>
      <c r="F753" s="20">
        <v>2043</v>
      </c>
      <c r="G753" s="20">
        <v>61</v>
      </c>
      <c r="H753" s="11">
        <v>14896.6521043919</v>
      </c>
      <c r="I753" s="10">
        <v>3698559.58619799</v>
      </c>
      <c r="J753" s="34">
        <f t="shared" si="44"/>
        <v>4.027690174299779E-3</v>
      </c>
      <c r="K753" s="34">
        <f t="shared" si="45"/>
        <v>4.0195899089985332E-3</v>
      </c>
      <c r="L753" s="34">
        <f t="shared" si="46"/>
        <v>0.96020294909830928</v>
      </c>
      <c r="M753" s="34">
        <f t="shared" si="47"/>
        <v>0.95634332701352309</v>
      </c>
    </row>
    <row r="754" spans="1:13" ht="69">
      <c r="A754" t="s">
        <v>164</v>
      </c>
      <c r="B754" t="s">
        <v>115</v>
      </c>
      <c r="C754" s="14" t="s">
        <v>291</v>
      </c>
      <c r="D754" t="s">
        <v>366</v>
      </c>
      <c r="E754" t="s">
        <v>383</v>
      </c>
      <c r="F754" s="20">
        <v>2043</v>
      </c>
      <c r="G754" s="20">
        <v>62</v>
      </c>
      <c r="H754" s="11">
        <v>15682.4687399256</v>
      </c>
      <c r="I754" s="10">
        <v>3610845.4950591601</v>
      </c>
      <c r="J754" s="34">
        <f t="shared" si="44"/>
        <v>4.3431569590514033E-3</v>
      </c>
      <c r="K754" s="34">
        <f t="shared" si="45"/>
        <v>4.3337390922237873E-3</v>
      </c>
      <c r="L754" s="34">
        <f t="shared" si="46"/>
        <v>0.95634332701352309</v>
      </c>
      <c r="M754" s="34">
        <f t="shared" si="47"/>
        <v>0.95219878455165718</v>
      </c>
    </row>
    <row r="755" spans="1:13" ht="69">
      <c r="A755" t="s">
        <v>164</v>
      </c>
      <c r="B755" t="s">
        <v>115</v>
      </c>
      <c r="C755" s="14" t="s">
        <v>291</v>
      </c>
      <c r="D755" t="s">
        <v>366</v>
      </c>
      <c r="E755" t="s">
        <v>383</v>
      </c>
      <c r="F755" s="20">
        <v>2043</v>
      </c>
      <c r="G755" s="20">
        <v>63</v>
      </c>
      <c r="H755" s="11">
        <v>16525.872813904902</v>
      </c>
      <c r="I755" s="10">
        <v>3526537.7863302398</v>
      </c>
      <c r="J755" s="34">
        <f t="shared" si="44"/>
        <v>4.686146531015037E-3</v>
      </c>
      <c r="K755" s="34">
        <f t="shared" si="45"/>
        <v>4.6751836775578148E-3</v>
      </c>
      <c r="L755" s="34">
        <f t="shared" si="46"/>
        <v>0.95219878455165718</v>
      </c>
      <c r="M755" s="34">
        <f t="shared" si="47"/>
        <v>0.94774708033633093</v>
      </c>
    </row>
    <row r="756" spans="1:13" ht="69">
      <c r="A756" t="s">
        <v>164</v>
      </c>
      <c r="B756" t="s">
        <v>115</v>
      </c>
      <c r="C756" s="14" t="s">
        <v>291</v>
      </c>
      <c r="D756" t="s">
        <v>366</v>
      </c>
      <c r="E756" t="s">
        <v>383</v>
      </c>
      <c r="F756" s="20">
        <v>2043</v>
      </c>
      <c r="G756" s="20">
        <v>64</v>
      </c>
      <c r="H756" s="11">
        <v>17645.679935622698</v>
      </c>
      <c r="I756" s="10">
        <v>3428195.6527057802</v>
      </c>
      <c r="J756" s="34">
        <f t="shared" si="44"/>
        <v>5.1472207899497949E-3</v>
      </c>
      <c r="K756" s="34">
        <f t="shared" si="45"/>
        <v>5.1339965481126404E-3</v>
      </c>
      <c r="L756" s="34">
        <f t="shared" si="46"/>
        <v>0.94774708033633093</v>
      </c>
      <c r="M756" s="34">
        <f t="shared" si="47"/>
        <v>0.94288135009740037</v>
      </c>
    </row>
    <row r="757" spans="1:13" ht="69">
      <c r="A757" t="s">
        <v>164</v>
      </c>
      <c r="B757" t="s">
        <v>115</v>
      </c>
      <c r="C757" s="14" t="s">
        <v>291</v>
      </c>
      <c r="D757" t="s">
        <v>366</v>
      </c>
      <c r="E757" t="s">
        <v>383</v>
      </c>
      <c r="F757" s="20">
        <v>2043</v>
      </c>
      <c r="G757" s="20">
        <v>65</v>
      </c>
      <c r="H757" s="11">
        <v>18589.471108228401</v>
      </c>
      <c r="I757" s="10">
        <v>3306823.3932364602</v>
      </c>
      <c r="J757" s="34">
        <f t="shared" si="44"/>
        <v>5.6215494139330137E-3</v>
      </c>
      <c r="K757" s="34">
        <f t="shared" si="45"/>
        <v>5.6057780719916961E-3</v>
      </c>
      <c r="L757" s="34">
        <f t="shared" si="46"/>
        <v>0.94288135009740037</v>
      </c>
      <c r="M757" s="34">
        <f t="shared" si="47"/>
        <v>0.93759576650053444</v>
      </c>
    </row>
    <row r="758" spans="1:13" ht="69">
      <c r="A758" t="s">
        <v>164</v>
      </c>
      <c r="B758" t="s">
        <v>115</v>
      </c>
      <c r="C758" s="14" t="s">
        <v>291</v>
      </c>
      <c r="D758" t="s">
        <v>366</v>
      </c>
      <c r="E758" t="s">
        <v>383</v>
      </c>
      <c r="F758" s="20">
        <v>2043</v>
      </c>
      <c r="G758" s="20">
        <v>66</v>
      </c>
      <c r="H758" s="11">
        <v>18871.112484900201</v>
      </c>
      <c r="I758" s="10">
        <v>3188061.4745656</v>
      </c>
      <c r="J758" s="34">
        <f t="shared" si="44"/>
        <v>5.9193063356695616E-3</v>
      </c>
      <c r="K758" s="34">
        <f t="shared" si="45"/>
        <v>5.9018217577900822E-3</v>
      </c>
      <c r="L758" s="34">
        <f t="shared" si="46"/>
        <v>0.93759576650053444</v>
      </c>
      <c r="M758" s="34">
        <f t="shared" si="47"/>
        <v>0.93206224340578969</v>
      </c>
    </row>
    <row r="759" spans="1:13" ht="69">
      <c r="A759" t="s">
        <v>164</v>
      </c>
      <c r="B759" t="s">
        <v>115</v>
      </c>
      <c r="C759" s="14" t="s">
        <v>291</v>
      </c>
      <c r="D759" t="s">
        <v>366</v>
      </c>
      <c r="E759" t="s">
        <v>383</v>
      </c>
      <c r="F759" s="20">
        <v>2043</v>
      </c>
      <c r="G759" s="20">
        <v>67</v>
      </c>
      <c r="H759" s="11">
        <v>19880.062860878501</v>
      </c>
      <c r="I759" s="10">
        <v>3079860.5022103898</v>
      </c>
      <c r="J759" s="34">
        <f t="shared" si="44"/>
        <v>6.4548582140687046E-3</v>
      </c>
      <c r="K759" s="34">
        <f t="shared" si="45"/>
        <v>6.4340703683678502E-3</v>
      </c>
      <c r="L759" s="34">
        <f t="shared" si="46"/>
        <v>0.93206224340578969</v>
      </c>
      <c r="M759" s="34">
        <f t="shared" si="47"/>
        <v>0.92606528934401799</v>
      </c>
    </row>
    <row r="760" spans="1:13" ht="69">
      <c r="A760" t="s">
        <v>164</v>
      </c>
      <c r="B760" t="s">
        <v>115</v>
      </c>
      <c r="C760" s="14" t="s">
        <v>291</v>
      </c>
      <c r="D760" t="s">
        <v>366</v>
      </c>
      <c r="E760" t="s">
        <v>383</v>
      </c>
      <c r="F760" s="20">
        <v>2043</v>
      </c>
      <c r="G760" s="20">
        <v>68</v>
      </c>
      <c r="H760" s="11">
        <v>20716.742246445101</v>
      </c>
      <c r="I760" s="10">
        <v>2959533.89422184</v>
      </c>
      <c r="J760" s="34">
        <f t="shared" si="44"/>
        <v>7.0000016850262237E-3</v>
      </c>
      <c r="K760" s="34">
        <f t="shared" si="45"/>
        <v>6.97555874003708E-3</v>
      </c>
      <c r="L760" s="34">
        <f t="shared" si="46"/>
        <v>0.92606528934401799</v>
      </c>
      <c r="M760" s="34">
        <f t="shared" si="47"/>
        <v>0.91960546652108932</v>
      </c>
    </row>
    <row r="761" spans="1:13" ht="69">
      <c r="A761" t="s">
        <v>164</v>
      </c>
      <c r="B761" t="s">
        <v>115</v>
      </c>
      <c r="C761" s="14" t="s">
        <v>291</v>
      </c>
      <c r="D761" t="s">
        <v>366</v>
      </c>
      <c r="E761" t="s">
        <v>383</v>
      </c>
      <c r="F761" s="20">
        <v>2043</v>
      </c>
      <c r="G761" s="20">
        <v>69</v>
      </c>
      <c r="H761" s="11">
        <v>21059.3857684547</v>
      </c>
      <c r="I761" s="10">
        <v>2850044.29243958</v>
      </c>
      <c r="J761" s="34">
        <f t="shared" si="44"/>
        <v>7.3891433281650142E-3</v>
      </c>
      <c r="K761" s="34">
        <f t="shared" si="45"/>
        <v>7.3619107250874061E-3</v>
      </c>
      <c r="L761" s="34">
        <f t="shared" si="46"/>
        <v>0.91960546652108932</v>
      </c>
      <c r="M761" s="34">
        <f t="shared" si="47"/>
        <v>0.91283541317425876</v>
      </c>
    </row>
    <row r="762" spans="1:13" ht="69">
      <c r="A762" t="s">
        <v>164</v>
      </c>
      <c r="B762" t="s">
        <v>115</v>
      </c>
      <c r="C762" s="14" t="s">
        <v>291</v>
      </c>
      <c r="D762" t="s">
        <v>366</v>
      </c>
      <c r="E762" t="s">
        <v>383</v>
      </c>
      <c r="F762" s="20">
        <v>2044</v>
      </c>
      <c r="G762" s="20">
        <v>30</v>
      </c>
      <c r="H762" s="11">
        <v>734.80118562264602</v>
      </c>
      <c r="I762" s="10">
        <v>4734827.4465319701</v>
      </c>
      <c r="J762" s="34">
        <f t="shared" si="44"/>
        <v>1.5519069996116798E-4</v>
      </c>
      <c r="K762" s="34">
        <f t="shared" si="45"/>
        <v>1.5517865850744883E-4</v>
      </c>
      <c r="L762" s="34">
        <f t="shared" si="46"/>
        <v>1</v>
      </c>
      <c r="M762" s="34">
        <f t="shared" si="47"/>
        <v>0.99984482134149255</v>
      </c>
    </row>
    <row r="763" spans="1:13" ht="69">
      <c r="A763" t="s">
        <v>164</v>
      </c>
      <c r="B763" t="s">
        <v>115</v>
      </c>
      <c r="C763" s="14" t="s">
        <v>291</v>
      </c>
      <c r="D763" t="s">
        <v>366</v>
      </c>
      <c r="E763" t="s">
        <v>383</v>
      </c>
      <c r="F763" s="20">
        <v>2044</v>
      </c>
      <c r="G763" s="20">
        <v>31</v>
      </c>
      <c r="H763" s="11">
        <v>1067.835049862</v>
      </c>
      <c r="I763" s="10">
        <v>4826300.5884446902</v>
      </c>
      <c r="J763" s="34">
        <f t="shared" si="44"/>
        <v>2.2125332442381453E-4</v>
      </c>
      <c r="K763" s="34">
        <f t="shared" si="45"/>
        <v>2.2122884971209622E-4</v>
      </c>
      <c r="L763" s="34">
        <f t="shared" si="46"/>
        <v>0.99984482134149255</v>
      </c>
      <c r="M763" s="34">
        <f t="shared" si="47"/>
        <v>0.99962362682177652</v>
      </c>
    </row>
    <row r="764" spans="1:13" ht="69">
      <c r="A764" t="s">
        <v>164</v>
      </c>
      <c r="B764" t="s">
        <v>115</v>
      </c>
      <c r="C764" s="14" t="s">
        <v>291</v>
      </c>
      <c r="D764" t="s">
        <v>366</v>
      </c>
      <c r="E764" t="s">
        <v>383</v>
      </c>
      <c r="F764" s="20">
        <v>2044</v>
      </c>
      <c r="G764" s="20">
        <v>32</v>
      </c>
      <c r="H764" s="11">
        <v>1109.89655901581</v>
      </c>
      <c r="I764" s="10">
        <v>4869946.0563740795</v>
      </c>
      <c r="J764" s="34">
        <f t="shared" si="44"/>
        <v>2.2790736204626134E-4</v>
      </c>
      <c r="K764" s="34">
        <f t="shared" si="45"/>
        <v>2.2788139313634215E-4</v>
      </c>
      <c r="L764" s="34">
        <f t="shared" si="46"/>
        <v>0.99962362682177652</v>
      </c>
      <c r="M764" s="34">
        <f t="shared" si="47"/>
        <v>0.99939583119708442</v>
      </c>
    </row>
    <row r="765" spans="1:13" ht="69">
      <c r="A765" t="s">
        <v>164</v>
      </c>
      <c r="B765" t="s">
        <v>115</v>
      </c>
      <c r="C765" s="14" t="s">
        <v>291</v>
      </c>
      <c r="D765" t="s">
        <v>366</v>
      </c>
      <c r="E765" t="s">
        <v>383</v>
      </c>
      <c r="F765" s="20">
        <v>2044</v>
      </c>
      <c r="G765" s="20">
        <v>33</v>
      </c>
      <c r="H765" s="11">
        <v>1140.31418825796</v>
      </c>
      <c r="I765" s="10">
        <v>4790351.9255170804</v>
      </c>
      <c r="J765" s="34">
        <f t="shared" si="44"/>
        <v>2.3804392787589863E-4</v>
      </c>
      <c r="K765" s="34">
        <f t="shared" si="45"/>
        <v>2.3801559766811753E-4</v>
      </c>
      <c r="L765" s="34">
        <f t="shared" si="46"/>
        <v>0.99939583119708442</v>
      </c>
      <c r="M765" s="34">
        <f t="shared" si="47"/>
        <v>0.99915795940101504</v>
      </c>
    </row>
    <row r="766" spans="1:13" ht="69">
      <c r="A766" t="s">
        <v>164</v>
      </c>
      <c r="B766" t="s">
        <v>115</v>
      </c>
      <c r="C766" s="14" t="s">
        <v>291</v>
      </c>
      <c r="D766" t="s">
        <v>366</v>
      </c>
      <c r="E766" t="s">
        <v>383</v>
      </c>
      <c r="F766" s="20">
        <v>2044</v>
      </c>
      <c r="G766" s="20">
        <v>34</v>
      </c>
      <c r="H766" s="11">
        <v>1170.0627129166901</v>
      </c>
      <c r="I766" s="10">
        <v>4689239.47479943</v>
      </c>
      <c r="J766" s="34">
        <f t="shared" si="44"/>
        <v>2.4952078459732248E-4</v>
      </c>
      <c r="K766" s="34">
        <f t="shared" si="45"/>
        <v>2.4948965687543456E-4</v>
      </c>
      <c r="L766" s="34">
        <f t="shared" si="46"/>
        <v>0.99915795940101504</v>
      </c>
      <c r="M766" s="34">
        <f t="shared" si="47"/>
        <v>0.99890867982455978</v>
      </c>
    </row>
    <row r="767" spans="1:13" ht="69">
      <c r="A767" t="s">
        <v>164</v>
      </c>
      <c r="B767" t="s">
        <v>115</v>
      </c>
      <c r="C767" s="14" t="s">
        <v>291</v>
      </c>
      <c r="D767" t="s">
        <v>366</v>
      </c>
      <c r="E767" t="s">
        <v>383</v>
      </c>
      <c r="F767" s="20">
        <v>2044</v>
      </c>
      <c r="G767" s="20">
        <v>35</v>
      </c>
      <c r="H767" s="11">
        <v>1230.9508566218001</v>
      </c>
      <c r="I767" s="10">
        <v>4632359.9429114796</v>
      </c>
      <c r="J767" s="34">
        <f t="shared" si="44"/>
        <v>2.6572867216534483E-4</v>
      </c>
      <c r="K767" s="34">
        <f t="shared" si="45"/>
        <v>2.6569336942883215E-4</v>
      </c>
      <c r="L767" s="34">
        <f t="shared" si="46"/>
        <v>0.99890867982455978</v>
      </c>
      <c r="M767" s="34">
        <f t="shared" si="47"/>
        <v>0.9986432764116655</v>
      </c>
    </row>
    <row r="768" spans="1:13" ht="69">
      <c r="A768" t="s">
        <v>164</v>
      </c>
      <c r="B768" t="s">
        <v>115</v>
      </c>
      <c r="C768" s="14" t="s">
        <v>291</v>
      </c>
      <c r="D768" t="s">
        <v>366</v>
      </c>
      <c r="E768" t="s">
        <v>383</v>
      </c>
      <c r="F768" s="20">
        <v>2044</v>
      </c>
      <c r="G768" s="20">
        <v>36</v>
      </c>
      <c r="H768" s="11">
        <v>1550.7121558418801</v>
      </c>
      <c r="I768" s="10">
        <v>4623925.7517204201</v>
      </c>
      <c r="J768" s="34">
        <f t="shared" si="44"/>
        <v>3.3536701043802614E-4</v>
      </c>
      <c r="K768" s="34">
        <f t="shared" si="45"/>
        <v>3.353107812081868E-4</v>
      </c>
      <c r="L768" s="34">
        <f t="shared" si="46"/>
        <v>0.9986432764116655</v>
      </c>
      <c r="M768" s="34">
        <f t="shared" si="47"/>
        <v>0.99830842055450364</v>
      </c>
    </row>
    <row r="769" spans="1:13" ht="69">
      <c r="A769" t="s">
        <v>164</v>
      </c>
      <c r="B769" t="s">
        <v>115</v>
      </c>
      <c r="C769" s="14" t="s">
        <v>291</v>
      </c>
      <c r="D769" t="s">
        <v>366</v>
      </c>
      <c r="E769" t="s">
        <v>383</v>
      </c>
      <c r="F769" s="20">
        <v>2044</v>
      </c>
      <c r="G769" s="20">
        <v>37</v>
      </c>
      <c r="H769" s="11">
        <v>1664.9814874338799</v>
      </c>
      <c r="I769" s="10">
        <v>4595539.4667590903</v>
      </c>
      <c r="J769" s="34">
        <f t="shared" si="44"/>
        <v>3.6230381644574881E-4</v>
      </c>
      <c r="K769" s="34">
        <f t="shared" si="45"/>
        <v>3.6223819234360022E-4</v>
      </c>
      <c r="L769" s="34">
        <f t="shared" si="46"/>
        <v>0.99830842055450364</v>
      </c>
      <c r="M769" s="34">
        <f t="shared" si="47"/>
        <v>0.99794679511684059</v>
      </c>
    </row>
    <row r="770" spans="1:13" ht="69">
      <c r="A770" t="s">
        <v>164</v>
      </c>
      <c r="B770" t="s">
        <v>115</v>
      </c>
      <c r="C770" s="14" t="s">
        <v>291</v>
      </c>
      <c r="D770" t="s">
        <v>366</v>
      </c>
      <c r="E770" t="s">
        <v>383</v>
      </c>
      <c r="F770" s="20">
        <v>2044</v>
      </c>
      <c r="G770" s="20">
        <v>38</v>
      </c>
      <c r="H770" s="11">
        <v>1785.8459665903799</v>
      </c>
      <c r="I770" s="10">
        <v>4523504.1303920103</v>
      </c>
      <c r="J770" s="34">
        <f t="shared" ref="J770:J833" si="48">IF(I770&gt;0,H770/I770,0)</f>
        <v>3.9479260217578649E-4</v>
      </c>
      <c r="K770" s="34">
        <f t="shared" ref="K770:K833" si="49">1-EXP(-J770)</f>
        <v>3.9471468183083225E-4</v>
      </c>
      <c r="L770" s="34">
        <f t="shared" ref="L770:L833" si="50">IF(G770=30,1,M769)</f>
        <v>0.99794679511684059</v>
      </c>
      <c r="M770" s="34">
        <f t="shared" ref="M770:M833" si="51">L770*(1-K770)</f>
        <v>0.997552890865122</v>
      </c>
    </row>
    <row r="771" spans="1:13" ht="69">
      <c r="A771" t="s">
        <v>164</v>
      </c>
      <c r="B771" t="s">
        <v>115</v>
      </c>
      <c r="C771" s="14" t="s">
        <v>291</v>
      </c>
      <c r="D771" t="s">
        <v>366</v>
      </c>
      <c r="E771" t="s">
        <v>383</v>
      </c>
      <c r="F771" s="20">
        <v>2044</v>
      </c>
      <c r="G771" s="20">
        <v>39</v>
      </c>
      <c r="H771" s="11">
        <v>1848.9773286438599</v>
      </c>
      <c r="I771" s="10">
        <v>4428637.8513795603</v>
      </c>
      <c r="J771" s="34">
        <f t="shared" si="48"/>
        <v>4.1750474766589617E-4</v>
      </c>
      <c r="K771" s="34">
        <f t="shared" si="49"/>
        <v>4.1741760468672062E-4</v>
      </c>
      <c r="L771" s="34">
        <f t="shared" si="50"/>
        <v>0.997552890865122</v>
      </c>
      <c r="M771" s="34">
        <f t="shared" si="51"/>
        <v>0.99713649472686872</v>
      </c>
    </row>
    <row r="772" spans="1:13" ht="69">
      <c r="A772" t="s">
        <v>164</v>
      </c>
      <c r="B772" t="s">
        <v>115</v>
      </c>
      <c r="C772" s="14" t="s">
        <v>291</v>
      </c>
      <c r="D772" t="s">
        <v>366</v>
      </c>
      <c r="E772" t="s">
        <v>383</v>
      </c>
      <c r="F772" s="20">
        <v>2044</v>
      </c>
      <c r="G772" s="20">
        <v>40</v>
      </c>
      <c r="H772" s="11">
        <v>1973.8379282789199</v>
      </c>
      <c r="I772" s="10">
        <v>4330038.1443565097</v>
      </c>
      <c r="J772" s="34">
        <f t="shared" si="48"/>
        <v>4.5584769982950197E-4</v>
      </c>
      <c r="K772" s="34">
        <f t="shared" si="49"/>
        <v>4.5574381705226763E-4</v>
      </c>
      <c r="L772" s="34">
        <f t="shared" si="50"/>
        <v>0.99713649472686872</v>
      </c>
      <c r="M772" s="34">
        <f t="shared" si="51"/>
        <v>0.99668205593463977</v>
      </c>
    </row>
    <row r="773" spans="1:13" ht="69">
      <c r="A773" t="s">
        <v>164</v>
      </c>
      <c r="B773" t="s">
        <v>115</v>
      </c>
      <c r="C773" s="14" t="s">
        <v>291</v>
      </c>
      <c r="D773" t="s">
        <v>366</v>
      </c>
      <c r="E773" t="s">
        <v>383</v>
      </c>
      <c r="F773" s="20">
        <v>2044</v>
      </c>
      <c r="G773" s="20">
        <v>41</v>
      </c>
      <c r="H773" s="11">
        <v>2567.09166455786</v>
      </c>
      <c r="I773" s="10">
        <v>4284724.2363755303</v>
      </c>
      <c r="J773" s="34">
        <f t="shared" si="48"/>
        <v>5.9912646017316992E-4</v>
      </c>
      <c r="K773" s="34">
        <f t="shared" si="49"/>
        <v>5.9894701975315989E-4</v>
      </c>
      <c r="L773" s="34">
        <f t="shared" si="50"/>
        <v>0.99668205593463977</v>
      </c>
      <c r="M773" s="34">
        <f t="shared" si="51"/>
        <v>0.99608509618759622</v>
      </c>
    </row>
    <row r="774" spans="1:13" ht="69">
      <c r="A774" t="s">
        <v>164</v>
      </c>
      <c r="B774" t="s">
        <v>115</v>
      </c>
      <c r="C774" s="14" t="s">
        <v>291</v>
      </c>
      <c r="D774" t="s">
        <v>366</v>
      </c>
      <c r="E774" t="s">
        <v>383</v>
      </c>
      <c r="F774" s="20">
        <v>2044</v>
      </c>
      <c r="G774" s="20">
        <v>42</v>
      </c>
      <c r="H774" s="11">
        <v>2854.0217734101402</v>
      </c>
      <c r="I774" s="10">
        <v>4261819.96648518</v>
      </c>
      <c r="J774" s="34">
        <f t="shared" si="48"/>
        <v>6.6967206401351515E-4</v>
      </c>
      <c r="K774" s="34">
        <f t="shared" si="49"/>
        <v>6.6944788372202968E-4</v>
      </c>
      <c r="L774" s="34">
        <f t="shared" si="50"/>
        <v>0.99608509618759622</v>
      </c>
      <c r="M774" s="34">
        <f t="shared" si="51"/>
        <v>0.9954182691279464</v>
      </c>
    </row>
    <row r="775" spans="1:13" ht="69">
      <c r="A775" t="s">
        <v>164</v>
      </c>
      <c r="B775" t="s">
        <v>115</v>
      </c>
      <c r="C775" s="14" t="s">
        <v>291</v>
      </c>
      <c r="D775" t="s">
        <v>366</v>
      </c>
      <c r="E775" t="s">
        <v>383</v>
      </c>
      <c r="F775" s="20">
        <v>2044</v>
      </c>
      <c r="G775" s="20">
        <v>43</v>
      </c>
      <c r="H775" s="11">
        <v>3189.01216576964</v>
      </c>
      <c r="I775" s="10">
        <v>4238488.41999292</v>
      </c>
      <c r="J775" s="34">
        <f t="shared" si="48"/>
        <v>7.523937427142875E-4</v>
      </c>
      <c r="K775" s="34">
        <f t="shared" si="49"/>
        <v>7.5211076551684464E-4</v>
      </c>
      <c r="L775" s="34">
        <f t="shared" si="50"/>
        <v>0.9954182691279464</v>
      </c>
      <c r="M775" s="34">
        <f t="shared" si="51"/>
        <v>0.99466960433154317</v>
      </c>
    </row>
    <row r="776" spans="1:13" ht="69">
      <c r="A776" t="s">
        <v>164</v>
      </c>
      <c r="B776" t="s">
        <v>115</v>
      </c>
      <c r="C776" s="14" t="s">
        <v>291</v>
      </c>
      <c r="D776" t="s">
        <v>366</v>
      </c>
      <c r="E776" t="s">
        <v>383</v>
      </c>
      <c r="F776" s="20">
        <v>2044</v>
      </c>
      <c r="G776" s="20">
        <v>44</v>
      </c>
      <c r="H776" s="11">
        <v>3370.9354051217001</v>
      </c>
      <c r="I776" s="10">
        <v>4233907.5861406503</v>
      </c>
      <c r="J776" s="34">
        <f t="shared" si="48"/>
        <v>7.9617595248327594E-4</v>
      </c>
      <c r="K776" s="34">
        <f t="shared" si="49"/>
        <v>7.9585908850832165E-4</v>
      </c>
      <c r="L776" s="34">
        <f t="shared" si="50"/>
        <v>0.99466960433154317</v>
      </c>
      <c r="M776" s="34">
        <f t="shared" si="51"/>
        <v>0.99387798748687295</v>
      </c>
    </row>
    <row r="777" spans="1:13" ht="69">
      <c r="A777" t="s">
        <v>164</v>
      </c>
      <c r="B777" t="s">
        <v>115</v>
      </c>
      <c r="C777" s="14" t="s">
        <v>291</v>
      </c>
      <c r="D777" t="s">
        <v>366</v>
      </c>
      <c r="E777" t="s">
        <v>383</v>
      </c>
      <c r="F777" s="20">
        <v>2044</v>
      </c>
      <c r="G777" s="20">
        <v>45</v>
      </c>
      <c r="H777" s="11">
        <v>3696.9391032540898</v>
      </c>
      <c r="I777" s="10">
        <v>4266702.2657767003</v>
      </c>
      <c r="J777" s="34">
        <f t="shared" si="48"/>
        <v>8.6646287295631295E-4</v>
      </c>
      <c r="K777" s="34">
        <f t="shared" si="49"/>
        <v>8.6608760239503813E-4</v>
      </c>
      <c r="L777" s="34">
        <f t="shared" si="50"/>
        <v>0.99387798748687295</v>
      </c>
      <c r="M777" s="34">
        <f t="shared" si="51"/>
        <v>0.99301720208361721</v>
      </c>
    </row>
    <row r="778" spans="1:13" ht="69">
      <c r="A778" t="s">
        <v>164</v>
      </c>
      <c r="B778" t="s">
        <v>115</v>
      </c>
      <c r="C778" s="14" t="s">
        <v>291</v>
      </c>
      <c r="D778" t="s">
        <v>366</v>
      </c>
      <c r="E778" t="s">
        <v>383</v>
      </c>
      <c r="F778" s="20">
        <v>2044</v>
      </c>
      <c r="G778" s="20">
        <v>46</v>
      </c>
      <c r="H778" s="11">
        <v>4631.10073997782</v>
      </c>
      <c r="I778" s="10">
        <v>4301356.6927794702</v>
      </c>
      <c r="J778" s="34">
        <f t="shared" si="48"/>
        <v>1.0766604749966166E-3</v>
      </c>
      <c r="K778" s="34">
        <f t="shared" si="49"/>
        <v>1.0760810840618751E-3</v>
      </c>
      <c r="L778" s="34">
        <f t="shared" si="50"/>
        <v>0.99301720208361721</v>
      </c>
      <c r="M778" s="34">
        <f t="shared" si="51"/>
        <v>0.99194863505630704</v>
      </c>
    </row>
    <row r="779" spans="1:13" ht="69">
      <c r="A779" t="s">
        <v>164</v>
      </c>
      <c r="B779" t="s">
        <v>115</v>
      </c>
      <c r="C779" s="14" t="s">
        <v>291</v>
      </c>
      <c r="D779" t="s">
        <v>366</v>
      </c>
      <c r="E779" t="s">
        <v>383</v>
      </c>
      <c r="F779" s="20">
        <v>2044</v>
      </c>
      <c r="G779" s="20">
        <v>47</v>
      </c>
      <c r="H779" s="11">
        <v>5072.8251805325299</v>
      </c>
      <c r="I779" s="10">
        <v>4290296.09748</v>
      </c>
      <c r="J779" s="34">
        <f t="shared" si="48"/>
        <v>1.1823951226844613E-3</v>
      </c>
      <c r="K779" s="34">
        <f t="shared" si="49"/>
        <v>1.181696368999452E-3</v>
      </c>
      <c r="L779" s="34">
        <f t="shared" si="50"/>
        <v>0.99194863505630704</v>
      </c>
      <c r="M779" s="34">
        <f t="shared" si="51"/>
        <v>0.99077645295602701</v>
      </c>
    </row>
    <row r="780" spans="1:13" ht="69">
      <c r="A780" t="s">
        <v>164</v>
      </c>
      <c r="B780" t="s">
        <v>115</v>
      </c>
      <c r="C780" s="14" t="s">
        <v>291</v>
      </c>
      <c r="D780" t="s">
        <v>366</v>
      </c>
      <c r="E780" t="s">
        <v>383</v>
      </c>
      <c r="F780" s="20">
        <v>2044</v>
      </c>
      <c r="G780" s="20">
        <v>48</v>
      </c>
      <c r="H780" s="11">
        <v>5508.6351443834101</v>
      </c>
      <c r="I780" s="10">
        <v>4221011.2927812496</v>
      </c>
      <c r="J780" s="34">
        <f t="shared" si="48"/>
        <v>1.3050510321553149E-3</v>
      </c>
      <c r="K780" s="34">
        <f t="shared" si="49"/>
        <v>1.3041998233875862E-3</v>
      </c>
      <c r="L780" s="34">
        <f t="shared" si="50"/>
        <v>0.99077645295602701</v>
      </c>
      <c r="M780" s="34">
        <f t="shared" si="51"/>
        <v>0.98948428248106512</v>
      </c>
    </row>
    <row r="781" spans="1:13" ht="69">
      <c r="A781" t="s">
        <v>164</v>
      </c>
      <c r="B781" t="s">
        <v>115</v>
      </c>
      <c r="C781" s="14" t="s">
        <v>291</v>
      </c>
      <c r="D781" t="s">
        <v>366</v>
      </c>
      <c r="E781" t="s">
        <v>383</v>
      </c>
      <c r="F781" s="20">
        <v>2044</v>
      </c>
      <c r="G781" s="20">
        <v>49</v>
      </c>
      <c r="H781" s="11">
        <v>5827.1103531071303</v>
      </c>
      <c r="I781" s="10">
        <v>4148978.7891497002</v>
      </c>
      <c r="J781" s="34">
        <f t="shared" si="48"/>
        <v>1.4044685811231514E-3</v>
      </c>
      <c r="K781" s="34">
        <f t="shared" si="49"/>
        <v>1.4034827766898905E-3</v>
      </c>
      <c r="L781" s="34">
        <f t="shared" si="50"/>
        <v>0.98948428248106512</v>
      </c>
      <c r="M781" s="34">
        <f t="shared" si="51"/>
        <v>0.98809555833279761</v>
      </c>
    </row>
    <row r="782" spans="1:13" ht="69">
      <c r="A782" t="s">
        <v>164</v>
      </c>
      <c r="B782" t="s">
        <v>115</v>
      </c>
      <c r="C782" s="14" t="s">
        <v>291</v>
      </c>
      <c r="D782" t="s">
        <v>366</v>
      </c>
      <c r="E782" t="s">
        <v>383</v>
      </c>
      <c r="F782" s="20">
        <v>2044</v>
      </c>
      <c r="G782" s="20">
        <v>50</v>
      </c>
      <c r="H782" s="11">
        <v>6228.0175113177202</v>
      </c>
      <c r="I782" s="10">
        <v>4085291.3886045301</v>
      </c>
      <c r="J782" s="34">
        <f t="shared" si="48"/>
        <v>1.5244977454215599E-3</v>
      </c>
      <c r="K782" s="34">
        <f t="shared" si="49"/>
        <v>1.5233362890212376E-3</v>
      </c>
      <c r="L782" s="34">
        <f t="shared" si="50"/>
        <v>0.98809555833279761</v>
      </c>
      <c r="M782" s="34">
        <f t="shared" si="51"/>
        <v>0.98659035651176852</v>
      </c>
    </row>
    <row r="783" spans="1:13" ht="69">
      <c r="A783" t="s">
        <v>164</v>
      </c>
      <c r="B783" t="s">
        <v>115</v>
      </c>
      <c r="C783" s="14" t="s">
        <v>291</v>
      </c>
      <c r="D783" t="s">
        <v>366</v>
      </c>
      <c r="E783" t="s">
        <v>383</v>
      </c>
      <c r="F783" s="20">
        <v>2044</v>
      </c>
      <c r="G783" s="20">
        <v>51</v>
      </c>
      <c r="H783" s="11">
        <v>6928.5824455039701</v>
      </c>
      <c r="I783" s="10">
        <v>4023113.04787385</v>
      </c>
      <c r="J783" s="34">
        <f t="shared" si="48"/>
        <v>1.7221943214261934E-3</v>
      </c>
      <c r="K783" s="34">
        <f t="shared" si="49"/>
        <v>1.7207121957441007E-3</v>
      </c>
      <c r="L783" s="34">
        <f t="shared" si="50"/>
        <v>0.98659035651176852</v>
      </c>
      <c r="M783" s="34">
        <f t="shared" si="51"/>
        <v>0.98489271845311521</v>
      </c>
    </row>
    <row r="784" spans="1:13" ht="69">
      <c r="A784" t="s">
        <v>164</v>
      </c>
      <c r="B784" t="s">
        <v>115</v>
      </c>
      <c r="C784" s="14" t="s">
        <v>291</v>
      </c>
      <c r="D784" t="s">
        <v>366</v>
      </c>
      <c r="E784" t="s">
        <v>383</v>
      </c>
      <c r="F784" s="20">
        <v>2044</v>
      </c>
      <c r="G784" s="20">
        <v>52</v>
      </c>
      <c r="H784" s="11">
        <v>7475.0799816743202</v>
      </c>
      <c r="I784" s="10">
        <v>3993803.3715588599</v>
      </c>
      <c r="J784" s="34">
        <f t="shared" si="48"/>
        <v>1.8716695055411927E-3</v>
      </c>
      <c r="K784" s="34">
        <f t="shared" si="49"/>
        <v>1.8699190244498842E-3</v>
      </c>
      <c r="L784" s="34">
        <f t="shared" si="50"/>
        <v>0.98489271845311521</v>
      </c>
      <c r="M784" s="34">
        <f t="shared" si="51"/>
        <v>0.98305104882183758</v>
      </c>
    </row>
    <row r="785" spans="1:13" ht="69">
      <c r="A785" t="s">
        <v>164</v>
      </c>
      <c r="B785" t="s">
        <v>115</v>
      </c>
      <c r="C785" s="14" t="s">
        <v>291</v>
      </c>
      <c r="D785" t="s">
        <v>366</v>
      </c>
      <c r="E785" t="s">
        <v>383</v>
      </c>
      <c r="F785" s="20">
        <v>2044</v>
      </c>
      <c r="G785" s="20">
        <v>53</v>
      </c>
      <c r="H785" s="11">
        <v>8061.9336897790599</v>
      </c>
      <c r="I785" s="10">
        <v>3957691.0887394901</v>
      </c>
      <c r="J785" s="34">
        <f t="shared" si="48"/>
        <v>2.0370295480405358E-3</v>
      </c>
      <c r="K785" s="34">
        <f t="shared" si="49"/>
        <v>2.0349562114057029E-3</v>
      </c>
      <c r="L785" s="34">
        <f t="shared" si="50"/>
        <v>0.98305104882183758</v>
      </c>
      <c r="M785" s="34">
        <f t="shared" si="51"/>
        <v>0.98105058298390868</v>
      </c>
    </row>
    <row r="786" spans="1:13" ht="69">
      <c r="A786" t="s">
        <v>164</v>
      </c>
      <c r="B786" t="s">
        <v>115</v>
      </c>
      <c r="C786" s="14" t="s">
        <v>291</v>
      </c>
      <c r="D786" t="s">
        <v>366</v>
      </c>
      <c r="E786" t="s">
        <v>383</v>
      </c>
      <c r="F786" s="20">
        <v>2044</v>
      </c>
      <c r="G786" s="20">
        <v>54</v>
      </c>
      <c r="H786" s="11">
        <v>8757.2304554030197</v>
      </c>
      <c r="I786" s="10">
        <v>3923707.6687065102</v>
      </c>
      <c r="J786" s="34">
        <f t="shared" si="48"/>
        <v>2.2318763768377089E-3</v>
      </c>
      <c r="K786" s="34">
        <f t="shared" si="49"/>
        <v>2.2293875926541196E-3</v>
      </c>
      <c r="L786" s="34">
        <f t="shared" si="50"/>
        <v>0.98105058298390868</v>
      </c>
      <c r="M786" s="34">
        <f t="shared" si="51"/>
        <v>0.97886344098643829</v>
      </c>
    </row>
    <row r="787" spans="1:13" ht="69">
      <c r="A787" t="s">
        <v>164</v>
      </c>
      <c r="B787" t="s">
        <v>115</v>
      </c>
      <c r="C787" s="14" t="s">
        <v>291</v>
      </c>
      <c r="D787" t="s">
        <v>366</v>
      </c>
      <c r="E787" t="s">
        <v>383</v>
      </c>
      <c r="F787" s="20">
        <v>2044</v>
      </c>
      <c r="G787" s="20">
        <v>55</v>
      </c>
      <c r="H787" s="11">
        <v>9583.9388651124791</v>
      </c>
      <c r="I787" s="10">
        <v>3909913.3035718198</v>
      </c>
      <c r="J787" s="34">
        <f t="shared" si="48"/>
        <v>2.4511896098456383E-3</v>
      </c>
      <c r="K787" s="34">
        <f t="shared" si="49"/>
        <v>2.4481878976834182E-3</v>
      </c>
      <c r="L787" s="34">
        <f t="shared" si="50"/>
        <v>0.97886344098643829</v>
      </c>
      <c r="M787" s="34">
        <f t="shared" si="51"/>
        <v>0.97646699935673054</v>
      </c>
    </row>
    <row r="788" spans="1:13" ht="69">
      <c r="A788" t="s">
        <v>164</v>
      </c>
      <c r="B788" t="s">
        <v>115</v>
      </c>
      <c r="C788" s="14" t="s">
        <v>291</v>
      </c>
      <c r="D788" t="s">
        <v>366</v>
      </c>
      <c r="E788" t="s">
        <v>383</v>
      </c>
      <c r="F788" s="20">
        <v>2044</v>
      </c>
      <c r="G788" s="20">
        <v>56</v>
      </c>
      <c r="H788" s="11">
        <v>10323.2121569521</v>
      </c>
      <c r="I788" s="10">
        <v>3850201.4864533902</v>
      </c>
      <c r="J788" s="34">
        <f t="shared" si="48"/>
        <v>2.6812134879884738E-3</v>
      </c>
      <c r="K788" s="34">
        <f t="shared" si="49"/>
        <v>2.6776222454507614E-3</v>
      </c>
      <c r="L788" s="34">
        <f t="shared" si="50"/>
        <v>0.97646699935673054</v>
      </c>
      <c r="M788" s="34">
        <f t="shared" si="51"/>
        <v>0.97385238959730436</v>
      </c>
    </row>
    <row r="789" spans="1:13" ht="69">
      <c r="A789" t="s">
        <v>164</v>
      </c>
      <c r="B789" t="s">
        <v>115</v>
      </c>
      <c r="C789" s="14" t="s">
        <v>291</v>
      </c>
      <c r="D789" t="s">
        <v>366</v>
      </c>
      <c r="E789" t="s">
        <v>383</v>
      </c>
      <c r="F789" s="20">
        <v>2044</v>
      </c>
      <c r="G789" s="20">
        <v>57</v>
      </c>
      <c r="H789" s="11">
        <v>11217.5672296015</v>
      </c>
      <c r="I789" s="10">
        <v>3781034.8933129599</v>
      </c>
      <c r="J789" s="34">
        <f t="shared" si="48"/>
        <v>2.9667981243549479E-3</v>
      </c>
      <c r="K789" s="34">
        <f t="shared" si="49"/>
        <v>2.9624015278124638E-3</v>
      </c>
      <c r="L789" s="34">
        <f t="shared" si="50"/>
        <v>0.97385238959730436</v>
      </c>
      <c r="M789" s="34">
        <f t="shared" si="51"/>
        <v>0.97096744779049748</v>
      </c>
    </row>
    <row r="790" spans="1:13" ht="69">
      <c r="A790" t="s">
        <v>164</v>
      </c>
      <c r="B790" t="s">
        <v>115</v>
      </c>
      <c r="C790" s="14" t="s">
        <v>291</v>
      </c>
      <c r="D790" t="s">
        <v>366</v>
      </c>
      <c r="E790" t="s">
        <v>383</v>
      </c>
      <c r="F790" s="20">
        <v>2044</v>
      </c>
      <c r="G790" s="20">
        <v>58</v>
      </c>
      <c r="H790" s="11">
        <v>12351.1662704317</v>
      </c>
      <c r="I790" s="10">
        <v>3767786.35310008</v>
      </c>
      <c r="J790" s="34">
        <f t="shared" si="48"/>
        <v>3.2780962381981503E-3</v>
      </c>
      <c r="K790" s="34">
        <f t="shared" si="49"/>
        <v>3.272729146940323E-3</v>
      </c>
      <c r="L790" s="34">
        <f t="shared" si="50"/>
        <v>0.97096744779049748</v>
      </c>
      <c r="M790" s="34">
        <f t="shared" si="51"/>
        <v>0.96778973432338322</v>
      </c>
    </row>
    <row r="791" spans="1:13" ht="69">
      <c r="A791" t="s">
        <v>164</v>
      </c>
      <c r="B791" t="s">
        <v>115</v>
      </c>
      <c r="C791" s="14" t="s">
        <v>291</v>
      </c>
      <c r="D791" t="s">
        <v>366</v>
      </c>
      <c r="E791" t="s">
        <v>383</v>
      </c>
      <c r="F791" s="20">
        <v>2044</v>
      </c>
      <c r="G791" s="20">
        <v>59</v>
      </c>
      <c r="H791" s="11">
        <v>13180.8184541351</v>
      </c>
      <c r="I791" s="10">
        <v>3804574.6722105602</v>
      </c>
      <c r="J791" s="34">
        <f t="shared" si="48"/>
        <v>3.4644656997825964E-3</v>
      </c>
      <c r="K791" s="34">
        <f t="shared" si="49"/>
        <v>3.4584713628796893E-3</v>
      </c>
      <c r="L791" s="34">
        <f t="shared" si="50"/>
        <v>0.96778973432338322</v>
      </c>
      <c r="M791" s="34">
        <f t="shared" si="51"/>
        <v>0.96444266124193689</v>
      </c>
    </row>
    <row r="792" spans="1:13" ht="69">
      <c r="A792" t="s">
        <v>164</v>
      </c>
      <c r="B792" t="s">
        <v>115</v>
      </c>
      <c r="C792" s="14" t="s">
        <v>291</v>
      </c>
      <c r="D792" t="s">
        <v>366</v>
      </c>
      <c r="E792" t="s">
        <v>383</v>
      </c>
      <c r="F792" s="20">
        <v>2044</v>
      </c>
      <c r="G792" s="20">
        <v>60</v>
      </c>
      <c r="H792" s="11">
        <v>14112.182206318401</v>
      </c>
      <c r="I792" s="10">
        <v>3800150.1561422702</v>
      </c>
      <c r="J792" s="34">
        <f t="shared" si="48"/>
        <v>3.7135854180679034E-3</v>
      </c>
      <c r="K792" s="34">
        <f t="shared" si="49"/>
        <v>3.706698587321533E-3</v>
      </c>
      <c r="L792" s="34">
        <f t="shared" si="50"/>
        <v>0.96444266124193689</v>
      </c>
      <c r="M792" s="34">
        <f t="shared" si="51"/>
        <v>0.96086776299195875</v>
      </c>
    </row>
    <row r="793" spans="1:13" ht="69">
      <c r="A793" t="s">
        <v>164</v>
      </c>
      <c r="B793" t="s">
        <v>115</v>
      </c>
      <c r="C793" s="14" t="s">
        <v>291</v>
      </c>
      <c r="D793" t="s">
        <v>366</v>
      </c>
      <c r="E793" t="s">
        <v>383</v>
      </c>
      <c r="F793" s="20">
        <v>2044</v>
      </c>
      <c r="G793" s="20">
        <v>61</v>
      </c>
      <c r="H793" s="11">
        <v>14845.6006033226</v>
      </c>
      <c r="I793" s="10">
        <v>3741121.0252245502</v>
      </c>
      <c r="J793" s="34">
        <f t="shared" si="48"/>
        <v>3.9682224935322788E-3</v>
      </c>
      <c r="K793" s="34">
        <f t="shared" si="49"/>
        <v>3.9603595027905003E-3</v>
      </c>
      <c r="L793" s="34">
        <f t="shared" si="50"/>
        <v>0.96086776299195875</v>
      </c>
      <c r="M793" s="34">
        <f t="shared" si="51"/>
        <v>0.95706238121586851</v>
      </c>
    </row>
    <row r="794" spans="1:13" ht="69">
      <c r="A794" t="s">
        <v>164</v>
      </c>
      <c r="B794" t="s">
        <v>115</v>
      </c>
      <c r="C794" s="14" t="s">
        <v>291</v>
      </c>
      <c r="D794" t="s">
        <v>366</v>
      </c>
      <c r="E794" t="s">
        <v>383</v>
      </c>
      <c r="F794" s="20">
        <v>2044</v>
      </c>
      <c r="G794" s="20">
        <v>62</v>
      </c>
      <c r="H794" s="11">
        <v>15708.6629097851</v>
      </c>
      <c r="I794" s="10">
        <v>3658100.7969853999</v>
      </c>
      <c r="J794" s="34">
        <f t="shared" si="48"/>
        <v>4.2942127025943173E-3</v>
      </c>
      <c r="K794" s="34">
        <f t="shared" si="49"/>
        <v>4.2850057548055043E-3</v>
      </c>
      <c r="L794" s="34">
        <f t="shared" si="50"/>
        <v>0.95706238121586851</v>
      </c>
      <c r="M794" s="34">
        <f t="shared" si="51"/>
        <v>0.95296136340465065</v>
      </c>
    </row>
    <row r="795" spans="1:13" ht="69">
      <c r="A795" t="s">
        <v>164</v>
      </c>
      <c r="B795" t="s">
        <v>115</v>
      </c>
      <c r="C795" s="14" t="s">
        <v>291</v>
      </c>
      <c r="D795" t="s">
        <v>366</v>
      </c>
      <c r="E795" t="s">
        <v>383</v>
      </c>
      <c r="F795" s="20">
        <v>2044</v>
      </c>
      <c r="G795" s="20">
        <v>63</v>
      </c>
      <c r="H795" s="11">
        <v>16542.557745743801</v>
      </c>
      <c r="I795" s="10">
        <v>3567755.8137136698</v>
      </c>
      <c r="J795" s="34">
        <f t="shared" si="48"/>
        <v>4.6366844059668663E-3</v>
      </c>
      <c r="K795" s="34">
        <f t="shared" si="49"/>
        <v>4.6259515794772055E-3</v>
      </c>
      <c r="L795" s="34">
        <f t="shared" si="50"/>
        <v>0.95296136340465065</v>
      </c>
      <c r="M795" s="34">
        <f t="shared" si="51"/>
        <v>0.94855301028042815</v>
      </c>
    </row>
    <row r="796" spans="1:13" ht="69">
      <c r="A796" t="s">
        <v>164</v>
      </c>
      <c r="B796" t="s">
        <v>115</v>
      </c>
      <c r="C796" s="14" t="s">
        <v>291</v>
      </c>
      <c r="D796" t="s">
        <v>366</v>
      </c>
      <c r="E796" t="s">
        <v>383</v>
      </c>
      <c r="F796" s="20">
        <v>2044</v>
      </c>
      <c r="G796" s="20">
        <v>64</v>
      </c>
      <c r="H796" s="11">
        <v>17709.318501801401</v>
      </c>
      <c r="I796" s="10">
        <v>3480606.96516502</v>
      </c>
      <c r="J796" s="34">
        <f t="shared" si="48"/>
        <v>5.0879972025114246E-3</v>
      </c>
      <c r="K796" s="34">
        <f t="shared" si="49"/>
        <v>5.075075269620255E-3</v>
      </c>
      <c r="L796" s="34">
        <f t="shared" si="50"/>
        <v>0.94855301028042815</v>
      </c>
      <c r="M796" s="34">
        <f t="shared" si="51"/>
        <v>0.94373903235603007</v>
      </c>
    </row>
    <row r="797" spans="1:13" ht="69">
      <c r="A797" t="s">
        <v>164</v>
      </c>
      <c r="B797" t="s">
        <v>115</v>
      </c>
      <c r="C797" s="14" t="s">
        <v>291</v>
      </c>
      <c r="D797" t="s">
        <v>366</v>
      </c>
      <c r="E797" t="s">
        <v>383</v>
      </c>
      <c r="F797" s="20">
        <v>2044</v>
      </c>
      <c r="G797" s="20">
        <v>65</v>
      </c>
      <c r="H797" s="11">
        <v>18782.678116548701</v>
      </c>
      <c r="I797" s="10">
        <v>3379135.8891761699</v>
      </c>
      <c r="J797" s="34">
        <f t="shared" si="48"/>
        <v>5.5584263943667268E-3</v>
      </c>
      <c r="K797" s="34">
        <f t="shared" si="49"/>
        <v>5.543006924933036E-3</v>
      </c>
      <c r="L797" s="34">
        <f t="shared" si="50"/>
        <v>0.94373903235603007</v>
      </c>
      <c r="M797" s="34">
        <f t="shared" si="51"/>
        <v>0.93850788036435095</v>
      </c>
    </row>
    <row r="798" spans="1:13" ht="69">
      <c r="A798" t="s">
        <v>164</v>
      </c>
      <c r="B798" t="s">
        <v>115</v>
      </c>
      <c r="C798" s="14" t="s">
        <v>291</v>
      </c>
      <c r="D798" t="s">
        <v>366</v>
      </c>
      <c r="E798" t="s">
        <v>383</v>
      </c>
      <c r="F798" s="20">
        <v>2044</v>
      </c>
      <c r="G798" s="20">
        <v>66</v>
      </c>
      <c r="H798" s="11">
        <v>19051.6897325926</v>
      </c>
      <c r="I798" s="10">
        <v>3254964.43285621</v>
      </c>
      <c r="J798" s="34">
        <f t="shared" si="48"/>
        <v>5.853117637870736E-3</v>
      </c>
      <c r="K798" s="34">
        <f t="shared" si="49"/>
        <v>5.8360215162959195E-3</v>
      </c>
      <c r="L798" s="34">
        <f t="shared" si="50"/>
        <v>0.93850788036435095</v>
      </c>
      <c r="M798" s="34">
        <f t="shared" si="51"/>
        <v>0.93303072818133137</v>
      </c>
    </row>
    <row r="799" spans="1:13" ht="69">
      <c r="A799" t="s">
        <v>164</v>
      </c>
      <c r="B799" t="s">
        <v>115</v>
      </c>
      <c r="C799" s="14" t="s">
        <v>291</v>
      </c>
      <c r="D799" t="s">
        <v>366</v>
      </c>
      <c r="E799" t="s">
        <v>383</v>
      </c>
      <c r="F799" s="20">
        <v>2044</v>
      </c>
      <c r="G799" s="20">
        <v>67</v>
      </c>
      <c r="H799" s="11">
        <v>19951.626407158099</v>
      </c>
      <c r="I799" s="10">
        <v>3132874.25402806</v>
      </c>
      <c r="J799" s="34">
        <f t="shared" si="48"/>
        <v>6.3684734175032736E-3</v>
      </c>
      <c r="K799" s="34">
        <f t="shared" si="49"/>
        <v>6.3482376703956067E-3</v>
      </c>
      <c r="L799" s="34">
        <f t="shared" si="50"/>
        <v>0.93303072818133137</v>
      </c>
      <c r="M799" s="34">
        <f t="shared" si="51"/>
        <v>0.92710762736505403</v>
      </c>
    </row>
    <row r="800" spans="1:13" ht="69">
      <c r="A800" t="s">
        <v>164</v>
      </c>
      <c r="B800" t="s">
        <v>115</v>
      </c>
      <c r="C800" s="14" t="s">
        <v>291</v>
      </c>
      <c r="D800" t="s">
        <v>366</v>
      </c>
      <c r="E800" t="s">
        <v>383</v>
      </c>
      <c r="F800" s="20">
        <v>2044</v>
      </c>
      <c r="G800" s="20">
        <v>68</v>
      </c>
      <c r="H800" s="11">
        <v>20873.642900873601</v>
      </c>
      <c r="I800" s="10">
        <v>3021523.6553229601</v>
      </c>
      <c r="J800" s="34">
        <f t="shared" si="48"/>
        <v>6.9083168897588823E-3</v>
      </c>
      <c r="K800" s="34">
        <f t="shared" si="49"/>
        <v>6.8845093235849752E-3</v>
      </c>
      <c r="L800" s="34">
        <f t="shared" si="50"/>
        <v>0.92710762736505403</v>
      </c>
      <c r="M800" s="34">
        <f t="shared" si="51"/>
        <v>0.92072494626049262</v>
      </c>
    </row>
    <row r="801" spans="1:13" ht="69">
      <c r="A801" t="s">
        <v>164</v>
      </c>
      <c r="B801" t="s">
        <v>115</v>
      </c>
      <c r="C801" s="14" t="s">
        <v>291</v>
      </c>
      <c r="D801" t="s">
        <v>366</v>
      </c>
      <c r="E801" t="s">
        <v>383</v>
      </c>
      <c r="F801" s="20">
        <v>2044</v>
      </c>
      <c r="G801" s="20">
        <v>69</v>
      </c>
      <c r="H801" s="11">
        <v>21108.7743269862</v>
      </c>
      <c r="I801" s="10">
        <v>2898307.0192378298</v>
      </c>
      <c r="J801" s="34">
        <f t="shared" si="48"/>
        <v>7.2831394972562953E-3</v>
      </c>
      <c r="K801" s="34">
        <f t="shared" si="49"/>
        <v>7.2566817076773482E-3</v>
      </c>
      <c r="L801" s="34">
        <f t="shared" si="50"/>
        <v>0.92072494626049262</v>
      </c>
      <c r="M801" s="34">
        <f t="shared" si="51"/>
        <v>0.91404353838516184</v>
      </c>
    </row>
    <row r="802" spans="1:13" ht="69">
      <c r="A802" t="s">
        <v>164</v>
      </c>
      <c r="B802" t="s">
        <v>115</v>
      </c>
      <c r="C802" s="14" t="s">
        <v>291</v>
      </c>
      <c r="D802" t="s">
        <v>366</v>
      </c>
      <c r="E802" t="s">
        <v>383</v>
      </c>
      <c r="F802" s="20">
        <v>2045</v>
      </c>
      <c r="G802" s="20">
        <v>30</v>
      </c>
      <c r="H802" s="11">
        <v>716.25662230563205</v>
      </c>
      <c r="I802" s="10">
        <v>4657642.3860860504</v>
      </c>
      <c r="J802" s="34">
        <f t="shared" si="48"/>
        <v>1.5378093956833875E-4</v>
      </c>
      <c r="K802" s="34">
        <f t="shared" si="49"/>
        <v>1.5376911588571573E-4</v>
      </c>
      <c r="L802" s="34">
        <f t="shared" si="50"/>
        <v>1</v>
      </c>
      <c r="M802" s="34">
        <f t="shared" si="51"/>
        <v>0.99984623088411428</v>
      </c>
    </row>
    <row r="803" spans="1:13" ht="69">
      <c r="A803" t="s">
        <v>164</v>
      </c>
      <c r="B803" t="s">
        <v>115</v>
      </c>
      <c r="C803" s="14" t="s">
        <v>291</v>
      </c>
      <c r="D803" t="s">
        <v>366</v>
      </c>
      <c r="E803" t="s">
        <v>383</v>
      </c>
      <c r="F803" s="20">
        <v>2045</v>
      </c>
      <c r="G803" s="20">
        <v>31</v>
      </c>
      <c r="H803" s="11">
        <v>1043.04039431921</v>
      </c>
      <c r="I803" s="10">
        <v>4729474.2432653401</v>
      </c>
      <c r="J803" s="34">
        <f t="shared" si="48"/>
        <v>2.2054045347735533E-4</v>
      </c>
      <c r="K803" s="34">
        <f t="shared" si="49"/>
        <v>2.2051613621920652E-4</v>
      </c>
      <c r="L803" s="34">
        <f t="shared" si="50"/>
        <v>0.99984623088411428</v>
      </c>
      <c r="M803" s="34">
        <f t="shared" si="51"/>
        <v>0.99962574865646636</v>
      </c>
    </row>
    <row r="804" spans="1:13" ht="69">
      <c r="A804" t="s">
        <v>164</v>
      </c>
      <c r="B804" t="s">
        <v>115</v>
      </c>
      <c r="C804" s="14" t="s">
        <v>291</v>
      </c>
      <c r="D804" t="s">
        <v>366</v>
      </c>
      <c r="E804" t="s">
        <v>383</v>
      </c>
      <c r="F804" s="20">
        <v>2045</v>
      </c>
      <c r="G804" s="20">
        <v>32</v>
      </c>
      <c r="H804" s="11">
        <v>1095.2246983073001</v>
      </c>
      <c r="I804" s="10">
        <v>4820859.6233289596</v>
      </c>
      <c r="J804" s="34">
        <f t="shared" si="48"/>
        <v>2.2718452389846024E-4</v>
      </c>
      <c r="K804" s="34">
        <f t="shared" si="49"/>
        <v>2.2715871944867239E-4</v>
      </c>
      <c r="L804" s="34">
        <f t="shared" si="50"/>
        <v>0.99962574865646636</v>
      </c>
      <c r="M804" s="34">
        <f t="shared" si="51"/>
        <v>0.99939867495147361</v>
      </c>
    </row>
    <row r="805" spans="1:13" ht="69">
      <c r="A805" t="s">
        <v>164</v>
      </c>
      <c r="B805" t="s">
        <v>115</v>
      </c>
      <c r="C805" s="14" t="s">
        <v>291</v>
      </c>
      <c r="D805" t="s">
        <v>366</v>
      </c>
      <c r="E805" t="s">
        <v>383</v>
      </c>
      <c r="F805" s="20">
        <v>2045</v>
      </c>
      <c r="G805" s="20">
        <v>33</v>
      </c>
      <c r="H805" s="11">
        <v>1154.54696065455</v>
      </c>
      <c r="I805" s="10">
        <v>4864253.0439686403</v>
      </c>
      <c r="J805" s="34">
        <f t="shared" si="48"/>
        <v>2.3735339223071746E-4</v>
      </c>
      <c r="K805" s="34">
        <f t="shared" si="49"/>
        <v>2.3732522614283713E-4</v>
      </c>
      <c r="L805" s="34">
        <f t="shared" si="50"/>
        <v>0.99939867495147361</v>
      </c>
      <c r="M805" s="34">
        <f t="shared" si="51"/>
        <v>0.99916149243493391</v>
      </c>
    </row>
    <row r="806" spans="1:13" ht="69">
      <c r="A806" t="s">
        <v>164</v>
      </c>
      <c r="B806" t="s">
        <v>115</v>
      </c>
      <c r="C806" s="14" t="s">
        <v>291</v>
      </c>
      <c r="D806" t="s">
        <v>366</v>
      </c>
      <c r="E806" t="s">
        <v>383</v>
      </c>
      <c r="F806" s="20">
        <v>2045</v>
      </c>
      <c r="G806" s="20">
        <v>34</v>
      </c>
      <c r="H806" s="11">
        <v>1190.4497519752799</v>
      </c>
      <c r="I806" s="10">
        <v>4784507.1412378903</v>
      </c>
      <c r="J806" s="34">
        <f t="shared" si="48"/>
        <v>2.4881345493556439E-4</v>
      </c>
      <c r="K806" s="34">
        <f t="shared" si="49"/>
        <v>2.4878250343496333E-4</v>
      </c>
      <c r="L806" s="34">
        <f t="shared" si="50"/>
        <v>0.99916149243493391</v>
      </c>
      <c r="M806" s="34">
        <f t="shared" si="51"/>
        <v>0.99891291853751008</v>
      </c>
    </row>
    <row r="807" spans="1:13" ht="69">
      <c r="A807" t="s">
        <v>164</v>
      </c>
      <c r="B807" t="s">
        <v>115</v>
      </c>
      <c r="C807" s="14" t="s">
        <v>291</v>
      </c>
      <c r="D807" t="s">
        <v>366</v>
      </c>
      <c r="E807" t="s">
        <v>383</v>
      </c>
      <c r="F807" s="20">
        <v>2045</v>
      </c>
      <c r="G807" s="20">
        <v>35</v>
      </c>
      <c r="H807" s="11">
        <v>1241.40871845418</v>
      </c>
      <c r="I807" s="10">
        <v>4683237.2203932405</v>
      </c>
      <c r="J807" s="34">
        <f t="shared" si="48"/>
        <v>2.6507491720650911E-4</v>
      </c>
      <c r="K807" s="34">
        <f t="shared" si="49"/>
        <v>2.6503978795466843E-4</v>
      </c>
      <c r="L807" s="34">
        <f t="shared" si="50"/>
        <v>0.99891291853751008</v>
      </c>
      <c r="M807" s="34">
        <f t="shared" si="51"/>
        <v>0.99864816686939573</v>
      </c>
    </row>
    <row r="808" spans="1:13" ht="69">
      <c r="A808" t="s">
        <v>164</v>
      </c>
      <c r="B808" t="s">
        <v>115</v>
      </c>
      <c r="C808" s="14" t="s">
        <v>291</v>
      </c>
      <c r="D808" t="s">
        <v>366</v>
      </c>
      <c r="E808" t="s">
        <v>383</v>
      </c>
      <c r="F808" s="20">
        <v>2045</v>
      </c>
      <c r="G808" s="20">
        <v>36</v>
      </c>
      <c r="H808" s="11">
        <v>1543.3369675201</v>
      </c>
      <c r="I808" s="10">
        <v>4626090.9188726498</v>
      </c>
      <c r="J808" s="34">
        <f t="shared" si="48"/>
        <v>3.3361578805636658E-4</v>
      </c>
      <c r="K808" s="34">
        <f t="shared" si="49"/>
        <v>3.3356014449736904E-4</v>
      </c>
      <c r="L808" s="34">
        <f t="shared" si="50"/>
        <v>0.99864816686939573</v>
      </c>
      <c r="M808" s="34">
        <f t="shared" si="51"/>
        <v>0.99831505764255268</v>
      </c>
    </row>
    <row r="809" spans="1:13" ht="69">
      <c r="A809" t="s">
        <v>164</v>
      </c>
      <c r="B809" t="s">
        <v>115</v>
      </c>
      <c r="C809" s="14" t="s">
        <v>291</v>
      </c>
      <c r="D809" t="s">
        <v>366</v>
      </c>
      <c r="E809" t="s">
        <v>383</v>
      </c>
      <c r="F809" s="20">
        <v>2045</v>
      </c>
      <c r="G809" s="20">
        <v>37</v>
      </c>
      <c r="H809" s="11">
        <v>1663.3269663377</v>
      </c>
      <c r="I809" s="10">
        <v>4617442.7082272004</v>
      </c>
      <c r="J809" s="34">
        <f t="shared" si="48"/>
        <v>3.6022687696244532E-4</v>
      </c>
      <c r="K809" s="34">
        <f t="shared" si="49"/>
        <v>3.601620030510011E-4</v>
      </c>
      <c r="L809" s="34">
        <f t="shared" si="50"/>
        <v>0.99831505764255268</v>
      </c>
      <c r="M809" s="34">
        <f t="shared" si="51"/>
        <v>0.99795550249171616</v>
      </c>
    </row>
    <row r="810" spans="1:13" ht="69">
      <c r="A810" t="s">
        <v>164</v>
      </c>
      <c r="B810" t="s">
        <v>115</v>
      </c>
      <c r="C810" s="14" t="s">
        <v>291</v>
      </c>
      <c r="D810" t="s">
        <v>366</v>
      </c>
      <c r="E810" t="s">
        <v>383</v>
      </c>
      <c r="F810" s="20">
        <v>2045</v>
      </c>
      <c r="G810" s="20">
        <v>38</v>
      </c>
      <c r="H810" s="11">
        <v>1799.1948415012901</v>
      </c>
      <c r="I810" s="10">
        <v>4588648.5323296702</v>
      </c>
      <c r="J810" s="34">
        <f t="shared" si="48"/>
        <v>3.9209689494083643E-4</v>
      </c>
      <c r="K810" s="34">
        <f t="shared" si="49"/>
        <v>3.9202003499916316E-4</v>
      </c>
      <c r="L810" s="34">
        <f t="shared" si="50"/>
        <v>0.99795550249171616</v>
      </c>
      <c r="M810" s="34">
        <f t="shared" si="51"/>
        <v>0.99756428394070173</v>
      </c>
    </row>
    <row r="811" spans="1:13" ht="69">
      <c r="A811" t="s">
        <v>164</v>
      </c>
      <c r="B811" t="s">
        <v>115</v>
      </c>
      <c r="C811" s="14" t="s">
        <v>291</v>
      </c>
      <c r="D811" t="s">
        <v>366</v>
      </c>
      <c r="E811" t="s">
        <v>383</v>
      </c>
      <c r="F811" s="20">
        <v>2045</v>
      </c>
      <c r="G811" s="20">
        <v>39</v>
      </c>
      <c r="H811" s="11">
        <v>1872.3041979923901</v>
      </c>
      <c r="I811" s="10">
        <v>4516212.81696581</v>
      </c>
      <c r="J811" s="34">
        <f t="shared" si="48"/>
        <v>4.1457395252916498E-4</v>
      </c>
      <c r="K811" s="34">
        <f t="shared" si="49"/>
        <v>4.1448802862242839E-4</v>
      </c>
      <c r="L811" s="34">
        <f t="shared" si="50"/>
        <v>0.99756428394070173</v>
      </c>
      <c r="M811" s="34">
        <f t="shared" si="51"/>
        <v>0.99715080548722701</v>
      </c>
    </row>
    <row r="812" spans="1:13" ht="69">
      <c r="A812" t="s">
        <v>164</v>
      </c>
      <c r="B812" t="s">
        <v>115</v>
      </c>
      <c r="C812" s="14" t="s">
        <v>291</v>
      </c>
      <c r="D812" t="s">
        <v>366</v>
      </c>
      <c r="E812" t="s">
        <v>383</v>
      </c>
      <c r="F812" s="20">
        <v>2045</v>
      </c>
      <c r="G812" s="20">
        <v>40</v>
      </c>
      <c r="H812" s="11">
        <v>1987.5114426607799</v>
      </c>
      <c r="I812" s="10">
        <v>4421009.8955116197</v>
      </c>
      <c r="J812" s="34">
        <f t="shared" si="48"/>
        <v>4.4956050532222932E-4</v>
      </c>
      <c r="K812" s="34">
        <f t="shared" si="49"/>
        <v>4.4945946813956805E-4</v>
      </c>
      <c r="L812" s="34">
        <f t="shared" si="50"/>
        <v>0.99715080548722701</v>
      </c>
      <c r="M812" s="34">
        <f t="shared" si="51"/>
        <v>0.99670262661653775</v>
      </c>
    </row>
    <row r="813" spans="1:13" ht="69">
      <c r="A813" t="s">
        <v>164</v>
      </c>
      <c r="B813" t="s">
        <v>115</v>
      </c>
      <c r="C813" s="14" t="s">
        <v>291</v>
      </c>
      <c r="D813" t="s">
        <v>366</v>
      </c>
      <c r="E813" t="s">
        <v>383</v>
      </c>
      <c r="F813" s="20">
        <v>2045</v>
      </c>
      <c r="G813" s="20">
        <v>41</v>
      </c>
      <c r="H813" s="11">
        <v>2527.2733183601999</v>
      </c>
      <c r="I813" s="10">
        <v>4321982.1543989703</v>
      </c>
      <c r="J813" s="34">
        <f t="shared" si="48"/>
        <v>5.847486704191751E-4</v>
      </c>
      <c r="K813" s="34">
        <f t="shared" si="49"/>
        <v>5.845777382345041E-4</v>
      </c>
      <c r="L813" s="34">
        <f t="shared" si="50"/>
        <v>0.99670262661653775</v>
      </c>
      <c r="M813" s="34">
        <f t="shared" si="51"/>
        <v>0.99611997644937789</v>
      </c>
    </row>
    <row r="814" spans="1:13" ht="69">
      <c r="A814" t="s">
        <v>164</v>
      </c>
      <c r="B814" t="s">
        <v>115</v>
      </c>
      <c r="C814" s="14" t="s">
        <v>291</v>
      </c>
      <c r="D814" t="s">
        <v>366</v>
      </c>
      <c r="E814" t="s">
        <v>383</v>
      </c>
      <c r="F814" s="20">
        <v>2045</v>
      </c>
      <c r="G814" s="20">
        <v>42</v>
      </c>
      <c r="H814" s="11">
        <v>2797.7668503823002</v>
      </c>
      <c r="I814" s="10">
        <v>4276351.0427767299</v>
      </c>
      <c r="J814" s="34">
        <f t="shared" si="48"/>
        <v>6.542416238507978E-4</v>
      </c>
      <c r="K814" s="34">
        <f t="shared" si="49"/>
        <v>6.5402765446476163E-4</v>
      </c>
      <c r="L814" s="34">
        <f t="shared" si="50"/>
        <v>0.99611997644937789</v>
      </c>
      <c r="M814" s="34">
        <f t="shared" si="51"/>
        <v>0.99546848643761521</v>
      </c>
    </row>
    <row r="815" spans="1:13" ht="69">
      <c r="A815" t="s">
        <v>164</v>
      </c>
      <c r="B815" t="s">
        <v>115</v>
      </c>
      <c r="C815" s="14" t="s">
        <v>291</v>
      </c>
      <c r="D815" t="s">
        <v>366</v>
      </c>
      <c r="E815" t="s">
        <v>383</v>
      </c>
      <c r="F815" s="20">
        <v>2045</v>
      </c>
      <c r="G815" s="20">
        <v>43</v>
      </c>
      <c r="H815" s="11">
        <v>3130.6886468612702</v>
      </c>
      <c r="I815" s="10">
        <v>4252721.0709844297</v>
      </c>
      <c r="J815" s="34">
        <f t="shared" si="48"/>
        <v>7.3616129405274422E-4</v>
      </c>
      <c r="K815" s="34">
        <f t="shared" si="49"/>
        <v>7.358903938068373E-4</v>
      </c>
      <c r="L815" s="34">
        <f t="shared" si="50"/>
        <v>0.99546848643761521</v>
      </c>
      <c r="M815" s="34">
        <f t="shared" si="51"/>
        <v>0.99473593074110833</v>
      </c>
    </row>
    <row r="816" spans="1:13" ht="69">
      <c r="A816" t="s">
        <v>164</v>
      </c>
      <c r="B816" t="s">
        <v>115</v>
      </c>
      <c r="C816" s="14" t="s">
        <v>291</v>
      </c>
      <c r="D816" t="s">
        <v>366</v>
      </c>
      <c r="E816" t="s">
        <v>383</v>
      </c>
      <c r="F816" s="20">
        <v>2045</v>
      </c>
      <c r="G816" s="20">
        <v>44</v>
      </c>
      <c r="H816" s="11">
        <v>3300.1986431547298</v>
      </c>
      <c r="I816" s="10">
        <v>4228571.8332134197</v>
      </c>
      <c r="J816" s="34">
        <f t="shared" si="48"/>
        <v>7.8045230714380675E-4</v>
      </c>
      <c r="K816" s="34">
        <f t="shared" si="49"/>
        <v>7.8014783345614624E-4</v>
      </c>
      <c r="L816" s="34">
        <f t="shared" si="50"/>
        <v>0.99473593074110833</v>
      </c>
      <c r="M816" s="34">
        <f t="shared" si="51"/>
        <v>0.99395988965987969</v>
      </c>
    </row>
    <row r="817" spans="1:13" ht="69">
      <c r="A817" t="s">
        <v>164</v>
      </c>
      <c r="B817" t="s">
        <v>115</v>
      </c>
      <c r="C817" s="14" t="s">
        <v>291</v>
      </c>
      <c r="D817" t="s">
        <v>366</v>
      </c>
      <c r="E817" t="s">
        <v>383</v>
      </c>
      <c r="F817" s="20">
        <v>2045</v>
      </c>
      <c r="G817" s="20">
        <v>45</v>
      </c>
      <c r="H817" s="11">
        <v>3583.4795141678901</v>
      </c>
      <c r="I817" s="10">
        <v>4223247.8111775797</v>
      </c>
      <c r="J817" s="34">
        <f t="shared" si="48"/>
        <v>8.4851272631541335E-4</v>
      </c>
      <c r="K817" s="34">
        <f t="shared" si="49"/>
        <v>8.4815284118833212E-4</v>
      </c>
      <c r="L817" s="34">
        <f t="shared" si="50"/>
        <v>0.99395988965987969</v>
      </c>
      <c r="M817" s="34">
        <f t="shared" si="51"/>
        <v>0.9931168597554374</v>
      </c>
    </row>
    <row r="818" spans="1:13" ht="69">
      <c r="A818" t="s">
        <v>164</v>
      </c>
      <c r="B818" t="s">
        <v>115</v>
      </c>
      <c r="C818" s="14" t="s">
        <v>291</v>
      </c>
      <c r="D818" t="s">
        <v>366</v>
      </c>
      <c r="E818" t="s">
        <v>383</v>
      </c>
      <c r="F818" s="20">
        <v>2045</v>
      </c>
      <c r="G818" s="20">
        <v>46</v>
      </c>
      <c r="H818" s="11">
        <v>4511.5102285803196</v>
      </c>
      <c r="I818" s="10">
        <v>4255016.8297399804</v>
      </c>
      <c r="J818" s="34">
        <f t="shared" si="48"/>
        <v>1.0602802313371845E-3</v>
      </c>
      <c r="K818" s="34">
        <f t="shared" si="49"/>
        <v>1.0597183328602267E-3</v>
      </c>
      <c r="L818" s="34">
        <f t="shared" si="50"/>
        <v>0.9931168597554374</v>
      </c>
      <c r="M818" s="34">
        <f t="shared" si="51"/>
        <v>0.99206443561248203</v>
      </c>
    </row>
    <row r="819" spans="1:13" ht="69">
      <c r="A819" t="s">
        <v>164</v>
      </c>
      <c r="B819" t="s">
        <v>115</v>
      </c>
      <c r="C819" s="14" t="s">
        <v>291</v>
      </c>
      <c r="D819" t="s">
        <v>366</v>
      </c>
      <c r="E819" t="s">
        <v>383</v>
      </c>
      <c r="F819" s="20">
        <v>2045</v>
      </c>
      <c r="G819" s="20">
        <v>47</v>
      </c>
      <c r="H819" s="11">
        <v>4999.4346933098204</v>
      </c>
      <c r="I819" s="10">
        <v>4288846.7984415898</v>
      </c>
      <c r="J819" s="34">
        <f t="shared" si="48"/>
        <v>1.1656827413668476E-3</v>
      </c>
      <c r="K819" s="34">
        <f t="shared" si="49"/>
        <v>1.1650035971546568E-3</v>
      </c>
      <c r="L819" s="34">
        <f t="shared" si="50"/>
        <v>0.99206443561248203</v>
      </c>
      <c r="M819" s="34">
        <f t="shared" si="51"/>
        <v>0.9909086769763843</v>
      </c>
    </row>
    <row r="820" spans="1:13" ht="69">
      <c r="A820" t="s">
        <v>164</v>
      </c>
      <c r="B820" t="s">
        <v>115</v>
      </c>
      <c r="C820" s="14" t="s">
        <v>291</v>
      </c>
      <c r="D820" t="s">
        <v>366</v>
      </c>
      <c r="E820" t="s">
        <v>383</v>
      </c>
      <c r="F820" s="20">
        <v>2045</v>
      </c>
      <c r="G820" s="20">
        <v>48</v>
      </c>
      <c r="H820" s="11">
        <v>5516.8598734306997</v>
      </c>
      <c r="I820" s="10">
        <v>4276631.0258606896</v>
      </c>
      <c r="J820" s="34">
        <f t="shared" si="48"/>
        <v>1.2900013679156268E-3</v>
      </c>
      <c r="K820" s="34">
        <f t="shared" si="49"/>
        <v>1.2891696738183134E-3</v>
      </c>
      <c r="L820" s="34">
        <f t="shared" si="50"/>
        <v>0.9909086769763843</v>
      </c>
      <c r="M820" s="34">
        <f t="shared" si="51"/>
        <v>0.98963122756050292</v>
      </c>
    </row>
    <row r="821" spans="1:13" ht="69">
      <c r="A821" t="s">
        <v>164</v>
      </c>
      <c r="B821" t="s">
        <v>115</v>
      </c>
      <c r="C821" s="14" t="s">
        <v>291</v>
      </c>
      <c r="D821" t="s">
        <v>366</v>
      </c>
      <c r="E821" t="s">
        <v>383</v>
      </c>
      <c r="F821" s="20">
        <v>2045</v>
      </c>
      <c r="G821" s="20">
        <v>49</v>
      </c>
      <c r="H821" s="11">
        <v>5844.2616591935302</v>
      </c>
      <c r="I821" s="10">
        <v>4206238.3013630304</v>
      </c>
      <c r="J821" s="34">
        <f t="shared" si="48"/>
        <v>1.3894271414198521E-3</v>
      </c>
      <c r="K821" s="34">
        <f t="shared" si="49"/>
        <v>1.3884623344239122E-3</v>
      </c>
      <c r="L821" s="34">
        <f t="shared" si="50"/>
        <v>0.98963122756050292</v>
      </c>
      <c r="M821" s="34">
        <f t="shared" si="51"/>
        <v>0.98825716187606549</v>
      </c>
    </row>
    <row r="822" spans="1:13" ht="69">
      <c r="A822" t="s">
        <v>164</v>
      </c>
      <c r="B822" t="s">
        <v>115</v>
      </c>
      <c r="C822" s="14" t="s">
        <v>291</v>
      </c>
      <c r="D822" t="s">
        <v>366</v>
      </c>
      <c r="E822" t="s">
        <v>383</v>
      </c>
      <c r="F822" s="20">
        <v>2045</v>
      </c>
      <c r="G822" s="20">
        <v>50</v>
      </c>
      <c r="H822" s="11">
        <v>6227.5998073430101</v>
      </c>
      <c r="I822" s="10">
        <v>4133183.1764961402</v>
      </c>
      <c r="J822" s="34">
        <f t="shared" si="48"/>
        <v>1.5067321097107505E-3</v>
      </c>
      <c r="K822" s="34">
        <f t="shared" si="49"/>
        <v>1.5055975587785486E-3</v>
      </c>
      <c r="L822" s="34">
        <f t="shared" si="50"/>
        <v>0.98825716187606549</v>
      </c>
      <c r="M822" s="34">
        <f t="shared" si="51"/>
        <v>0.98676924430569946</v>
      </c>
    </row>
    <row r="823" spans="1:13" ht="69">
      <c r="A823" t="s">
        <v>164</v>
      </c>
      <c r="B823" t="s">
        <v>115</v>
      </c>
      <c r="C823" s="14" t="s">
        <v>291</v>
      </c>
      <c r="D823" t="s">
        <v>366</v>
      </c>
      <c r="E823" t="s">
        <v>383</v>
      </c>
      <c r="F823" s="20">
        <v>2045</v>
      </c>
      <c r="G823" s="20">
        <v>51</v>
      </c>
      <c r="H823" s="11">
        <v>6915.1150360492102</v>
      </c>
      <c r="I823" s="10">
        <v>4068302.5863220701</v>
      </c>
      <c r="J823" s="34">
        <f t="shared" si="48"/>
        <v>1.6997543543831599E-3</v>
      </c>
      <c r="K823" s="34">
        <f t="shared" si="49"/>
        <v>1.6983105900812978E-3</v>
      </c>
      <c r="L823" s="34">
        <f t="shared" si="50"/>
        <v>0.98676924430569946</v>
      </c>
      <c r="M823" s="34">
        <f t="shared" si="51"/>
        <v>0.98509340364812858</v>
      </c>
    </row>
    <row r="824" spans="1:13" ht="69">
      <c r="A824" t="s">
        <v>164</v>
      </c>
      <c r="B824" t="s">
        <v>115</v>
      </c>
      <c r="C824" s="14" t="s">
        <v>291</v>
      </c>
      <c r="D824" t="s">
        <v>366</v>
      </c>
      <c r="E824" t="s">
        <v>383</v>
      </c>
      <c r="F824" s="20">
        <v>2045</v>
      </c>
      <c r="G824" s="20">
        <v>52</v>
      </c>
      <c r="H824" s="11">
        <v>7406.7226780830197</v>
      </c>
      <c r="I824" s="10">
        <v>4005032.7542779301</v>
      </c>
      <c r="J824" s="34">
        <f t="shared" si="48"/>
        <v>1.8493538336663072E-3</v>
      </c>
      <c r="K824" s="34">
        <f t="shared" si="49"/>
        <v>1.8476448325435157E-3</v>
      </c>
      <c r="L824" s="34">
        <f t="shared" si="50"/>
        <v>0.98509340364812858</v>
      </c>
      <c r="M824" s="34">
        <f t="shared" si="51"/>
        <v>0.98327330091130538</v>
      </c>
    </row>
    <row r="825" spans="1:13" ht="69">
      <c r="A825" t="s">
        <v>164</v>
      </c>
      <c r="B825" t="s">
        <v>115</v>
      </c>
      <c r="C825" s="14" t="s">
        <v>291</v>
      </c>
      <c r="D825" t="s">
        <v>366</v>
      </c>
      <c r="E825" t="s">
        <v>383</v>
      </c>
      <c r="F825" s="20">
        <v>2045</v>
      </c>
      <c r="G825" s="20">
        <v>53</v>
      </c>
      <c r="H825" s="11">
        <v>7989.4110627237897</v>
      </c>
      <c r="I825" s="10">
        <v>3974203.8103939001</v>
      </c>
      <c r="J825" s="34">
        <f t="shared" si="48"/>
        <v>2.0103173978719339E-3</v>
      </c>
      <c r="K825" s="34">
        <f t="shared" si="49"/>
        <v>2.0082980632463165E-3</v>
      </c>
      <c r="L825" s="34">
        <f t="shared" si="50"/>
        <v>0.98327330091130538</v>
      </c>
      <c r="M825" s="34">
        <f t="shared" si="51"/>
        <v>0.98129859504544337</v>
      </c>
    </row>
    <row r="826" spans="1:13" ht="69">
      <c r="A826" t="s">
        <v>164</v>
      </c>
      <c r="B826" t="s">
        <v>115</v>
      </c>
      <c r="C826" s="14" t="s">
        <v>291</v>
      </c>
      <c r="D826" t="s">
        <v>366</v>
      </c>
      <c r="E826" t="s">
        <v>383</v>
      </c>
      <c r="F826" s="20">
        <v>2045</v>
      </c>
      <c r="G826" s="20">
        <v>54</v>
      </c>
      <c r="H826" s="11">
        <v>8675.6420647917603</v>
      </c>
      <c r="I826" s="10">
        <v>3936496.6915654298</v>
      </c>
      <c r="J826" s="34">
        <f t="shared" si="48"/>
        <v>2.2038992394889352E-3</v>
      </c>
      <c r="K826" s="34">
        <f t="shared" si="49"/>
        <v>2.201472436696994E-3</v>
      </c>
      <c r="L826" s="34">
        <f t="shared" si="50"/>
        <v>0.98129859504544337</v>
      </c>
      <c r="M826" s="34">
        <f t="shared" si="51"/>
        <v>0.97913829323628132</v>
      </c>
    </row>
    <row r="827" spans="1:13" ht="69">
      <c r="A827" t="s">
        <v>164</v>
      </c>
      <c r="B827" t="s">
        <v>115</v>
      </c>
      <c r="C827" s="14" t="s">
        <v>291</v>
      </c>
      <c r="D827" t="s">
        <v>366</v>
      </c>
      <c r="E827" t="s">
        <v>383</v>
      </c>
      <c r="F827" s="20">
        <v>2045</v>
      </c>
      <c r="G827" s="20">
        <v>55</v>
      </c>
      <c r="H827" s="11">
        <v>9432.9663025908394</v>
      </c>
      <c r="I827" s="10">
        <v>3900748.4464635402</v>
      </c>
      <c r="J827" s="34">
        <f t="shared" si="48"/>
        <v>2.4182452244883583E-3</v>
      </c>
      <c r="K827" s="34">
        <f t="shared" si="49"/>
        <v>2.4153236250279431E-3</v>
      </c>
      <c r="L827" s="34">
        <f t="shared" si="50"/>
        <v>0.97913829323628132</v>
      </c>
      <c r="M827" s="34">
        <f t="shared" si="51"/>
        <v>0.97677335738445814</v>
      </c>
    </row>
    <row r="828" spans="1:13" ht="69">
      <c r="A828" t="s">
        <v>164</v>
      </c>
      <c r="B828" t="s">
        <v>115</v>
      </c>
      <c r="C828" s="14" t="s">
        <v>291</v>
      </c>
      <c r="D828" t="s">
        <v>366</v>
      </c>
      <c r="E828" t="s">
        <v>383</v>
      </c>
      <c r="F828" s="20">
        <v>2045</v>
      </c>
      <c r="G828" s="20">
        <v>56</v>
      </c>
      <c r="H828" s="11">
        <v>10202.53111855</v>
      </c>
      <c r="I828" s="10">
        <v>3884905.2476767199</v>
      </c>
      <c r="J828" s="34">
        <f t="shared" si="48"/>
        <v>2.6261981871118717E-3</v>
      </c>
      <c r="K828" s="34">
        <f t="shared" si="49"/>
        <v>2.6227527454504296E-3</v>
      </c>
      <c r="L828" s="34">
        <f t="shared" si="50"/>
        <v>0.97677335738445814</v>
      </c>
      <c r="M828" s="34">
        <f t="shared" si="51"/>
        <v>0.97421152237969522</v>
      </c>
    </row>
    <row r="829" spans="1:13" ht="69">
      <c r="A829" t="s">
        <v>164</v>
      </c>
      <c r="B829" t="s">
        <v>115</v>
      </c>
      <c r="C829" s="14" t="s">
        <v>291</v>
      </c>
      <c r="D829" t="s">
        <v>366</v>
      </c>
      <c r="E829" t="s">
        <v>383</v>
      </c>
      <c r="F829" s="20">
        <v>2045</v>
      </c>
      <c r="G829" s="20">
        <v>57</v>
      </c>
      <c r="H829" s="11">
        <v>11122.6373479223</v>
      </c>
      <c r="I829" s="10">
        <v>3823222.4231294999</v>
      </c>
      <c r="J829" s="34">
        <f t="shared" si="48"/>
        <v>2.9092310404524833E-3</v>
      </c>
      <c r="K829" s="34">
        <f t="shared" si="49"/>
        <v>2.9050033286196486E-3</v>
      </c>
      <c r="L829" s="34">
        <f t="shared" si="50"/>
        <v>0.97421152237969522</v>
      </c>
      <c r="M829" s="34">
        <f t="shared" si="51"/>
        <v>0.97138143466440263</v>
      </c>
    </row>
    <row r="830" spans="1:13" ht="69">
      <c r="A830" t="s">
        <v>164</v>
      </c>
      <c r="B830" t="s">
        <v>115</v>
      </c>
      <c r="C830" s="14" t="s">
        <v>291</v>
      </c>
      <c r="D830" t="s">
        <v>366</v>
      </c>
      <c r="E830" t="s">
        <v>383</v>
      </c>
      <c r="F830" s="20">
        <v>2045</v>
      </c>
      <c r="G830" s="20">
        <v>58</v>
      </c>
      <c r="H830" s="11">
        <v>12067.0100041404</v>
      </c>
      <c r="I830" s="10">
        <v>3751985.3263584799</v>
      </c>
      <c r="J830" s="34">
        <f t="shared" si="48"/>
        <v>3.2161666303349152E-3</v>
      </c>
      <c r="K830" s="34">
        <f t="shared" si="49"/>
        <v>3.2110003065081161E-3</v>
      </c>
      <c r="L830" s="34">
        <f t="shared" si="50"/>
        <v>0.97138143466440263</v>
      </c>
      <c r="M830" s="34">
        <f t="shared" si="51"/>
        <v>0.96826232857995898</v>
      </c>
    </row>
    <row r="831" spans="1:13" ht="69">
      <c r="A831" t="s">
        <v>164</v>
      </c>
      <c r="B831" t="s">
        <v>115</v>
      </c>
      <c r="C831" s="14" t="s">
        <v>291</v>
      </c>
      <c r="D831" t="s">
        <v>366</v>
      </c>
      <c r="E831" t="s">
        <v>383</v>
      </c>
      <c r="F831" s="20">
        <v>2045</v>
      </c>
      <c r="G831" s="20">
        <v>59</v>
      </c>
      <c r="H831" s="11">
        <v>12709.691670701201</v>
      </c>
      <c r="I831" s="10">
        <v>3736028.07120961</v>
      </c>
      <c r="J831" s="34">
        <f t="shared" si="48"/>
        <v>3.401926170909684E-3</v>
      </c>
      <c r="K831" s="34">
        <f t="shared" si="49"/>
        <v>3.3961461763029055E-3</v>
      </c>
      <c r="L831" s="34">
        <f t="shared" si="50"/>
        <v>0.96826232857995898</v>
      </c>
      <c r="M831" s="34">
        <f t="shared" si="51"/>
        <v>0.96497396817509395</v>
      </c>
    </row>
    <row r="832" spans="1:13" ht="69">
      <c r="A832" t="s">
        <v>164</v>
      </c>
      <c r="B832" t="s">
        <v>115</v>
      </c>
      <c r="C832" s="14" t="s">
        <v>291</v>
      </c>
      <c r="D832" t="s">
        <v>366</v>
      </c>
      <c r="E832" t="s">
        <v>383</v>
      </c>
      <c r="F832" s="20">
        <v>2045</v>
      </c>
      <c r="G832" s="20">
        <v>60</v>
      </c>
      <c r="H832" s="11">
        <v>13745.122962728499</v>
      </c>
      <c r="I832" s="10">
        <v>3769990.0743928701</v>
      </c>
      <c r="J832" s="34">
        <f t="shared" si="48"/>
        <v>3.6459308092321842E-3</v>
      </c>
      <c r="K832" s="34">
        <f t="shared" si="49"/>
        <v>3.6392924735874077E-3</v>
      </c>
      <c r="L832" s="34">
        <f t="shared" si="50"/>
        <v>0.96497396817509395</v>
      </c>
      <c r="M832" s="34">
        <f t="shared" si="51"/>
        <v>0.96146214567550659</v>
      </c>
    </row>
    <row r="833" spans="1:13" ht="69">
      <c r="A833" t="s">
        <v>164</v>
      </c>
      <c r="B833" t="s">
        <v>115</v>
      </c>
      <c r="C833" s="14" t="s">
        <v>291</v>
      </c>
      <c r="D833" t="s">
        <v>366</v>
      </c>
      <c r="E833" t="s">
        <v>383</v>
      </c>
      <c r="F833" s="20">
        <v>2045</v>
      </c>
      <c r="G833" s="20">
        <v>61</v>
      </c>
      <c r="H833" s="11">
        <v>14730.728448654199</v>
      </c>
      <c r="I833" s="10">
        <v>3762638.83851369</v>
      </c>
      <c r="J833" s="34">
        <f t="shared" si="48"/>
        <v>3.9149993078987887E-3</v>
      </c>
      <c r="K833" s="34">
        <f t="shared" si="49"/>
        <v>3.9073456893365943E-3</v>
      </c>
      <c r="L833" s="34">
        <f t="shared" si="50"/>
        <v>0.96146214567550659</v>
      </c>
      <c r="M833" s="34">
        <f t="shared" si="51"/>
        <v>0.95770538070514111</v>
      </c>
    </row>
    <row r="834" spans="1:13" ht="69">
      <c r="A834" t="s">
        <v>164</v>
      </c>
      <c r="B834" t="s">
        <v>115</v>
      </c>
      <c r="C834" s="14" t="s">
        <v>291</v>
      </c>
      <c r="D834" t="s">
        <v>366</v>
      </c>
      <c r="E834" t="s">
        <v>383</v>
      </c>
      <c r="F834" s="20">
        <v>2045</v>
      </c>
      <c r="G834" s="20">
        <v>62</v>
      </c>
      <c r="H834" s="11">
        <v>15690.836721896099</v>
      </c>
      <c r="I834" s="10">
        <v>3700871.6380820498</v>
      </c>
      <c r="J834" s="34">
        <f t="shared" ref="J834:J897" si="52">IF(I834&gt;0,H834/I834,0)</f>
        <v>4.2397678861479677E-3</v>
      </c>
      <c r="K834" s="34">
        <f t="shared" ref="K834:K897" si="53">1-EXP(-J834)</f>
        <v>4.2307927589160244E-3</v>
      </c>
      <c r="L834" s="34">
        <f t="shared" ref="L834:L897" si="54">IF(G834=30,1,M833)</f>
        <v>0.95770538070514111</v>
      </c>
      <c r="M834" s="34">
        <f t="shared" ref="M834:M897" si="55">L834*(1-K834)</f>
        <v>0.95365352771527889</v>
      </c>
    </row>
    <row r="835" spans="1:13" ht="69">
      <c r="A835" t="s">
        <v>164</v>
      </c>
      <c r="B835" t="s">
        <v>115</v>
      </c>
      <c r="C835" s="14" t="s">
        <v>291</v>
      </c>
      <c r="D835" t="s">
        <v>366</v>
      </c>
      <c r="E835" t="s">
        <v>383</v>
      </c>
      <c r="F835" s="20">
        <v>2045</v>
      </c>
      <c r="G835" s="20">
        <v>63</v>
      </c>
      <c r="H835" s="11">
        <v>16601.757262897299</v>
      </c>
      <c r="I835" s="10">
        <v>3615104.6969963498</v>
      </c>
      <c r="J835" s="34">
        <f t="shared" si="52"/>
        <v>4.5923309708543313E-3</v>
      </c>
      <c r="K835" s="34">
        <f t="shared" si="53"/>
        <v>4.5818023421300147E-3</v>
      </c>
      <c r="L835" s="34">
        <f t="shared" si="54"/>
        <v>0.95365352771527889</v>
      </c>
      <c r="M835" s="34">
        <f t="shared" si="55"/>
        <v>0.94928407574841245</v>
      </c>
    </row>
    <row r="836" spans="1:13" ht="69">
      <c r="A836" t="s">
        <v>164</v>
      </c>
      <c r="B836" t="s">
        <v>115</v>
      </c>
      <c r="C836" s="14" t="s">
        <v>291</v>
      </c>
      <c r="D836" t="s">
        <v>366</v>
      </c>
      <c r="E836" t="s">
        <v>383</v>
      </c>
      <c r="F836" s="20">
        <v>2045</v>
      </c>
      <c r="G836" s="20">
        <v>64</v>
      </c>
      <c r="H836" s="11">
        <v>17757.625654862401</v>
      </c>
      <c r="I836" s="10">
        <v>3521967.3477988401</v>
      </c>
      <c r="J836" s="34">
        <f t="shared" si="52"/>
        <v>5.0419620346453704E-3</v>
      </c>
      <c r="K836" s="34">
        <f t="shared" si="53"/>
        <v>5.0292726794393117E-3</v>
      </c>
      <c r="L836" s="34">
        <f t="shared" si="54"/>
        <v>0.94928407574841245</v>
      </c>
      <c r="M836" s="34">
        <f t="shared" si="55"/>
        <v>0.94450986728122421</v>
      </c>
    </row>
    <row r="837" spans="1:13" ht="69">
      <c r="A837" t="s">
        <v>164</v>
      </c>
      <c r="B837" t="s">
        <v>115</v>
      </c>
      <c r="C837" s="14" t="s">
        <v>291</v>
      </c>
      <c r="D837" t="s">
        <v>366</v>
      </c>
      <c r="E837" t="s">
        <v>383</v>
      </c>
      <c r="F837" s="20">
        <v>2045</v>
      </c>
      <c r="G837" s="20">
        <v>65</v>
      </c>
      <c r="H837" s="11">
        <v>18884.5842779384</v>
      </c>
      <c r="I837" s="10">
        <v>3431545.1209452599</v>
      </c>
      <c r="J837" s="34">
        <f t="shared" si="52"/>
        <v>5.5032306475213755E-3</v>
      </c>
      <c r="K837" s="34">
        <f t="shared" si="53"/>
        <v>5.4881156136251663E-3</v>
      </c>
      <c r="L837" s="34">
        <f t="shared" si="54"/>
        <v>0.94450986728122421</v>
      </c>
      <c r="M837" s="34">
        <f t="shared" si="55"/>
        <v>0.93932628793137507</v>
      </c>
    </row>
    <row r="838" spans="1:13" ht="69">
      <c r="A838" t="s">
        <v>164</v>
      </c>
      <c r="B838" t="s">
        <v>115</v>
      </c>
      <c r="C838" s="14" t="s">
        <v>291</v>
      </c>
      <c r="D838" t="s">
        <v>366</v>
      </c>
      <c r="E838" t="s">
        <v>383</v>
      </c>
      <c r="F838" s="20">
        <v>2045</v>
      </c>
      <c r="G838" s="20">
        <v>66</v>
      </c>
      <c r="H838" s="11">
        <v>19270.381209182899</v>
      </c>
      <c r="I838" s="10">
        <v>3326906.5463125999</v>
      </c>
      <c r="J838" s="34">
        <f t="shared" si="52"/>
        <v>5.792282091765205E-3</v>
      </c>
      <c r="K838" s="34">
        <f t="shared" si="53"/>
        <v>5.7755391680267554E-3</v>
      </c>
      <c r="L838" s="34">
        <f t="shared" si="54"/>
        <v>0.93932628793137507</v>
      </c>
      <c r="M838" s="34">
        <f t="shared" si="55"/>
        <v>0.93390117216387025</v>
      </c>
    </row>
    <row r="839" spans="1:13" ht="69">
      <c r="A839" t="s">
        <v>164</v>
      </c>
      <c r="B839" t="s">
        <v>115</v>
      </c>
      <c r="C839" s="14" t="s">
        <v>291</v>
      </c>
      <c r="D839" t="s">
        <v>366</v>
      </c>
      <c r="E839" t="s">
        <v>383</v>
      </c>
      <c r="F839" s="20">
        <v>2045</v>
      </c>
      <c r="G839" s="20">
        <v>67</v>
      </c>
      <c r="H839" s="11">
        <v>20182.030198861499</v>
      </c>
      <c r="I839" s="10">
        <v>3199393.5505994898</v>
      </c>
      <c r="J839" s="34">
        <f t="shared" si="52"/>
        <v>6.3080799156702274E-3</v>
      </c>
      <c r="K839" s="34">
        <f t="shared" si="53"/>
        <v>6.2882257487191229E-3</v>
      </c>
      <c r="L839" s="34">
        <f t="shared" si="54"/>
        <v>0.93390117216387025</v>
      </c>
      <c r="M839" s="34">
        <f t="shared" si="55"/>
        <v>0.92802859076631039</v>
      </c>
    </row>
    <row r="840" spans="1:13" ht="69">
      <c r="A840" t="s">
        <v>164</v>
      </c>
      <c r="B840" t="s">
        <v>115</v>
      </c>
      <c r="C840" s="14" t="s">
        <v>291</v>
      </c>
      <c r="D840" t="s">
        <v>366</v>
      </c>
      <c r="E840" t="s">
        <v>383</v>
      </c>
      <c r="F840" s="20">
        <v>2045</v>
      </c>
      <c r="G840" s="20">
        <v>68</v>
      </c>
      <c r="H840" s="11">
        <v>20993.805322157801</v>
      </c>
      <c r="I840" s="10">
        <v>3074347.2146005798</v>
      </c>
      <c r="J840" s="34">
        <f t="shared" si="52"/>
        <v>6.8287034146484078E-3</v>
      </c>
      <c r="K840" s="34">
        <f t="shared" si="53"/>
        <v>6.8054408007679479E-3</v>
      </c>
      <c r="L840" s="34">
        <f t="shared" si="54"/>
        <v>0.92802859076631039</v>
      </c>
      <c r="M840" s="34">
        <f t="shared" si="55"/>
        <v>0.92171294713043017</v>
      </c>
    </row>
    <row r="841" spans="1:13" ht="69">
      <c r="A841" t="s">
        <v>164</v>
      </c>
      <c r="B841" t="s">
        <v>115</v>
      </c>
      <c r="C841" s="14" t="s">
        <v>291</v>
      </c>
      <c r="D841" t="s">
        <v>366</v>
      </c>
      <c r="E841" t="s">
        <v>383</v>
      </c>
      <c r="F841" s="20">
        <v>2045</v>
      </c>
      <c r="G841" s="20">
        <v>69</v>
      </c>
      <c r="H841" s="11">
        <v>21322.6022828893</v>
      </c>
      <c r="I841" s="10">
        <v>2959860.16140053</v>
      </c>
      <c r="J841" s="34">
        <f t="shared" si="52"/>
        <v>7.2039221855670337E-3</v>
      </c>
      <c r="K841" s="34">
        <f t="shared" si="53"/>
        <v>7.1780361358004807E-3</v>
      </c>
      <c r="L841" s="34">
        <f t="shared" si="54"/>
        <v>0.92171294713043017</v>
      </c>
      <c r="M841" s="34">
        <f t="shared" si="55"/>
        <v>0.91509685828909282</v>
      </c>
    </row>
    <row r="842" spans="1:13" ht="69">
      <c r="A842" t="s">
        <v>164</v>
      </c>
      <c r="B842" t="s">
        <v>115</v>
      </c>
      <c r="C842" s="14" t="s">
        <v>291</v>
      </c>
      <c r="D842" t="s">
        <v>366</v>
      </c>
      <c r="E842" t="s">
        <v>383</v>
      </c>
      <c r="F842" s="20">
        <v>2046</v>
      </c>
      <c r="G842" s="20">
        <v>30</v>
      </c>
      <c r="H842" s="11">
        <v>699.42100960098503</v>
      </c>
      <c r="I842" s="10">
        <v>4588894.2397487601</v>
      </c>
      <c r="J842" s="34">
        <f t="shared" si="52"/>
        <v>1.5241602291520191E-4</v>
      </c>
      <c r="K842" s="34">
        <f t="shared" si="53"/>
        <v>1.5240440818331535E-4</v>
      </c>
      <c r="L842" s="34">
        <f t="shared" si="54"/>
        <v>1</v>
      </c>
      <c r="M842" s="34">
        <f t="shared" si="55"/>
        <v>0.99984759559181668</v>
      </c>
    </row>
    <row r="843" spans="1:13" ht="69">
      <c r="A843" t="s">
        <v>164</v>
      </c>
      <c r="B843" t="s">
        <v>115</v>
      </c>
      <c r="C843" s="14" t="s">
        <v>291</v>
      </c>
      <c r="D843" t="s">
        <v>366</v>
      </c>
      <c r="E843" t="s">
        <v>383</v>
      </c>
      <c r="F843" s="20">
        <v>2046</v>
      </c>
      <c r="G843" s="20">
        <v>31</v>
      </c>
      <c r="H843" s="11">
        <v>1016.9381170261</v>
      </c>
      <c r="I843" s="10">
        <v>4652432.3592151403</v>
      </c>
      <c r="J843" s="34">
        <f t="shared" si="52"/>
        <v>2.185820316144599E-4</v>
      </c>
      <c r="K843" s="34">
        <f t="shared" si="53"/>
        <v>2.1855814430271625E-4</v>
      </c>
      <c r="L843" s="34">
        <f t="shared" si="54"/>
        <v>0.99984759559181668</v>
      </c>
      <c r="M843" s="34">
        <f t="shared" si="55"/>
        <v>0.99962907075673857</v>
      </c>
    </row>
    <row r="844" spans="1:13" ht="69">
      <c r="A844" t="s">
        <v>164</v>
      </c>
      <c r="B844" t="s">
        <v>115</v>
      </c>
      <c r="C844" s="14" t="s">
        <v>291</v>
      </c>
      <c r="D844" t="s">
        <v>366</v>
      </c>
      <c r="E844" t="s">
        <v>383</v>
      </c>
      <c r="F844" s="20">
        <v>2046</v>
      </c>
      <c r="G844" s="20">
        <v>32</v>
      </c>
      <c r="H844" s="11">
        <v>1069.99389541603</v>
      </c>
      <c r="I844" s="10">
        <v>4724197.3233921304</v>
      </c>
      <c r="J844" s="34">
        <f t="shared" si="52"/>
        <v>2.264922106699258E-4</v>
      </c>
      <c r="K844" s="34">
        <f t="shared" si="53"/>
        <v>2.2646656324554204E-4</v>
      </c>
      <c r="L844" s="34">
        <f t="shared" si="54"/>
        <v>0.99962907075673857</v>
      </c>
      <c r="M844" s="34">
        <f t="shared" si="55"/>
        <v>0.99940268819656397</v>
      </c>
    </row>
    <row r="845" spans="1:13" ht="69">
      <c r="A845" t="s">
        <v>164</v>
      </c>
      <c r="B845" t="s">
        <v>115</v>
      </c>
      <c r="C845" s="14" t="s">
        <v>291</v>
      </c>
      <c r="D845" t="s">
        <v>366</v>
      </c>
      <c r="E845" t="s">
        <v>383</v>
      </c>
      <c r="F845" s="20">
        <v>2046</v>
      </c>
      <c r="G845" s="20">
        <v>33</v>
      </c>
      <c r="H845" s="11">
        <v>1139.4570829975501</v>
      </c>
      <c r="I845" s="10">
        <v>4815282.54149066</v>
      </c>
      <c r="J845" s="34">
        <f t="shared" si="52"/>
        <v>2.3663348374253652E-4</v>
      </c>
      <c r="K845" s="34">
        <f t="shared" si="53"/>
        <v>2.3660548824799843E-4</v>
      </c>
      <c r="L845" s="34">
        <f t="shared" si="54"/>
        <v>0.99940268819656397</v>
      </c>
      <c r="M845" s="34">
        <f t="shared" si="55"/>
        <v>0.99916622403556687</v>
      </c>
    </row>
    <row r="846" spans="1:13" ht="69">
      <c r="A846" t="s">
        <v>164</v>
      </c>
      <c r="B846" t="s">
        <v>115</v>
      </c>
      <c r="C846" s="14" t="s">
        <v>291</v>
      </c>
      <c r="D846" t="s">
        <v>366</v>
      </c>
      <c r="E846" t="s">
        <v>383</v>
      </c>
      <c r="F846" s="20">
        <v>2046</v>
      </c>
      <c r="G846" s="20">
        <v>34</v>
      </c>
      <c r="H846" s="11">
        <v>1205.43709786419</v>
      </c>
      <c r="I846" s="10">
        <v>4858380.0530855497</v>
      </c>
      <c r="J846" s="34">
        <f t="shared" si="52"/>
        <v>2.4811502696225234E-4</v>
      </c>
      <c r="K846" s="34">
        <f t="shared" si="53"/>
        <v>2.4808424897448944E-4</v>
      </c>
      <c r="L846" s="34">
        <f t="shared" si="54"/>
        <v>0.99916622403556687</v>
      </c>
      <c r="M846" s="34">
        <f t="shared" si="55"/>
        <v>0.99891834663327639</v>
      </c>
    </row>
    <row r="847" spans="1:13" ht="69">
      <c r="A847" t="s">
        <v>164</v>
      </c>
      <c r="B847" t="s">
        <v>115</v>
      </c>
      <c r="C847" s="14" t="s">
        <v>291</v>
      </c>
      <c r="D847" t="s">
        <v>366</v>
      </c>
      <c r="E847" t="s">
        <v>383</v>
      </c>
      <c r="F847" s="20">
        <v>2046</v>
      </c>
      <c r="G847" s="20">
        <v>35</v>
      </c>
      <c r="H847" s="11">
        <v>1263.12026311464</v>
      </c>
      <c r="I847" s="10">
        <v>4778447.9637305699</v>
      </c>
      <c r="J847" s="34">
        <f t="shared" si="52"/>
        <v>2.643369296269395E-4</v>
      </c>
      <c r="K847" s="34">
        <f t="shared" si="53"/>
        <v>2.6430199569893453E-4</v>
      </c>
      <c r="L847" s="34">
        <f t="shared" si="54"/>
        <v>0.99891834663327639</v>
      </c>
      <c r="M847" s="34">
        <f t="shared" si="55"/>
        <v>0.99865433052072095</v>
      </c>
    </row>
    <row r="848" spans="1:13" ht="69">
      <c r="A848" t="s">
        <v>164</v>
      </c>
      <c r="B848" t="s">
        <v>115</v>
      </c>
      <c r="C848" s="14" t="s">
        <v>291</v>
      </c>
      <c r="D848" t="s">
        <v>366</v>
      </c>
      <c r="E848" t="s">
        <v>383</v>
      </c>
      <c r="F848" s="20">
        <v>2046</v>
      </c>
      <c r="G848" s="20">
        <v>36</v>
      </c>
      <c r="H848" s="11">
        <v>1553.2251755288301</v>
      </c>
      <c r="I848" s="10">
        <v>4676967.6501995996</v>
      </c>
      <c r="J848" s="34">
        <f t="shared" si="52"/>
        <v>3.3210090205831183E-4</v>
      </c>
      <c r="K848" s="34">
        <f t="shared" si="53"/>
        <v>3.3204576265788432E-4</v>
      </c>
      <c r="L848" s="34">
        <f t="shared" si="54"/>
        <v>0.99865433052072095</v>
      </c>
      <c r="M848" s="34">
        <f t="shared" si="55"/>
        <v>0.99832273158191165</v>
      </c>
    </row>
    <row r="849" spans="1:13" ht="69">
      <c r="A849" t="s">
        <v>164</v>
      </c>
      <c r="B849" t="s">
        <v>115</v>
      </c>
      <c r="C849" s="14" t="s">
        <v>291</v>
      </c>
      <c r="D849" t="s">
        <v>366</v>
      </c>
      <c r="E849" t="s">
        <v>383</v>
      </c>
      <c r="F849" s="20">
        <v>2046</v>
      </c>
      <c r="G849" s="20">
        <v>37</v>
      </c>
      <c r="H849" s="11">
        <v>1655.8131909275</v>
      </c>
      <c r="I849" s="10">
        <v>4619677.1167333899</v>
      </c>
      <c r="J849" s="34">
        <f t="shared" si="52"/>
        <v>3.5842617332060181E-4</v>
      </c>
      <c r="K849" s="34">
        <f t="shared" si="53"/>
        <v>3.5836194633354079E-4</v>
      </c>
      <c r="L849" s="34">
        <f t="shared" si="54"/>
        <v>0.99832273158191165</v>
      </c>
      <c r="M849" s="34">
        <f t="shared" si="55"/>
        <v>0.99796497070475298</v>
      </c>
    </row>
    <row r="850" spans="1:13" ht="69">
      <c r="A850" t="s">
        <v>164</v>
      </c>
      <c r="B850" t="s">
        <v>115</v>
      </c>
      <c r="C850" s="14" t="s">
        <v>291</v>
      </c>
      <c r="D850" t="s">
        <v>366</v>
      </c>
      <c r="E850" t="s">
        <v>383</v>
      </c>
      <c r="F850" s="20">
        <v>2046</v>
      </c>
      <c r="G850" s="20">
        <v>38</v>
      </c>
      <c r="H850" s="11">
        <v>1798.0052962530001</v>
      </c>
      <c r="I850" s="10">
        <v>4610598.3813041197</v>
      </c>
      <c r="J850" s="34">
        <f t="shared" si="52"/>
        <v>3.8997222216185086E-4</v>
      </c>
      <c r="K850" s="34">
        <f t="shared" si="53"/>
        <v>3.8989619287821409E-4</v>
      </c>
      <c r="L850" s="34">
        <f t="shared" si="54"/>
        <v>0.99796497070475298</v>
      </c>
      <c r="M850" s="34">
        <f t="shared" si="55"/>
        <v>0.99757586796204933</v>
      </c>
    </row>
    <row r="851" spans="1:13" ht="69">
      <c r="A851" t="s">
        <v>164</v>
      </c>
      <c r="B851" t="s">
        <v>115</v>
      </c>
      <c r="C851" s="14" t="s">
        <v>291</v>
      </c>
      <c r="D851" t="s">
        <v>366</v>
      </c>
      <c r="E851" t="s">
        <v>383</v>
      </c>
      <c r="F851" s="20">
        <v>2046</v>
      </c>
      <c r="G851" s="20">
        <v>39</v>
      </c>
      <c r="H851" s="11">
        <v>1887.44720344251</v>
      </c>
      <c r="I851" s="10">
        <v>4581340.1314926296</v>
      </c>
      <c r="J851" s="34">
        <f t="shared" si="52"/>
        <v>4.1198582713123456E-4</v>
      </c>
      <c r="K851" s="34">
        <f t="shared" si="53"/>
        <v>4.1190097262366887E-4</v>
      </c>
      <c r="L851" s="34">
        <f t="shared" si="54"/>
        <v>0.99757586796204933</v>
      </c>
      <c r="M851" s="34">
        <f t="shared" si="55"/>
        <v>0.99716496549176992</v>
      </c>
    </row>
    <row r="852" spans="1:13" ht="69">
      <c r="A852" t="s">
        <v>164</v>
      </c>
      <c r="B852" t="s">
        <v>115</v>
      </c>
      <c r="C852" s="14" t="s">
        <v>291</v>
      </c>
      <c r="D852" t="s">
        <v>366</v>
      </c>
      <c r="E852" t="s">
        <v>383</v>
      </c>
      <c r="F852" s="20">
        <v>2046</v>
      </c>
      <c r="G852" s="20">
        <v>40</v>
      </c>
      <c r="H852" s="11">
        <v>2013.9334296351501</v>
      </c>
      <c r="I852" s="10">
        <v>4508527.9472235199</v>
      </c>
      <c r="J852" s="34">
        <f t="shared" si="52"/>
        <v>4.4669423217735354E-4</v>
      </c>
      <c r="K852" s="34">
        <f t="shared" si="53"/>
        <v>4.4659447916239881E-4</v>
      </c>
      <c r="L852" s="34">
        <f t="shared" si="54"/>
        <v>0.99716496549176992</v>
      </c>
      <c r="M852" s="34">
        <f t="shared" si="55"/>
        <v>0.99671963712336709</v>
      </c>
    </row>
    <row r="853" spans="1:13" ht="69">
      <c r="A853" t="s">
        <v>164</v>
      </c>
      <c r="B853" t="s">
        <v>115</v>
      </c>
      <c r="C853" s="14" t="s">
        <v>291</v>
      </c>
      <c r="D853" t="s">
        <v>366</v>
      </c>
      <c r="E853" t="s">
        <v>383</v>
      </c>
      <c r="F853" s="20">
        <v>2046</v>
      </c>
      <c r="G853" s="20">
        <v>41</v>
      </c>
      <c r="H853" s="11">
        <v>2546.4922077504498</v>
      </c>
      <c r="I853" s="10">
        <v>4412903.8565930799</v>
      </c>
      <c r="J853" s="34">
        <f t="shared" si="52"/>
        <v>5.7705590026528087E-4</v>
      </c>
      <c r="K853" s="34">
        <f t="shared" si="53"/>
        <v>5.7688943553058092E-4</v>
      </c>
      <c r="L853" s="34">
        <f t="shared" si="54"/>
        <v>0.99671963712336709</v>
      </c>
      <c r="M853" s="34">
        <f t="shared" si="55"/>
        <v>0.99614464009452475</v>
      </c>
    </row>
    <row r="854" spans="1:13" ht="69">
      <c r="A854" t="s">
        <v>164</v>
      </c>
      <c r="B854" t="s">
        <v>115</v>
      </c>
      <c r="C854" s="14" t="s">
        <v>291</v>
      </c>
      <c r="D854" t="s">
        <v>366</v>
      </c>
      <c r="E854" t="s">
        <v>383</v>
      </c>
      <c r="F854" s="20">
        <v>2046</v>
      </c>
      <c r="G854" s="20">
        <v>42</v>
      </c>
      <c r="H854" s="11">
        <v>2760.9313376427499</v>
      </c>
      <c r="I854" s="10">
        <v>4313693.2047048099</v>
      </c>
      <c r="J854" s="34">
        <f t="shared" si="52"/>
        <v>6.4003887310100979E-4</v>
      </c>
      <c r="K854" s="34">
        <f t="shared" si="53"/>
        <v>6.3983409191314955E-4</v>
      </c>
      <c r="L854" s="34">
        <f t="shared" si="54"/>
        <v>0.99614464009452475</v>
      </c>
      <c r="M854" s="34">
        <f t="shared" si="55"/>
        <v>0.99550727279331575</v>
      </c>
    </row>
    <row r="855" spans="1:13" ht="69">
      <c r="A855" t="s">
        <v>164</v>
      </c>
      <c r="B855" t="s">
        <v>115</v>
      </c>
      <c r="C855" s="14" t="s">
        <v>291</v>
      </c>
      <c r="D855" t="s">
        <v>366</v>
      </c>
      <c r="E855" t="s">
        <v>383</v>
      </c>
      <c r="F855" s="20">
        <v>2046</v>
      </c>
      <c r="G855" s="20">
        <v>43</v>
      </c>
      <c r="H855" s="11">
        <v>3075.80898503253</v>
      </c>
      <c r="I855" s="10">
        <v>4267387.8999348497</v>
      </c>
      <c r="J855" s="34">
        <f t="shared" si="52"/>
        <v>7.2077089244206938E-4</v>
      </c>
      <c r="K855" s="34">
        <f t="shared" si="53"/>
        <v>7.2051119949911868E-4</v>
      </c>
      <c r="L855" s="34">
        <f t="shared" si="54"/>
        <v>0.99550727279331575</v>
      </c>
      <c r="M855" s="34">
        <f t="shared" si="55"/>
        <v>0.99478999865408535</v>
      </c>
    </row>
    <row r="856" spans="1:13" ht="69">
      <c r="A856" t="s">
        <v>164</v>
      </c>
      <c r="B856" t="s">
        <v>115</v>
      </c>
      <c r="C856" s="14" t="s">
        <v>291</v>
      </c>
      <c r="D856" t="s">
        <v>366</v>
      </c>
      <c r="E856" t="s">
        <v>383</v>
      </c>
      <c r="F856" s="20">
        <v>2046</v>
      </c>
      <c r="G856" s="20">
        <v>44</v>
      </c>
      <c r="H856" s="11">
        <v>3246.5531407509702</v>
      </c>
      <c r="I856" s="10">
        <v>4242946.9876762303</v>
      </c>
      <c r="J856" s="34">
        <f t="shared" si="52"/>
        <v>7.6516467214430997E-4</v>
      </c>
      <c r="K856" s="34">
        <f t="shared" si="53"/>
        <v>7.6487200830666069E-4</v>
      </c>
      <c r="L856" s="34">
        <f t="shared" si="54"/>
        <v>0.99478999865408535</v>
      </c>
      <c r="M856" s="34">
        <f t="shared" si="55"/>
        <v>0.99402911162997143</v>
      </c>
    </row>
    <row r="857" spans="1:13" ht="69">
      <c r="A857" t="s">
        <v>164</v>
      </c>
      <c r="B857" t="s">
        <v>115</v>
      </c>
      <c r="C857" s="14" t="s">
        <v>291</v>
      </c>
      <c r="D857" t="s">
        <v>366</v>
      </c>
      <c r="E857" t="s">
        <v>383</v>
      </c>
      <c r="F857" s="20">
        <v>2046</v>
      </c>
      <c r="G857" s="20">
        <v>45</v>
      </c>
      <c r="H857" s="11">
        <v>3514.92500182504</v>
      </c>
      <c r="I857" s="10">
        <v>4218106.6934567997</v>
      </c>
      <c r="J857" s="34">
        <f t="shared" si="52"/>
        <v>8.3329447481199392E-4</v>
      </c>
      <c r="K857" s="34">
        <f t="shared" si="53"/>
        <v>8.3294738138817159E-4</v>
      </c>
      <c r="L857" s="34">
        <f t="shared" si="54"/>
        <v>0.99402911162997143</v>
      </c>
      <c r="M857" s="34">
        <f t="shared" si="55"/>
        <v>0.99320113768441565</v>
      </c>
    </row>
    <row r="858" spans="1:13" ht="69">
      <c r="A858" t="s">
        <v>164</v>
      </c>
      <c r="B858" t="s">
        <v>115</v>
      </c>
      <c r="C858" s="14" t="s">
        <v>291</v>
      </c>
      <c r="D858" t="s">
        <v>366</v>
      </c>
      <c r="E858" t="s">
        <v>383</v>
      </c>
      <c r="F858" s="20">
        <v>2046</v>
      </c>
      <c r="G858" s="20">
        <v>46</v>
      </c>
      <c r="H858" s="11">
        <v>4381.3476761941502</v>
      </c>
      <c r="I858" s="10">
        <v>4211884.5502282502</v>
      </c>
      <c r="J858" s="34">
        <f t="shared" si="52"/>
        <v>1.0402345135401957E-3</v>
      </c>
      <c r="K858" s="34">
        <f t="shared" si="53"/>
        <v>1.0396936571740456E-3</v>
      </c>
      <c r="L858" s="34">
        <f t="shared" si="54"/>
        <v>0.99320113768441565</v>
      </c>
      <c r="M858" s="34">
        <f t="shared" si="55"/>
        <v>0.99216851276126716</v>
      </c>
    </row>
    <row r="859" spans="1:13" ht="69">
      <c r="A859" t="s">
        <v>164</v>
      </c>
      <c r="B859" t="s">
        <v>115</v>
      </c>
      <c r="C859" s="14" t="s">
        <v>291</v>
      </c>
      <c r="D859" t="s">
        <v>366</v>
      </c>
      <c r="E859" t="s">
        <v>383</v>
      </c>
      <c r="F859" s="20">
        <v>2046</v>
      </c>
      <c r="G859" s="20">
        <v>47</v>
      </c>
      <c r="H859" s="11">
        <v>4877.9771820860897</v>
      </c>
      <c r="I859" s="10">
        <v>4242851.2051612204</v>
      </c>
      <c r="J859" s="34">
        <f t="shared" si="52"/>
        <v>1.1496932006836039E-3</v>
      </c>
      <c r="K859" s="34">
        <f t="shared" si="53"/>
        <v>1.149032556659324E-3</v>
      </c>
      <c r="L859" s="34">
        <f t="shared" si="54"/>
        <v>0.99216851276126716</v>
      </c>
      <c r="M859" s="34">
        <f t="shared" si="55"/>
        <v>0.99102847883841216</v>
      </c>
    </row>
    <row r="860" spans="1:13" ht="69">
      <c r="A860" t="s">
        <v>164</v>
      </c>
      <c r="B860" t="s">
        <v>115</v>
      </c>
      <c r="C860" s="14" t="s">
        <v>291</v>
      </c>
      <c r="D860" t="s">
        <v>366</v>
      </c>
      <c r="E860" t="s">
        <v>383</v>
      </c>
      <c r="F860" s="20">
        <v>2046</v>
      </c>
      <c r="G860" s="20">
        <v>48</v>
      </c>
      <c r="H860" s="11">
        <v>5445.2928436325201</v>
      </c>
      <c r="I860" s="10">
        <v>4275413.8503807802</v>
      </c>
      <c r="J860" s="34">
        <f t="shared" si="52"/>
        <v>1.2736294155822009E-3</v>
      </c>
      <c r="K860" s="34">
        <f t="shared" si="53"/>
        <v>1.2728186938609776E-3</v>
      </c>
      <c r="L860" s="34">
        <f t="shared" si="54"/>
        <v>0.99102847883841216</v>
      </c>
      <c r="M860" s="34">
        <f t="shared" si="55"/>
        <v>0.989767079264398</v>
      </c>
    </row>
    <row r="861" spans="1:13" ht="69">
      <c r="A861" t="s">
        <v>164</v>
      </c>
      <c r="B861" t="s">
        <v>115</v>
      </c>
      <c r="C861" s="14" t="s">
        <v>291</v>
      </c>
      <c r="D861" t="s">
        <v>366</v>
      </c>
      <c r="E861" t="s">
        <v>383</v>
      </c>
      <c r="F861" s="20">
        <v>2046</v>
      </c>
      <c r="G861" s="20">
        <v>49</v>
      </c>
      <c r="H861" s="11">
        <v>5860.8037353231102</v>
      </c>
      <c r="I861" s="10">
        <v>4261903.6337420503</v>
      </c>
      <c r="J861" s="34">
        <f t="shared" si="52"/>
        <v>1.3751610169977467E-3</v>
      </c>
      <c r="K861" s="34">
        <f t="shared" si="53"/>
        <v>1.3742159163578904E-3</v>
      </c>
      <c r="L861" s="34">
        <f t="shared" si="54"/>
        <v>0.989767079264398</v>
      </c>
      <c r="M861" s="34">
        <f t="shared" si="55"/>
        <v>0.98840692559058585</v>
      </c>
    </row>
    <row r="862" spans="1:13" ht="69">
      <c r="A862" t="s">
        <v>164</v>
      </c>
      <c r="B862" t="s">
        <v>115</v>
      </c>
      <c r="C862" s="14" t="s">
        <v>291</v>
      </c>
      <c r="D862" t="s">
        <v>366</v>
      </c>
      <c r="E862" t="s">
        <v>383</v>
      </c>
      <c r="F862" s="20">
        <v>2046</v>
      </c>
      <c r="G862" s="20">
        <v>50</v>
      </c>
      <c r="H862" s="11">
        <v>6254.0029044305202</v>
      </c>
      <c r="I862" s="10">
        <v>4190477.4865924702</v>
      </c>
      <c r="J862" s="34">
        <f t="shared" si="52"/>
        <v>1.4924320496746129E-3</v>
      </c>
      <c r="K862" s="34">
        <f t="shared" si="53"/>
        <v>1.4913189267854454E-3</v>
      </c>
      <c r="L862" s="34">
        <f t="shared" si="54"/>
        <v>0.98840692559058585</v>
      </c>
      <c r="M862" s="34">
        <f t="shared" si="55"/>
        <v>0.98693289563508679</v>
      </c>
    </row>
    <row r="863" spans="1:13" ht="69">
      <c r="A863" t="s">
        <v>164</v>
      </c>
      <c r="B863" t="s">
        <v>115</v>
      </c>
      <c r="C863" s="14" t="s">
        <v>291</v>
      </c>
      <c r="D863" t="s">
        <v>366</v>
      </c>
      <c r="E863" t="s">
        <v>383</v>
      </c>
      <c r="F863" s="20">
        <v>2046</v>
      </c>
      <c r="G863" s="20">
        <v>51</v>
      </c>
      <c r="H863" s="11">
        <v>6916.6186946227099</v>
      </c>
      <c r="I863" s="10">
        <v>4116275.1944803898</v>
      </c>
      <c r="J863" s="34">
        <f t="shared" si="52"/>
        <v>1.68031007836827E-3</v>
      </c>
      <c r="K863" s="34">
        <f t="shared" si="53"/>
        <v>1.6788991477661996E-3</v>
      </c>
      <c r="L863" s="34">
        <f t="shared" si="54"/>
        <v>0.98693289563508679</v>
      </c>
      <c r="M863" s="34">
        <f t="shared" si="55"/>
        <v>0.98527593483770259</v>
      </c>
    </row>
    <row r="864" spans="1:13" ht="69">
      <c r="A864" t="s">
        <v>164</v>
      </c>
      <c r="B864" t="s">
        <v>115</v>
      </c>
      <c r="C864" s="14" t="s">
        <v>291</v>
      </c>
      <c r="D864" t="s">
        <v>366</v>
      </c>
      <c r="E864" t="s">
        <v>383</v>
      </c>
      <c r="F864" s="20">
        <v>2046</v>
      </c>
      <c r="G864" s="20">
        <v>52</v>
      </c>
      <c r="H864" s="11">
        <v>7404.9306571490297</v>
      </c>
      <c r="I864" s="10">
        <v>4050314.4659343101</v>
      </c>
      <c r="J864" s="34">
        <f t="shared" si="52"/>
        <v>1.8282359849905853E-3</v>
      </c>
      <c r="K864" s="34">
        <f t="shared" si="53"/>
        <v>1.8265657795804024E-3</v>
      </c>
      <c r="L864" s="34">
        <f t="shared" si="54"/>
        <v>0.98527593483770259</v>
      </c>
      <c r="M864" s="34">
        <f t="shared" si="55"/>
        <v>0.98347626353168394</v>
      </c>
    </row>
    <row r="865" spans="1:13" ht="69">
      <c r="A865" t="s">
        <v>164</v>
      </c>
      <c r="B865" t="s">
        <v>115</v>
      </c>
      <c r="C865" s="14" t="s">
        <v>291</v>
      </c>
      <c r="D865" t="s">
        <v>366</v>
      </c>
      <c r="E865" t="s">
        <v>383</v>
      </c>
      <c r="F865" s="20">
        <v>2046</v>
      </c>
      <c r="G865" s="20">
        <v>53</v>
      </c>
      <c r="H865" s="11">
        <v>7928.4908137326802</v>
      </c>
      <c r="I865" s="10">
        <v>3985684.4709104998</v>
      </c>
      <c r="J865" s="34">
        <f t="shared" si="52"/>
        <v>1.9892419662416168E-3</v>
      </c>
      <c r="K865" s="34">
        <f t="shared" si="53"/>
        <v>1.987264735722083E-3</v>
      </c>
      <c r="L865" s="34">
        <f t="shared" si="54"/>
        <v>0.98347626353168394</v>
      </c>
      <c r="M865" s="34">
        <f t="shared" si="55"/>
        <v>0.98152183583474772</v>
      </c>
    </row>
    <row r="866" spans="1:13" ht="69">
      <c r="A866" t="s">
        <v>164</v>
      </c>
      <c r="B866" t="s">
        <v>115</v>
      </c>
      <c r="C866" s="14" t="s">
        <v>291</v>
      </c>
      <c r="D866" t="s">
        <v>366</v>
      </c>
      <c r="E866" t="s">
        <v>383</v>
      </c>
      <c r="F866" s="20">
        <v>2046</v>
      </c>
      <c r="G866" s="20">
        <v>54</v>
      </c>
      <c r="H866" s="11">
        <v>8610.8531816963605</v>
      </c>
      <c r="I866" s="10">
        <v>3953252.1501301499</v>
      </c>
      <c r="J866" s="34">
        <f t="shared" si="52"/>
        <v>2.1781694803891709E-3</v>
      </c>
      <c r="K866" s="34">
        <f t="shared" si="53"/>
        <v>2.1757989906683317E-3</v>
      </c>
      <c r="L866" s="34">
        <f t="shared" si="54"/>
        <v>0.98152183583474772</v>
      </c>
      <c r="M866" s="34">
        <f t="shared" si="55"/>
        <v>0.97938624161501953</v>
      </c>
    </row>
    <row r="867" spans="1:13" ht="69">
      <c r="A867" t="s">
        <v>164</v>
      </c>
      <c r="B867" t="s">
        <v>115</v>
      </c>
      <c r="C867" s="14" t="s">
        <v>291</v>
      </c>
      <c r="D867" t="s">
        <v>366</v>
      </c>
      <c r="E867" t="s">
        <v>383</v>
      </c>
      <c r="F867" s="20">
        <v>2046</v>
      </c>
      <c r="G867" s="20">
        <v>55</v>
      </c>
      <c r="H867" s="11">
        <v>9358.2619855883095</v>
      </c>
      <c r="I867" s="10">
        <v>3913816.5950288801</v>
      </c>
      <c r="J867" s="34">
        <f t="shared" si="52"/>
        <v>2.3910834241631742E-3</v>
      </c>
      <c r="K867" s="34">
        <f t="shared" si="53"/>
        <v>2.3882270612467504E-3</v>
      </c>
      <c r="L867" s="34">
        <f t="shared" si="54"/>
        <v>0.97938624161501953</v>
      </c>
      <c r="M867" s="34">
        <f t="shared" si="55"/>
        <v>0.97704724488938177</v>
      </c>
    </row>
    <row r="868" spans="1:13" ht="69">
      <c r="A868" t="s">
        <v>164</v>
      </c>
      <c r="B868" t="s">
        <v>115</v>
      </c>
      <c r="C868" s="14" t="s">
        <v>291</v>
      </c>
      <c r="D868" t="s">
        <v>366</v>
      </c>
      <c r="E868" t="s">
        <v>383</v>
      </c>
      <c r="F868" s="20">
        <v>2046</v>
      </c>
      <c r="G868" s="20">
        <v>56</v>
      </c>
      <c r="H868" s="11">
        <v>10045.662784157499</v>
      </c>
      <c r="I868" s="10">
        <v>3876197.0793264699</v>
      </c>
      <c r="J868" s="34">
        <f t="shared" si="52"/>
        <v>2.5916284901342113E-3</v>
      </c>
      <c r="K868" s="34">
        <f t="shared" si="53"/>
        <v>2.5882731202687692E-3</v>
      </c>
      <c r="L868" s="34">
        <f t="shared" si="54"/>
        <v>0.97704724488938177</v>
      </c>
      <c r="M868" s="34">
        <f t="shared" si="55"/>
        <v>0.97451837976820188</v>
      </c>
    </row>
    <row r="869" spans="1:13" ht="69">
      <c r="A869" t="s">
        <v>164</v>
      </c>
      <c r="B869" t="s">
        <v>115</v>
      </c>
      <c r="C869" s="14" t="s">
        <v>291</v>
      </c>
      <c r="D869" t="s">
        <v>366</v>
      </c>
      <c r="E869" t="s">
        <v>383</v>
      </c>
      <c r="F869" s="20">
        <v>2046</v>
      </c>
      <c r="G869" s="20">
        <v>57</v>
      </c>
      <c r="H869" s="11">
        <v>11018.041902901001</v>
      </c>
      <c r="I869" s="10">
        <v>3858175.7634419599</v>
      </c>
      <c r="J869" s="34">
        <f t="shared" si="52"/>
        <v>2.8557646355311644E-3</v>
      </c>
      <c r="K869" s="34">
        <f t="shared" si="53"/>
        <v>2.8516908185811651E-3</v>
      </c>
      <c r="L869" s="34">
        <f t="shared" si="54"/>
        <v>0.97451837976820188</v>
      </c>
      <c r="M869" s="34">
        <f t="shared" si="55"/>
        <v>0.97173935465207828</v>
      </c>
    </row>
    <row r="870" spans="1:13" ht="69">
      <c r="A870" t="s">
        <v>164</v>
      </c>
      <c r="B870" t="s">
        <v>115</v>
      </c>
      <c r="C870" s="14" t="s">
        <v>291</v>
      </c>
      <c r="D870" t="s">
        <v>366</v>
      </c>
      <c r="E870" t="s">
        <v>383</v>
      </c>
      <c r="F870" s="20">
        <v>2046</v>
      </c>
      <c r="G870" s="20">
        <v>58</v>
      </c>
      <c r="H870" s="11">
        <v>11991.639569978501</v>
      </c>
      <c r="I870" s="10">
        <v>3794369.8260840899</v>
      </c>
      <c r="J870" s="34">
        <f t="shared" si="52"/>
        <v>3.1603771165222062E-3</v>
      </c>
      <c r="K870" s="34">
        <f t="shared" si="53"/>
        <v>3.1553883815745865E-3</v>
      </c>
      <c r="L870" s="34">
        <f t="shared" si="54"/>
        <v>0.97173935465207828</v>
      </c>
      <c r="M870" s="34">
        <f t="shared" si="55"/>
        <v>0.96867313958249035</v>
      </c>
    </row>
    <row r="871" spans="1:13" ht="69">
      <c r="A871" t="s">
        <v>164</v>
      </c>
      <c r="B871" t="s">
        <v>115</v>
      </c>
      <c r="C871" s="14" t="s">
        <v>291</v>
      </c>
      <c r="D871" t="s">
        <v>366</v>
      </c>
      <c r="E871" t="s">
        <v>383</v>
      </c>
      <c r="F871" s="20">
        <v>2046</v>
      </c>
      <c r="G871" s="20">
        <v>59</v>
      </c>
      <c r="H871" s="11">
        <v>12446.766155608</v>
      </c>
      <c r="I871" s="10">
        <v>3720927.5633778302</v>
      </c>
      <c r="J871" s="34">
        <f t="shared" si="52"/>
        <v>3.3450708038801269E-3</v>
      </c>
      <c r="K871" s="34">
        <f t="shared" si="53"/>
        <v>3.3394822876028352E-3</v>
      </c>
      <c r="L871" s="34">
        <f t="shared" si="54"/>
        <v>0.96867313958249035</v>
      </c>
      <c r="M871" s="34">
        <f t="shared" si="55"/>
        <v>0.96543827279037797</v>
      </c>
    </row>
    <row r="872" spans="1:13" ht="69">
      <c r="A872" t="s">
        <v>164</v>
      </c>
      <c r="B872" t="s">
        <v>115</v>
      </c>
      <c r="C872" s="14" t="s">
        <v>291</v>
      </c>
      <c r="D872" t="s">
        <v>366</v>
      </c>
      <c r="E872" t="s">
        <v>383</v>
      </c>
      <c r="F872" s="20">
        <v>2046</v>
      </c>
      <c r="G872" s="20">
        <v>60</v>
      </c>
      <c r="H872" s="11">
        <v>13284.305525927201</v>
      </c>
      <c r="I872" s="10">
        <v>3702664.7677529999</v>
      </c>
      <c r="J872" s="34">
        <f t="shared" si="52"/>
        <v>3.5877689067673598E-3</v>
      </c>
      <c r="K872" s="34">
        <f t="shared" si="53"/>
        <v>3.5813405540158216E-3</v>
      </c>
      <c r="L872" s="34">
        <f t="shared" si="54"/>
        <v>0.96543827279037797</v>
      </c>
      <c r="M872" s="34">
        <f t="shared" si="55"/>
        <v>0.96198070955163484</v>
      </c>
    </row>
    <row r="873" spans="1:13" ht="69">
      <c r="A873" t="s">
        <v>164</v>
      </c>
      <c r="B873" t="s">
        <v>115</v>
      </c>
      <c r="C873" s="14" t="s">
        <v>291</v>
      </c>
      <c r="D873" t="s">
        <v>366</v>
      </c>
      <c r="E873" t="s">
        <v>383</v>
      </c>
      <c r="F873" s="20">
        <v>2046</v>
      </c>
      <c r="G873" s="20">
        <v>61</v>
      </c>
      <c r="H873" s="11">
        <v>14357.544118556199</v>
      </c>
      <c r="I873" s="10">
        <v>3733437.4204420801</v>
      </c>
      <c r="J873" s="34">
        <f t="shared" si="52"/>
        <v>3.8456635271138704E-3</v>
      </c>
      <c r="K873" s="34">
        <f t="shared" si="53"/>
        <v>3.83827843302742E-3</v>
      </c>
      <c r="L873" s="34">
        <f t="shared" si="54"/>
        <v>0.96198070955163484</v>
      </c>
      <c r="M873" s="34">
        <f t="shared" si="55"/>
        <v>0.95828835974117443</v>
      </c>
    </row>
    <row r="874" spans="1:13" ht="69">
      <c r="A874" t="s">
        <v>164</v>
      </c>
      <c r="B874" t="s">
        <v>115</v>
      </c>
      <c r="C874" s="14" t="s">
        <v>291</v>
      </c>
      <c r="D874" t="s">
        <v>366</v>
      </c>
      <c r="E874" t="s">
        <v>383</v>
      </c>
      <c r="F874" s="20">
        <v>2046</v>
      </c>
      <c r="G874" s="20">
        <v>62</v>
      </c>
      <c r="H874" s="11">
        <v>15597.3842248248</v>
      </c>
      <c r="I874" s="10">
        <v>3722796.9792850502</v>
      </c>
      <c r="J874" s="34">
        <f t="shared" si="52"/>
        <v>4.1896950899052848E-3</v>
      </c>
      <c r="K874" s="34">
        <f t="shared" si="53"/>
        <v>4.1809305619376902E-3</v>
      </c>
      <c r="L874" s="34">
        <f t="shared" si="54"/>
        <v>0.95828835974117443</v>
      </c>
      <c r="M874" s="34">
        <f t="shared" si="55"/>
        <v>0.95428182265078343</v>
      </c>
    </row>
    <row r="875" spans="1:13" ht="69">
      <c r="A875" t="s">
        <v>164</v>
      </c>
      <c r="B875" t="s">
        <v>115</v>
      </c>
      <c r="C875" s="14" t="s">
        <v>291</v>
      </c>
      <c r="D875" t="s">
        <v>366</v>
      </c>
      <c r="E875" t="s">
        <v>383</v>
      </c>
      <c r="F875" s="20">
        <v>2046</v>
      </c>
      <c r="G875" s="20">
        <v>63</v>
      </c>
      <c r="H875" s="11">
        <v>16611.3243949229</v>
      </c>
      <c r="I875" s="10">
        <v>3658038.1716603301</v>
      </c>
      <c r="J875" s="34">
        <f t="shared" si="52"/>
        <v>4.5410473088046705E-3</v>
      </c>
      <c r="K875" s="34">
        <f t="shared" si="53"/>
        <v>4.5307523426789675E-3</v>
      </c>
      <c r="L875" s="34">
        <f t="shared" si="54"/>
        <v>0.95428182265078343</v>
      </c>
      <c r="M875" s="34">
        <f t="shared" si="55"/>
        <v>0.94995820804723241</v>
      </c>
    </row>
    <row r="876" spans="1:13" ht="69">
      <c r="A876" t="s">
        <v>164</v>
      </c>
      <c r="B876" t="s">
        <v>115</v>
      </c>
      <c r="C876" s="14" t="s">
        <v>291</v>
      </c>
      <c r="D876" t="s">
        <v>366</v>
      </c>
      <c r="E876" t="s">
        <v>383</v>
      </c>
      <c r="F876" s="20">
        <v>2046</v>
      </c>
      <c r="G876" s="20">
        <v>64</v>
      </c>
      <c r="H876" s="11">
        <v>17843.333396964601</v>
      </c>
      <c r="I876" s="10">
        <v>3569358.9335595202</v>
      </c>
      <c r="J876" s="34">
        <f t="shared" si="52"/>
        <v>4.9990302822166587E-3</v>
      </c>
      <c r="K876" s="34">
        <f t="shared" si="53"/>
        <v>4.9865559255540814E-3</v>
      </c>
      <c r="L876" s="34">
        <f t="shared" si="54"/>
        <v>0.94995820804723241</v>
      </c>
      <c r="M876" s="34">
        <f t="shared" si="55"/>
        <v>0.94522118831586577</v>
      </c>
    </row>
    <row r="877" spans="1:13" ht="69">
      <c r="A877" t="s">
        <v>164</v>
      </c>
      <c r="B877" t="s">
        <v>115</v>
      </c>
      <c r="C877" s="14" t="s">
        <v>291</v>
      </c>
      <c r="D877" t="s">
        <v>366</v>
      </c>
      <c r="E877" t="s">
        <v>383</v>
      </c>
      <c r="F877" s="20">
        <v>2046</v>
      </c>
      <c r="G877" s="20">
        <v>65</v>
      </c>
      <c r="H877" s="11">
        <v>18958.799548789098</v>
      </c>
      <c r="I877" s="10">
        <v>3472999.7204596498</v>
      </c>
      <c r="J877" s="34">
        <f t="shared" si="52"/>
        <v>5.4589119132666996E-3</v>
      </c>
      <c r="K877" s="34">
        <f t="shared" si="53"/>
        <v>5.4440391290081491E-3</v>
      </c>
      <c r="L877" s="34">
        <f t="shared" si="54"/>
        <v>0.94522118831586577</v>
      </c>
      <c r="M877" s="34">
        <f t="shared" si="55"/>
        <v>0.94007536718110662</v>
      </c>
    </row>
    <row r="878" spans="1:13" ht="69">
      <c r="A878" t="s">
        <v>164</v>
      </c>
      <c r="B878" t="s">
        <v>115</v>
      </c>
      <c r="C878" s="14" t="s">
        <v>291</v>
      </c>
      <c r="D878" t="s">
        <v>366</v>
      </c>
      <c r="E878" t="s">
        <v>383</v>
      </c>
      <c r="F878" s="20">
        <v>2046</v>
      </c>
      <c r="G878" s="20">
        <v>66</v>
      </c>
      <c r="H878" s="11">
        <v>19388.669686663699</v>
      </c>
      <c r="I878" s="10">
        <v>3379250.8342101201</v>
      </c>
      <c r="J878" s="34">
        <f t="shared" si="52"/>
        <v>5.7375645188516133E-3</v>
      </c>
      <c r="K878" s="34">
        <f t="shared" si="53"/>
        <v>5.7211361302111907E-3</v>
      </c>
      <c r="L878" s="34">
        <f t="shared" si="54"/>
        <v>0.94007536718110662</v>
      </c>
      <c r="M878" s="34">
        <f t="shared" si="55"/>
        <v>0.93469706803280528</v>
      </c>
    </row>
    <row r="879" spans="1:13" ht="69">
      <c r="A879" t="s">
        <v>164</v>
      </c>
      <c r="B879" t="s">
        <v>115</v>
      </c>
      <c r="C879" s="14" t="s">
        <v>291</v>
      </c>
      <c r="D879" t="s">
        <v>366</v>
      </c>
      <c r="E879" t="s">
        <v>383</v>
      </c>
      <c r="F879" s="20">
        <v>2046</v>
      </c>
      <c r="G879" s="20">
        <v>67</v>
      </c>
      <c r="H879" s="11">
        <v>20443.070437118899</v>
      </c>
      <c r="I879" s="10">
        <v>3270865.5832295599</v>
      </c>
      <c r="J879" s="34">
        <f t="shared" si="52"/>
        <v>6.2500490824003814E-3</v>
      </c>
      <c r="K879" s="34">
        <f t="shared" si="53"/>
        <v>6.2305581531960641E-3</v>
      </c>
      <c r="L879" s="34">
        <f t="shared" si="54"/>
        <v>0.93469706803280528</v>
      </c>
      <c r="M879" s="34">
        <f t="shared" si="55"/>
        <v>0.92887338359480498</v>
      </c>
    </row>
    <row r="880" spans="1:13" ht="69">
      <c r="A880" t="s">
        <v>164</v>
      </c>
      <c r="B880" t="s">
        <v>115</v>
      </c>
      <c r="C880" s="14" t="s">
        <v>291</v>
      </c>
      <c r="D880" t="s">
        <v>366</v>
      </c>
      <c r="E880" t="s">
        <v>383</v>
      </c>
      <c r="F880" s="20">
        <v>2046</v>
      </c>
      <c r="G880" s="20">
        <v>68</v>
      </c>
      <c r="H880" s="11">
        <v>21265.2437188033</v>
      </c>
      <c r="I880" s="10">
        <v>3140387.8556540399</v>
      </c>
      <c r="J880" s="34">
        <f t="shared" si="52"/>
        <v>6.771534185026469E-3</v>
      </c>
      <c r="K880" s="34">
        <f t="shared" si="53"/>
        <v>6.7486590098837507E-3</v>
      </c>
      <c r="L880" s="34">
        <f t="shared" si="54"/>
        <v>0.92887338359480498</v>
      </c>
      <c r="M880" s="34">
        <f t="shared" si="55"/>
        <v>0.92260473386556674</v>
      </c>
    </row>
    <row r="881" spans="1:13" ht="69">
      <c r="A881" t="s">
        <v>164</v>
      </c>
      <c r="B881" t="s">
        <v>115</v>
      </c>
      <c r="C881" s="14" t="s">
        <v>291</v>
      </c>
      <c r="D881" t="s">
        <v>366</v>
      </c>
      <c r="E881" t="s">
        <v>383</v>
      </c>
      <c r="F881" s="20">
        <v>2046</v>
      </c>
      <c r="G881" s="20">
        <v>69</v>
      </c>
      <c r="H881" s="11">
        <v>21487.227392307799</v>
      </c>
      <c r="I881" s="10">
        <v>3012403.9850605601</v>
      </c>
      <c r="J881" s="34">
        <f t="shared" si="52"/>
        <v>7.1329169324133093E-3</v>
      </c>
      <c r="K881" s="34">
        <f t="shared" si="53"/>
        <v>7.1075380580825076E-3</v>
      </c>
      <c r="L881" s="34">
        <f t="shared" si="54"/>
        <v>0.92260473386556674</v>
      </c>
      <c r="M881" s="34">
        <f t="shared" si="55"/>
        <v>0.91604728560705018</v>
      </c>
    </row>
    <row r="882" spans="1:13" ht="69">
      <c r="A882" t="s">
        <v>164</v>
      </c>
      <c r="B882" t="s">
        <v>115</v>
      </c>
      <c r="C882" s="14" t="s">
        <v>291</v>
      </c>
      <c r="D882" t="s">
        <v>366</v>
      </c>
      <c r="E882" t="s">
        <v>383</v>
      </c>
      <c r="F882" s="20">
        <v>2047</v>
      </c>
      <c r="G882" s="20">
        <v>30</v>
      </c>
      <c r="H882" s="11">
        <v>650.32498437525305</v>
      </c>
      <c r="I882" s="10">
        <v>4346951.2528853696</v>
      </c>
      <c r="J882" s="34">
        <f t="shared" si="52"/>
        <v>1.4960484867263874E-4</v>
      </c>
      <c r="K882" s="34">
        <f t="shared" si="53"/>
        <v>1.4959365842526218E-4</v>
      </c>
      <c r="L882" s="34">
        <f t="shared" si="54"/>
        <v>1</v>
      </c>
      <c r="M882" s="34">
        <f t="shared" si="55"/>
        <v>0.99985040634157474</v>
      </c>
    </row>
    <row r="883" spans="1:13" ht="69">
      <c r="A883" t="s">
        <v>164</v>
      </c>
      <c r="B883" t="s">
        <v>115</v>
      </c>
      <c r="C883" s="14" t="s">
        <v>291</v>
      </c>
      <c r="D883" t="s">
        <v>366</v>
      </c>
      <c r="E883" t="s">
        <v>383</v>
      </c>
      <c r="F883" s="20">
        <v>2047</v>
      </c>
      <c r="G883" s="20">
        <v>31</v>
      </c>
      <c r="H883" s="11">
        <v>992.77961736830196</v>
      </c>
      <c r="I883" s="10">
        <v>4583813.3512842897</v>
      </c>
      <c r="J883" s="34">
        <f t="shared" si="52"/>
        <v>2.1658377889451926E-4</v>
      </c>
      <c r="K883" s="34">
        <f t="shared" si="53"/>
        <v>2.1656032632111355E-4</v>
      </c>
      <c r="L883" s="34">
        <f t="shared" si="54"/>
        <v>0.99985040634157474</v>
      </c>
      <c r="M883" s="34">
        <f t="shared" si="55"/>
        <v>0.99963387841130513</v>
      </c>
    </row>
    <row r="884" spans="1:13" ht="69">
      <c r="A884" t="s">
        <v>164</v>
      </c>
      <c r="B884" t="s">
        <v>115</v>
      </c>
      <c r="C884" s="14" t="s">
        <v>291</v>
      </c>
      <c r="D884" t="s">
        <v>366</v>
      </c>
      <c r="E884" t="s">
        <v>383</v>
      </c>
      <c r="F884" s="20">
        <v>2047</v>
      </c>
      <c r="G884" s="20">
        <v>32</v>
      </c>
      <c r="H884" s="11">
        <v>1042.99199425399</v>
      </c>
      <c r="I884" s="10">
        <v>4647298.6911220001</v>
      </c>
      <c r="J884" s="34">
        <f t="shared" si="52"/>
        <v>2.2442973081254216E-4</v>
      </c>
      <c r="K884" s="34">
        <f t="shared" si="53"/>
        <v>2.2440454834449231E-4</v>
      </c>
      <c r="L884" s="34">
        <f t="shared" si="54"/>
        <v>0.99963387841130513</v>
      </c>
      <c r="M884" s="34">
        <f t="shared" si="55"/>
        <v>0.99940955602231041</v>
      </c>
    </row>
    <row r="885" spans="1:13" ht="69">
      <c r="A885" t="s">
        <v>164</v>
      </c>
      <c r="B885" t="s">
        <v>115</v>
      </c>
      <c r="C885" s="14" t="s">
        <v>291</v>
      </c>
      <c r="D885" t="s">
        <v>366</v>
      </c>
      <c r="E885" t="s">
        <v>383</v>
      </c>
      <c r="F885" s="20">
        <v>2047</v>
      </c>
      <c r="G885" s="20">
        <v>33</v>
      </c>
      <c r="H885" s="11">
        <v>1112.6391890452101</v>
      </c>
      <c r="I885" s="10">
        <v>4718786.8293352704</v>
      </c>
      <c r="J885" s="34">
        <f t="shared" si="52"/>
        <v>2.3578924611051906E-4</v>
      </c>
      <c r="K885" s="34">
        <f t="shared" si="53"/>
        <v>2.3576145001091842E-4</v>
      </c>
      <c r="L885" s="34">
        <f t="shared" si="54"/>
        <v>0.99940955602231041</v>
      </c>
      <c r="M885" s="34">
        <f t="shared" si="55"/>
        <v>0.99917393377622787</v>
      </c>
    </row>
    <row r="886" spans="1:13" ht="69">
      <c r="A886" t="s">
        <v>164</v>
      </c>
      <c r="B886" t="s">
        <v>115</v>
      </c>
      <c r="C886" s="14" t="s">
        <v>291</v>
      </c>
      <c r="D886" t="s">
        <v>366</v>
      </c>
      <c r="E886" t="s">
        <v>383</v>
      </c>
      <c r="F886" s="20">
        <v>2047</v>
      </c>
      <c r="G886" s="20">
        <v>34</v>
      </c>
      <c r="H886" s="11">
        <v>1189.1570826751499</v>
      </c>
      <c r="I886" s="10">
        <v>4809527.7669754904</v>
      </c>
      <c r="J886" s="34">
        <f t="shared" si="52"/>
        <v>2.4725027908986598E-4</v>
      </c>
      <c r="K886" s="34">
        <f t="shared" si="53"/>
        <v>2.4721971525865083E-4</v>
      </c>
      <c r="L886" s="34">
        <f t="shared" si="54"/>
        <v>0.99917393377622787</v>
      </c>
      <c r="M886" s="34">
        <f t="shared" si="55"/>
        <v>0.9989269182808258</v>
      </c>
    </row>
    <row r="887" spans="1:13" ht="69">
      <c r="A887" t="s">
        <v>164</v>
      </c>
      <c r="B887" t="s">
        <v>115</v>
      </c>
      <c r="C887" s="14" t="s">
        <v>291</v>
      </c>
      <c r="D887" t="s">
        <v>366</v>
      </c>
      <c r="E887" t="s">
        <v>383</v>
      </c>
      <c r="F887" s="20">
        <v>2047</v>
      </c>
      <c r="G887" s="20">
        <v>35</v>
      </c>
      <c r="H887" s="11">
        <v>1278.3775092989299</v>
      </c>
      <c r="I887" s="10">
        <v>4852290.6280708797</v>
      </c>
      <c r="J887" s="34">
        <f t="shared" si="52"/>
        <v>2.6345856159221305E-4</v>
      </c>
      <c r="K887" s="34">
        <f t="shared" si="53"/>
        <v>2.6342385943300961E-4</v>
      </c>
      <c r="L887" s="34">
        <f t="shared" si="54"/>
        <v>0.9989269182808258</v>
      </c>
      <c r="M887" s="34">
        <f t="shared" si="55"/>
        <v>0.99866377709672072</v>
      </c>
    </row>
    <row r="888" spans="1:13" ht="69">
      <c r="A888" t="s">
        <v>164</v>
      </c>
      <c r="B888" t="s">
        <v>115</v>
      </c>
      <c r="C888" s="14" t="s">
        <v>291</v>
      </c>
      <c r="D888" t="s">
        <v>366</v>
      </c>
      <c r="E888" t="s">
        <v>383</v>
      </c>
      <c r="F888" s="20">
        <v>2047</v>
      </c>
      <c r="G888" s="20">
        <v>36</v>
      </c>
      <c r="H888" s="11">
        <v>1575.9381381097101</v>
      </c>
      <c r="I888" s="10">
        <v>4772118.0611408399</v>
      </c>
      <c r="J888" s="34">
        <f t="shared" si="52"/>
        <v>3.3023871537096055E-4</v>
      </c>
      <c r="K888" s="34">
        <f t="shared" si="53"/>
        <v>3.3018419256836129E-4</v>
      </c>
      <c r="L888" s="34">
        <f t="shared" si="54"/>
        <v>0.99866377709672072</v>
      </c>
      <c r="M888" s="34">
        <f t="shared" si="55"/>
        <v>0.99833403410383281</v>
      </c>
    </row>
    <row r="889" spans="1:13" ht="69">
      <c r="A889" t="s">
        <v>164</v>
      </c>
      <c r="B889" t="s">
        <v>115</v>
      </c>
      <c r="C889" s="14" t="s">
        <v>291</v>
      </c>
      <c r="D889" t="s">
        <v>366</v>
      </c>
      <c r="E889" t="s">
        <v>383</v>
      </c>
      <c r="F889" s="20">
        <v>2047</v>
      </c>
      <c r="G889" s="20">
        <v>37</v>
      </c>
      <c r="H889" s="11">
        <v>1665.8537656272099</v>
      </c>
      <c r="I889" s="10">
        <v>4670552.4847085997</v>
      </c>
      <c r="J889" s="34">
        <f t="shared" si="52"/>
        <v>3.566716723730692E-4</v>
      </c>
      <c r="K889" s="34">
        <f t="shared" si="53"/>
        <v>3.5660807259374483E-4</v>
      </c>
      <c r="L889" s="34">
        <f t="shared" si="54"/>
        <v>0.99833403410383281</v>
      </c>
      <c r="M889" s="34">
        <f t="shared" si="55"/>
        <v>0.99797802012812631</v>
      </c>
    </row>
    <row r="890" spans="1:13" ht="69">
      <c r="A890" t="s">
        <v>164</v>
      </c>
      <c r="B890" t="s">
        <v>115</v>
      </c>
      <c r="C890" s="14" t="s">
        <v>291</v>
      </c>
      <c r="D890" t="s">
        <v>366</v>
      </c>
      <c r="E890" t="s">
        <v>383</v>
      </c>
      <c r="F890" s="20">
        <v>2047</v>
      </c>
      <c r="G890" s="20">
        <v>38</v>
      </c>
      <c r="H890" s="11">
        <v>1789.48808525809</v>
      </c>
      <c r="I890" s="10">
        <v>4612904.9305075901</v>
      </c>
      <c r="J890" s="34">
        <f t="shared" si="52"/>
        <v>3.879308401574147E-4</v>
      </c>
      <c r="K890" s="34">
        <f t="shared" si="53"/>
        <v>3.8785560471810143E-4</v>
      </c>
      <c r="L890" s="34">
        <f t="shared" si="54"/>
        <v>0.99797802012812631</v>
      </c>
      <c r="M890" s="34">
        <f t="shared" si="55"/>
        <v>0.99759094875963417</v>
      </c>
    </row>
    <row r="891" spans="1:13" ht="69">
      <c r="A891" t="s">
        <v>164</v>
      </c>
      <c r="B891" t="s">
        <v>115</v>
      </c>
      <c r="C891" s="14" t="s">
        <v>291</v>
      </c>
      <c r="D891" t="s">
        <v>366</v>
      </c>
      <c r="E891" t="s">
        <v>383</v>
      </c>
      <c r="F891" s="20">
        <v>2047</v>
      </c>
      <c r="G891" s="20">
        <v>39</v>
      </c>
      <c r="H891" s="11">
        <v>1886.2477152771401</v>
      </c>
      <c r="I891" s="10">
        <v>4603337.84258103</v>
      </c>
      <c r="J891" s="34">
        <f t="shared" si="52"/>
        <v>4.0975652445694624E-4</v>
      </c>
      <c r="K891" s="34">
        <f t="shared" si="53"/>
        <v>4.0967258571744658E-4</v>
      </c>
      <c r="L891" s="34">
        <f t="shared" si="54"/>
        <v>0.99759094875963417</v>
      </c>
      <c r="M891" s="34">
        <f t="shared" si="55"/>
        <v>0.99718226309616753</v>
      </c>
    </row>
    <row r="892" spans="1:13" ht="69">
      <c r="A892" t="s">
        <v>164</v>
      </c>
      <c r="B892" t="s">
        <v>115</v>
      </c>
      <c r="C892" s="14" t="s">
        <v>291</v>
      </c>
      <c r="D892" t="s">
        <v>366</v>
      </c>
      <c r="E892" t="s">
        <v>383</v>
      </c>
      <c r="F892" s="20">
        <v>2047</v>
      </c>
      <c r="G892" s="20">
        <v>40</v>
      </c>
      <c r="H892" s="11">
        <v>2030.51196939441</v>
      </c>
      <c r="I892" s="10">
        <v>4573635.0397223998</v>
      </c>
      <c r="J892" s="34">
        <f t="shared" si="52"/>
        <v>4.4396020927757571E-4</v>
      </c>
      <c r="K892" s="34">
        <f t="shared" si="53"/>
        <v>4.4386167352639117E-4</v>
      </c>
      <c r="L892" s="34">
        <f t="shared" si="54"/>
        <v>0.99718226309616753</v>
      </c>
      <c r="M892" s="34">
        <f t="shared" si="55"/>
        <v>0.99673965210805882</v>
      </c>
    </row>
    <row r="893" spans="1:13" ht="69">
      <c r="A893" t="s">
        <v>164</v>
      </c>
      <c r="B893" t="s">
        <v>115</v>
      </c>
      <c r="C893" s="14" t="s">
        <v>291</v>
      </c>
      <c r="D893" t="s">
        <v>366</v>
      </c>
      <c r="E893" t="s">
        <v>383</v>
      </c>
      <c r="F893" s="20">
        <v>2047</v>
      </c>
      <c r="G893" s="20">
        <v>41</v>
      </c>
      <c r="H893" s="11">
        <v>2578.5022741299999</v>
      </c>
      <c r="I893" s="10">
        <v>4500358.35290932</v>
      </c>
      <c r="J893" s="34">
        <f t="shared" si="52"/>
        <v>5.7295487868495865E-4</v>
      </c>
      <c r="K893" s="34">
        <f t="shared" si="53"/>
        <v>5.7279077138194801E-4</v>
      </c>
      <c r="L893" s="34">
        <f t="shared" si="54"/>
        <v>0.99673965210805882</v>
      </c>
      <c r="M893" s="34">
        <f t="shared" si="55"/>
        <v>0.99616872883386087</v>
      </c>
    </row>
    <row r="894" spans="1:13" ht="69">
      <c r="A894" t="s">
        <v>164</v>
      </c>
      <c r="B894" t="s">
        <v>115</v>
      </c>
      <c r="C894" s="14" t="s">
        <v>291</v>
      </c>
      <c r="D894" t="s">
        <v>366</v>
      </c>
      <c r="E894" t="s">
        <v>383</v>
      </c>
      <c r="F894" s="20">
        <v>2047</v>
      </c>
      <c r="G894" s="20">
        <v>42</v>
      </c>
      <c r="H894" s="11">
        <v>2784.3759203362602</v>
      </c>
      <c r="I894" s="10">
        <v>4404566.2046074905</v>
      </c>
      <c r="J894" s="34">
        <f t="shared" si="52"/>
        <v>6.3215667355019081E-4</v>
      </c>
      <c r="K894" s="34">
        <f t="shared" si="53"/>
        <v>6.3195690461759213E-4</v>
      </c>
      <c r="L894" s="34">
        <f t="shared" si="54"/>
        <v>0.99616872883386087</v>
      </c>
      <c r="M894" s="34">
        <f t="shared" si="55"/>
        <v>0.99553919312751016</v>
      </c>
    </row>
    <row r="895" spans="1:13" ht="69">
      <c r="A895" t="s">
        <v>164</v>
      </c>
      <c r="B895" t="s">
        <v>115</v>
      </c>
      <c r="C895" s="14" t="s">
        <v>291</v>
      </c>
      <c r="D895" t="s">
        <v>366</v>
      </c>
      <c r="E895" t="s">
        <v>383</v>
      </c>
      <c r="F895" s="20">
        <v>2047</v>
      </c>
      <c r="G895" s="20">
        <v>43</v>
      </c>
      <c r="H895" s="11">
        <v>3040.4458156292999</v>
      </c>
      <c r="I895" s="10">
        <v>4304812.3819671096</v>
      </c>
      <c r="J895" s="34">
        <f t="shared" si="52"/>
        <v>7.0628997174551665E-4</v>
      </c>
      <c r="K895" s="34">
        <f t="shared" si="53"/>
        <v>7.0604060769463572E-4</v>
      </c>
      <c r="L895" s="34">
        <f t="shared" si="54"/>
        <v>0.99553919312751016</v>
      </c>
      <c r="M895" s="34">
        <f t="shared" si="55"/>
        <v>0.99483630203061058</v>
      </c>
    </row>
    <row r="896" spans="1:13" ht="69">
      <c r="A896" t="s">
        <v>164</v>
      </c>
      <c r="B896" t="s">
        <v>115</v>
      </c>
      <c r="C896" s="14" t="s">
        <v>291</v>
      </c>
      <c r="D896" t="s">
        <v>366</v>
      </c>
      <c r="E896" t="s">
        <v>383</v>
      </c>
      <c r="F896" s="20">
        <v>2047</v>
      </c>
      <c r="G896" s="20">
        <v>44</v>
      </c>
      <c r="H896" s="11">
        <v>3194.6966199134099</v>
      </c>
      <c r="I896" s="10">
        <v>4257752.0259219296</v>
      </c>
      <c r="J896" s="34">
        <f t="shared" si="52"/>
        <v>7.5032472545689488E-4</v>
      </c>
      <c r="K896" s="34">
        <f t="shared" si="53"/>
        <v>7.5004330225070248E-4</v>
      </c>
      <c r="L896" s="34">
        <f t="shared" si="54"/>
        <v>0.99483630203061058</v>
      </c>
      <c r="M896" s="34">
        <f t="shared" si="55"/>
        <v>0.9940901317254367</v>
      </c>
    </row>
    <row r="897" spans="1:13" ht="69">
      <c r="A897" t="s">
        <v>164</v>
      </c>
      <c r="B897" t="s">
        <v>115</v>
      </c>
      <c r="C897" s="14" t="s">
        <v>291</v>
      </c>
      <c r="D897" t="s">
        <v>366</v>
      </c>
      <c r="E897" t="s">
        <v>383</v>
      </c>
      <c r="F897" s="20">
        <v>2047</v>
      </c>
      <c r="G897" s="20">
        <v>45</v>
      </c>
      <c r="H897" s="11">
        <v>3463.1710369970501</v>
      </c>
      <c r="I897" s="10">
        <v>4232624.5099630896</v>
      </c>
      <c r="J897" s="34">
        <f t="shared" si="52"/>
        <v>8.1820889824863071E-4</v>
      </c>
      <c r="K897" s="34">
        <f t="shared" si="53"/>
        <v>8.1787425662316338E-4</v>
      </c>
      <c r="L897" s="34">
        <f t="shared" si="54"/>
        <v>0.9940901317254367</v>
      </c>
      <c r="M897" s="34">
        <f t="shared" si="55"/>
        <v>0.99327709099793537</v>
      </c>
    </row>
    <row r="898" spans="1:13" ht="69">
      <c r="A898" t="s">
        <v>164</v>
      </c>
      <c r="B898" t="s">
        <v>115</v>
      </c>
      <c r="C898" s="14" t="s">
        <v>291</v>
      </c>
      <c r="D898" t="s">
        <v>366</v>
      </c>
      <c r="E898" t="s">
        <v>383</v>
      </c>
      <c r="F898" s="20">
        <v>2047</v>
      </c>
      <c r="G898" s="20">
        <v>46</v>
      </c>
      <c r="H898" s="11">
        <v>4303.0714823072703</v>
      </c>
      <c r="I898" s="10">
        <v>4206944.2367507797</v>
      </c>
      <c r="J898" s="34">
        <f t="shared" ref="J898:J961" si="56">IF(I898&gt;0,H898/I898,0)</f>
        <v>1.0228496600256185E-3</v>
      </c>
      <c r="K898" s="34">
        <f t="shared" ref="K898:K961" si="57">1-EXP(-J898)</f>
        <v>1.0223267276210368E-3</v>
      </c>
      <c r="L898" s="34">
        <f t="shared" ref="L898:L961" si="58">IF(G898=30,1,M897)</f>
        <v>0.99327709099793537</v>
      </c>
      <c r="M898" s="34">
        <f t="shared" ref="M898:M961" si="59">L898*(1-K898)</f>
        <v>0.99226163727987449</v>
      </c>
    </row>
    <row r="899" spans="1:13" ht="69">
      <c r="A899" t="s">
        <v>164</v>
      </c>
      <c r="B899" t="s">
        <v>115</v>
      </c>
      <c r="C899" s="14" t="s">
        <v>291</v>
      </c>
      <c r="D899" t="s">
        <v>366</v>
      </c>
      <c r="E899" t="s">
        <v>383</v>
      </c>
      <c r="F899" s="20">
        <v>2047</v>
      </c>
      <c r="G899" s="20">
        <v>47</v>
      </c>
      <c r="H899" s="11">
        <v>4744.7751239762601</v>
      </c>
      <c r="I899" s="10">
        <v>4200056.33374249</v>
      </c>
      <c r="J899" s="34">
        <f t="shared" si="56"/>
        <v>1.1296932105071063E-3</v>
      </c>
      <c r="K899" s="34">
        <f t="shared" si="57"/>
        <v>1.1290553473513043E-3</v>
      </c>
      <c r="L899" s="34">
        <f t="shared" si="58"/>
        <v>0.99226163727987449</v>
      </c>
      <c r="M899" s="34">
        <f t="shared" si="59"/>
        <v>0.99114131897233204</v>
      </c>
    </row>
    <row r="900" spans="1:13" ht="69">
      <c r="A900" t="s">
        <v>164</v>
      </c>
      <c r="B900" t="s">
        <v>115</v>
      </c>
      <c r="C900" s="14" t="s">
        <v>291</v>
      </c>
      <c r="D900" t="s">
        <v>366</v>
      </c>
      <c r="E900" t="s">
        <v>383</v>
      </c>
      <c r="F900" s="20">
        <v>2047</v>
      </c>
      <c r="G900" s="20">
        <v>48</v>
      </c>
      <c r="H900" s="11">
        <v>5319.6674702855698</v>
      </c>
      <c r="I900" s="10">
        <v>4229779.9735777797</v>
      </c>
      <c r="J900" s="34">
        <f t="shared" si="56"/>
        <v>1.2576700214942632E-3</v>
      </c>
      <c r="K900" s="34">
        <f t="shared" si="57"/>
        <v>1.2568794859983967E-3</v>
      </c>
      <c r="L900" s="34">
        <f t="shared" si="58"/>
        <v>0.99114131897233204</v>
      </c>
      <c r="M900" s="34">
        <f t="shared" si="59"/>
        <v>0.98989557378079029</v>
      </c>
    </row>
    <row r="901" spans="1:13" ht="69">
      <c r="A901" t="s">
        <v>164</v>
      </c>
      <c r="B901" t="s">
        <v>115</v>
      </c>
      <c r="C901" s="14" t="s">
        <v>291</v>
      </c>
      <c r="D901" t="s">
        <v>366</v>
      </c>
      <c r="E901" t="s">
        <v>383</v>
      </c>
      <c r="F901" s="20">
        <v>2047</v>
      </c>
      <c r="G901" s="20">
        <v>49</v>
      </c>
      <c r="H901" s="11">
        <v>5791.9446357850402</v>
      </c>
      <c r="I901" s="10">
        <v>4260927.2045950899</v>
      </c>
      <c r="J901" s="34">
        <f t="shared" si="56"/>
        <v>1.3593155568437929E-3</v>
      </c>
      <c r="K901" s="34">
        <f t="shared" si="57"/>
        <v>1.3583921059200366E-3</v>
      </c>
      <c r="L901" s="34">
        <f t="shared" si="58"/>
        <v>0.98989557378079029</v>
      </c>
      <c r="M901" s="34">
        <f t="shared" si="59"/>
        <v>0.98855090744768126</v>
      </c>
    </row>
    <row r="902" spans="1:13" ht="69">
      <c r="A902" t="s">
        <v>164</v>
      </c>
      <c r="B902" t="s">
        <v>115</v>
      </c>
      <c r="C902" s="14" t="s">
        <v>291</v>
      </c>
      <c r="D902" t="s">
        <v>366</v>
      </c>
      <c r="E902" t="s">
        <v>383</v>
      </c>
      <c r="F902" s="20">
        <v>2047</v>
      </c>
      <c r="G902" s="20">
        <v>50</v>
      </c>
      <c r="H902" s="11">
        <v>6278.3849430596401</v>
      </c>
      <c r="I902" s="10">
        <v>4246181.3456723196</v>
      </c>
      <c r="J902" s="34">
        <f t="shared" si="56"/>
        <v>1.4785955737520559E-3</v>
      </c>
      <c r="K902" s="34">
        <f t="shared" si="57"/>
        <v>1.4775029898795866E-3</v>
      </c>
      <c r="L902" s="34">
        <f t="shared" si="58"/>
        <v>0.98855090744768126</v>
      </c>
      <c r="M902" s="34">
        <f t="shared" si="59"/>
        <v>0.9870903205262791</v>
      </c>
    </row>
    <row r="903" spans="1:13" ht="69">
      <c r="A903" t="s">
        <v>164</v>
      </c>
      <c r="B903" t="s">
        <v>115</v>
      </c>
      <c r="C903" s="14" t="s">
        <v>291</v>
      </c>
      <c r="D903" t="s">
        <v>366</v>
      </c>
      <c r="E903" t="s">
        <v>383</v>
      </c>
      <c r="F903" s="20">
        <v>2047</v>
      </c>
      <c r="G903" s="20">
        <v>51</v>
      </c>
      <c r="H903" s="11">
        <v>6945.3033977082096</v>
      </c>
      <c r="I903" s="10">
        <v>4173595.2690643999</v>
      </c>
      <c r="J903" s="34">
        <f t="shared" si="56"/>
        <v>1.6641056331428005E-3</v>
      </c>
      <c r="K903" s="34">
        <f t="shared" si="57"/>
        <v>1.6627217770976976E-3</v>
      </c>
      <c r="L903" s="34">
        <f t="shared" si="58"/>
        <v>0.9870903205262791</v>
      </c>
      <c r="M903" s="34">
        <f t="shared" si="59"/>
        <v>0.9854490639543777</v>
      </c>
    </row>
    <row r="904" spans="1:13" ht="69">
      <c r="A904" t="s">
        <v>164</v>
      </c>
      <c r="B904" t="s">
        <v>115</v>
      </c>
      <c r="C904" s="14" t="s">
        <v>291</v>
      </c>
      <c r="D904" t="s">
        <v>366</v>
      </c>
      <c r="E904" t="s">
        <v>383</v>
      </c>
      <c r="F904" s="20">
        <v>2047</v>
      </c>
      <c r="G904" s="20">
        <v>52</v>
      </c>
      <c r="H904" s="11">
        <v>7416.0353618033096</v>
      </c>
      <c r="I904" s="10">
        <v>4098362.4542716998</v>
      </c>
      <c r="J904" s="34">
        <f t="shared" si="56"/>
        <v>1.8095118341896819E-3</v>
      </c>
      <c r="K904" s="34">
        <f t="shared" si="57"/>
        <v>1.8078756546948682E-3</v>
      </c>
      <c r="L904" s="34">
        <f t="shared" si="58"/>
        <v>0.9854490639543777</v>
      </c>
      <c r="M904" s="34">
        <f t="shared" si="59"/>
        <v>0.98366749458271274</v>
      </c>
    </row>
    <row r="905" spans="1:13" ht="69">
      <c r="A905" t="s">
        <v>164</v>
      </c>
      <c r="B905" t="s">
        <v>115</v>
      </c>
      <c r="C905" s="14" t="s">
        <v>291</v>
      </c>
      <c r="D905" t="s">
        <v>366</v>
      </c>
      <c r="E905" t="s">
        <v>383</v>
      </c>
      <c r="F905" s="20">
        <v>2047</v>
      </c>
      <c r="G905" s="20">
        <v>53</v>
      </c>
      <c r="H905" s="11">
        <v>7936.6211097566502</v>
      </c>
      <c r="I905" s="10">
        <v>4031047.5415799902</v>
      </c>
      <c r="J905" s="34">
        <f t="shared" si="56"/>
        <v>1.9688731100020343E-3</v>
      </c>
      <c r="K905" s="34">
        <f t="shared" si="57"/>
        <v>1.9669361507579364E-3</v>
      </c>
      <c r="L905" s="34">
        <f t="shared" si="58"/>
        <v>0.98366749458271274</v>
      </c>
      <c r="M905" s="34">
        <f t="shared" si="59"/>
        <v>0.98173268342729247</v>
      </c>
    </row>
    <row r="906" spans="1:13" ht="69">
      <c r="A906" t="s">
        <v>164</v>
      </c>
      <c r="B906" t="s">
        <v>115</v>
      </c>
      <c r="C906" s="14" t="s">
        <v>291</v>
      </c>
      <c r="D906" t="s">
        <v>366</v>
      </c>
      <c r="E906" t="s">
        <v>383</v>
      </c>
      <c r="F906" s="20">
        <v>2047</v>
      </c>
      <c r="G906" s="20">
        <v>54</v>
      </c>
      <c r="H906" s="11">
        <v>8554.3520023901092</v>
      </c>
      <c r="I906" s="10">
        <v>3964985.3782485402</v>
      </c>
      <c r="J906" s="34">
        <f t="shared" si="56"/>
        <v>2.1574737827075767E-3</v>
      </c>
      <c r="K906" s="34">
        <f t="shared" si="57"/>
        <v>2.155148108973437E-3</v>
      </c>
      <c r="L906" s="34">
        <f t="shared" si="58"/>
        <v>0.98173268342729247</v>
      </c>
      <c r="M906" s="34">
        <f t="shared" si="59"/>
        <v>0.9796169040910867</v>
      </c>
    </row>
    <row r="907" spans="1:13" ht="69">
      <c r="A907" t="s">
        <v>164</v>
      </c>
      <c r="B907" t="s">
        <v>115</v>
      </c>
      <c r="C907" s="14" t="s">
        <v>291</v>
      </c>
      <c r="D907" t="s">
        <v>366</v>
      </c>
      <c r="E907" t="s">
        <v>383</v>
      </c>
      <c r="F907" s="20">
        <v>2047</v>
      </c>
      <c r="G907" s="20">
        <v>55</v>
      </c>
      <c r="H907" s="11">
        <v>9299.0263687293209</v>
      </c>
      <c r="I907" s="10">
        <v>3930815.9483063398</v>
      </c>
      <c r="J907" s="34">
        <f t="shared" si="56"/>
        <v>2.3656733082951819E-3</v>
      </c>
      <c r="K907" s="34">
        <f t="shared" si="57"/>
        <v>2.3628773084364285E-3</v>
      </c>
      <c r="L907" s="34">
        <f t="shared" si="58"/>
        <v>0.9796169040910867</v>
      </c>
      <c r="M907" s="34">
        <f t="shared" si="59"/>
        <v>0.97730218953744918</v>
      </c>
    </row>
    <row r="908" spans="1:13" ht="69">
      <c r="A908" t="s">
        <v>164</v>
      </c>
      <c r="B908" t="s">
        <v>115</v>
      </c>
      <c r="C908" s="14" t="s">
        <v>291</v>
      </c>
      <c r="D908" t="s">
        <v>366</v>
      </c>
      <c r="E908" t="s">
        <v>383</v>
      </c>
      <c r="F908" s="20">
        <v>2047</v>
      </c>
      <c r="G908" s="20">
        <v>56</v>
      </c>
      <c r="H908" s="11">
        <v>9966.4614448515495</v>
      </c>
      <c r="I908" s="10">
        <v>3889549.5178036098</v>
      </c>
      <c r="J908" s="34">
        <f t="shared" si="56"/>
        <v>2.5623690865052957E-3</v>
      </c>
      <c r="K908" s="34">
        <f t="shared" si="57"/>
        <v>2.559089021015204E-3</v>
      </c>
      <c r="L908" s="34">
        <f t="shared" si="58"/>
        <v>0.97730218953744918</v>
      </c>
      <c r="M908" s="34">
        <f t="shared" si="59"/>
        <v>0.97480118623398981</v>
      </c>
    </row>
    <row r="909" spans="1:13" ht="69">
      <c r="A909" t="s">
        <v>164</v>
      </c>
      <c r="B909" t="s">
        <v>115</v>
      </c>
      <c r="C909" s="14" t="s">
        <v>291</v>
      </c>
      <c r="D909" t="s">
        <v>366</v>
      </c>
      <c r="E909" t="s">
        <v>383</v>
      </c>
      <c r="F909" s="20">
        <v>2047</v>
      </c>
      <c r="G909" s="20">
        <v>57</v>
      </c>
      <c r="H909" s="11">
        <v>10863.5953007195</v>
      </c>
      <c r="I909" s="10">
        <v>3849934.0133132702</v>
      </c>
      <c r="J909" s="34">
        <f t="shared" si="56"/>
        <v>2.8217614284173774E-3</v>
      </c>
      <c r="K909" s="34">
        <f t="shared" si="57"/>
        <v>2.8177840016340161E-3</v>
      </c>
      <c r="L909" s="34">
        <f t="shared" si="58"/>
        <v>0.97480118623398981</v>
      </c>
      <c r="M909" s="34">
        <f t="shared" si="59"/>
        <v>0.97205440704664581</v>
      </c>
    </row>
    <row r="910" spans="1:13" ht="69">
      <c r="A910" t="s">
        <v>164</v>
      </c>
      <c r="B910" t="s">
        <v>115</v>
      </c>
      <c r="C910" s="14" t="s">
        <v>291</v>
      </c>
      <c r="D910" t="s">
        <v>366</v>
      </c>
      <c r="E910" t="s">
        <v>383</v>
      </c>
      <c r="F910" s="20">
        <v>2047</v>
      </c>
      <c r="G910" s="20">
        <v>58</v>
      </c>
      <c r="H910" s="11">
        <v>11902.892217205601</v>
      </c>
      <c r="I910" s="10">
        <v>3829564.23422023</v>
      </c>
      <c r="J910" s="34">
        <f t="shared" si="56"/>
        <v>3.1081583932823756E-3</v>
      </c>
      <c r="K910" s="34">
        <f t="shared" si="57"/>
        <v>3.103333069568226E-3</v>
      </c>
      <c r="L910" s="34">
        <f t="shared" si="58"/>
        <v>0.97205440704664581</v>
      </c>
      <c r="M910" s="34">
        <f t="shared" si="59"/>
        <v>0.9690377984598384</v>
      </c>
    </row>
    <row r="911" spans="1:13" ht="69">
      <c r="A911" t="s">
        <v>164</v>
      </c>
      <c r="B911" t="s">
        <v>115</v>
      </c>
      <c r="C911" s="14" t="s">
        <v>291</v>
      </c>
      <c r="D911" t="s">
        <v>366</v>
      </c>
      <c r="E911" t="s">
        <v>383</v>
      </c>
      <c r="F911" s="20">
        <v>2047</v>
      </c>
      <c r="G911" s="20">
        <v>59</v>
      </c>
      <c r="H911" s="11">
        <v>12395.4787650459</v>
      </c>
      <c r="I911" s="10">
        <v>3763494.1612956598</v>
      </c>
      <c r="J911" s="34">
        <f t="shared" si="56"/>
        <v>3.2936091392203738E-3</v>
      </c>
      <c r="K911" s="34">
        <f t="shared" si="57"/>
        <v>3.2881911585085355E-3</v>
      </c>
      <c r="L911" s="34">
        <f t="shared" si="58"/>
        <v>0.9690377984598384</v>
      </c>
      <c r="M911" s="34">
        <f t="shared" si="59"/>
        <v>0.96585141693868215</v>
      </c>
    </row>
    <row r="912" spans="1:13" ht="69">
      <c r="A912" t="s">
        <v>164</v>
      </c>
      <c r="B912" t="s">
        <v>115</v>
      </c>
      <c r="C912" s="14" t="s">
        <v>291</v>
      </c>
      <c r="D912" t="s">
        <v>366</v>
      </c>
      <c r="E912" t="s">
        <v>383</v>
      </c>
      <c r="F912" s="20">
        <v>2047</v>
      </c>
      <c r="G912" s="20">
        <v>60</v>
      </c>
      <c r="H912" s="11">
        <v>13036.610533786999</v>
      </c>
      <c r="I912" s="10">
        <v>3688265.9021869502</v>
      </c>
      <c r="J912" s="34">
        <f t="shared" si="56"/>
        <v>3.5346178609456996E-3</v>
      </c>
      <c r="K912" s="34">
        <f t="shared" si="57"/>
        <v>3.5283784527070372E-3</v>
      </c>
      <c r="L912" s="34">
        <f t="shared" si="58"/>
        <v>0.96585141693868215</v>
      </c>
      <c r="M912" s="34">
        <f t="shared" si="59"/>
        <v>0.96244352761063912</v>
      </c>
    </row>
    <row r="913" spans="1:13" ht="69">
      <c r="A913" t="s">
        <v>164</v>
      </c>
      <c r="B913" t="s">
        <v>115</v>
      </c>
      <c r="C913" s="14" t="s">
        <v>291</v>
      </c>
      <c r="D913" t="s">
        <v>366</v>
      </c>
      <c r="E913" t="s">
        <v>383</v>
      </c>
      <c r="F913" s="20">
        <v>2047</v>
      </c>
      <c r="G913" s="20">
        <v>61</v>
      </c>
      <c r="H913" s="11">
        <v>13883.501585105399</v>
      </c>
      <c r="I913" s="10">
        <v>3667365.3047305802</v>
      </c>
      <c r="J913" s="34">
        <f t="shared" si="56"/>
        <v>3.785688207061592E-3</v>
      </c>
      <c r="K913" s="34">
        <f t="shared" si="57"/>
        <v>3.7785315233004324E-3</v>
      </c>
      <c r="L913" s="34">
        <f t="shared" si="58"/>
        <v>0.96244352761063912</v>
      </c>
      <c r="M913" s="34">
        <f t="shared" si="59"/>
        <v>0.95880690440216587</v>
      </c>
    </row>
    <row r="914" spans="1:13" ht="69">
      <c r="A914" t="s">
        <v>164</v>
      </c>
      <c r="B914" t="s">
        <v>115</v>
      </c>
      <c r="C914" s="14" t="s">
        <v>291</v>
      </c>
      <c r="D914" t="s">
        <v>366</v>
      </c>
      <c r="E914" t="s">
        <v>383</v>
      </c>
      <c r="F914" s="20">
        <v>2047</v>
      </c>
      <c r="G914" s="20">
        <v>62</v>
      </c>
      <c r="H914" s="11">
        <v>15236.7782109456</v>
      </c>
      <c r="I914" s="10">
        <v>3694560.9338922501</v>
      </c>
      <c r="J914" s="34">
        <f t="shared" si="56"/>
        <v>4.1241106815075668E-3</v>
      </c>
      <c r="K914" s="34">
        <f t="shared" si="57"/>
        <v>4.1156182156850685E-3</v>
      </c>
      <c r="L914" s="34">
        <f t="shared" si="58"/>
        <v>0.95880690440216587</v>
      </c>
      <c r="M914" s="34">
        <f t="shared" si="59"/>
        <v>0.95486082124108373</v>
      </c>
    </row>
    <row r="915" spans="1:13" ht="69">
      <c r="A915" t="s">
        <v>164</v>
      </c>
      <c r="B915" t="s">
        <v>115</v>
      </c>
      <c r="C915" s="14" t="s">
        <v>291</v>
      </c>
      <c r="D915" t="s">
        <v>366</v>
      </c>
      <c r="E915" t="s">
        <v>383</v>
      </c>
      <c r="F915" s="20">
        <v>2047</v>
      </c>
      <c r="G915" s="20">
        <v>63</v>
      </c>
      <c r="H915" s="11">
        <v>16537.428095771498</v>
      </c>
      <c r="I915" s="10">
        <v>3680354.3542821598</v>
      </c>
      <c r="J915" s="34">
        <f t="shared" si="56"/>
        <v>4.4934336489990149E-3</v>
      </c>
      <c r="K915" s="34">
        <f t="shared" si="57"/>
        <v>4.4833532801614728E-3</v>
      </c>
      <c r="L915" s="34">
        <f t="shared" si="58"/>
        <v>0.95486082124108373</v>
      </c>
      <c r="M915" s="34">
        <f t="shared" si="59"/>
        <v>0.95057984284607489</v>
      </c>
    </row>
    <row r="916" spans="1:13" ht="69">
      <c r="A916" t="s">
        <v>164</v>
      </c>
      <c r="B916" t="s">
        <v>115</v>
      </c>
      <c r="C916" s="14" t="s">
        <v>291</v>
      </c>
      <c r="D916" t="s">
        <v>366</v>
      </c>
      <c r="E916" t="s">
        <v>383</v>
      </c>
      <c r="F916" s="20">
        <v>2047</v>
      </c>
      <c r="G916" s="20">
        <v>64</v>
      </c>
      <c r="H916" s="11">
        <v>17876.689981736901</v>
      </c>
      <c r="I916" s="10">
        <v>3612420.3277202202</v>
      </c>
      <c r="J916" s="34">
        <f t="shared" si="56"/>
        <v>4.9486738419000061E-3</v>
      </c>
      <c r="K916" s="34">
        <f t="shared" si="57"/>
        <v>4.9364493288589495E-3</v>
      </c>
      <c r="L916" s="34">
        <f t="shared" si="58"/>
        <v>0.95057984284607489</v>
      </c>
      <c r="M916" s="34">
        <f t="shared" si="59"/>
        <v>0.94588735361883058</v>
      </c>
    </row>
    <row r="917" spans="1:13" ht="69">
      <c r="A917" t="s">
        <v>164</v>
      </c>
      <c r="B917" t="s">
        <v>115</v>
      </c>
      <c r="C917" s="14" t="s">
        <v>291</v>
      </c>
      <c r="D917" t="s">
        <v>366</v>
      </c>
      <c r="E917" t="s">
        <v>383</v>
      </c>
      <c r="F917" s="20">
        <v>2047</v>
      </c>
      <c r="G917" s="20">
        <v>65</v>
      </c>
      <c r="H917" s="11">
        <v>19069.4841849271</v>
      </c>
      <c r="I917" s="10">
        <v>3520396.98041509</v>
      </c>
      <c r="J917" s="34">
        <f t="shared" si="56"/>
        <v>5.4168561929281668E-3</v>
      </c>
      <c r="K917" s="34">
        <f t="shared" si="57"/>
        <v>5.4022114821169476E-3</v>
      </c>
      <c r="L917" s="34">
        <f t="shared" si="58"/>
        <v>0.94588735361883058</v>
      </c>
      <c r="M917" s="34">
        <f t="shared" si="59"/>
        <v>0.94077747009632173</v>
      </c>
    </row>
    <row r="918" spans="1:13" ht="69">
      <c r="A918" t="s">
        <v>164</v>
      </c>
      <c r="B918" t="s">
        <v>115</v>
      </c>
      <c r="C918" s="14" t="s">
        <v>291</v>
      </c>
      <c r="D918" t="s">
        <v>366</v>
      </c>
      <c r="E918" t="s">
        <v>383</v>
      </c>
      <c r="F918" s="20">
        <v>2047</v>
      </c>
      <c r="G918" s="20">
        <v>66</v>
      </c>
      <c r="H918" s="11">
        <v>19473.173806013299</v>
      </c>
      <c r="I918" s="10">
        <v>3420765.5589589099</v>
      </c>
      <c r="J918" s="34">
        <f t="shared" si="56"/>
        <v>5.6926361863687165E-3</v>
      </c>
      <c r="K918" s="34">
        <f t="shared" si="57"/>
        <v>5.67646383531617E-3</v>
      </c>
      <c r="L918" s="34">
        <f t="shared" si="58"/>
        <v>0.94077747009632173</v>
      </c>
      <c r="M918" s="34">
        <f t="shared" si="59"/>
        <v>0.93543718081023974</v>
      </c>
    </row>
    <row r="919" spans="1:13" ht="69">
      <c r="A919" t="s">
        <v>164</v>
      </c>
      <c r="B919" t="s">
        <v>115</v>
      </c>
      <c r="C919" s="14" t="s">
        <v>291</v>
      </c>
      <c r="D919" t="s">
        <v>366</v>
      </c>
      <c r="E919" t="s">
        <v>383</v>
      </c>
      <c r="F919" s="20">
        <v>2047</v>
      </c>
      <c r="G919" s="20">
        <v>67</v>
      </c>
      <c r="H919" s="11">
        <v>20591.701689824498</v>
      </c>
      <c r="I919" s="10">
        <v>3323087.70482365</v>
      </c>
      <c r="J919" s="34">
        <f t="shared" si="56"/>
        <v>6.196556792628277E-3</v>
      </c>
      <c r="K919" s="34">
        <f t="shared" si="57"/>
        <v>6.1773977284224069E-3</v>
      </c>
      <c r="L919" s="34">
        <f t="shared" si="58"/>
        <v>0.93543718081023974</v>
      </c>
      <c r="M919" s="34">
        <f t="shared" si="59"/>
        <v>0.92965861329442068</v>
      </c>
    </row>
    <row r="920" spans="1:13" ht="69">
      <c r="A920" t="s">
        <v>164</v>
      </c>
      <c r="B920" t="s">
        <v>115</v>
      </c>
      <c r="C920" s="14" t="s">
        <v>291</v>
      </c>
      <c r="D920" t="s">
        <v>366</v>
      </c>
      <c r="E920" t="s">
        <v>383</v>
      </c>
      <c r="F920" s="20">
        <v>2047</v>
      </c>
      <c r="G920" s="20">
        <v>68</v>
      </c>
      <c r="H920" s="11">
        <v>21564.9686563213</v>
      </c>
      <c r="I920" s="10">
        <v>3211310.3759723702</v>
      </c>
      <c r="J920" s="34">
        <f t="shared" si="56"/>
        <v>6.7153174659399049E-3</v>
      </c>
      <c r="K920" s="34">
        <f t="shared" si="57"/>
        <v>6.6928201087397277E-3</v>
      </c>
      <c r="L920" s="34">
        <f t="shared" si="58"/>
        <v>0.92965861329442068</v>
      </c>
      <c r="M920" s="34">
        <f t="shared" si="59"/>
        <v>0.92343657543310065</v>
      </c>
    </row>
    <row r="921" spans="1:13" ht="69">
      <c r="A921" t="s">
        <v>164</v>
      </c>
      <c r="B921" t="s">
        <v>115</v>
      </c>
      <c r="C921" s="14" t="s">
        <v>291</v>
      </c>
      <c r="D921" t="s">
        <v>366</v>
      </c>
      <c r="E921" t="s">
        <v>383</v>
      </c>
      <c r="F921" s="20">
        <v>2047</v>
      </c>
      <c r="G921" s="20">
        <v>69</v>
      </c>
      <c r="H921" s="11">
        <v>21795.482798004799</v>
      </c>
      <c r="I921" s="10">
        <v>3077887.3572388198</v>
      </c>
      <c r="J921" s="34">
        <f t="shared" si="56"/>
        <v>7.0813126889599952E-3</v>
      </c>
      <c r="K921" s="34">
        <f t="shared" si="57"/>
        <v>7.0562992716953765E-3</v>
      </c>
      <c r="L921" s="34">
        <f t="shared" si="58"/>
        <v>0.92343657543310065</v>
      </c>
      <c r="M921" s="34">
        <f t="shared" si="59"/>
        <v>0.91692053059841516</v>
      </c>
    </row>
    <row r="922" spans="1:13" ht="69">
      <c r="A922" t="s">
        <v>164</v>
      </c>
      <c r="B922" t="s">
        <v>115</v>
      </c>
      <c r="C922" s="14" t="s">
        <v>291</v>
      </c>
      <c r="D922" t="s">
        <v>366</v>
      </c>
      <c r="E922" t="s">
        <v>383</v>
      </c>
      <c r="F922" s="20">
        <v>2048</v>
      </c>
      <c r="G922" s="20">
        <v>30</v>
      </c>
      <c r="H922" s="11">
        <v>639.92258513694003</v>
      </c>
      <c r="I922" s="10">
        <v>4276412.1132715996</v>
      </c>
      <c r="J922" s="34">
        <f t="shared" si="56"/>
        <v>1.4964006465863685E-4</v>
      </c>
      <c r="K922" s="34">
        <f t="shared" si="57"/>
        <v>1.4962886914260398E-4</v>
      </c>
      <c r="L922" s="34">
        <f t="shared" si="58"/>
        <v>1</v>
      </c>
      <c r="M922" s="34">
        <f t="shared" si="59"/>
        <v>0.9998503711308574</v>
      </c>
    </row>
    <row r="923" spans="1:13" ht="69">
      <c r="A923" t="s">
        <v>164</v>
      </c>
      <c r="B923" t="s">
        <v>115</v>
      </c>
      <c r="C923" s="14" t="s">
        <v>291</v>
      </c>
      <c r="D923" t="s">
        <v>366</v>
      </c>
      <c r="E923" t="s">
        <v>383</v>
      </c>
      <c r="F923" s="20">
        <v>2048</v>
      </c>
      <c r="G923" s="20">
        <v>31</v>
      </c>
      <c r="H923" s="11">
        <v>925.28948021733504</v>
      </c>
      <c r="I923" s="10">
        <v>4342199.7410685997</v>
      </c>
      <c r="J923" s="34">
        <f t="shared" si="56"/>
        <v>2.1309233462153554E-4</v>
      </c>
      <c r="K923" s="34">
        <f t="shared" si="57"/>
        <v>2.1306963206257912E-4</v>
      </c>
      <c r="L923" s="34">
        <f t="shared" si="58"/>
        <v>0.9998503711308574</v>
      </c>
      <c r="M923" s="34">
        <f t="shared" si="59"/>
        <v>0.99963733338016292</v>
      </c>
    </row>
    <row r="924" spans="1:13" ht="69">
      <c r="A924" t="s">
        <v>164</v>
      </c>
      <c r="B924" t="s">
        <v>115</v>
      </c>
      <c r="C924" s="14" t="s">
        <v>291</v>
      </c>
      <c r="D924" t="s">
        <v>366</v>
      </c>
      <c r="E924" t="s">
        <v>383</v>
      </c>
      <c r="F924" s="20">
        <v>2048</v>
      </c>
      <c r="G924" s="20">
        <v>32</v>
      </c>
      <c r="H924" s="11">
        <v>1018.50567535082</v>
      </c>
      <c r="I924" s="10">
        <v>4578813.0884560896</v>
      </c>
      <c r="J924" s="34">
        <f t="shared" si="56"/>
        <v>2.2243879705826681E-4</v>
      </c>
      <c r="K924" s="34">
        <f t="shared" si="57"/>
        <v>2.2241405938328018E-4</v>
      </c>
      <c r="L924" s="34">
        <f t="shared" si="58"/>
        <v>0.99963733338016292</v>
      </c>
      <c r="M924" s="34">
        <f t="shared" si="59"/>
        <v>0.9994149999829347</v>
      </c>
    </row>
    <row r="925" spans="1:13" ht="69">
      <c r="A925" t="s">
        <v>164</v>
      </c>
      <c r="B925" t="s">
        <v>115</v>
      </c>
      <c r="C925" s="14" t="s">
        <v>291</v>
      </c>
      <c r="D925" t="s">
        <v>366</v>
      </c>
      <c r="E925" t="s">
        <v>383</v>
      </c>
      <c r="F925" s="20">
        <v>2048</v>
      </c>
      <c r="G925" s="20">
        <v>33</v>
      </c>
      <c r="H925" s="11">
        <v>1084.89306390553</v>
      </c>
      <c r="I925" s="10">
        <v>4642037.6515964996</v>
      </c>
      <c r="J925" s="34">
        <f t="shared" si="56"/>
        <v>2.3371052656852347E-4</v>
      </c>
      <c r="K925" s="34">
        <f t="shared" si="57"/>
        <v>2.33683218390901E-4</v>
      </c>
      <c r="L925" s="34">
        <f t="shared" si="58"/>
        <v>0.9994149999829347</v>
      </c>
      <c r="M925" s="34">
        <f t="shared" si="59"/>
        <v>0.9991814534692306</v>
      </c>
    </row>
    <row r="926" spans="1:13" ht="69">
      <c r="A926" t="s">
        <v>164</v>
      </c>
      <c r="B926" t="s">
        <v>115</v>
      </c>
      <c r="C926" s="14" t="s">
        <v>291</v>
      </c>
      <c r="D926" t="s">
        <v>366</v>
      </c>
      <c r="E926" t="s">
        <v>383</v>
      </c>
      <c r="F926" s="20">
        <v>2048</v>
      </c>
      <c r="G926" s="20">
        <v>34</v>
      </c>
      <c r="H926" s="11">
        <v>1161.1753919904199</v>
      </c>
      <c r="I926" s="10">
        <v>4713207.1208087103</v>
      </c>
      <c r="J926" s="34">
        <f t="shared" si="56"/>
        <v>2.4636629840938984E-4</v>
      </c>
      <c r="K926" s="34">
        <f t="shared" si="57"/>
        <v>2.4633595272494091E-4</v>
      </c>
      <c r="L926" s="34">
        <f t="shared" si="58"/>
        <v>0.9991814534692306</v>
      </c>
      <c r="M926" s="34">
        <f t="shared" si="59"/>
        <v>0.99893531915394518</v>
      </c>
    </row>
    <row r="927" spans="1:13" ht="69">
      <c r="A927" t="s">
        <v>164</v>
      </c>
      <c r="B927" t="s">
        <v>115</v>
      </c>
      <c r="C927" s="14" t="s">
        <v>291</v>
      </c>
      <c r="D927" t="s">
        <v>366</v>
      </c>
      <c r="E927" t="s">
        <v>383</v>
      </c>
      <c r="F927" s="20">
        <v>2048</v>
      </c>
      <c r="G927" s="20">
        <v>35</v>
      </c>
      <c r="H927" s="11">
        <v>1261.0359497432801</v>
      </c>
      <c r="I927" s="10">
        <v>4803564.41062342</v>
      </c>
      <c r="J927" s="34">
        <f t="shared" si="56"/>
        <v>2.6252087865302911E-4</v>
      </c>
      <c r="K927" s="34">
        <f t="shared" si="57"/>
        <v>2.6248642306236913E-4</v>
      </c>
      <c r="L927" s="34">
        <f t="shared" si="58"/>
        <v>0.99893531915394518</v>
      </c>
      <c r="M927" s="34">
        <f t="shared" si="59"/>
        <v>0.99867311219514976</v>
      </c>
    </row>
    <row r="928" spans="1:13" ht="69">
      <c r="A928" t="s">
        <v>164</v>
      </c>
      <c r="B928" t="s">
        <v>115</v>
      </c>
      <c r="C928" s="14" t="s">
        <v>291</v>
      </c>
      <c r="D928" t="s">
        <v>366</v>
      </c>
      <c r="E928" t="s">
        <v>383</v>
      </c>
      <c r="F928" s="20">
        <v>2048</v>
      </c>
      <c r="G928" s="20">
        <v>36</v>
      </c>
      <c r="H928" s="11">
        <v>1591.17970308245</v>
      </c>
      <c r="I928" s="10">
        <v>4845932.8519351399</v>
      </c>
      <c r="J928" s="34">
        <f t="shared" si="56"/>
        <v>3.2835364246680386E-4</v>
      </c>
      <c r="K928" s="34">
        <f t="shared" si="57"/>
        <v>3.2829974030934572E-4</v>
      </c>
      <c r="L928" s="34">
        <f t="shared" si="58"/>
        <v>0.99867311219514976</v>
      </c>
      <c r="M928" s="34">
        <f t="shared" si="59"/>
        <v>0.99834524807176217</v>
      </c>
    </row>
    <row r="929" spans="1:13" ht="69">
      <c r="A929" t="s">
        <v>164</v>
      </c>
      <c r="B929" t="s">
        <v>115</v>
      </c>
      <c r="C929" s="14" t="s">
        <v>291</v>
      </c>
      <c r="D929" t="s">
        <v>366</v>
      </c>
      <c r="E929" t="s">
        <v>383</v>
      </c>
      <c r="F929" s="20">
        <v>2048</v>
      </c>
      <c r="G929" s="20">
        <v>37</v>
      </c>
      <c r="H929" s="11">
        <v>1690.2786819508301</v>
      </c>
      <c r="I929" s="10">
        <v>4765645.3477413002</v>
      </c>
      <c r="J929" s="34">
        <f t="shared" si="56"/>
        <v>3.5467991397050675E-4</v>
      </c>
      <c r="K929" s="34">
        <f t="shared" si="57"/>
        <v>3.5461702248551497E-4</v>
      </c>
      <c r="L929" s="34">
        <f t="shared" si="58"/>
        <v>0.99834524807176217</v>
      </c>
      <c r="M929" s="34">
        <f t="shared" si="59"/>
        <v>0.99799121785247835</v>
      </c>
    </row>
    <row r="930" spans="1:13" ht="69">
      <c r="A930" t="s">
        <v>164</v>
      </c>
      <c r="B930" t="s">
        <v>115</v>
      </c>
      <c r="C930" s="14" t="s">
        <v>291</v>
      </c>
      <c r="D930" t="s">
        <v>366</v>
      </c>
      <c r="E930" t="s">
        <v>383</v>
      </c>
      <c r="F930" s="20">
        <v>2048</v>
      </c>
      <c r="G930" s="20">
        <v>38</v>
      </c>
      <c r="H930" s="11">
        <v>1800.35817826073</v>
      </c>
      <c r="I930" s="10">
        <v>4663782.3284250302</v>
      </c>
      <c r="J930" s="34">
        <f t="shared" si="56"/>
        <v>3.8602963249117052E-4</v>
      </c>
      <c r="K930" s="34">
        <f t="shared" si="57"/>
        <v>3.8595513263928183E-4</v>
      </c>
      <c r="L930" s="34">
        <f t="shared" si="58"/>
        <v>0.99799121785247835</v>
      </c>
      <c r="M930" s="34">
        <f t="shared" si="59"/>
        <v>0.99760603801961922</v>
      </c>
    </row>
    <row r="931" spans="1:13" ht="69">
      <c r="A931" t="s">
        <v>164</v>
      </c>
      <c r="B931" t="s">
        <v>115</v>
      </c>
      <c r="C931" s="14" t="s">
        <v>291</v>
      </c>
      <c r="D931" t="s">
        <v>366</v>
      </c>
      <c r="E931" t="s">
        <v>383</v>
      </c>
      <c r="F931" s="20">
        <v>2048</v>
      </c>
      <c r="G931" s="20">
        <v>39</v>
      </c>
      <c r="H931" s="11">
        <v>1877.7258174870301</v>
      </c>
      <c r="I931" s="10">
        <v>4605723.7913096203</v>
      </c>
      <c r="J931" s="34">
        <f t="shared" si="56"/>
        <v>4.0769397006178387E-4</v>
      </c>
      <c r="K931" s="34">
        <f t="shared" si="57"/>
        <v>4.0761087416807396E-4</v>
      </c>
      <c r="L931" s="34">
        <f t="shared" si="58"/>
        <v>0.99760603801961922</v>
      </c>
      <c r="M931" s="34">
        <f t="shared" si="59"/>
        <v>0.99719940295038667</v>
      </c>
    </row>
    <row r="932" spans="1:13" ht="69">
      <c r="A932" t="s">
        <v>164</v>
      </c>
      <c r="B932" t="s">
        <v>115</v>
      </c>
      <c r="C932" s="14" t="s">
        <v>291</v>
      </c>
      <c r="D932" t="s">
        <v>366</v>
      </c>
      <c r="E932" t="s">
        <v>383</v>
      </c>
      <c r="F932" s="20">
        <v>2048</v>
      </c>
      <c r="G932" s="20">
        <v>40</v>
      </c>
      <c r="H932" s="11">
        <v>2029.7339110298799</v>
      </c>
      <c r="I932" s="10">
        <v>4595685.6880647503</v>
      </c>
      <c r="J932" s="34">
        <f t="shared" si="56"/>
        <v>4.4166073330498013E-4</v>
      </c>
      <c r="K932" s="34">
        <f t="shared" si="57"/>
        <v>4.4156321556043654E-4</v>
      </c>
      <c r="L932" s="34">
        <f t="shared" si="58"/>
        <v>0.99719940295038667</v>
      </c>
      <c r="M932" s="34">
        <f t="shared" si="59"/>
        <v>0.9967590763754649</v>
      </c>
    </row>
    <row r="933" spans="1:13" ht="69">
      <c r="A933" t="s">
        <v>164</v>
      </c>
      <c r="B933" t="s">
        <v>115</v>
      </c>
      <c r="C933" s="14" t="s">
        <v>291</v>
      </c>
      <c r="D933" t="s">
        <v>366</v>
      </c>
      <c r="E933" t="s">
        <v>383</v>
      </c>
      <c r="F933" s="20">
        <v>2048</v>
      </c>
      <c r="G933" s="20">
        <v>41</v>
      </c>
      <c r="H933" s="11">
        <v>2598.4446636062899</v>
      </c>
      <c r="I933" s="10">
        <v>4565445.6573043801</v>
      </c>
      <c r="J933" s="34">
        <f t="shared" si="56"/>
        <v>5.6915465841740284E-4</v>
      </c>
      <c r="K933" s="34">
        <f t="shared" si="57"/>
        <v>5.6899272062882478E-4</v>
      </c>
      <c r="L933" s="34">
        <f t="shared" si="58"/>
        <v>0.9967590763754649</v>
      </c>
      <c r="M933" s="34">
        <f t="shared" si="59"/>
        <v>0.99619192771678655</v>
      </c>
    </row>
    <row r="934" spans="1:13" ht="69">
      <c r="A934" t="s">
        <v>164</v>
      </c>
      <c r="B934" t="s">
        <v>115</v>
      </c>
      <c r="C934" s="14" t="s">
        <v>291</v>
      </c>
      <c r="D934" t="s">
        <v>366</v>
      </c>
      <c r="E934" t="s">
        <v>383</v>
      </c>
      <c r="F934" s="20">
        <v>2048</v>
      </c>
      <c r="G934" s="20">
        <v>42</v>
      </c>
      <c r="H934" s="11">
        <v>2820.5518736160798</v>
      </c>
      <c r="I934" s="10">
        <v>4491960.2558582798</v>
      </c>
      <c r="J934" s="34">
        <f t="shared" si="56"/>
        <v>6.2791113744552847E-4</v>
      </c>
      <c r="K934" s="34">
        <f t="shared" si="57"/>
        <v>6.2771404250216989E-4</v>
      </c>
      <c r="L934" s="34">
        <f t="shared" si="58"/>
        <v>0.99619192771678655</v>
      </c>
      <c r="M934" s="34">
        <f t="shared" si="59"/>
        <v>0.99556660405473141</v>
      </c>
    </row>
    <row r="935" spans="1:13" ht="69">
      <c r="A935" t="s">
        <v>164</v>
      </c>
      <c r="B935" t="s">
        <v>115</v>
      </c>
      <c r="C935" s="14" t="s">
        <v>291</v>
      </c>
      <c r="D935" t="s">
        <v>366</v>
      </c>
      <c r="E935" t="s">
        <v>383</v>
      </c>
      <c r="F935" s="20">
        <v>2048</v>
      </c>
      <c r="G935" s="20">
        <v>43</v>
      </c>
      <c r="H935" s="11">
        <v>3069.0193778990201</v>
      </c>
      <c r="I935" s="10">
        <v>4395632.6071498701</v>
      </c>
      <c r="J935" s="34">
        <f t="shared" si="56"/>
        <v>6.9819742735254973E-4</v>
      </c>
      <c r="K935" s="34">
        <f t="shared" si="57"/>
        <v>6.9795374424508339E-4</v>
      </c>
      <c r="L935" s="34">
        <f t="shared" si="58"/>
        <v>0.99556660405473141</v>
      </c>
      <c r="M935" s="34">
        <f t="shared" si="59"/>
        <v>0.99487174461578609</v>
      </c>
    </row>
    <row r="936" spans="1:13" ht="69">
      <c r="A936" t="s">
        <v>164</v>
      </c>
      <c r="B936" t="s">
        <v>115</v>
      </c>
      <c r="C936" s="14" t="s">
        <v>291</v>
      </c>
      <c r="D936" t="s">
        <v>366</v>
      </c>
      <c r="E936" t="s">
        <v>383</v>
      </c>
      <c r="F936" s="20">
        <v>2048</v>
      </c>
      <c r="G936" s="20">
        <v>44</v>
      </c>
      <c r="H936" s="11">
        <v>3163.0342105178802</v>
      </c>
      <c r="I936" s="10">
        <v>4295262.6359755099</v>
      </c>
      <c r="J936" s="34">
        <f t="shared" si="56"/>
        <v>7.3640065313480276E-4</v>
      </c>
      <c r="K936" s="34">
        <f t="shared" si="57"/>
        <v>7.36129576718203E-4</v>
      </c>
      <c r="L936" s="34">
        <f t="shared" si="58"/>
        <v>0.99487174461578609</v>
      </c>
      <c r="M936" s="34">
        <f t="shared" si="59"/>
        <v>0.99413939009953323</v>
      </c>
    </row>
    <row r="937" spans="1:13" ht="69">
      <c r="A937" t="s">
        <v>164</v>
      </c>
      <c r="B937" t="s">
        <v>115</v>
      </c>
      <c r="C937" s="14" t="s">
        <v>291</v>
      </c>
      <c r="D937" t="s">
        <v>366</v>
      </c>
      <c r="E937" t="s">
        <v>383</v>
      </c>
      <c r="F937" s="20">
        <v>2048</v>
      </c>
      <c r="G937" s="20">
        <v>45</v>
      </c>
      <c r="H937" s="11">
        <v>3413.1497275239699</v>
      </c>
      <c r="I937" s="10">
        <v>4247573.0476341099</v>
      </c>
      <c r="J937" s="34">
        <f t="shared" si="56"/>
        <v>8.0355292051424233E-4</v>
      </c>
      <c r="K937" s="34">
        <f t="shared" si="57"/>
        <v>8.0323015832417521E-4</v>
      </c>
      <c r="L937" s="34">
        <f t="shared" si="58"/>
        <v>0.99413939009953323</v>
      </c>
      <c r="M937" s="34">
        <f t="shared" si="59"/>
        <v>0.9933408673598273</v>
      </c>
    </row>
    <row r="938" spans="1:13" ht="69">
      <c r="A938" t="s">
        <v>164</v>
      </c>
      <c r="B938" t="s">
        <v>115</v>
      </c>
      <c r="C938" s="14" t="s">
        <v>291</v>
      </c>
      <c r="D938" t="s">
        <v>366</v>
      </c>
      <c r="E938" t="s">
        <v>383</v>
      </c>
      <c r="F938" s="20">
        <v>2048</v>
      </c>
      <c r="G938" s="20">
        <v>46</v>
      </c>
      <c r="H938" s="11">
        <v>4245.56993057003</v>
      </c>
      <c r="I938" s="10">
        <v>4221612.1790623097</v>
      </c>
      <c r="J938" s="34">
        <f t="shared" si="56"/>
        <v>1.0056750242541327E-3</v>
      </c>
      <c r="K938" s="34">
        <f t="shared" si="57"/>
        <v>1.0051695026046525E-3</v>
      </c>
      <c r="L938" s="34">
        <f t="shared" si="58"/>
        <v>0.9933408673598273</v>
      </c>
      <c r="M938" s="34">
        <f t="shared" si="59"/>
        <v>0.99234239141426639</v>
      </c>
    </row>
    <row r="939" spans="1:13" ht="69">
      <c r="A939" t="s">
        <v>164</v>
      </c>
      <c r="B939" t="s">
        <v>115</v>
      </c>
      <c r="C939" s="14" t="s">
        <v>291</v>
      </c>
      <c r="D939" t="s">
        <v>366</v>
      </c>
      <c r="E939" t="s">
        <v>383</v>
      </c>
      <c r="F939" s="20">
        <v>2048</v>
      </c>
      <c r="G939" s="20">
        <v>47</v>
      </c>
      <c r="H939" s="11">
        <v>4666.1026838549997</v>
      </c>
      <c r="I939" s="10">
        <v>4195330.7788289096</v>
      </c>
      <c r="J939" s="34">
        <f t="shared" si="56"/>
        <v>1.1122132985083722E-3</v>
      </c>
      <c r="K939" s="34">
        <f t="shared" si="57"/>
        <v>1.1115950185386358E-3</v>
      </c>
      <c r="L939" s="34">
        <f t="shared" si="58"/>
        <v>0.99234239141426639</v>
      </c>
      <c r="M939" s="34">
        <f t="shared" si="59"/>
        <v>0.99123930855528553</v>
      </c>
    </row>
    <row r="940" spans="1:13" ht="69">
      <c r="A940" t="s">
        <v>164</v>
      </c>
      <c r="B940" t="s">
        <v>115</v>
      </c>
      <c r="C940" s="14" t="s">
        <v>291</v>
      </c>
      <c r="D940" t="s">
        <v>366</v>
      </c>
      <c r="E940" t="s">
        <v>383</v>
      </c>
      <c r="F940" s="20">
        <v>2048</v>
      </c>
      <c r="G940" s="20">
        <v>48</v>
      </c>
      <c r="H940" s="11">
        <v>5181.8249415805003</v>
      </c>
      <c r="I940" s="10">
        <v>4187342.5275541302</v>
      </c>
      <c r="J940" s="34">
        <f t="shared" si="56"/>
        <v>1.2374972688482826E-3</v>
      </c>
      <c r="K940" s="34">
        <f t="shared" si="57"/>
        <v>1.2367318848558462E-3</v>
      </c>
      <c r="L940" s="34">
        <f t="shared" si="58"/>
        <v>0.99123930855528553</v>
      </c>
      <c r="M940" s="34">
        <f t="shared" si="59"/>
        <v>0.9900134112968727</v>
      </c>
    </row>
    <row r="941" spans="1:13" ht="69">
      <c r="A941" t="s">
        <v>164</v>
      </c>
      <c r="B941" t="s">
        <v>115</v>
      </c>
      <c r="C941" s="14" t="s">
        <v>291</v>
      </c>
      <c r="D941" t="s">
        <v>366</v>
      </c>
      <c r="E941" t="s">
        <v>383</v>
      </c>
      <c r="F941" s="20">
        <v>2048</v>
      </c>
      <c r="G941" s="20">
        <v>49</v>
      </c>
      <c r="H941" s="11">
        <v>5664.5658795899299</v>
      </c>
      <c r="I941" s="10">
        <v>4215677.9347884804</v>
      </c>
      <c r="J941" s="34">
        <f t="shared" si="56"/>
        <v>1.3436903784430456E-3</v>
      </c>
      <c r="K941" s="34">
        <f t="shared" si="57"/>
        <v>1.3427880307304019E-3</v>
      </c>
      <c r="L941" s="34">
        <f t="shared" si="58"/>
        <v>0.9900134112968727</v>
      </c>
      <c r="M941" s="34">
        <f t="shared" si="59"/>
        <v>0.98868403313792064</v>
      </c>
    </row>
    <row r="942" spans="1:13" ht="69">
      <c r="A942" t="s">
        <v>164</v>
      </c>
      <c r="B942" t="s">
        <v>115</v>
      </c>
      <c r="C942" s="14" t="s">
        <v>291</v>
      </c>
      <c r="D942" t="s">
        <v>366</v>
      </c>
      <c r="E942" t="s">
        <v>383</v>
      </c>
      <c r="F942" s="20">
        <v>2048</v>
      </c>
      <c r="G942" s="20">
        <v>50</v>
      </c>
      <c r="H942" s="11">
        <v>6210.9864333784299</v>
      </c>
      <c r="I942" s="10">
        <v>4245454.9164343597</v>
      </c>
      <c r="J942" s="34">
        <f t="shared" si="56"/>
        <v>1.4629731219934531E-3</v>
      </c>
      <c r="K942" s="34">
        <f t="shared" si="57"/>
        <v>1.461903498489292E-3</v>
      </c>
      <c r="L942" s="34">
        <f t="shared" si="58"/>
        <v>0.98868403313792064</v>
      </c>
      <c r="M942" s="34">
        <f t="shared" si="59"/>
        <v>0.98723867249097585</v>
      </c>
    </row>
    <row r="943" spans="1:13" ht="69">
      <c r="A943" t="s">
        <v>164</v>
      </c>
      <c r="B943" t="s">
        <v>115</v>
      </c>
      <c r="C943" s="14" t="s">
        <v>291</v>
      </c>
      <c r="D943" t="s">
        <v>366</v>
      </c>
      <c r="E943" t="s">
        <v>383</v>
      </c>
      <c r="F943" s="20">
        <v>2048</v>
      </c>
      <c r="G943" s="20">
        <v>51</v>
      </c>
      <c r="H943" s="11">
        <v>6970.5297327931503</v>
      </c>
      <c r="I943" s="10">
        <v>4229332.42903083</v>
      </c>
      <c r="J943" s="34">
        <f t="shared" si="56"/>
        <v>1.6481394758535162E-3</v>
      </c>
      <c r="K943" s="34">
        <f t="shared" si="57"/>
        <v>1.646782039837924E-3</v>
      </c>
      <c r="L943" s="34">
        <f t="shared" si="58"/>
        <v>0.98723867249097585</v>
      </c>
      <c r="M943" s="34">
        <f t="shared" si="59"/>
        <v>0.98561290557608427</v>
      </c>
    </row>
    <row r="944" spans="1:13" ht="69">
      <c r="A944" t="s">
        <v>164</v>
      </c>
      <c r="B944" t="s">
        <v>115</v>
      </c>
      <c r="C944" s="14" t="s">
        <v>291</v>
      </c>
      <c r="D944" t="s">
        <v>366</v>
      </c>
      <c r="E944" t="s">
        <v>383</v>
      </c>
      <c r="F944" s="20">
        <v>2048</v>
      </c>
      <c r="G944" s="20">
        <v>52</v>
      </c>
      <c r="H944" s="11">
        <v>7453.2474373795603</v>
      </c>
      <c r="I944" s="10">
        <v>4155703.3245405699</v>
      </c>
      <c r="J944" s="34">
        <f t="shared" si="56"/>
        <v>1.7934984418560599E-3</v>
      </c>
      <c r="K944" s="34">
        <f t="shared" si="57"/>
        <v>1.7918910846000946E-3</v>
      </c>
      <c r="L944" s="34">
        <f t="shared" si="58"/>
        <v>0.98561290557608427</v>
      </c>
      <c r="M944" s="34">
        <f t="shared" si="59"/>
        <v>0.98384679459771573</v>
      </c>
    </row>
    <row r="945" spans="1:13" ht="69">
      <c r="A945" t="s">
        <v>164</v>
      </c>
      <c r="B945" t="s">
        <v>115</v>
      </c>
      <c r="C945" s="14" t="s">
        <v>291</v>
      </c>
      <c r="D945" t="s">
        <v>366</v>
      </c>
      <c r="E945" t="s">
        <v>383</v>
      </c>
      <c r="F945" s="20">
        <v>2048</v>
      </c>
      <c r="G945" s="20">
        <v>53</v>
      </c>
      <c r="H945" s="11">
        <v>7955.2740253211396</v>
      </c>
      <c r="I945" s="10">
        <v>4079164.28064672</v>
      </c>
      <c r="J945" s="34">
        <f t="shared" si="56"/>
        <v>1.9502215350983346E-3</v>
      </c>
      <c r="K945" s="34">
        <f t="shared" si="57"/>
        <v>1.9483210887115687E-3</v>
      </c>
      <c r="L945" s="34">
        <f t="shared" si="58"/>
        <v>0.98384679459771573</v>
      </c>
      <c r="M945" s="34">
        <f t="shared" si="59"/>
        <v>0.98192994513973975</v>
      </c>
    </row>
    <row r="946" spans="1:13" ht="69">
      <c r="A946" t="s">
        <v>164</v>
      </c>
      <c r="B946" t="s">
        <v>115</v>
      </c>
      <c r="C946" s="14" t="s">
        <v>291</v>
      </c>
      <c r="D946" t="s">
        <v>366</v>
      </c>
      <c r="E946" t="s">
        <v>383</v>
      </c>
      <c r="F946" s="20">
        <v>2048</v>
      </c>
      <c r="G946" s="20">
        <v>54</v>
      </c>
      <c r="H946" s="11">
        <v>8569.6769369551694</v>
      </c>
      <c r="I946" s="10">
        <v>4010423.8960695099</v>
      </c>
      <c r="J946" s="34">
        <f t="shared" si="56"/>
        <v>2.1368506569477705E-3</v>
      </c>
      <c r="K946" s="34">
        <f t="shared" si="57"/>
        <v>2.1345692169042474E-3</v>
      </c>
      <c r="L946" s="34">
        <f t="shared" si="58"/>
        <v>0.98192994513973975</v>
      </c>
      <c r="M946" s="34">
        <f t="shared" si="59"/>
        <v>0.97983394770568799</v>
      </c>
    </row>
    <row r="947" spans="1:13" ht="69">
      <c r="A947" t="s">
        <v>164</v>
      </c>
      <c r="B947" t="s">
        <v>115</v>
      </c>
      <c r="C947" s="14" t="s">
        <v>291</v>
      </c>
      <c r="D947" t="s">
        <v>366</v>
      </c>
      <c r="E947" t="s">
        <v>383</v>
      </c>
      <c r="F947" s="20">
        <v>2048</v>
      </c>
      <c r="G947" s="20">
        <v>55</v>
      </c>
      <c r="H947" s="11">
        <v>9243.6113207908493</v>
      </c>
      <c r="I947" s="10">
        <v>3942809.9246902498</v>
      </c>
      <c r="J947" s="34">
        <f t="shared" si="56"/>
        <v>2.3444222514776777E-3</v>
      </c>
      <c r="K947" s="34">
        <f t="shared" si="57"/>
        <v>2.341676239987045E-3</v>
      </c>
      <c r="L947" s="34">
        <f t="shared" si="58"/>
        <v>0.97983394770568799</v>
      </c>
      <c r="M947" s="34">
        <f t="shared" si="59"/>
        <v>0.97753949383121286</v>
      </c>
    </row>
    <row r="948" spans="1:13" ht="69">
      <c r="A948" t="s">
        <v>164</v>
      </c>
      <c r="B948" t="s">
        <v>115</v>
      </c>
      <c r="C948" s="14" t="s">
        <v>291</v>
      </c>
      <c r="D948" t="s">
        <v>366</v>
      </c>
      <c r="E948" t="s">
        <v>383</v>
      </c>
      <c r="F948" s="20">
        <v>2048</v>
      </c>
      <c r="G948" s="20">
        <v>56</v>
      </c>
      <c r="H948" s="11">
        <v>9899.9504423733506</v>
      </c>
      <c r="I948" s="10">
        <v>3906800.1763666701</v>
      </c>
      <c r="J948" s="34">
        <f t="shared" si="56"/>
        <v>2.534030407355085E-3</v>
      </c>
      <c r="K948" s="34">
        <f t="shared" si="57"/>
        <v>2.5308224625510967E-3</v>
      </c>
      <c r="L948" s="34">
        <f t="shared" si="58"/>
        <v>0.97753949383121286</v>
      </c>
      <c r="M948" s="34">
        <f t="shared" si="59"/>
        <v>0.97506551492219395</v>
      </c>
    </row>
    <row r="949" spans="1:13" ht="69">
      <c r="A949" t="s">
        <v>164</v>
      </c>
      <c r="B949" t="s">
        <v>115</v>
      </c>
      <c r="C949" s="14" t="s">
        <v>291</v>
      </c>
      <c r="D949" t="s">
        <v>366</v>
      </c>
      <c r="E949" t="s">
        <v>383</v>
      </c>
      <c r="F949" s="20">
        <v>2048</v>
      </c>
      <c r="G949" s="20">
        <v>57</v>
      </c>
      <c r="H949" s="11">
        <v>10786.477819084401</v>
      </c>
      <c r="I949" s="10">
        <v>3863574.1911518699</v>
      </c>
      <c r="J949" s="34">
        <f t="shared" si="56"/>
        <v>2.7918391845009622E-3</v>
      </c>
      <c r="K949" s="34">
        <f t="shared" si="57"/>
        <v>2.7879456257243751E-3</v>
      </c>
      <c r="L949" s="34">
        <f t="shared" si="58"/>
        <v>0.97506551492219395</v>
      </c>
      <c r="M949" s="34">
        <f t="shared" si="59"/>
        <v>0.97234708528507197</v>
      </c>
    </row>
    <row r="950" spans="1:13" ht="69">
      <c r="A950" t="s">
        <v>164</v>
      </c>
      <c r="B950" t="s">
        <v>115</v>
      </c>
      <c r="C950" s="14" t="s">
        <v>291</v>
      </c>
      <c r="D950" t="s">
        <v>366</v>
      </c>
      <c r="E950" t="s">
        <v>383</v>
      </c>
      <c r="F950" s="20">
        <v>2048</v>
      </c>
      <c r="G950" s="20">
        <v>58</v>
      </c>
      <c r="H950" s="11">
        <v>11746.511745289999</v>
      </c>
      <c r="I950" s="10">
        <v>3821807.3607929298</v>
      </c>
      <c r="J950" s="34">
        <f t="shared" si="56"/>
        <v>3.0735488831265664E-3</v>
      </c>
      <c r="K950" s="34">
        <f t="shared" si="57"/>
        <v>3.068830367192521E-3</v>
      </c>
      <c r="L950" s="34">
        <f t="shared" si="58"/>
        <v>0.97234708528507197</v>
      </c>
      <c r="M950" s="34">
        <f t="shared" si="59"/>
        <v>0.96936311702229805</v>
      </c>
    </row>
    <row r="951" spans="1:13" ht="69">
      <c r="A951" t="s">
        <v>164</v>
      </c>
      <c r="B951" t="s">
        <v>115</v>
      </c>
      <c r="C951" s="14" t="s">
        <v>291</v>
      </c>
      <c r="D951" t="s">
        <v>366</v>
      </c>
      <c r="E951" t="s">
        <v>383</v>
      </c>
      <c r="F951" s="20">
        <v>2048</v>
      </c>
      <c r="G951" s="20">
        <v>59</v>
      </c>
      <c r="H951" s="11">
        <v>12323.7780018537</v>
      </c>
      <c r="I951" s="10">
        <v>3798921.7254974199</v>
      </c>
      <c r="J951" s="34">
        <f t="shared" si="56"/>
        <v>3.2440199857605803E-3</v>
      </c>
      <c r="K951" s="34">
        <f t="shared" si="57"/>
        <v>3.2387638381453643E-3</v>
      </c>
      <c r="L951" s="34">
        <f t="shared" si="58"/>
        <v>0.96936311702229805</v>
      </c>
      <c r="M951" s="34">
        <f t="shared" si="59"/>
        <v>0.96622357881285437</v>
      </c>
    </row>
    <row r="952" spans="1:13" ht="69">
      <c r="A952" t="s">
        <v>164</v>
      </c>
      <c r="B952" t="s">
        <v>115</v>
      </c>
      <c r="C952" s="14" t="s">
        <v>291</v>
      </c>
      <c r="D952" t="s">
        <v>366</v>
      </c>
      <c r="E952" t="s">
        <v>383</v>
      </c>
      <c r="F952" s="20">
        <v>2048</v>
      </c>
      <c r="G952" s="20">
        <v>60</v>
      </c>
      <c r="H952" s="11">
        <v>13002.649488392801</v>
      </c>
      <c r="I952" s="10">
        <v>3730993.8388830898</v>
      </c>
      <c r="J952" s="34">
        <f t="shared" si="56"/>
        <v>3.4850364406619535E-3</v>
      </c>
      <c r="K952" s="34">
        <f t="shared" si="57"/>
        <v>3.4789707495963551E-3</v>
      </c>
      <c r="L952" s="34">
        <f t="shared" si="58"/>
        <v>0.96622357881285437</v>
      </c>
      <c r="M952" s="34">
        <f t="shared" si="59"/>
        <v>0.96286211524459409</v>
      </c>
    </row>
    <row r="953" spans="1:13" ht="69">
      <c r="A953" t="s">
        <v>164</v>
      </c>
      <c r="B953" t="s">
        <v>115</v>
      </c>
      <c r="C953" s="14" t="s">
        <v>291</v>
      </c>
      <c r="D953" t="s">
        <v>366</v>
      </c>
      <c r="E953" t="s">
        <v>383</v>
      </c>
      <c r="F953" s="20">
        <v>2048</v>
      </c>
      <c r="G953" s="20">
        <v>61</v>
      </c>
      <c r="H953" s="11">
        <v>13624.8867638264</v>
      </c>
      <c r="I953" s="10">
        <v>3653675.33510492</v>
      </c>
      <c r="J953" s="34">
        <f t="shared" si="56"/>
        <v>3.7290907139222165E-3</v>
      </c>
      <c r="K953" s="34">
        <f t="shared" si="57"/>
        <v>3.722146289956707E-3</v>
      </c>
      <c r="L953" s="34">
        <f t="shared" si="58"/>
        <v>0.96286211524459409</v>
      </c>
      <c r="M953" s="34">
        <f t="shared" si="59"/>
        <v>0.95927820159459654</v>
      </c>
    </row>
    <row r="954" spans="1:13" ht="69">
      <c r="A954" t="s">
        <v>164</v>
      </c>
      <c r="B954" t="s">
        <v>115</v>
      </c>
      <c r="C954" s="14" t="s">
        <v>291</v>
      </c>
      <c r="D954" t="s">
        <v>366</v>
      </c>
      <c r="E954" t="s">
        <v>383</v>
      </c>
      <c r="F954" s="20">
        <v>2048</v>
      </c>
      <c r="G954" s="20">
        <v>62</v>
      </c>
      <c r="H954" s="11">
        <v>14756.9833365492</v>
      </c>
      <c r="I954" s="10">
        <v>3629774.48578218</v>
      </c>
      <c r="J954" s="34">
        <f t="shared" si="56"/>
        <v>4.0655372377408783E-3</v>
      </c>
      <c r="K954" s="34">
        <f t="shared" si="57"/>
        <v>4.0572841294530537E-3</v>
      </c>
      <c r="L954" s="34">
        <f t="shared" si="58"/>
        <v>0.95927820159459654</v>
      </c>
      <c r="M954" s="34">
        <f t="shared" si="59"/>
        <v>0.95538613737153655</v>
      </c>
    </row>
    <row r="955" spans="1:13" ht="69">
      <c r="A955" t="s">
        <v>164</v>
      </c>
      <c r="B955" t="s">
        <v>115</v>
      </c>
      <c r="C955" s="14" t="s">
        <v>291</v>
      </c>
      <c r="D955" t="s">
        <v>366</v>
      </c>
      <c r="E955" t="s">
        <v>383</v>
      </c>
      <c r="F955" s="20">
        <v>2048</v>
      </c>
      <c r="G955" s="20">
        <v>63</v>
      </c>
      <c r="H955" s="11">
        <v>16180.249286750901</v>
      </c>
      <c r="I955" s="10">
        <v>3653098.8336752602</v>
      </c>
      <c r="J955" s="34">
        <f t="shared" si="56"/>
        <v>4.4291846521087672E-3</v>
      </c>
      <c r="K955" s="34">
        <f t="shared" si="57"/>
        <v>4.4193902794649187E-3</v>
      </c>
      <c r="L955" s="34">
        <f t="shared" si="58"/>
        <v>0.95538613737153655</v>
      </c>
      <c r="M955" s="34">
        <f t="shared" si="59"/>
        <v>0.95116391316290128</v>
      </c>
    </row>
    <row r="956" spans="1:13" ht="69">
      <c r="A956" t="s">
        <v>164</v>
      </c>
      <c r="B956" t="s">
        <v>115</v>
      </c>
      <c r="C956" s="14" t="s">
        <v>291</v>
      </c>
      <c r="D956" t="s">
        <v>366</v>
      </c>
      <c r="E956" t="s">
        <v>383</v>
      </c>
      <c r="F956" s="20">
        <v>2048</v>
      </c>
      <c r="G956" s="20">
        <v>64</v>
      </c>
      <c r="H956" s="11">
        <v>17811.124748322902</v>
      </c>
      <c r="I956" s="10">
        <v>3635112.8859965601</v>
      </c>
      <c r="J956" s="34">
        <f t="shared" si="56"/>
        <v>4.8997446040633785E-3</v>
      </c>
      <c r="K956" s="34">
        <f t="shared" si="57"/>
        <v>4.8877604365801242E-3</v>
      </c>
      <c r="L956" s="34">
        <f t="shared" si="58"/>
        <v>0.95116391316290128</v>
      </c>
      <c r="M956" s="34">
        <f t="shared" si="59"/>
        <v>0.94651485181944095</v>
      </c>
    </row>
    <row r="957" spans="1:13" ht="69">
      <c r="A957" t="s">
        <v>164</v>
      </c>
      <c r="B957" t="s">
        <v>115</v>
      </c>
      <c r="C957" s="14" t="s">
        <v>291</v>
      </c>
      <c r="D957" t="s">
        <v>366</v>
      </c>
      <c r="E957" t="s">
        <v>383</v>
      </c>
      <c r="F957" s="20">
        <v>2048</v>
      </c>
      <c r="G957" s="20">
        <v>65</v>
      </c>
      <c r="H957" s="11">
        <v>19119.003028556501</v>
      </c>
      <c r="I957" s="10">
        <v>3563556.1174181001</v>
      </c>
      <c r="J957" s="34">
        <f t="shared" si="56"/>
        <v>5.3651471728215052E-3</v>
      </c>
      <c r="K957" s="34">
        <f t="shared" si="57"/>
        <v>5.3507804753604171E-3</v>
      </c>
      <c r="L957" s="34">
        <f t="shared" si="58"/>
        <v>0.94651485181944095</v>
      </c>
      <c r="M957" s="34">
        <f t="shared" si="59"/>
        <v>0.94145025863068688</v>
      </c>
    </row>
    <row r="958" spans="1:13" ht="69">
      <c r="A958" t="s">
        <v>164</v>
      </c>
      <c r="B958" t="s">
        <v>115</v>
      </c>
      <c r="C958" s="14" t="s">
        <v>291</v>
      </c>
      <c r="D958" t="s">
        <v>366</v>
      </c>
      <c r="E958" t="s">
        <v>383</v>
      </c>
      <c r="F958" s="20">
        <v>2048</v>
      </c>
      <c r="G958" s="20">
        <v>66</v>
      </c>
      <c r="H958" s="11">
        <v>19586.197588752399</v>
      </c>
      <c r="I958" s="10">
        <v>3468134.8909856202</v>
      </c>
      <c r="J958" s="34">
        <f t="shared" si="56"/>
        <v>5.6474728360943697E-3</v>
      </c>
      <c r="K958" s="34">
        <f t="shared" si="57"/>
        <v>5.6315558390761522E-3</v>
      </c>
      <c r="L958" s="34">
        <f t="shared" si="58"/>
        <v>0.94145025863068688</v>
      </c>
      <c r="M958" s="34">
        <f t="shared" si="59"/>
        <v>0.93614842892949546</v>
      </c>
    </row>
    <row r="959" spans="1:13" ht="69">
      <c r="A959" t="s">
        <v>164</v>
      </c>
      <c r="B959" t="s">
        <v>115</v>
      </c>
      <c r="C959" s="14" t="s">
        <v>291</v>
      </c>
      <c r="D959" t="s">
        <v>366</v>
      </c>
      <c r="E959" t="s">
        <v>383</v>
      </c>
      <c r="F959" s="20">
        <v>2048</v>
      </c>
      <c r="G959" s="20">
        <v>67</v>
      </c>
      <c r="H959" s="11">
        <v>20692.681434559301</v>
      </c>
      <c r="I959" s="10">
        <v>3364625.2057203399</v>
      </c>
      <c r="J959" s="34">
        <f t="shared" si="56"/>
        <v>6.1500702661856097E-3</v>
      </c>
      <c r="K959" s="34">
        <f t="shared" si="57"/>
        <v>6.131197293902102E-3</v>
      </c>
      <c r="L959" s="34">
        <f t="shared" si="58"/>
        <v>0.93614842892949546</v>
      </c>
      <c r="M959" s="34">
        <f t="shared" si="59"/>
        <v>0.9304087182153522</v>
      </c>
    </row>
    <row r="960" spans="1:13" ht="69">
      <c r="A960" t="s">
        <v>164</v>
      </c>
      <c r="B960" t="s">
        <v>115</v>
      </c>
      <c r="C960" s="14" t="s">
        <v>291</v>
      </c>
      <c r="D960" t="s">
        <v>366</v>
      </c>
      <c r="E960" t="s">
        <v>383</v>
      </c>
      <c r="F960" s="20">
        <v>2048</v>
      </c>
      <c r="G960" s="20">
        <v>68</v>
      </c>
      <c r="H960" s="11">
        <v>21735.042522327101</v>
      </c>
      <c r="I960" s="10">
        <v>3263362.0199648398</v>
      </c>
      <c r="J960" s="34">
        <f t="shared" si="56"/>
        <v>6.6603222043263464E-3</v>
      </c>
      <c r="K960" s="34">
        <f t="shared" si="57"/>
        <v>6.6381914183731849E-3</v>
      </c>
      <c r="L960" s="34">
        <f t="shared" si="58"/>
        <v>0.9304087182153522</v>
      </c>
      <c r="M960" s="34">
        <f t="shared" si="59"/>
        <v>0.92423248704651551</v>
      </c>
    </row>
    <row r="961" spans="1:13" ht="69">
      <c r="A961" t="s">
        <v>164</v>
      </c>
      <c r="B961" t="s">
        <v>115</v>
      </c>
      <c r="C961" s="14" t="s">
        <v>291</v>
      </c>
      <c r="D961" t="s">
        <v>366</v>
      </c>
      <c r="E961" t="s">
        <v>383</v>
      </c>
      <c r="F961" s="20">
        <v>2048</v>
      </c>
      <c r="G961" s="20">
        <v>69</v>
      </c>
      <c r="H961" s="11">
        <v>22123.994623408798</v>
      </c>
      <c r="I961" s="10">
        <v>3148186.21517197</v>
      </c>
      <c r="J961" s="34">
        <f t="shared" si="56"/>
        <v>7.0275368454341168E-3</v>
      </c>
      <c r="K961" s="34">
        <f t="shared" si="57"/>
        <v>7.0029014508714571E-3</v>
      </c>
      <c r="L961" s="34">
        <f t="shared" si="58"/>
        <v>0.92423248704651551</v>
      </c>
      <c r="M961" s="34">
        <f t="shared" si="59"/>
        <v>0.91776017802203491</v>
      </c>
    </row>
    <row r="962" spans="1:13" ht="69">
      <c r="A962" t="s">
        <v>164</v>
      </c>
      <c r="B962" t="s">
        <v>115</v>
      </c>
      <c r="C962" s="14" t="s">
        <v>291</v>
      </c>
      <c r="D962" t="s">
        <v>366</v>
      </c>
      <c r="E962" t="s">
        <v>383</v>
      </c>
      <c r="F962" s="20">
        <v>2049</v>
      </c>
      <c r="G962" s="20">
        <v>30</v>
      </c>
      <c r="H962" s="11">
        <v>633.98361492534002</v>
      </c>
      <c r="I962" s="10">
        <v>4236222.4531840598</v>
      </c>
      <c r="J962" s="34">
        <f t="shared" ref="J962:J1025" si="60">IF(I962&gt;0,H962/I962,0)</f>
        <v>1.4965777220901625E-4</v>
      </c>
      <c r="K962" s="34">
        <f t="shared" ref="K962:K1025" si="61">1-EXP(-J962)</f>
        <v>1.4964657404326065E-4</v>
      </c>
      <c r="L962" s="34">
        <f t="shared" ref="L962:L1025" si="62">IF(G962=30,1,M961)</f>
        <v>1</v>
      </c>
      <c r="M962" s="34">
        <f t="shared" ref="M962:M1025" si="63">L962*(1-K962)</f>
        <v>0.99985035342595674</v>
      </c>
    </row>
    <row r="963" spans="1:13" ht="69">
      <c r="A963" t="s">
        <v>164</v>
      </c>
      <c r="B963" t="s">
        <v>115</v>
      </c>
      <c r="C963" s="14" t="s">
        <v>291</v>
      </c>
      <c r="D963" t="s">
        <v>366</v>
      </c>
      <c r="E963" t="s">
        <v>383</v>
      </c>
      <c r="F963" s="20">
        <v>2049</v>
      </c>
      <c r="G963" s="20">
        <v>31</v>
      </c>
      <c r="H963" s="11">
        <v>909.64661752377901</v>
      </c>
      <c r="I963" s="10">
        <v>4271780.1315906597</v>
      </c>
      <c r="J963" s="34">
        <f t="shared" si="60"/>
        <v>2.1294322027408719E-4</v>
      </c>
      <c r="K963" s="34">
        <f t="shared" si="61"/>
        <v>2.1292054947574801E-4</v>
      </c>
      <c r="L963" s="34">
        <f t="shared" si="62"/>
        <v>0.99985035342595674</v>
      </c>
      <c r="M963" s="34">
        <f t="shared" si="63"/>
        <v>0.99963746473931181</v>
      </c>
    </row>
    <row r="964" spans="1:13" ht="69">
      <c r="A964" t="s">
        <v>164</v>
      </c>
      <c r="B964" t="s">
        <v>115</v>
      </c>
      <c r="C964" s="14" t="s">
        <v>291</v>
      </c>
      <c r="D964" t="s">
        <v>366</v>
      </c>
      <c r="E964" t="s">
        <v>383</v>
      </c>
      <c r="F964" s="20">
        <v>2049</v>
      </c>
      <c r="G964" s="20">
        <v>32</v>
      </c>
      <c r="H964" s="11">
        <v>949.59991471139904</v>
      </c>
      <c r="I964" s="10">
        <v>4337526.2192564001</v>
      </c>
      <c r="J964" s="34">
        <f t="shared" si="60"/>
        <v>2.1892661086304462E-4</v>
      </c>
      <c r="K964" s="34">
        <f t="shared" si="61"/>
        <v>2.1890264818125171E-4</v>
      </c>
      <c r="L964" s="34">
        <f t="shared" si="62"/>
        <v>0.99963746473931181</v>
      </c>
      <c r="M964" s="34">
        <f t="shared" si="63"/>
        <v>0.99941864145105919</v>
      </c>
    </row>
    <row r="965" spans="1:13" ht="69">
      <c r="A965" t="s">
        <v>164</v>
      </c>
      <c r="B965" t="s">
        <v>115</v>
      </c>
      <c r="C965" s="14" t="s">
        <v>291</v>
      </c>
      <c r="D965" t="s">
        <v>366</v>
      </c>
      <c r="E965" t="s">
        <v>383</v>
      </c>
      <c r="F965" s="20">
        <v>2049</v>
      </c>
      <c r="G965" s="20">
        <v>33</v>
      </c>
      <c r="H965" s="11">
        <v>1059.4164679963301</v>
      </c>
      <c r="I965" s="10">
        <v>4573687.9702103399</v>
      </c>
      <c r="J965" s="34">
        <f t="shared" si="60"/>
        <v>2.3163286933795978E-4</v>
      </c>
      <c r="K965" s="34">
        <f t="shared" si="61"/>
        <v>2.3160604451610833E-4</v>
      </c>
      <c r="L965" s="34">
        <f t="shared" si="62"/>
        <v>0.99941864145105919</v>
      </c>
      <c r="M965" s="34">
        <f t="shared" si="63"/>
        <v>0.99918717005269708</v>
      </c>
    </row>
    <row r="966" spans="1:13" ht="69">
      <c r="A966" t="s">
        <v>164</v>
      </c>
      <c r="B966" t="s">
        <v>115</v>
      </c>
      <c r="C966" s="14" t="s">
        <v>291</v>
      </c>
      <c r="D966" t="s">
        <v>366</v>
      </c>
      <c r="E966" t="s">
        <v>383</v>
      </c>
      <c r="F966" s="20">
        <v>2049</v>
      </c>
      <c r="G966" s="20">
        <v>34</v>
      </c>
      <c r="H966" s="11">
        <v>1132.39012170055</v>
      </c>
      <c r="I966" s="10">
        <v>4636611.4945736099</v>
      </c>
      <c r="J966" s="34">
        <f t="shared" si="60"/>
        <v>2.442279503093641E-4</v>
      </c>
      <c r="K966" s="34">
        <f t="shared" si="61"/>
        <v>2.4419812909126648E-4</v>
      </c>
      <c r="L966" s="34">
        <f t="shared" si="62"/>
        <v>0.99918717005269708</v>
      </c>
      <c r="M966" s="34">
        <f t="shared" si="63"/>
        <v>0.99894317041515823</v>
      </c>
    </row>
    <row r="967" spans="1:13" ht="69">
      <c r="A967" t="s">
        <v>164</v>
      </c>
      <c r="B967" t="s">
        <v>115</v>
      </c>
      <c r="C967" s="14" t="s">
        <v>291</v>
      </c>
      <c r="D967" t="s">
        <v>366</v>
      </c>
      <c r="E967" t="s">
        <v>383</v>
      </c>
      <c r="F967" s="20">
        <v>2049</v>
      </c>
      <c r="G967" s="20">
        <v>35</v>
      </c>
      <c r="H967" s="11">
        <v>1231.06495186609</v>
      </c>
      <c r="I967" s="10">
        <v>4707425.2630997999</v>
      </c>
      <c r="J967" s="34">
        <f t="shared" si="60"/>
        <v>2.6151555958117201E-4</v>
      </c>
      <c r="K967" s="34">
        <f t="shared" si="61"/>
        <v>2.6148136736792171E-4</v>
      </c>
      <c r="L967" s="34">
        <f t="shared" si="62"/>
        <v>0.99894317041515823</v>
      </c>
      <c r="M967" s="34">
        <f t="shared" si="63"/>
        <v>0.9986819653890352</v>
      </c>
    </row>
    <row r="968" spans="1:13" ht="69">
      <c r="A968" t="s">
        <v>164</v>
      </c>
      <c r="B968" t="s">
        <v>115</v>
      </c>
      <c r="C968" s="14" t="s">
        <v>291</v>
      </c>
      <c r="D968" t="s">
        <v>366</v>
      </c>
      <c r="E968" t="s">
        <v>383</v>
      </c>
      <c r="F968" s="20">
        <v>2049</v>
      </c>
      <c r="G968" s="20">
        <v>36</v>
      </c>
      <c r="H968" s="11">
        <v>1565.7615963435501</v>
      </c>
      <c r="I968" s="10">
        <v>4797338.6654276503</v>
      </c>
      <c r="J968" s="34">
        <f t="shared" si="60"/>
        <v>3.2638129295046818E-4</v>
      </c>
      <c r="K968" s="34">
        <f t="shared" si="61"/>
        <v>3.2632803637044905E-4</v>
      </c>
      <c r="L968" s="34">
        <f t="shared" si="62"/>
        <v>0.9986819653890352</v>
      </c>
      <c r="M968" s="34">
        <f t="shared" si="63"/>
        <v>0.99835606746431116</v>
      </c>
    </row>
    <row r="969" spans="1:13" ht="69">
      <c r="A969" t="s">
        <v>164</v>
      </c>
      <c r="B969" t="s">
        <v>115</v>
      </c>
      <c r="C969" s="14" t="s">
        <v>291</v>
      </c>
      <c r="D969" t="s">
        <v>366</v>
      </c>
      <c r="E969" t="s">
        <v>383</v>
      </c>
      <c r="F969" s="20">
        <v>2049</v>
      </c>
      <c r="G969" s="20">
        <v>37</v>
      </c>
      <c r="H969" s="11">
        <v>1706.4960506807899</v>
      </c>
      <c r="I969" s="10">
        <v>4839432.9191036504</v>
      </c>
      <c r="J969" s="34">
        <f t="shared" si="60"/>
        <v>3.5262314391101498E-4</v>
      </c>
      <c r="K969" s="34">
        <f t="shared" si="61"/>
        <v>3.525609796772855E-4</v>
      </c>
      <c r="L969" s="34">
        <f t="shared" si="62"/>
        <v>0.99835606746431116</v>
      </c>
      <c r="M969" s="34">
        <f t="shared" si="63"/>
        <v>0.99800408607109914</v>
      </c>
    </row>
    <row r="970" spans="1:13" ht="69">
      <c r="A970" t="s">
        <v>164</v>
      </c>
      <c r="B970" t="s">
        <v>115</v>
      </c>
      <c r="C970" s="14" t="s">
        <v>291</v>
      </c>
      <c r="D970" t="s">
        <v>366</v>
      </c>
      <c r="E970" t="s">
        <v>383</v>
      </c>
      <c r="F970" s="20">
        <v>2049</v>
      </c>
      <c r="G970" s="20">
        <v>38</v>
      </c>
      <c r="H970" s="11">
        <v>1826.7619944007999</v>
      </c>
      <c r="I970" s="10">
        <v>4758815.2158623599</v>
      </c>
      <c r="J970" s="34">
        <f t="shared" si="60"/>
        <v>3.8386907487219309E-4</v>
      </c>
      <c r="K970" s="34">
        <f t="shared" si="61"/>
        <v>3.8379540656552358E-4</v>
      </c>
      <c r="L970" s="34">
        <f t="shared" si="62"/>
        <v>0.99800408607109914</v>
      </c>
      <c r="M970" s="34">
        <f t="shared" si="63"/>
        <v>0.99762105668713141</v>
      </c>
    </row>
    <row r="971" spans="1:13" ht="69">
      <c r="A971" t="s">
        <v>164</v>
      </c>
      <c r="B971" t="s">
        <v>115</v>
      </c>
      <c r="C971" s="14" t="s">
        <v>291</v>
      </c>
      <c r="D971" t="s">
        <v>366</v>
      </c>
      <c r="E971" t="s">
        <v>383</v>
      </c>
      <c r="F971" s="20">
        <v>2049</v>
      </c>
      <c r="G971" s="20">
        <v>39</v>
      </c>
      <c r="H971" s="11">
        <v>1889.4203371991</v>
      </c>
      <c r="I971" s="10">
        <v>4656603.8761959597</v>
      </c>
      <c r="J971" s="34">
        <f t="shared" si="60"/>
        <v>4.05750711770354E-4</v>
      </c>
      <c r="K971" s="34">
        <f t="shared" si="61"/>
        <v>4.0566840608258214E-4</v>
      </c>
      <c r="L971" s="34">
        <f t="shared" si="62"/>
        <v>0.99762105668713141</v>
      </c>
      <c r="M971" s="34">
        <f t="shared" si="63"/>
        <v>0.9972163533431907</v>
      </c>
    </row>
    <row r="972" spans="1:13" ht="69">
      <c r="A972" t="s">
        <v>164</v>
      </c>
      <c r="B972" t="s">
        <v>115</v>
      </c>
      <c r="C972" s="14" t="s">
        <v>291</v>
      </c>
      <c r="D972" t="s">
        <v>366</v>
      </c>
      <c r="E972" t="s">
        <v>383</v>
      </c>
      <c r="F972" s="20">
        <v>2049</v>
      </c>
      <c r="G972" s="20">
        <v>40</v>
      </c>
      <c r="H972" s="11">
        <v>2020.96509144628</v>
      </c>
      <c r="I972" s="10">
        <v>4598155.6385391299</v>
      </c>
      <c r="J972" s="34">
        <f t="shared" si="60"/>
        <v>4.3951646057991122E-4</v>
      </c>
      <c r="K972" s="34">
        <f t="shared" si="61"/>
        <v>4.3941988736939663E-4</v>
      </c>
      <c r="L972" s="34">
        <f t="shared" si="62"/>
        <v>0.9972163533431907</v>
      </c>
      <c r="M972" s="34">
        <f t="shared" si="63"/>
        <v>0.99677815664552172</v>
      </c>
    </row>
    <row r="973" spans="1:13" ht="69">
      <c r="A973" t="s">
        <v>164</v>
      </c>
      <c r="B973" t="s">
        <v>115</v>
      </c>
      <c r="C973" s="14" t="s">
        <v>291</v>
      </c>
      <c r="D973" t="s">
        <v>366</v>
      </c>
      <c r="E973" t="s">
        <v>383</v>
      </c>
      <c r="F973" s="20">
        <v>2049</v>
      </c>
      <c r="G973" s="20">
        <v>41</v>
      </c>
      <c r="H973" s="11">
        <v>2596.34948977763</v>
      </c>
      <c r="I973" s="10">
        <v>4587552.3255940201</v>
      </c>
      <c r="J973" s="34">
        <f t="shared" si="60"/>
        <v>5.6595528628470551E-4</v>
      </c>
      <c r="K973" s="34">
        <f t="shared" si="61"/>
        <v>5.6579516380050876E-4</v>
      </c>
      <c r="L973" s="34">
        <f t="shared" si="62"/>
        <v>0.99677815664552172</v>
      </c>
      <c r="M973" s="34">
        <f t="shared" si="63"/>
        <v>0.99621418438510967</v>
      </c>
    </row>
    <row r="974" spans="1:13" ht="69">
      <c r="A974" t="s">
        <v>164</v>
      </c>
      <c r="B974" t="s">
        <v>115</v>
      </c>
      <c r="C974" s="14" t="s">
        <v>291</v>
      </c>
      <c r="D974" t="s">
        <v>366</v>
      </c>
      <c r="E974" t="s">
        <v>383</v>
      </c>
      <c r="F974" s="20">
        <v>2049</v>
      </c>
      <c r="G974" s="20">
        <v>42</v>
      </c>
      <c r="H974" s="11">
        <v>2843.44289195084</v>
      </c>
      <c r="I974" s="10">
        <v>4557029.8711339403</v>
      </c>
      <c r="J974" s="34">
        <f t="shared" si="60"/>
        <v>6.239684558493572E-4</v>
      </c>
      <c r="K974" s="34">
        <f t="shared" si="61"/>
        <v>6.2377382801503956E-4</v>
      </c>
      <c r="L974" s="34">
        <f t="shared" si="62"/>
        <v>0.99621418438510967</v>
      </c>
      <c r="M974" s="34">
        <f t="shared" si="63"/>
        <v>0.99559277204979291</v>
      </c>
    </row>
    <row r="975" spans="1:13" ht="69">
      <c r="A975" t="s">
        <v>164</v>
      </c>
      <c r="B975" t="s">
        <v>115</v>
      </c>
      <c r="C975" s="14" t="s">
        <v>291</v>
      </c>
      <c r="D975" t="s">
        <v>366</v>
      </c>
      <c r="E975" t="s">
        <v>383</v>
      </c>
      <c r="F975" s="20">
        <v>2049</v>
      </c>
      <c r="G975" s="20">
        <v>43</v>
      </c>
      <c r="H975" s="11">
        <v>3110.0315531411102</v>
      </c>
      <c r="I975" s="10">
        <v>4482961.2524569295</v>
      </c>
      <c r="J975" s="34">
        <f t="shared" si="60"/>
        <v>6.937449105625501E-4</v>
      </c>
      <c r="K975" s="34">
        <f t="shared" si="61"/>
        <v>6.9350432520021155E-4</v>
      </c>
      <c r="L975" s="34">
        <f t="shared" si="62"/>
        <v>0.99559277204979291</v>
      </c>
      <c r="M975" s="34">
        <f t="shared" si="63"/>
        <v>0.99490232415623836</v>
      </c>
    </row>
    <row r="976" spans="1:13" ht="69">
      <c r="A976" t="s">
        <v>164</v>
      </c>
      <c r="B976" t="s">
        <v>115</v>
      </c>
      <c r="C976" s="14" t="s">
        <v>291</v>
      </c>
      <c r="D976" t="s">
        <v>366</v>
      </c>
      <c r="E976" t="s">
        <v>383</v>
      </c>
      <c r="F976" s="20">
        <v>2049</v>
      </c>
      <c r="G976" s="20">
        <v>44</v>
      </c>
      <c r="H976" s="11">
        <v>3195.6033478417198</v>
      </c>
      <c r="I976" s="10">
        <v>4386024.46922113</v>
      </c>
      <c r="J976" s="34">
        <f t="shared" si="60"/>
        <v>7.2858766982875382E-4</v>
      </c>
      <c r="K976" s="34">
        <f t="shared" si="61"/>
        <v>7.2832231428132665E-4</v>
      </c>
      <c r="L976" s="34">
        <f t="shared" si="62"/>
        <v>0.99490232415623836</v>
      </c>
      <c r="M976" s="34">
        <f t="shared" si="63"/>
        <v>0.99417771459302506</v>
      </c>
    </row>
    <row r="977" spans="1:13" ht="69">
      <c r="A977" t="s">
        <v>164</v>
      </c>
      <c r="B977" t="s">
        <v>115</v>
      </c>
      <c r="C977" s="14" t="s">
        <v>291</v>
      </c>
      <c r="D977" t="s">
        <v>366</v>
      </c>
      <c r="E977" t="s">
        <v>383</v>
      </c>
      <c r="F977" s="20">
        <v>2049</v>
      </c>
      <c r="G977" s="20">
        <v>45</v>
      </c>
      <c r="H977" s="11">
        <v>3384.9184852031199</v>
      </c>
      <c r="I977" s="10">
        <v>4285171.3730357597</v>
      </c>
      <c r="J977" s="34">
        <f t="shared" si="60"/>
        <v>7.8991437927140114E-4</v>
      </c>
      <c r="K977" s="34">
        <f t="shared" si="61"/>
        <v>7.8960247903836489E-4</v>
      </c>
      <c r="L977" s="34">
        <f t="shared" si="62"/>
        <v>0.99417771459302506</v>
      </c>
      <c r="M977" s="34">
        <f t="shared" si="63"/>
        <v>0.9933927094049777</v>
      </c>
    </row>
    <row r="978" spans="1:13" ht="69">
      <c r="A978" t="s">
        <v>164</v>
      </c>
      <c r="B978" t="s">
        <v>115</v>
      </c>
      <c r="C978" s="14" t="s">
        <v>291</v>
      </c>
      <c r="D978" t="s">
        <v>366</v>
      </c>
      <c r="E978" t="s">
        <v>383</v>
      </c>
      <c r="F978" s="20">
        <v>2049</v>
      </c>
      <c r="G978" s="20">
        <v>46</v>
      </c>
      <c r="H978" s="11">
        <v>4190.8376328731001</v>
      </c>
      <c r="I978" s="10">
        <v>4236711.3396126702</v>
      </c>
      <c r="J978" s="34">
        <f t="shared" si="60"/>
        <v>9.8917233130549689E-4</v>
      </c>
      <c r="K978" s="34">
        <f t="shared" si="61"/>
        <v>9.8868326162637743E-4</v>
      </c>
      <c r="L978" s="34">
        <f t="shared" si="62"/>
        <v>0.9933927094049777</v>
      </c>
      <c r="M978" s="34">
        <f t="shared" si="63"/>
        <v>0.99241055866096728</v>
      </c>
    </row>
    <row r="979" spans="1:13" ht="69">
      <c r="A979" t="s">
        <v>164</v>
      </c>
      <c r="B979" t="s">
        <v>115</v>
      </c>
      <c r="C979" s="14" t="s">
        <v>291</v>
      </c>
      <c r="D979" t="s">
        <v>366</v>
      </c>
      <c r="E979" t="s">
        <v>383</v>
      </c>
      <c r="F979" s="20">
        <v>2049</v>
      </c>
      <c r="G979" s="20">
        <v>47</v>
      </c>
      <c r="H979" s="11">
        <v>4611.2409472439404</v>
      </c>
      <c r="I979" s="10">
        <v>4210160.3624635097</v>
      </c>
      <c r="J979" s="34">
        <f t="shared" si="60"/>
        <v>1.0952649187323934E-3</v>
      </c>
      <c r="K979" s="34">
        <f t="shared" si="61"/>
        <v>1.0946653350322189E-3</v>
      </c>
      <c r="L979" s="34">
        <f t="shared" si="62"/>
        <v>0.99241055866096728</v>
      </c>
      <c r="M979" s="34">
        <f t="shared" si="63"/>
        <v>0.99132420122428111</v>
      </c>
    </row>
    <row r="980" spans="1:13" ht="69">
      <c r="A980" t="s">
        <v>164</v>
      </c>
      <c r="B980" t="s">
        <v>115</v>
      </c>
      <c r="C980" s="14" t="s">
        <v>291</v>
      </c>
      <c r="D980" t="s">
        <v>366</v>
      </c>
      <c r="E980" t="s">
        <v>383</v>
      </c>
      <c r="F980" s="20">
        <v>2049</v>
      </c>
      <c r="G980" s="20">
        <v>48</v>
      </c>
      <c r="H980" s="11">
        <v>5103.9508675667903</v>
      </c>
      <c r="I980" s="10">
        <v>4182844.7171892398</v>
      </c>
      <c r="J980" s="34">
        <f t="shared" si="60"/>
        <v>1.2202104578714816E-3</v>
      </c>
      <c r="K980" s="34">
        <f t="shared" si="61"/>
        <v>1.2194663037963238E-3</v>
      </c>
      <c r="L980" s="34">
        <f t="shared" si="62"/>
        <v>0.99132420122428111</v>
      </c>
      <c r="M980" s="34">
        <f t="shared" si="63"/>
        <v>0.99011531476475034</v>
      </c>
    </row>
    <row r="981" spans="1:13" ht="69">
      <c r="A981" t="s">
        <v>164</v>
      </c>
      <c r="B981" t="s">
        <v>115</v>
      </c>
      <c r="C981" s="14" t="s">
        <v>291</v>
      </c>
      <c r="D981" t="s">
        <v>366</v>
      </c>
      <c r="E981" t="s">
        <v>383</v>
      </c>
      <c r="F981" s="20">
        <v>2049</v>
      </c>
      <c r="G981" s="20">
        <v>49</v>
      </c>
      <c r="H981" s="11">
        <v>5527.6657687309798</v>
      </c>
      <c r="I981" s="10">
        <v>4173621.2672717599</v>
      </c>
      <c r="J981" s="34">
        <f t="shared" si="60"/>
        <v>1.3244291742706066E-3</v>
      </c>
      <c r="K981" s="34">
        <f t="shared" si="61"/>
        <v>1.3235525050232511E-3</v>
      </c>
      <c r="L981" s="34">
        <f t="shared" si="62"/>
        <v>0.99011531476475034</v>
      </c>
      <c r="M981" s="34">
        <f t="shared" si="63"/>
        <v>0.98880484515963152</v>
      </c>
    </row>
    <row r="982" spans="1:13" ht="69">
      <c r="A982" t="s">
        <v>164</v>
      </c>
      <c r="B982" t="s">
        <v>115</v>
      </c>
      <c r="C982" s="14" t="s">
        <v>291</v>
      </c>
      <c r="D982" t="s">
        <v>366</v>
      </c>
      <c r="E982" t="s">
        <v>383</v>
      </c>
      <c r="F982" s="20">
        <v>2049</v>
      </c>
      <c r="G982" s="20">
        <v>50</v>
      </c>
      <c r="H982" s="11">
        <v>6083.2273879157701</v>
      </c>
      <c r="I982" s="10">
        <v>4200611.9651097003</v>
      </c>
      <c r="J982" s="34">
        <f t="shared" si="60"/>
        <v>1.4481764653443549E-3</v>
      </c>
      <c r="K982" s="34">
        <f t="shared" si="61"/>
        <v>1.4471283638133325E-3</v>
      </c>
      <c r="L982" s="34">
        <f t="shared" si="62"/>
        <v>0.98880484515963152</v>
      </c>
      <c r="M982" s="34">
        <f t="shared" si="63"/>
        <v>0.98737391762192495</v>
      </c>
    </row>
    <row r="983" spans="1:13" ht="69">
      <c r="A983" t="s">
        <v>164</v>
      </c>
      <c r="B983" t="s">
        <v>115</v>
      </c>
      <c r="C983" s="14" t="s">
        <v>291</v>
      </c>
      <c r="D983" t="s">
        <v>366</v>
      </c>
      <c r="E983" t="s">
        <v>383</v>
      </c>
      <c r="F983" s="20">
        <v>2049</v>
      </c>
      <c r="G983" s="20">
        <v>51</v>
      </c>
      <c r="H983" s="11">
        <v>6898.80983306506</v>
      </c>
      <c r="I983" s="10">
        <v>4228868.6960767703</v>
      </c>
      <c r="J983" s="34">
        <f t="shared" si="60"/>
        <v>1.6313606141200984E-3</v>
      </c>
      <c r="K983" s="34">
        <f t="shared" si="61"/>
        <v>1.630030668698601E-3</v>
      </c>
      <c r="L983" s="34">
        <f t="shared" si="62"/>
        <v>0.98737391762192495</v>
      </c>
      <c r="M983" s="34">
        <f t="shared" si="63"/>
        <v>0.98576446785472815</v>
      </c>
    </row>
    <row r="984" spans="1:13" ht="69">
      <c r="A984" t="s">
        <v>164</v>
      </c>
      <c r="B984" t="s">
        <v>115</v>
      </c>
      <c r="C984" s="14" t="s">
        <v>291</v>
      </c>
      <c r="D984" t="s">
        <v>366</v>
      </c>
      <c r="E984" t="s">
        <v>383</v>
      </c>
      <c r="F984" s="20">
        <v>2049</v>
      </c>
      <c r="G984" s="20">
        <v>52</v>
      </c>
      <c r="H984" s="11">
        <v>7490.41054135387</v>
      </c>
      <c r="I984" s="10">
        <v>4211473.0920868004</v>
      </c>
      <c r="J984" s="34">
        <f t="shared" si="60"/>
        <v>1.7785725748617675E-3</v>
      </c>
      <c r="K984" s="34">
        <f t="shared" si="61"/>
        <v>1.7769918519421335E-3</v>
      </c>
      <c r="L984" s="34">
        <f t="shared" si="62"/>
        <v>0.98576446785472815</v>
      </c>
      <c r="M984" s="34">
        <f t="shared" si="63"/>
        <v>0.98401277242741625</v>
      </c>
    </row>
    <row r="985" spans="1:13" ht="69">
      <c r="A985" t="s">
        <v>164</v>
      </c>
      <c r="B985" t="s">
        <v>115</v>
      </c>
      <c r="C985" s="14" t="s">
        <v>291</v>
      </c>
      <c r="D985" t="s">
        <v>366</v>
      </c>
      <c r="E985" t="s">
        <v>383</v>
      </c>
      <c r="F985" s="20">
        <v>2049</v>
      </c>
      <c r="G985" s="20">
        <v>53</v>
      </c>
      <c r="H985" s="11">
        <v>8004.7356588909697</v>
      </c>
      <c r="I985" s="10">
        <v>4136521.6838829</v>
      </c>
      <c r="J985" s="34">
        <f t="shared" si="60"/>
        <v>1.9351368784260854E-3</v>
      </c>
      <c r="K985" s="34">
        <f t="shared" si="61"/>
        <v>1.9332657082417048E-3</v>
      </c>
      <c r="L985" s="34">
        <f t="shared" si="62"/>
        <v>0.98401277242741625</v>
      </c>
      <c r="M985" s="34">
        <f t="shared" si="63"/>
        <v>0.98211041427801049</v>
      </c>
    </row>
    <row r="986" spans="1:13" ht="69">
      <c r="A986" t="s">
        <v>164</v>
      </c>
      <c r="B986" t="s">
        <v>115</v>
      </c>
      <c r="C986" s="14" t="s">
        <v>291</v>
      </c>
      <c r="D986" t="s">
        <v>366</v>
      </c>
      <c r="E986" t="s">
        <v>383</v>
      </c>
      <c r="F986" s="20">
        <v>2049</v>
      </c>
      <c r="G986" s="20">
        <v>54</v>
      </c>
      <c r="H986" s="11">
        <v>8599.5783434944005</v>
      </c>
      <c r="I986" s="10">
        <v>4058609.3440904799</v>
      </c>
      <c r="J986" s="34">
        <f t="shared" si="60"/>
        <v>2.1188485055886885E-3</v>
      </c>
      <c r="K986" s="34">
        <f t="shared" si="61"/>
        <v>2.1166053306894694E-3</v>
      </c>
      <c r="L986" s="34">
        <f t="shared" si="62"/>
        <v>0.98211041427801049</v>
      </c>
      <c r="M986" s="34">
        <f t="shared" si="63"/>
        <v>0.98003167413982406</v>
      </c>
    </row>
    <row r="987" spans="1:13" ht="69">
      <c r="A987" t="s">
        <v>164</v>
      </c>
      <c r="B987" t="s">
        <v>115</v>
      </c>
      <c r="C987" s="14" t="s">
        <v>291</v>
      </c>
      <c r="D987" t="s">
        <v>366</v>
      </c>
      <c r="E987" t="s">
        <v>383</v>
      </c>
      <c r="F987" s="20">
        <v>2049</v>
      </c>
      <c r="G987" s="20">
        <v>55</v>
      </c>
      <c r="H987" s="11">
        <v>9270.9742693557</v>
      </c>
      <c r="I987" s="10">
        <v>3988326.3642557398</v>
      </c>
      <c r="J987" s="34">
        <f t="shared" si="60"/>
        <v>2.3245274891353462E-3</v>
      </c>
      <c r="K987" s="34">
        <f t="shared" si="61"/>
        <v>2.3218278672982873E-3</v>
      </c>
      <c r="L987" s="34">
        <f t="shared" si="62"/>
        <v>0.98003167413982406</v>
      </c>
      <c r="M987" s="34">
        <f t="shared" si="63"/>
        <v>0.97775620928797125</v>
      </c>
    </row>
    <row r="988" spans="1:13" ht="69">
      <c r="A988" t="s">
        <v>164</v>
      </c>
      <c r="B988" t="s">
        <v>115</v>
      </c>
      <c r="C988" s="14" t="s">
        <v>291</v>
      </c>
      <c r="D988" t="s">
        <v>366</v>
      </c>
      <c r="E988" t="s">
        <v>383</v>
      </c>
      <c r="F988" s="20">
        <v>2049</v>
      </c>
      <c r="G988" s="20">
        <v>56</v>
      </c>
      <c r="H988" s="11">
        <v>9841.4526062737405</v>
      </c>
      <c r="I988" s="10">
        <v>3919073.3738598502</v>
      </c>
      <c r="J988" s="34">
        <f t="shared" si="60"/>
        <v>2.511168245003029E-3</v>
      </c>
      <c r="K988" s="34">
        <f t="shared" si="61"/>
        <v>2.5080178995932068E-3</v>
      </c>
      <c r="L988" s="34">
        <f t="shared" si="62"/>
        <v>0.97775620928797125</v>
      </c>
      <c r="M988" s="34">
        <f t="shared" si="63"/>
        <v>0.97530397921363865</v>
      </c>
    </row>
    <row r="989" spans="1:13" ht="69">
      <c r="A989" t="s">
        <v>164</v>
      </c>
      <c r="B989" t="s">
        <v>115</v>
      </c>
      <c r="C989" s="14" t="s">
        <v>291</v>
      </c>
      <c r="D989" t="s">
        <v>366</v>
      </c>
      <c r="E989" t="s">
        <v>383</v>
      </c>
      <c r="F989" s="20">
        <v>2049</v>
      </c>
      <c r="G989" s="20">
        <v>57</v>
      </c>
      <c r="H989" s="11">
        <v>10729.613125469101</v>
      </c>
      <c r="I989" s="10">
        <v>3881088.0379674402</v>
      </c>
      <c r="J989" s="34">
        <f t="shared" si="60"/>
        <v>2.7645889555982074E-3</v>
      </c>
      <c r="K989" s="34">
        <f t="shared" si="61"/>
        <v>2.7607709987224061E-3</v>
      </c>
      <c r="L989" s="34">
        <f t="shared" si="62"/>
        <v>0.97530397921363865</v>
      </c>
      <c r="M989" s="34">
        <f t="shared" si="63"/>
        <v>0.97261138827288707</v>
      </c>
    </row>
    <row r="990" spans="1:13" ht="69">
      <c r="A990" t="s">
        <v>164</v>
      </c>
      <c r="B990" t="s">
        <v>115</v>
      </c>
      <c r="C990" s="14" t="s">
        <v>291</v>
      </c>
      <c r="D990" t="s">
        <v>366</v>
      </c>
      <c r="E990" t="s">
        <v>383</v>
      </c>
      <c r="F990" s="20">
        <v>2049</v>
      </c>
      <c r="G990" s="20">
        <v>58</v>
      </c>
      <c r="H990" s="11">
        <v>11679.823390174301</v>
      </c>
      <c r="I990" s="10">
        <v>3835755.2473861901</v>
      </c>
      <c r="J990" s="34">
        <f t="shared" si="60"/>
        <v>3.0449866159039519E-3</v>
      </c>
      <c r="K990" s="34">
        <f t="shared" si="61"/>
        <v>3.0403553460691679E-3</v>
      </c>
      <c r="L990" s="34">
        <f t="shared" si="62"/>
        <v>0.97261138827288707</v>
      </c>
      <c r="M990" s="34">
        <f t="shared" si="63"/>
        <v>0.96965430403890385</v>
      </c>
    </row>
    <row r="991" spans="1:13" ht="69">
      <c r="A991" t="s">
        <v>164</v>
      </c>
      <c r="B991" t="s">
        <v>115</v>
      </c>
      <c r="C991" s="14" t="s">
        <v>291</v>
      </c>
      <c r="D991" t="s">
        <v>366</v>
      </c>
      <c r="E991" t="s">
        <v>383</v>
      </c>
      <c r="F991" s="20">
        <v>2049</v>
      </c>
      <c r="G991" s="20">
        <v>59</v>
      </c>
      <c r="H991" s="11">
        <v>12183.0008961802</v>
      </c>
      <c r="I991" s="10">
        <v>3791681.355498</v>
      </c>
      <c r="J991" s="34">
        <f t="shared" si="60"/>
        <v>3.2130866900285933E-3</v>
      </c>
      <c r="K991" s="34">
        <f t="shared" si="61"/>
        <v>3.2079302511632823E-3</v>
      </c>
      <c r="L991" s="34">
        <f t="shared" si="62"/>
        <v>0.96965430403890385</v>
      </c>
      <c r="M991" s="34">
        <f t="shared" si="63"/>
        <v>0.96654372066380678</v>
      </c>
    </row>
    <row r="992" spans="1:13" ht="69">
      <c r="A992" t="s">
        <v>164</v>
      </c>
      <c r="B992" t="s">
        <v>115</v>
      </c>
      <c r="C992" s="14" t="s">
        <v>291</v>
      </c>
      <c r="D992" t="s">
        <v>366</v>
      </c>
      <c r="E992" t="s">
        <v>383</v>
      </c>
      <c r="F992" s="20">
        <v>2049</v>
      </c>
      <c r="G992" s="20">
        <v>60</v>
      </c>
      <c r="H992" s="11">
        <v>12956.0682605324</v>
      </c>
      <c r="I992" s="10">
        <v>3766653.3650299101</v>
      </c>
      <c r="J992" s="34">
        <f t="shared" si="60"/>
        <v>3.4396762868646714E-3</v>
      </c>
      <c r="K992" s="34">
        <f t="shared" si="61"/>
        <v>3.4337673772391053E-3</v>
      </c>
      <c r="L992" s="34">
        <f t="shared" si="62"/>
        <v>0.96654372066380678</v>
      </c>
      <c r="M992" s="34">
        <f t="shared" si="63"/>
        <v>0.96322483436711615</v>
      </c>
    </row>
    <row r="993" spans="1:13" ht="69">
      <c r="A993" t="s">
        <v>164</v>
      </c>
      <c r="B993" t="s">
        <v>115</v>
      </c>
      <c r="C993" s="14" t="s">
        <v>291</v>
      </c>
      <c r="D993" t="s">
        <v>366</v>
      </c>
      <c r="E993" t="s">
        <v>383</v>
      </c>
      <c r="F993" s="20">
        <v>2049</v>
      </c>
      <c r="G993" s="20">
        <v>61</v>
      </c>
      <c r="H993" s="11">
        <v>13601.057797744301</v>
      </c>
      <c r="I993" s="10">
        <v>3696559.5506819598</v>
      </c>
      <c r="J993" s="34">
        <f t="shared" si="60"/>
        <v>3.6793828453906847E-3</v>
      </c>
      <c r="K993" s="34">
        <f t="shared" si="61"/>
        <v>3.6726222105255557E-3</v>
      </c>
      <c r="L993" s="34">
        <f t="shared" si="62"/>
        <v>0.96322483436711615</v>
      </c>
      <c r="M993" s="34">
        <f t="shared" si="63"/>
        <v>0.95968727344668969</v>
      </c>
    </row>
    <row r="994" spans="1:13" ht="69">
      <c r="A994" t="s">
        <v>164</v>
      </c>
      <c r="B994" t="s">
        <v>115</v>
      </c>
      <c r="C994" s="14" t="s">
        <v>291</v>
      </c>
      <c r="D994" t="s">
        <v>366</v>
      </c>
      <c r="E994" t="s">
        <v>383</v>
      </c>
      <c r="F994" s="20">
        <v>2049</v>
      </c>
      <c r="G994" s="20">
        <v>62</v>
      </c>
      <c r="H994" s="11">
        <v>14514.8545387378</v>
      </c>
      <c r="I994" s="10">
        <v>3616813.0754312901</v>
      </c>
      <c r="J994" s="34">
        <f t="shared" si="60"/>
        <v>4.0131613760567269E-3</v>
      </c>
      <c r="K994" s="34">
        <f t="shared" si="61"/>
        <v>4.0051194054470107E-3</v>
      </c>
      <c r="L994" s="34">
        <f t="shared" si="62"/>
        <v>0.95968727344668969</v>
      </c>
      <c r="M994" s="34">
        <f t="shared" si="63"/>
        <v>0.95584361132464779</v>
      </c>
    </row>
    <row r="995" spans="1:13" ht="69">
      <c r="A995" t="s">
        <v>164</v>
      </c>
      <c r="B995" t="s">
        <v>115</v>
      </c>
      <c r="C995" s="14" t="s">
        <v>291</v>
      </c>
      <c r="D995" t="s">
        <v>366</v>
      </c>
      <c r="E995" t="s">
        <v>383</v>
      </c>
      <c r="F995" s="20">
        <v>2049</v>
      </c>
      <c r="G995" s="20">
        <v>63</v>
      </c>
      <c r="H995" s="11">
        <v>15704.3625910517</v>
      </c>
      <c r="I995" s="10">
        <v>3589661.4624629398</v>
      </c>
      <c r="J995" s="34">
        <f t="shared" si="60"/>
        <v>4.3748868118267115E-3</v>
      </c>
      <c r="K995" s="34">
        <f t="shared" si="61"/>
        <v>4.3653309348908875E-3</v>
      </c>
      <c r="L995" s="34">
        <f t="shared" si="62"/>
        <v>0.95584361132464779</v>
      </c>
      <c r="M995" s="34">
        <f t="shared" si="63"/>
        <v>0.95167103763921446</v>
      </c>
    </row>
    <row r="996" spans="1:13" ht="69">
      <c r="A996" t="s">
        <v>164</v>
      </c>
      <c r="B996" t="s">
        <v>115</v>
      </c>
      <c r="C996" s="14" t="s">
        <v>291</v>
      </c>
      <c r="D996" t="s">
        <v>366</v>
      </c>
      <c r="E996" t="s">
        <v>383</v>
      </c>
      <c r="F996" s="20">
        <v>2049</v>
      </c>
      <c r="G996" s="20">
        <v>64</v>
      </c>
      <c r="H996" s="11">
        <v>17461.253943537198</v>
      </c>
      <c r="I996" s="10">
        <v>3608877.6661840598</v>
      </c>
      <c r="J996" s="34">
        <f t="shared" si="60"/>
        <v>4.8384166931322746E-3</v>
      </c>
      <c r="K996" s="34">
        <f t="shared" si="61"/>
        <v>4.8267304103829511E-3</v>
      </c>
      <c r="L996" s="34">
        <f t="shared" si="62"/>
        <v>0.95167103763921446</v>
      </c>
      <c r="M996" s="34">
        <f t="shared" si="63"/>
        <v>0.94707757810116056</v>
      </c>
    </row>
    <row r="997" spans="1:13" ht="69">
      <c r="A997" t="s">
        <v>164</v>
      </c>
      <c r="B997" t="s">
        <v>115</v>
      </c>
      <c r="C997" s="14" t="s">
        <v>291</v>
      </c>
      <c r="D997" t="s">
        <v>366</v>
      </c>
      <c r="E997" t="s">
        <v>383</v>
      </c>
      <c r="F997" s="20">
        <v>2049</v>
      </c>
      <c r="G997" s="20">
        <v>65</v>
      </c>
      <c r="H997" s="11">
        <v>19077.196102934598</v>
      </c>
      <c r="I997" s="10">
        <v>3586637.4009729801</v>
      </c>
      <c r="J997" s="34">
        <f t="shared" si="60"/>
        <v>5.3189642470575227E-3</v>
      </c>
      <c r="K997" s="34">
        <f t="shared" si="61"/>
        <v>5.3048436035525448E-3</v>
      </c>
      <c r="L997" s="34">
        <f t="shared" si="62"/>
        <v>0.94707757810116056</v>
      </c>
      <c r="M997" s="34">
        <f t="shared" si="63"/>
        <v>0.94205347966890263</v>
      </c>
    </row>
    <row r="998" spans="1:13" ht="69">
      <c r="A998" t="s">
        <v>164</v>
      </c>
      <c r="B998" t="s">
        <v>115</v>
      </c>
      <c r="C998" s="14" t="s">
        <v>291</v>
      </c>
      <c r="D998" t="s">
        <v>366</v>
      </c>
      <c r="E998" t="s">
        <v>383</v>
      </c>
      <c r="F998" s="20">
        <v>2049</v>
      </c>
      <c r="G998" s="20">
        <v>66</v>
      </c>
      <c r="H998" s="11">
        <v>19655.6193042542</v>
      </c>
      <c r="I998" s="10">
        <v>3511385.6156755299</v>
      </c>
      <c r="J998" s="34">
        <f t="shared" si="60"/>
        <v>5.5976817859330437E-3</v>
      </c>
      <c r="K998" s="34">
        <f t="shared" si="61"/>
        <v>5.5820439573800451E-3</v>
      </c>
      <c r="L998" s="34">
        <f t="shared" si="62"/>
        <v>0.94205347966890263</v>
      </c>
      <c r="M998" s="34">
        <f t="shared" si="63"/>
        <v>0.93679489573518804</v>
      </c>
    </row>
    <row r="999" spans="1:13" ht="69">
      <c r="A999" t="s">
        <v>164</v>
      </c>
      <c r="B999" t="s">
        <v>115</v>
      </c>
      <c r="C999" s="14" t="s">
        <v>291</v>
      </c>
      <c r="D999" t="s">
        <v>366</v>
      </c>
      <c r="E999" t="s">
        <v>383</v>
      </c>
      <c r="F999" s="20">
        <v>2049</v>
      </c>
      <c r="G999" s="20">
        <v>67</v>
      </c>
      <c r="H999" s="11">
        <v>20840.6488454108</v>
      </c>
      <c r="I999" s="10">
        <v>3411951.24235857</v>
      </c>
      <c r="J999" s="34">
        <f t="shared" si="60"/>
        <v>6.1081320819239915E-3</v>
      </c>
      <c r="K999" s="34">
        <f t="shared" si="61"/>
        <v>6.0895153668962809E-3</v>
      </c>
      <c r="L999" s="34">
        <f t="shared" si="62"/>
        <v>0.93679489573518804</v>
      </c>
      <c r="M999" s="34">
        <f t="shared" si="63"/>
        <v>0.93109026882197865</v>
      </c>
    </row>
    <row r="1000" spans="1:13" ht="69">
      <c r="A1000" t="s">
        <v>164</v>
      </c>
      <c r="B1000" t="s">
        <v>115</v>
      </c>
      <c r="C1000" s="14" t="s">
        <v>291</v>
      </c>
      <c r="D1000" t="s">
        <v>366</v>
      </c>
      <c r="E1000" t="s">
        <v>383</v>
      </c>
      <c r="F1000" s="20">
        <v>2049</v>
      </c>
      <c r="G1000" s="20">
        <v>68</v>
      </c>
      <c r="H1000" s="11">
        <v>21870.529094848702</v>
      </c>
      <c r="I1000" s="10">
        <v>3304915.1635688799</v>
      </c>
      <c r="J1000" s="34">
        <f t="shared" si="60"/>
        <v>6.617576552625141E-3</v>
      </c>
      <c r="K1000" s="34">
        <f t="shared" si="61"/>
        <v>6.5957286129465498E-3</v>
      </c>
      <c r="L1000" s="34">
        <f t="shared" si="62"/>
        <v>0.93109026882197865</v>
      </c>
      <c r="M1000" s="34">
        <f t="shared" si="63"/>
        <v>0.92494905009467343</v>
      </c>
    </row>
    <row r="1001" spans="1:13" ht="69">
      <c r="A1001" t="s">
        <v>164</v>
      </c>
      <c r="B1001" t="s">
        <v>115</v>
      </c>
      <c r="C1001" s="14" t="s">
        <v>291</v>
      </c>
      <c r="D1001" t="s">
        <v>366</v>
      </c>
      <c r="E1001" t="s">
        <v>383</v>
      </c>
      <c r="F1001" s="20">
        <v>2049</v>
      </c>
      <c r="G1001" s="20">
        <v>69</v>
      </c>
      <c r="H1001" s="11">
        <v>22335.319822252899</v>
      </c>
      <c r="I1001" s="10">
        <v>3200046.1922800099</v>
      </c>
      <c r="J1001" s="34">
        <f t="shared" si="60"/>
        <v>6.9796866920658869E-3</v>
      </c>
      <c r="K1001" s="34">
        <f t="shared" si="61"/>
        <v>6.9553852505920277E-3</v>
      </c>
      <c r="L1001" s="34">
        <f t="shared" si="62"/>
        <v>0.92494905009467343</v>
      </c>
      <c r="M1001" s="34">
        <f t="shared" si="63"/>
        <v>0.91851567311409588</v>
      </c>
    </row>
    <row r="1002" spans="1:13" ht="69">
      <c r="A1002" t="s">
        <v>164</v>
      </c>
      <c r="B1002" t="s">
        <v>115</v>
      </c>
      <c r="C1002" s="14" t="s">
        <v>291</v>
      </c>
      <c r="D1002" t="s">
        <v>366</v>
      </c>
      <c r="E1002" t="s">
        <v>383</v>
      </c>
      <c r="F1002" s="20">
        <v>2050</v>
      </c>
      <c r="G1002" s="20">
        <v>30</v>
      </c>
      <c r="H1002" s="11">
        <v>634.55807203420295</v>
      </c>
      <c r="I1002" s="10">
        <v>4240240.4595485004</v>
      </c>
      <c r="J1002" s="34">
        <f t="shared" si="60"/>
        <v>1.4965143559376597E-4</v>
      </c>
      <c r="K1002" s="34">
        <f t="shared" si="61"/>
        <v>1.4964023837626961E-4</v>
      </c>
      <c r="L1002" s="34">
        <f t="shared" si="62"/>
        <v>1</v>
      </c>
      <c r="M1002" s="34">
        <f t="shared" si="63"/>
        <v>0.99985035976162373</v>
      </c>
    </row>
    <row r="1003" spans="1:13" ht="69">
      <c r="A1003" t="s">
        <v>164</v>
      </c>
      <c r="B1003" t="s">
        <v>115</v>
      </c>
      <c r="C1003" s="14" t="s">
        <v>291</v>
      </c>
      <c r="D1003" t="s">
        <v>366</v>
      </c>
      <c r="E1003" t="s">
        <v>383</v>
      </c>
      <c r="F1003" s="20">
        <v>2050</v>
      </c>
      <c r="G1003" s="20">
        <v>31</v>
      </c>
      <c r="H1003" s="11">
        <v>900.71190763771006</v>
      </c>
      <c r="I1003" s="10">
        <v>4231675.4962205999</v>
      </c>
      <c r="J1003" s="34">
        <f t="shared" si="60"/>
        <v>2.128499476016427E-4</v>
      </c>
      <c r="K1003" s="34">
        <f t="shared" si="61"/>
        <v>2.1282729665861311E-4</v>
      </c>
      <c r="L1003" s="34">
        <f t="shared" si="62"/>
        <v>0.99985035976162373</v>
      </c>
      <c r="M1003" s="34">
        <f t="shared" si="63"/>
        <v>0.99963756431249251</v>
      </c>
    </row>
    <row r="1004" spans="1:13" ht="69">
      <c r="A1004" t="s">
        <v>164</v>
      </c>
      <c r="B1004" t="s">
        <v>115</v>
      </c>
      <c r="C1004" s="14" t="s">
        <v>291</v>
      </c>
      <c r="D1004" t="s">
        <v>366</v>
      </c>
      <c r="E1004" t="s">
        <v>383</v>
      </c>
      <c r="F1004" s="20">
        <v>2050</v>
      </c>
      <c r="G1004" s="20">
        <v>32</v>
      </c>
      <c r="H1004" s="11">
        <v>933.41881838792006</v>
      </c>
      <c r="I1004" s="10">
        <v>4267227.2234394699</v>
      </c>
      <c r="J1004" s="34">
        <f t="shared" si="60"/>
        <v>2.1874129722006366E-4</v>
      </c>
      <c r="K1004" s="34">
        <f t="shared" si="61"/>
        <v>2.1871737508682987E-4</v>
      </c>
      <c r="L1004" s="34">
        <f t="shared" si="62"/>
        <v>0.99963756431249251</v>
      </c>
      <c r="M1004" s="34">
        <f t="shared" si="63"/>
        <v>0.9994189262083879</v>
      </c>
    </row>
    <row r="1005" spans="1:13" ht="69">
      <c r="A1005" t="s">
        <v>164</v>
      </c>
      <c r="B1005" t="s">
        <v>115</v>
      </c>
      <c r="C1005" s="14" t="s">
        <v>291</v>
      </c>
      <c r="D1005" t="s">
        <v>366</v>
      </c>
      <c r="E1005" t="s">
        <v>383</v>
      </c>
      <c r="F1005" s="20">
        <v>2050</v>
      </c>
      <c r="G1005" s="20">
        <v>33</v>
      </c>
      <c r="H1005" s="11">
        <v>988.46615973183395</v>
      </c>
      <c r="I1005" s="10">
        <v>4332737.1031545596</v>
      </c>
      <c r="J1005" s="34">
        <f t="shared" si="60"/>
        <v>2.2813896532336477E-4</v>
      </c>
      <c r="K1005" s="34">
        <f t="shared" si="61"/>
        <v>2.2811294360847167E-4</v>
      </c>
      <c r="L1005" s="34">
        <f t="shared" si="62"/>
        <v>0.9994189262083879</v>
      </c>
      <c r="M1005" s="34">
        <f t="shared" si="63"/>
        <v>0.99919094581523249</v>
      </c>
    </row>
    <row r="1006" spans="1:13" ht="69">
      <c r="A1006" t="s">
        <v>164</v>
      </c>
      <c r="B1006" t="s">
        <v>115</v>
      </c>
      <c r="C1006" s="14" t="s">
        <v>291</v>
      </c>
      <c r="D1006" t="s">
        <v>366</v>
      </c>
      <c r="E1006" t="s">
        <v>383</v>
      </c>
      <c r="F1006" s="20">
        <v>2050</v>
      </c>
      <c r="G1006" s="20">
        <v>34</v>
      </c>
      <c r="H1006" s="11">
        <v>1106.20666709549</v>
      </c>
      <c r="I1006" s="10">
        <v>4568403.7697611405</v>
      </c>
      <c r="J1006" s="34">
        <f t="shared" si="60"/>
        <v>2.4214292843763419E-4</v>
      </c>
      <c r="K1006" s="34">
        <f t="shared" si="61"/>
        <v>2.4211361420489741E-4</v>
      </c>
      <c r="L1006" s="34">
        <f t="shared" si="62"/>
        <v>0.99919094581523249</v>
      </c>
      <c r="M1006" s="34">
        <f t="shared" si="63"/>
        <v>0.99894902808406039</v>
      </c>
    </row>
    <row r="1007" spans="1:13" ht="69">
      <c r="A1007" t="s">
        <v>164</v>
      </c>
      <c r="B1007" t="s">
        <v>115</v>
      </c>
      <c r="C1007" s="14" t="s">
        <v>291</v>
      </c>
      <c r="D1007" t="s">
        <v>366</v>
      </c>
      <c r="E1007" t="s">
        <v>383</v>
      </c>
      <c r="F1007" s="20">
        <v>2050</v>
      </c>
      <c r="G1007" s="20">
        <v>35</v>
      </c>
      <c r="H1007" s="11">
        <v>1200.9835737046301</v>
      </c>
      <c r="I1007" s="10">
        <v>4630990.5944718895</v>
      </c>
      <c r="J1007" s="34">
        <f t="shared" si="60"/>
        <v>2.5933621526639882E-4</v>
      </c>
      <c r="K1007" s="34">
        <f t="shared" si="61"/>
        <v>2.5930259053685845E-4</v>
      </c>
      <c r="L1007" s="34">
        <f t="shared" si="62"/>
        <v>0.99894902808406039</v>
      </c>
      <c r="M1007" s="34">
        <f t="shared" si="63"/>
        <v>0.99868999801326386</v>
      </c>
    </row>
    <row r="1008" spans="1:13" ht="69">
      <c r="A1008" t="s">
        <v>164</v>
      </c>
      <c r="B1008" t="s">
        <v>115</v>
      </c>
      <c r="C1008" s="14" t="s">
        <v>291</v>
      </c>
      <c r="D1008" t="s">
        <v>366</v>
      </c>
      <c r="E1008" t="s">
        <v>383</v>
      </c>
      <c r="F1008" s="20">
        <v>2050</v>
      </c>
      <c r="G1008" s="20">
        <v>36</v>
      </c>
      <c r="H1008" s="11">
        <v>1525.2004958667001</v>
      </c>
      <c r="I1008" s="10">
        <v>4701391.3054742403</v>
      </c>
      <c r="J1008" s="34">
        <f t="shared" si="60"/>
        <v>3.2441470976703771E-4</v>
      </c>
      <c r="K1008" s="34">
        <f t="shared" si="61"/>
        <v>3.2436209300512608E-4</v>
      </c>
      <c r="L1008" s="34">
        <f t="shared" si="62"/>
        <v>0.99868999801326386</v>
      </c>
      <c r="M1008" s="34">
        <f t="shared" si="63"/>
        <v>0.99836606083524504</v>
      </c>
    </row>
    <row r="1009" spans="1:13" ht="69">
      <c r="A1009" t="s">
        <v>164</v>
      </c>
      <c r="B1009" t="s">
        <v>115</v>
      </c>
      <c r="C1009" s="14" t="s">
        <v>291</v>
      </c>
      <c r="D1009" t="s">
        <v>366</v>
      </c>
      <c r="E1009" t="s">
        <v>383</v>
      </c>
      <c r="F1009" s="20">
        <v>2050</v>
      </c>
      <c r="G1009" s="20">
        <v>37</v>
      </c>
      <c r="H1009" s="11">
        <v>1679.48542656575</v>
      </c>
      <c r="I1009" s="10">
        <v>4790976.37815357</v>
      </c>
      <c r="J1009" s="34">
        <f t="shared" si="60"/>
        <v>3.505518069811522E-4</v>
      </c>
      <c r="K1009" s="34">
        <f t="shared" si="61"/>
        <v>3.5049037087553359E-4</v>
      </c>
      <c r="L1009" s="34">
        <f t="shared" si="62"/>
        <v>0.99836606083524504</v>
      </c>
      <c r="M1009" s="34">
        <f t="shared" si="63"/>
        <v>0.99801614314431331</v>
      </c>
    </row>
    <row r="1010" spans="1:13" ht="69">
      <c r="A1010" t="s">
        <v>164</v>
      </c>
      <c r="B1010" t="s">
        <v>115</v>
      </c>
      <c r="C1010" s="14" t="s">
        <v>291</v>
      </c>
      <c r="D1010" t="s">
        <v>366</v>
      </c>
      <c r="E1010" t="s">
        <v>383</v>
      </c>
      <c r="F1010" s="20">
        <v>2050</v>
      </c>
      <c r="G1010" s="20">
        <v>38</v>
      </c>
      <c r="H1010" s="11">
        <v>1844.55308140447</v>
      </c>
      <c r="I1010" s="10">
        <v>4832575.9050776903</v>
      </c>
      <c r="J1010" s="34">
        <f t="shared" si="60"/>
        <v>3.816914866182151E-4</v>
      </c>
      <c r="K1010" s="34">
        <f t="shared" si="61"/>
        <v>3.8161865168984122E-4</v>
      </c>
      <c r="L1010" s="34">
        <f t="shared" si="62"/>
        <v>0.99801614314431331</v>
      </c>
      <c r="M1010" s="34">
        <f t="shared" si="63"/>
        <v>0.99763528156940184</v>
      </c>
    </row>
    <row r="1011" spans="1:13" ht="69">
      <c r="A1011" t="s">
        <v>164</v>
      </c>
      <c r="B1011" t="s">
        <v>115</v>
      </c>
      <c r="C1011" s="14" t="s">
        <v>291</v>
      </c>
      <c r="D1011" t="s">
        <v>366</v>
      </c>
      <c r="E1011" t="s">
        <v>383</v>
      </c>
      <c r="F1011" s="20">
        <v>2050</v>
      </c>
      <c r="G1011" s="20">
        <v>39</v>
      </c>
      <c r="H1011" s="11">
        <v>1917.7579873981399</v>
      </c>
      <c r="I1011" s="10">
        <v>4751574.2885987898</v>
      </c>
      <c r="J1011" s="34">
        <f t="shared" si="60"/>
        <v>4.0360475726954802E-4</v>
      </c>
      <c r="K1011" s="34">
        <f t="shared" si="61"/>
        <v>4.0352331982607126E-4</v>
      </c>
      <c r="L1011" s="34">
        <f t="shared" si="62"/>
        <v>0.99763528156940184</v>
      </c>
      <c r="M1011" s="34">
        <f t="shared" si="63"/>
        <v>0.99723271246860734</v>
      </c>
    </row>
    <row r="1012" spans="1:13" ht="69">
      <c r="A1012" t="s">
        <v>164</v>
      </c>
      <c r="B1012" t="s">
        <v>115</v>
      </c>
      <c r="C1012" s="14" t="s">
        <v>291</v>
      </c>
      <c r="D1012" t="s">
        <v>366</v>
      </c>
      <c r="E1012" t="s">
        <v>383</v>
      </c>
      <c r="F1012" s="20">
        <v>2050</v>
      </c>
      <c r="G1012" s="20">
        <v>40</v>
      </c>
      <c r="H1012" s="11">
        <v>2034.0845676168301</v>
      </c>
      <c r="I1012" s="10">
        <v>4649039.2520063501</v>
      </c>
      <c r="J1012" s="34">
        <f t="shared" si="60"/>
        <v>4.3752794015214992E-4</v>
      </c>
      <c r="K1012" s="34">
        <f t="shared" si="61"/>
        <v>4.3743223876080428E-4</v>
      </c>
      <c r="L1012" s="34">
        <f t="shared" si="62"/>
        <v>0.99723271246860734</v>
      </c>
      <c r="M1012" s="34">
        <f t="shared" si="63"/>
        <v>0.99679649073062671</v>
      </c>
    </row>
    <row r="1013" spans="1:13" ht="69">
      <c r="A1013" t="s">
        <v>164</v>
      </c>
      <c r="B1013" t="s">
        <v>115</v>
      </c>
      <c r="C1013" s="14" t="s">
        <v>291</v>
      </c>
      <c r="D1013" t="s">
        <v>366</v>
      </c>
      <c r="E1013" t="s">
        <v>383</v>
      </c>
      <c r="F1013" s="20">
        <v>2050</v>
      </c>
      <c r="G1013" s="20">
        <v>41</v>
      </c>
      <c r="H1013" s="11">
        <v>2584.3275414622799</v>
      </c>
      <c r="I1013" s="10">
        <v>4590111.3409879301</v>
      </c>
      <c r="J1013" s="34">
        <f t="shared" si="60"/>
        <v>5.6302066539981903E-4</v>
      </c>
      <c r="K1013" s="34">
        <f t="shared" si="61"/>
        <v>5.6286219900636425E-4</v>
      </c>
      <c r="L1013" s="34">
        <f t="shared" si="62"/>
        <v>0.99679649073062671</v>
      </c>
      <c r="M1013" s="34">
        <f t="shared" si="63"/>
        <v>0.99623543166589223</v>
      </c>
    </row>
    <row r="1014" spans="1:13" ht="69">
      <c r="A1014" t="s">
        <v>164</v>
      </c>
      <c r="B1014" t="s">
        <v>115</v>
      </c>
      <c r="C1014" s="14" t="s">
        <v>291</v>
      </c>
      <c r="D1014" t="s">
        <v>366</v>
      </c>
      <c r="E1014" t="s">
        <v>383</v>
      </c>
      <c r="F1014" s="20">
        <v>2050</v>
      </c>
      <c r="G1014" s="20">
        <v>42</v>
      </c>
      <c r="H1014" s="11">
        <v>2842.11763469075</v>
      </c>
      <c r="I1014" s="10">
        <v>4579195.6085036304</v>
      </c>
      <c r="J1014" s="34">
        <f t="shared" si="60"/>
        <v>6.2065870901275709E-4</v>
      </c>
      <c r="K1014" s="34">
        <f t="shared" si="61"/>
        <v>6.2046614023814062E-4</v>
      </c>
      <c r="L1014" s="34">
        <f t="shared" si="62"/>
        <v>0.99623543166589223</v>
      </c>
      <c r="M1014" s="34">
        <f t="shared" si="63"/>
        <v>0.99561730131283799</v>
      </c>
    </row>
    <row r="1015" spans="1:13" ht="69">
      <c r="A1015" t="s">
        <v>164</v>
      </c>
      <c r="B1015" t="s">
        <v>115</v>
      </c>
      <c r="C1015" s="14" t="s">
        <v>291</v>
      </c>
      <c r="D1015" t="s">
        <v>366</v>
      </c>
      <c r="E1015" t="s">
        <v>383</v>
      </c>
      <c r="F1015" s="20">
        <v>2050</v>
      </c>
      <c r="G1015" s="20">
        <v>43</v>
      </c>
      <c r="H1015" s="11">
        <v>3136.44531082302</v>
      </c>
      <c r="I1015" s="10">
        <v>4548010.5300723501</v>
      </c>
      <c r="J1015" s="34">
        <f t="shared" si="60"/>
        <v>6.8963017787320845E-4</v>
      </c>
      <c r="K1015" s="34">
        <f t="shared" si="61"/>
        <v>6.8939243763621594E-4</v>
      </c>
      <c r="L1015" s="34">
        <f t="shared" si="62"/>
        <v>0.99561730131283799</v>
      </c>
      <c r="M1015" s="34">
        <f t="shared" si="63"/>
        <v>0.99493093027453317</v>
      </c>
    </row>
    <row r="1016" spans="1:13" ht="69">
      <c r="A1016" t="s">
        <v>164</v>
      </c>
      <c r="B1016" t="s">
        <v>115</v>
      </c>
      <c r="C1016" s="14" t="s">
        <v>291</v>
      </c>
      <c r="D1016" t="s">
        <v>366</v>
      </c>
      <c r="E1016" t="s">
        <v>383</v>
      </c>
      <c r="F1016" s="20">
        <v>2050</v>
      </c>
      <c r="G1016" s="20">
        <v>44</v>
      </c>
      <c r="H1016" s="11">
        <v>3239.5769268699501</v>
      </c>
      <c r="I1016" s="10">
        <v>4473281.3890205203</v>
      </c>
      <c r="J1016" s="34">
        <f t="shared" si="60"/>
        <v>7.2420593410943348E-4</v>
      </c>
      <c r="K1016" s="34">
        <f t="shared" si="61"/>
        <v>7.239437602850618E-4</v>
      </c>
      <c r="L1016" s="34">
        <f t="shared" si="62"/>
        <v>0.99493093027453317</v>
      </c>
      <c r="M1016" s="34">
        <f t="shared" si="63"/>
        <v>0.99421065623564631</v>
      </c>
    </row>
    <row r="1017" spans="1:13" ht="69">
      <c r="A1017" t="s">
        <v>164</v>
      </c>
      <c r="B1017" t="s">
        <v>115</v>
      </c>
      <c r="C1017" s="14" t="s">
        <v>291</v>
      </c>
      <c r="D1017" t="s">
        <v>366</v>
      </c>
      <c r="E1017" t="s">
        <v>383</v>
      </c>
      <c r="F1017" s="20">
        <v>2050</v>
      </c>
      <c r="G1017" s="20">
        <v>45</v>
      </c>
      <c r="H1017" s="11">
        <v>3422.5363072889099</v>
      </c>
      <c r="I1017" s="10">
        <v>4375869.2650701404</v>
      </c>
      <c r="J1017" s="34">
        <f t="shared" si="60"/>
        <v>7.8213861063192679E-4</v>
      </c>
      <c r="K1017" s="34">
        <f t="shared" si="61"/>
        <v>7.8183281995758414E-4</v>
      </c>
      <c r="L1017" s="34">
        <f t="shared" si="62"/>
        <v>0.99421065623564631</v>
      </c>
      <c r="M1017" s="34">
        <f t="shared" si="63"/>
        <v>0.99343334971464969</v>
      </c>
    </row>
    <row r="1018" spans="1:13" ht="69">
      <c r="A1018" t="s">
        <v>164</v>
      </c>
      <c r="B1018" t="s">
        <v>115</v>
      </c>
      <c r="C1018" s="14" t="s">
        <v>291</v>
      </c>
      <c r="D1018" t="s">
        <v>366</v>
      </c>
      <c r="E1018" t="s">
        <v>383</v>
      </c>
      <c r="F1018" s="20">
        <v>2050</v>
      </c>
      <c r="G1018" s="20">
        <v>46</v>
      </c>
      <c r="H1018" s="11">
        <v>4162.2036882818802</v>
      </c>
      <c r="I1018" s="10">
        <v>4274398.0500062602</v>
      </c>
      <c r="J1018" s="34">
        <f t="shared" si="60"/>
        <v>9.737520089584975E-4</v>
      </c>
      <c r="K1018" s="34">
        <f t="shared" si="61"/>
        <v>9.7327806631775093E-4</v>
      </c>
      <c r="L1018" s="34">
        <f t="shared" si="62"/>
        <v>0.99343334971464969</v>
      </c>
      <c r="M1018" s="34">
        <f t="shared" si="63"/>
        <v>0.99246646282502382</v>
      </c>
    </row>
    <row r="1019" spans="1:13" ht="69">
      <c r="A1019" t="s">
        <v>164</v>
      </c>
      <c r="B1019" t="s">
        <v>115</v>
      </c>
      <c r="C1019" s="14" t="s">
        <v>291</v>
      </c>
      <c r="D1019" t="s">
        <v>366</v>
      </c>
      <c r="E1019" t="s">
        <v>383</v>
      </c>
      <c r="F1019" s="20">
        <v>2050</v>
      </c>
      <c r="G1019" s="20">
        <v>47</v>
      </c>
      <c r="H1019" s="11">
        <v>4558.5350177459904</v>
      </c>
      <c r="I1019" s="10">
        <v>4225417.5046215896</v>
      </c>
      <c r="J1019" s="34">
        <f t="shared" si="60"/>
        <v>1.0788365913569607E-3</v>
      </c>
      <c r="K1019" s="34">
        <f t="shared" si="61"/>
        <v>1.078254856379357E-3</v>
      </c>
      <c r="L1019" s="34">
        <f t="shared" si="62"/>
        <v>0.99246646282502382</v>
      </c>
      <c r="M1019" s="34">
        <f t="shared" si="63"/>
        <v>0.99139633104168912</v>
      </c>
    </row>
    <row r="1020" spans="1:13" ht="69">
      <c r="A1020" t="s">
        <v>164</v>
      </c>
      <c r="B1020" t="s">
        <v>115</v>
      </c>
      <c r="C1020" s="14" t="s">
        <v>291</v>
      </c>
      <c r="D1020" t="s">
        <v>366</v>
      </c>
      <c r="E1020" t="s">
        <v>383</v>
      </c>
      <c r="F1020" s="20">
        <v>2050</v>
      </c>
      <c r="G1020" s="20">
        <v>48</v>
      </c>
      <c r="H1020" s="11">
        <v>5051.2465758841399</v>
      </c>
      <c r="I1020" s="10">
        <v>4197839.7509564999</v>
      </c>
      <c r="J1020" s="34">
        <f t="shared" si="60"/>
        <v>1.2032966657989236E-3</v>
      </c>
      <c r="K1020" s="34">
        <f t="shared" si="61"/>
        <v>1.2025729946587571E-3</v>
      </c>
      <c r="L1020" s="34">
        <f t="shared" si="62"/>
        <v>0.99139633104168912</v>
      </c>
      <c r="M1020" s="34">
        <f t="shared" si="63"/>
        <v>0.99020410458697461</v>
      </c>
    </row>
    <row r="1021" spans="1:13" ht="69">
      <c r="A1021" t="s">
        <v>164</v>
      </c>
      <c r="B1021" t="s">
        <v>115</v>
      </c>
      <c r="C1021" s="14" t="s">
        <v>291</v>
      </c>
      <c r="D1021" t="s">
        <v>366</v>
      </c>
      <c r="E1021" t="s">
        <v>383</v>
      </c>
      <c r="F1021" s="20">
        <v>2050</v>
      </c>
      <c r="G1021" s="20">
        <v>49</v>
      </c>
      <c r="H1021" s="11">
        <v>5452.2796227477402</v>
      </c>
      <c r="I1021" s="10">
        <v>4169359.0978207299</v>
      </c>
      <c r="J1021" s="34">
        <f t="shared" si="60"/>
        <v>1.307702093973526E-3</v>
      </c>
      <c r="K1021" s="34">
        <f t="shared" si="61"/>
        <v>1.3068474241819672E-3</v>
      </c>
      <c r="L1021" s="34">
        <f t="shared" si="62"/>
        <v>0.99020410458697461</v>
      </c>
      <c r="M1021" s="34">
        <f t="shared" si="63"/>
        <v>0.98891005890348072</v>
      </c>
    </row>
    <row r="1022" spans="1:13" ht="69">
      <c r="A1022" t="s">
        <v>164</v>
      </c>
      <c r="B1022" t="s">
        <v>115</v>
      </c>
      <c r="C1022" s="14" t="s">
        <v>291</v>
      </c>
      <c r="D1022" t="s">
        <v>366</v>
      </c>
      <c r="E1022" t="s">
        <v>383</v>
      </c>
      <c r="F1022" s="20">
        <v>2050</v>
      </c>
      <c r="G1022" s="20">
        <v>50</v>
      </c>
      <c r="H1022" s="11">
        <v>5945.2275775800199</v>
      </c>
      <c r="I1022" s="10">
        <v>4158948.6384242098</v>
      </c>
      <c r="J1022" s="34">
        <f t="shared" si="60"/>
        <v>1.4295025244246864E-3</v>
      </c>
      <c r="K1022" s="34">
        <f t="shared" si="61"/>
        <v>1.4284812723764917E-3</v>
      </c>
      <c r="L1022" s="34">
        <f t="shared" si="62"/>
        <v>0.98891005890348072</v>
      </c>
      <c r="M1022" s="34">
        <f t="shared" si="63"/>
        <v>0.98749741940427238</v>
      </c>
    </row>
    <row r="1023" spans="1:13" ht="69">
      <c r="A1023" t="s">
        <v>164</v>
      </c>
      <c r="B1023" t="s">
        <v>115</v>
      </c>
      <c r="C1023" s="14" t="s">
        <v>291</v>
      </c>
      <c r="D1023" t="s">
        <v>366</v>
      </c>
      <c r="E1023" t="s">
        <v>383</v>
      </c>
      <c r="F1023" s="20">
        <v>2050</v>
      </c>
      <c r="G1023" s="20">
        <v>51</v>
      </c>
      <c r="H1023" s="11">
        <v>6758.5094204147699</v>
      </c>
      <c r="I1023" s="10">
        <v>4184447.1495459098</v>
      </c>
      <c r="J1023" s="34">
        <f t="shared" si="60"/>
        <v>1.6151499060391272E-3</v>
      </c>
      <c r="K1023" s="34">
        <f t="shared" si="61"/>
        <v>1.6138462533888953E-3</v>
      </c>
      <c r="L1023" s="34">
        <f t="shared" si="62"/>
        <v>0.98749741940427238</v>
      </c>
      <c r="M1023" s="34">
        <f t="shared" si="63"/>
        <v>0.98590375039373557</v>
      </c>
    </row>
    <row r="1024" spans="1:13" ht="69">
      <c r="A1024" t="s">
        <v>164</v>
      </c>
      <c r="B1024" t="s">
        <v>115</v>
      </c>
      <c r="C1024" s="14" t="s">
        <v>291</v>
      </c>
      <c r="D1024" t="s">
        <v>366</v>
      </c>
      <c r="E1024" t="s">
        <v>383</v>
      </c>
      <c r="F1024" s="20">
        <v>2050</v>
      </c>
      <c r="G1024" s="20">
        <v>52</v>
      </c>
      <c r="H1024" s="11">
        <v>7421.9873882789097</v>
      </c>
      <c r="I1024" s="10">
        <v>4211272.7366778804</v>
      </c>
      <c r="J1024" s="34">
        <f t="shared" si="60"/>
        <v>1.7624095736278162E-3</v>
      </c>
      <c r="K1024" s="34">
        <f t="shared" si="61"/>
        <v>1.760857441839736E-3</v>
      </c>
      <c r="L1024" s="34">
        <f t="shared" si="62"/>
        <v>0.98590375039373557</v>
      </c>
      <c r="M1024" s="34">
        <f t="shared" si="63"/>
        <v>0.98416771443791706</v>
      </c>
    </row>
    <row r="1025" spans="1:13" ht="69">
      <c r="A1025" t="s">
        <v>164</v>
      </c>
      <c r="B1025" t="s">
        <v>115</v>
      </c>
      <c r="C1025" s="14" t="s">
        <v>291</v>
      </c>
      <c r="D1025" t="s">
        <v>366</v>
      </c>
      <c r="E1025" t="s">
        <v>383</v>
      </c>
      <c r="F1025" s="20">
        <v>2050</v>
      </c>
      <c r="G1025" s="20">
        <v>53</v>
      </c>
      <c r="H1025" s="11">
        <v>8051.9030504754101</v>
      </c>
      <c r="I1025" s="10">
        <v>4192308.8471694002</v>
      </c>
      <c r="J1025" s="34">
        <f t="shared" si="60"/>
        <v>1.920636895803124E-3</v>
      </c>
      <c r="K1025" s="34">
        <f t="shared" si="61"/>
        <v>1.9187936530159488E-3</v>
      </c>
      <c r="L1025" s="34">
        <f t="shared" si="62"/>
        <v>0.98416771443791706</v>
      </c>
      <c r="M1025" s="34">
        <f t="shared" si="63"/>
        <v>0.98227929967395033</v>
      </c>
    </row>
    <row r="1026" spans="1:13" ht="69">
      <c r="A1026" t="s">
        <v>164</v>
      </c>
      <c r="B1026" t="s">
        <v>115</v>
      </c>
      <c r="C1026" s="14" t="s">
        <v>291</v>
      </c>
      <c r="D1026" t="s">
        <v>366</v>
      </c>
      <c r="E1026" t="s">
        <v>383</v>
      </c>
      <c r="F1026" s="20">
        <v>2050</v>
      </c>
      <c r="G1026" s="20">
        <v>54</v>
      </c>
      <c r="H1026" s="11">
        <v>8658.8758427959092</v>
      </c>
      <c r="I1026" s="10">
        <v>4115967.8119719201</v>
      </c>
      <c r="J1026" s="34">
        <f t="shared" ref="J1026:J1089" si="64">IF(I1026&gt;0,H1026/I1026,0)</f>
        <v>2.103727783684374E-3</v>
      </c>
      <c r="K1026" s="34">
        <f t="shared" ref="K1026:K1089" si="65">1-EXP(-J1026)</f>
        <v>2.1015164993090085E-3</v>
      </c>
      <c r="L1026" s="34">
        <f t="shared" ref="L1026:L1089" si="66">IF(G1026=30,1,M1025)</f>
        <v>0.98227929967395033</v>
      </c>
      <c r="M1026" s="34">
        <f t="shared" ref="M1026:M1089" si="67">L1026*(1-K1026)</f>
        <v>0.98021502351875578</v>
      </c>
    </row>
    <row r="1027" spans="1:13" ht="69">
      <c r="A1027" t="s">
        <v>164</v>
      </c>
      <c r="B1027" t="s">
        <v>115</v>
      </c>
      <c r="C1027" s="14" t="s">
        <v>291</v>
      </c>
      <c r="D1027" t="s">
        <v>366</v>
      </c>
      <c r="E1027" t="s">
        <v>383</v>
      </c>
      <c r="F1027" s="20">
        <v>2050</v>
      </c>
      <c r="G1027" s="20">
        <v>55</v>
      </c>
      <c r="H1027" s="11">
        <v>9309.5763414027406</v>
      </c>
      <c r="I1027" s="10">
        <v>4036568.7809866699</v>
      </c>
      <c r="J1027" s="34">
        <f t="shared" si="64"/>
        <v>2.3063093549287113E-3</v>
      </c>
      <c r="K1027" s="34">
        <f t="shared" si="65"/>
        <v>2.3036518668975159E-3</v>
      </c>
      <c r="L1027" s="34">
        <f t="shared" si="66"/>
        <v>0.98021502351875578</v>
      </c>
      <c r="M1027" s="34">
        <f t="shared" si="67"/>
        <v>0.97795694934986577</v>
      </c>
    </row>
    <row r="1028" spans="1:13" ht="69">
      <c r="A1028" t="s">
        <v>164</v>
      </c>
      <c r="B1028" t="s">
        <v>115</v>
      </c>
      <c r="C1028" s="14" t="s">
        <v>291</v>
      </c>
      <c r="D1028" t="s">
        <v>366</v>
      </c>
      <c r="E1028" t="s">
        <v>383</v>
      </c>
      <c r="F1028" s="20">
        <v>2050</v>
      </c>
      <c r="G1028" s="20">
        <v>56</v>
      </c>
      <c r="H1028" s="11">
        <v>9867.4647373594998</v>
      </c>
      <c r="I1028" s="10">
        <v>3964656.44483141</v>
      </c>
      <c r="J1028" s="34">
        <f t="shared" si="64"/>
        <v>2.4888574520053014E-3</v>
      </c>
      <c r="K1028" s="34">
        <f t="shared" si="65"/>
        <v>2.4857628142003207E-3</v>
      </c>
      <c r="L1028" s="34">
        <f t="shared" si="66"/>
        <v>0.97795694934986577</v>
      </c>
      <c r="M1028" s="34">
        <f t="shared" si="67"/>
        <v>0.97552598033128313</v>
      </c>
    </row>
    <row r="1029" spans="1:13" ht="69">
      <c r="A1029" t="s">
        <v>164</v>
      </c>
      <c r="B1029" t="s">
        <v>115</v>
      </c>
      <c r="C1029" s="14" t="s">
        <v>291</v>
      </c>
      <c r="D1029" t="s">
        <v>366</v>
      </c>
      <c r="E1029" t="s">
        <v>383</v>
      </c>
      <c r="F1029" s="20">
        <v>2050</v>
      </c>
      <c r="G1029" s="20">
        <v>57</v>
      </c>
      <c r="H1029" s="11">
        <v>10674.953059854401</v>
      </c>
      <c r="I1029" s="10">
        <v>3893638.7100383202</v>
      </c>
      <c r="J1029" s="34">
        <f t="shared" si="64"/>
        <v>2.7416393391438572E-3</v>
      </c>
      <c r="K1029" s="34">
        <f t="shared" si="65"/>
        <v>2.7378844782861567E-3</v>
      </c>
      <c r="L1029" s="34">
        <f t="shared" si="66"/>
        <v>0.97552598033128313</v>
      </c>
      <c r="M1029" s="34">
        <f t="shared" si="67"/>
        <v>0.97285510289156918</v>
      </c>
    </row>
    <row r="1030" spans="1:13" ht="69">
      <c r="A1030" t="s">
        <v>164</v>
      </c>
      <c r="B1030" t="s">
        <v>115</v>
      </c>
      <c r="C1030" s="14" t="s">
        <v>291</v>
      </c>
      <c r="D1030" t="s">
        <v>366</v>
      </c>
      <c r="E1030" t="s">
        <v>383</v>
      </c>
      <c r="F1030" s="20">
        <v>2050</v>
      </c>
      <c r="G1030" s="20">
        <v>58</v>
      </c>
      <c r="H1030" s="11">
        <v>11629.3441239244</v>
      </c>
      <c r="I1030" s="10">
        <v>3853528.6247343002</v>
      </c>
      <c r="J1030" s="34">
        <f t="shared" si="64"/>
        <v>3.0178429321324274E-3</v>
      </c>
      <c r="K1030" s="34">
        <f t="shared" si="65"/>
        <v>3.0132938214686433E-3</v>
      </c>
      <c r="L1030" s="34">
        <f t="shared" si="66"/>
        <v>0.97285510289156918</v>
      </c>
      <c r="M1030" s="34">
        <f t="shared" si="67"/>
        <v>0.96992360462084182</v>
      </c>
    </row>
    <row r="1031" spans="1:13" ht="69">
      <c r="A1031" t="s">
        <v>164</v>
      </c>
      <c r="B1031" t="s">
        <v>115</v>
      </c>
      <c r="C1031" s="14" t="s">
        <v>291</v>
      </c>
      <c r="D1031" t="s">
        <v>366</v>
      </c>
      <c r="E1031" t="s">
        <v>383</v>
      </c>
      <c r="F1031" s="20">
        <v>2050</v>
      </c>
      <c r="G1031" s="20">
        <v>59</v>
      </c>
      <c r="H1031" s="11">
        <v>12127.4162031988</v>
      </c>
      <c r="I1031" s="10">
        <v>3805932.6848316798</v>
      </c>
      <c r="J1031" s="34">
        <f t="shared" si="64"/>
        <v>3.1864505253947086E-3</v>
      </c>
      <c r="K1031" s="34">
        <f t="shared" si="65"/>
        <v>3.1813791798798174E-3</v>
      </c>
      <c r="L1031" s="34">
        <f t="shared" si="66"/>
        <v>0.96992360462084182</v>
      </c>
      <c r="M1031" s="34">
        <f t="shared" si="67"/>
        <v>0.96683790985902707</v>
      </c>
    </row>
    <row r="1032" spans="1:13" ht="69">
      <c r="A1032" t="s">
        <v>164</v>
      </c>
      <c r="B1032" t="s">
        <v>115</v>
      </c>
      <c r="C1032" s="14" t="s">
        <v>291</v>
      </c>
      <c r="D1032" t="s">
        <v>366</v>
      </c>
      <c r="E1032" t="s">
        <v>383</v>
      </c>
      <c r="F1032" s="20">
        <v>2050</v>
      </c>
      <c r="G1032" s="20">
        <v>60</v>
      </c>
      <c r="H1032" s="11">
        <v>12822.9163465579</v>
      </c>
      <c r="I1032" s="10">
        <v>3759924.8253610102</v>
      </c>
      <c r="J1032" s="34">
        <f t="shared" si="64"/>
        <v>3.4104182775321059E-3</v>
      </c>
      <c r="K1032" s="34">
        <f t="shared" si="65"/>
        <v>3.4046094065545152E-3</v>
      </c>
      <c r="L1032" s="34">
        <f t="shared" si="66"/>
        <v>0.96683790985902707</v>
      </c>
      <c r="M1032" s="34">
        <f t="shared" si="67"/>
        <v>0.96354620441650751</v>
      </c>
    </row>
    <row r="1033" spans="1:13" ht="69">
      <c r="A1033" t="s">
        <v>164</v>
      </c>
      <c r="B1033" t="s">
        <v>115</v>
      </c>
      <c r="C1033" s="14" t="s">
        <v>291</v>
      </c>
      <c r="D1033" t="s">
        <v>366</v>
      </c>
      <c r="E1033" t="s">
        <v>383</v>
      </c>
      <c r="F1033" s="20">
        <v>2050</v>
      </c>
      <c r="G1033" s="20">
        <v>61</v>
      </c>
      <c r="H1033" s="11">
        <v>13556.9263768211</v>
      </c>
      <c r="I1033" s="10">
        <v>3732420.3969098502</v>
      </c>
      <c r="J1033" s="34">
        <f t="shared" si="64"/>
        <v>3.6322077727485272E-3</v>
      </c>
      <c r="K1033" s="34">
        <f t="shared" si="65"/>
        <v>3.625619285428483E-3</v>
      </c>
      <c r="L1033" s="34">
        <f t="shared" si="66"/>
        <v>0.96354620441650751</v>
      </c>
      <c r="M1033" s="34">
        <f t="shared" si="67"/>
        <v>0.9600527527153736</v>
      </c>
    </row>
    <row r="1034" spans="1:13" ht="69">
      <c r="A1034" t="s">
        <v>164</v>
      </c>
      <c r="B1034" t="s">
        <v>115</v>
      </c>
      <c r="C1034" s="14" t="s">
        <v>291</v>
      </c>
      <c r="D1034" t="s">
        <v>366</v>
      </c>
      <c r="E1034" t="s">
        <v>383</v>
      </c>
      <c r="F1034" s="20">
        <v>2050</v>
      </c>
      <c r="G1034" s="20">
        <v>62</v>
      </c>
      <c r="H1034" s="11">
        <v>14513.4532207506</v>
      </c>
      <c r="I1034" s="10">
        <v>3659802.9835878899</v>
      </c>
      <c r="J1034" s="34">
        <f t="shared" si="64"/>
        <v>3.9656378460357251E-3</v>
      </c>
      <c r="K1034" s="34">
        <f t="shared" si="65"/>
        <v>3.9577850881002963E-3</v>
      </c>
      <c r="L1034" s="34">
        <f t="shared" si="66"/>
        <v>0.9600527527153736</v>
      </c>
      <c r="M1034" s="34">
        <f t="shared" si="67"/>
        <v>0.9562530702468871</v>
      </c>
    </row>
    <row r="1035" spans="1:13" ht="69">
      <c r="A1035" t="s">
        <v>164</v>
      </c>
      <c r="B1035" t="s">
        <v>115</v>
      </c>
      <c r="C1035" s="14" t="s">
        <v>291</v>
      </c>
      <c r="D1035" t="s">
        <v>366</v>
      </c>
      <c r="E1035" t="s">
        <v>383</v>
      </c>
      <c r="F1035" s="20">
        <v>2050</v>
      </c>
      <c r="G1035" s="20">
        <v>63</v>
      </c>
      <c r="H1035" s="11">
        <v>15470.776396642899</v>
      </c>
      <c r="I1035" s="10">
        <v>3577420.5775865801</v>
      </c>
      <c r="J1035" s="34">
        <f t="shared" si="64"/>
        <v>4.3245618067864651E-3</v>
      </c>
      <c r="K1035" s="34">
        <f t="shared" si="65"/>
        <v>4.3152243543554958E-3</v>
      </c>
      <c r="L1035" s="34">
        <f t="shared" si="66"/>
        <v>0.9562530702468871</v>
      </c>
      <c r="M1035" s="34">
        <f t="shared" si="67"/>
        <v>0.95212662370923051</v>
      </c>
    </row>
    <row r="1036" spans="1:13" ht="69">
      <c r="A1036" t="s">
        <v>164</v>
      </c>
      <c r="B1036" t="s">
        <v>115</v>
      </c>
      <c r="C1036" s="14" t="s">
        <v>291</v>
      </c>
      <c r="D1036" t="s">
        <v>366</v>
      </c>
      <c r="E1036" t="s">
        <v>383</v>
      </c>
      <c r="F1036" s="20">
        <v>2050</v>
      </c>
      <c r="G1036" s="20">
        <v>64</v>
      </c>
      <c r="H1036" s="11">
        <v>16970.209218456399</v>
      </c>
      <c r="I1036" s="10">
        <v>3546818.7394462801</v>
      </c>
      <c r="J1036" s="34">
        <f t="shared" si="64"/>
        <v>4.7846282725758187E-3</v>
      </c>
      <c r="K1036" s="34">
        <f t="shared" si="65"/>
        <v>4.7732001723911344E-3</v>
      </c>
      <c r="L1036" s="34">
        <f t="shared" si="66"/>
        <v>0.95212662370923051</v>
      </c>
      <c r="M1036" s="34">
        <f t="shared" si="67"/>
        <v>0.9475819327448034</v>
      </c>
    </row>
    <row r="1037" spans="1:13" ht="69">
      <c r="A1037" t="s">
        <v>164</v>
      </c>
      <c r="B1037" t="s">
        <v>115</v>
      </c>
      <c r="C1037" s="14" t="s">
        <v>291</v>
      </c>
      <c r="D1037" t="s">
        <v>366</v>
      </c>
      <c r="E1037" t="s">
        <v>383</v>
      </c>
      <c r="F1037" s="20">
        <v>2050</v>
      </c>
      <c r="G1037" s="20">
        <v>65</v>
      </c>
      <c r="H1037" s="11">
        <v>18726.8982107017</v>
      </c>
      <c r="I1037" s="10">
        <v>3561430.4827910201</v>
      </c>
      <c r="J1037" s="34">
        <f t="shared" si="64"/>
        <v>5.2582517898891613E-3</v>
      </c>
      <c r="K1037" s="34">
        <f t="shared" si="65"/>
        <v>5.2444513832127226E-3</v>
      </c>
      <c r="L1037" s="34">
        <f t="shared" si="66"/>
        <v>0.9475819327448034</v>
      </c>
      <c r="M1037" s="34">
        <f t="shared" si="67"/>
        <v>0.9426123853669125</v>
      </c>
    </row>
    <row r="1038" spans="1:13" ht="69">
      <c r="A1038" t="s">
        <v>164</v>
      </c>
      <c r="B1038" t="s">
        <v>115</v>
      </c>
      <c r="C1038" s="14" t="s">
        <v>291</v>
      </c>
      <c r="D1038" t="s">
        <v>366</v>
      </c>
      <c r="E1038" t="s">
        <v>383</v>
      </c>
      <c r="F1038" s="20">
        <v>2050</v>
      </c>
      <c r="G1038" s="20">
        <v>66</v>
      </c>
      <c r="H1038" s="11">
        <v>19619.754611065</v>
      </c>
      <c r="I1038" s="10">
        <v>3534821.0680519999</v>
      </c>
      <c r="J1038" s="34">
        <f t="shared" si="64"/>
        <v>5.5504236942542683E-3</v>
      </c>
      <c r="K1038" s="34">
        <f t="shared" si="65"/>
        <v>5.5350485519984893E-3</v>
      </c>
      <c r="L1038" s="34">
        <f t="shared" si="66"/>
        <v>0.9426123853669125</v>
      </c>
      <c r="M1038" s="34">
        <f t="shared" si="67"/>
        <v>0.93739498004819155</v>
      </c>
    </row>
    <row r="1039" spans="1:13" ht="69">
      <c r="A1039" t="s">
        <v>164</v>
      </c>
      <c r="B1039" t="s">
        <v>115</v>
      </c>
      <c r="C1039" s="14" t="s">
        <v>291</v>
      </c>
      <c r="D1039" t="s">
        <v>366</v>
      </c>
      <c r="E1039" t="s">
        <v>383</v>
      </c>
      <c r="F1039" s="20">
        <v>2050</v>
      </c>
      <c r="G1039" s="20">
        <v>67</v>
      </c>
      <c r="H1039" s="11">
        <v>20933.968134416598</v>
      </c>
      <c r="I1039" s="10">
        <v>3455229.10963313</v>
      </c>
      <c r="J1039" s="34">
        <f t="shared" si="64"/>
        <v>6.0586338764202323E-3</v>
      </c>
      <c r="K1039" s="34">
        <f t="shared" si="65"/>
        <v>6.0403173638791108E-3</v>
      </c>
      <c r="L1039" s="34">
        <f t="shared" si="66"/>
        <v>0.93739498004819155</v>
      </c>
      <c r="M1039" s="34">
        <f t="shared" si="67"/>
        <v>0.93173281687339338</v>
      </c>
    </row>
    <row r="1040" spans="1:13" ht="69">
      <c r="A1040" t="s">
        <v>164</v>
      </c>
      <c r="B1040" t="s">
        <v>115</v>
      </c>
      <c r="C1040" s="14" t="s">
        <v>291</v>
      </c>
      <c r="D1040" t="s">
        <v>366</v>
      </c>
      <c r="E1040" t="s">
        <v>383</v>
      </c>
      <c r="F1040" s="20">
        <v>2050</v>
      </c>
      <c r="G1040" s="20">
        <v>68</v>
      </c>
      <c r="H1040" s="11">
        <v>22043.382675968402</v>
      </c>
      <c r="I1040" s="10">
        <v>3352129.7169018998</v>
      </c>
      <c r="J1040" s="34">
        <f t="shared" si="64"/>
        <v>6.5759336713083118E-3</v>
      </c>
      <c r="K1040" s="34">
        <f t="shared" si="65"/>
        <v>6.5543595354158324E-3</v>
      </c>
      <c r="L1040" s="34">
        <f t="shared" si="66"/>
        <v>0.93173281687339338</v>
      </c>
      <c r="M1040" s="34">
        <f t="shared" si="67"/>
        <v>0.92562590500065944</v>
      </c>
    </row>
    <row r="1041" spans="1:13" ht="69">
      <c r="A1041" t="s">
        <v>164</v>
      </c>
      <c r="B1041" t="s">
        <v>115</v>
      </c>
      <c r="C1041" s="14" t="s">
        <v>291</v>
      </c>
      <c r="D1041" t="s">
        <v>366</v>
      </c>
      <c r="E1041" t="s">
        <v>383</v>
      </c>
      <c r="F1041" s="20">
        <v>2050</v>
      </c>
      <c r="G1041" s="20">
        <v>69</v>
      </c>
      <c r="H1041" s="11">
        <v>22495.7726320246</v>
      </c>
      <c r="I1041" s="10">
        <v>3241547.9389389399</v>
      </c>
      <c r="J1041" s="34">
        <f t="shared" si="64"/>
        <v>6.9398241382751759E-3</v>
      </c>
      <c r="K1041" s="34">
        <f t="shared" si="65"/>
        <v>6.9157991672240682E-3</v>
      </c>
      <c r="L1041" s="34">
        <f t="shared" si="66"/>
        <v>0.92562590500065944</v>
      </c>
      <c r="M1041" s="34">
        <f t="shared" si="67"/>
        <v>0.91922446213769482</v>
      </c>
    </row>
    <row r="1042" spans="1:13" ht="27.6">
      <c r="A1042" t="s">
        <v>164</v>
      </c>
      <c r="B1042" t="s">
        <v>112</v>
      </c>
      <c r="C1042" s="14" t="s">
        <v>294</v>
      </c>
      <c r="D1042" t="s">
        <v>112</v>
      </c>
      <c r="E1042" t="s">
        <v>383</v>
      </c>
      <c r="F1042" s="20">
        <v>2025</v>
      </c>
      <c r="G1042" s="20">
        <v>30</v>
      </c>
      <c r="H1042" s="11">
        <v>917.59068509722897</v>
      </c>
      <c r="I1042" s="10">
        <v>4325986.8886659499</v>
      </c>
      <c r="J1042" s="34">
        <f t="shared" si="64"/>
        <v>2.1211129592216496E-4</v>
      </c>
      <c r="K1042" s="34">
        <f t="shared" si="65"/>
        <v>2.1208880191170287E-4</v>
      </c>
      <c r="L1042" s="34">
        <f t="shared" si="66"/>
        <v>1</v>
      </c>
      <c r="M1042" s="34">
        <f t="shared" si="67"/>
        <v>0.9997879111980883</v>
      </c>
    </row>
    <row r="1043" spans="1:13" ht="27.6">
      <c r="A1043" t="s">
        <v>164</v>
      </c>
      <c r="B1043" t="s">
        <v>112</v>
      </c>
      <c r="C1043" s="14" t="s">
        <v>294</v>
      </c>
      <c r="D1043" t="s">
        <v>112</v>
      </c>
      <c r="E1043" t="s">
        <v>383</v>
      </c>
      <c r="F1043" s="20">
        <v>2025</v>
      </c>
      <c r="G1043" s="20">
        <v>31</v>
      </c>
      <c r="H1043" s="11">
        <v>1309.8670336812499</v>
      </c>
      <c r="I1043" s="10">
        <v>4272907.5190614397</v>
      </c>
      <c r="J1043" s="34">
        <f t="shared" si="64"/>
        <v>3.0655169292523494E-4</v>
      </c>
      <c r="K1043" s="34">
        <f t="shared" si="65"/>
        <v>3.0650471075599484E-4</v>
      </c>
      <c r="L1043" s="34">
        <f t="shared" si="66"/>
        <v>0.9997879111980883</v>
      </c>
      <c r="M1043" s="34">
        <f t="shared" si="67"/>
        <v>0.99948147149354916</v>
      </c>
    </row>
    <row r="1044" spans="1:13" ht="27.6">
      <c r="A1044" t="s">
        <v>164</v>
      </c>
      <c r="B1044" t="s">
        <v>112</v>
      </c>
      <c r="C1044" s="14" t="s">
        <v>294</v>
      </c>
      <c r="D1044" t="s">
        <v>112</v>
      </c>
      <c r="E1044" t="s">
        <v>383</v>
      </c>
      <c r="F1044" s="20">
        <v>2025</v>
      </c>
      <c r="G1044" s="20">
        <v>32</v>
      </c>
      <c r="H1044" s="11">
        <v>1349.75707427824</v>
      </c>
      <c r="I1044" s="10">
        <v>4222809.0648328802</v>
      </c>
      <c r="J1044" s="34">
        <f t="shared" si="64"/>
        <v>3.1963488132079619E-4</v>
      </c>
      <c r="K1044" s="34">
        <f t="shared" si="65"/>
        <v>3.1958380353436233E-4</v>
      </c>
      <c r="L1044" s="34">
        <f t="shared" si="66"/>
        <v>0.99948147149354916</v>
      </c>
      <c r="M1044" s="34">
        <f t="shared" si="67"/>
        <v>0.99916205340332709</v>
      </c>
    </row>
    <row r="1045" spans="1:13" ht="27.6">
      <c r="A1045" t="s">
        <v>164</v>
      </c>
      <c r="B1045" t="s">
        <v>112</v>
      </c>
      <c r="C1045" s="14" t="s">
        <v>294</v>
      </c>
      <c r="D1045" t="s">
        <v>112</v>
      </c>
      <c r="E1045" t="s">
        <v>383</v>
      </c>
      <c r="F1045" s="20">
        <v>2025</v>
      </c>
      <c r="G1045" s="20">
        <v>33</v>
      </c>
      <c r="H1045" s="11">
        <v>1419.1929988879699</v>
      </c>
      <c r="I1045" s="10">
        <v>4208311.4907758702</v>
      </c>
      <c r="J1045" s="34">
        <f t="shared" si="64"/>
        <v>3.3723573029198912E-4</v>
      </c>
      <c r="K1045" s="34">
        <f t="shared" si="65"/>
        <v>3.3717887271478286E-4</v>
      </c>
      <c r="L1045" s="34">
        <f t="shared" si="66"/>
        <v>0.99916205340332709</v>
      </c>
      <c r="M1045" s="34">
        <f t="shared" si="67"/>
        <v>0.99882515706850117</v>
      </c>
    </row>
    <row r="1046" spans="1:13" ht="27.6">
      <c r="A1046" t="s">
        <v>164</v>
      </c>
      <c r="B1046" t="s">
        <v>112</v>
      </c>
      <c r="C1046" s="14" t="s">
        <v>294</v>
      </c>
      <c r="D1046" t="s">
        <v>112</v>
      </c>
      <c r="E1046" t="s">
        <v>383</v>
      </c>
      <c r="F1046" s="20">
        <v>2025</v>
      </c>
      <c r="G1046" s="20">
        <v>34</v>
      </c>
      <c r="H1046" s="11">
        <v>1510.9798592869299</v>
      </c>
      <c r="I1046" s="10">
        <v>4188390.2319187401</v>
      </c>
      <c r="J1046" s="34">
        <f t="shared" si="64"/>
        <v>3.6075431743969478E-4</v>
      </c>
      <c r="K1046" s="34">
        <f t="shared" si="65"/>
        <v>3.6068925342525038E-4</v>
      </c>
      <c r="L1046" s="34">
        <f t="shared" si="66"/>
        <v>0.99882515706850117</v>
      </c>
      <c r="M1046" s="34">
        <f t="shared" si="67"/>
        <v>0.99846489156829576</v>
      </c>
    </row>
    <row r="1047" spans="1:13" ht="27.6">
      <c r="A1047" t="s">
        <v>164</v>
      </c>
      <c r="B1047" t="s">
        <v>112</v>
      </c>
      <c r="C1047" s="14" t="s">
        <v>294</v>
      </c>
      <c r="D1047" t="s">
        <v>112</v>
      </c>
      <c r="E1047" t="s">
        <v>383</v>
      </c>
      <c r="F1047" s="20">
        <v>2025</v>
      </c>
      <c r="G1047" s="20">
        <v>35</v>
      </c>
      <c r="H1047" s="11">
        <v>1631.10903285003</v>
      </c>
      <c r="I1047" s="10">
        <v>4172291.59254628</v>
      </c>
      <c r="J1047" s="34">
        <f t="shared" si="64"/>
        <v>3.9093840798758536E-4</v>
      </c>
      <c r="K1047" s="34">
        <f t="shared" si="65"/>
        <v>3.9086200152527173E-4</v>
      </c>
      <c r="L1047" s="34">
        <f t="shared" si="66"/>
        <v>0.99846489156829576</v>
      </c>
      <c r="M1047" s="34">
        <f t="shared" si="67"/>
        <v>0.99807462958232462</v>
      </c>
    </row>
    <row r="1048" spans="1:13" ht="27.6">
      <c r="A1048" t="s">
        <v>164</v>
      </c>
      <c r="B1048" t="s">
        <v>112</v>
      </c>
      <c r="C1048" s="14" t="s">
        <v>294</v>
      </c>
      <c r="D1048" t="s">
        <v>112</v>
      </c>
      <c r="E1048" t="s">
        <v>383</v>
      </c>
      <c r="F1048" s="20">
        <v>2025</v>
      </c>
      <c r="G1048" s="20">
        <v>36</v>
      </c>
      <c r="H1048" s="11">
        <v>2229.7429922383799</v>
      </c>
      <c r="I1048" s="10">
        <v>4179862.94602308</v>
      </c>
      <c r="J1048" s="34">
        <f t="shared" si="64"/>
        <v>5.334488285937373E-4</v>
      </c>
      <c r="K1048" s="34">
        <f t="shared" si="65"/>
        <v>5.3330657006434024E-4</v>
      </c>
      <c r="L1048" s="34">
        <f t="shared" si="66"/>
        <v>0.99807462958232462</v>
      </c>
      <c r="M1048" s="34">
        <f t="shared" si="67"/>
        <v>0.99754234982495382</v>
      </c>
    </row>
    <row r="1049" spans="1:13" ht="27.6">
      <c r="A1049" t="s">
        <v>164</v>
      </c>
      <c r="B1049" t="s">
        <v>112</v>
      </c>
      <c r="C1049" s="14" t="s">
        <v>294</v>
      </c>
      <c r="D1049" t="s">
        <v>112</v>
      </c>
      <c r="E1049" t="s">
        <v>383</v>
      </c>
      <c r="F1049" s="20">
        <v>2025</v>
      </c>
      <c r="G1049" s="20">
        <v>37</v>
      </c>
      <c r="H1049" s="11">
        <v>2512.8458217985799</v>
      </c>
      <c r="I1049" s="10">
        <v>4141888.9709310699</v>
      </c>
      <c r="J1049" s="34">
        <f t="shared" si="64"/>
        <v>6.0669077308311056E-4</v>
      </c>
      <c r="K1049" s="34">
        <f t="shared" si="65"/>
        <v>6.0650677344820103E-4</v>
      </c>
      <c r="L1049" s="34">
        <f t="shared" si="66"/>
        <v>0.99754234982495382</v>
      </c>
      <c r="M1049" s="34">
        <f t="shared" si="67"/>
        <v>0.99693733363298354</v>
      </c>
    </row>
    <row r="1050" spans="1:13" ht="27.6">
      <c r="A1050" t="s">
        <v>164</v>
      </c>
      <c r="B1050" t="s">
        <v>112</v>
      </c>
      <c r="C1050" s="14" t="s">
        <v>294</v>
      </c>
      <c r="D1050" t="s">
        <v>112</v>
      </c>
      <c r="E1050" t="s">
        <v>383</v>
      </c>
      <c r="F1050" s="20">
        <v>2025</v>
      </c>
      <c r="G1050" s="20">
        <v>38</v>
      </c>
      <c r="H1050" s="11">
        <v>2815.5381500438002</v>
      </c>
      <c r="I1050" s="10">
        <v>4095336.7609212901</v>
      </c>
      <c r="J1050" s="34">
        <f t="shared" si="64"/>
        <v>6.8749856590802425E-4</v>
      </c>
      <c r="K1050" s="34">
        <f t="shared" si="65"/>
        <v>6.8726229291782293E-4</v>
      </c>
      <c r="L1050" s="34">
        <f t="shared" si="66"/>
        <v>0.99693733363298354</v>
      </c>
      <c r="M1050" s="34">
        <f t="shared" si="67"/>
        <v>0.99625217619517559</v>
      </c>
    </row>
    <row r="1051" spans="1:13" ht="27.6">
      <c r="A1051" t="s">
        <v>164</v>
      </c>
      <c r="B1051" t="s">
        <v>112</v>
      </c>
      <c r="C1051" s="14" t="s">
        <v>294</v>
      </c>
      <c r="D1051" t="s">
        <v>112</v>
      </c>
      <c r="E1051" t="s">
        <v>383</v>
      </c>
      <c r="F1051" s="20">
        <v>2025</v>
      </c>
      <c r="G1051" s="20">
        <v>39</v>
      </c>
      <c r="H1051" s="11">
        <v>3074.2181237702998</v>
      </c>
      <c r="I1051" s="10">
        <v>4111651.3578595598</v>
      </c>
      <c r="J1051" s="34">
        <f t="shared" si="64"/>
        <v>7.4768453261335704E-4</v>
      </c>
      <c r="K1051" s="34">
        <f t="shared" si="65"/>
        <v>7.4740508618342805E-4</v>
      </c>
      <c r="L1051" s="34">
        <f t="shared" si="66"/>
        <v>0.99625217619517559</v>
      </c>
      <c r="M1051" s="34">
        <f t="shared" si="67"/>
        <v>0.99550757225156605</v>
      </c>
    </row>
    <row r="1052" spans="1:13" ht="27.6">
      <c r="A1052" t="s">
        <v>164</v>
      </c>
      <c r="B1052" t="s">
        <v>112</v>
      </c>
      <c r="C1052" s="14" t="s">
        <v>294</v>
      </c>
      <c r="D1052" t="s">
        <v>112</v>
      </c>
      <c r="E1052" t="s">
        <v>383</v>
      </c>
      <c r="F1052" s="20">
        <v>2025</v>
      </c>
      <c r="G1052" s="20">
        <v>40</v>
      </c>
      <c r="H1052" s="11">
        <v>3465.9808665665901</v>
      </c>
      <c r="I1052" s="10">
        <v>4186115.0552511001</v>
      </c>
      <c r="J1052" s="34">
        <f t="shared" si="64"/>
        <v>8.2797076067434711E-4</v>
      </c>
      <c r="K1052" s="34">
        <f t="shared" si="65"/>
        <v>8.2762808746505989E-4</v>
      </c>
      <c r="L1052" s="34">
        <f t="shared" si="66"/>
        <v>0.99550757225156605</v>
      </c>
      <c r="M1052" s="34">
        <f t="shared" si="67"/>
        <v>0.99468366222348648</v>
      </c>
    </row>
    <row r="1053" spans="1:13" ht="27.6">
      <c r="A1053" t="s">
        <v>164</v>
      </c>
      <c r="B1053" t="s">
        <v>112</v>
      </c>
      <c r="C1053" s="14" t="s">
        <v>294</v>
      </c>
      <c r="D1053" t="s">
        <v>112</v>
      </c>
      <c r="E1053" t="s">
        <v>383</v>
      </c>
      <c r="F1053" s="20">
        <v>2025</v>
      </c>
      <c r="G1053" s="20">
        <v>41</v>
      </c>
      <c r="H1053" s="11">
        <v>4701.8657668140104</v>
      </c>
      <c r="I1053" s="10">
        <v>4219085.5376769099</v>
      </c>
      <c r="J1053" s="34">
        <f t="shared" si="64"/>
        <v>1.1144276940644646E-3</v>
      </c>
      <c r="K1053" s="34">
        <f t="shared" si="65"/>
        <v>1.1138069501346326E-3</v>
      </c>
      <c r="L1053" s="34">
        <f t="shared" si="66"/>
        <v>0.99468366222348648</v>
      </c>
      <c r="M1053" s="34">
        <f t="shared" si="67"/>
        <v>0.99357577664731656</v>
      </c>
    </row>
    <row r="1054" spans="1:13" ht="27.6">
      <c r="A1054" t="s">
        <v>164</v>
      </c>
      <c r="B1054" t="s">
        <v>112</v>
      </c>
      <c r="C1054" s="14" t="s">
        <v>294</v>
      </c>
      <c r="D1054" t="s">
        <v>112</v>
      </c>
      <c r="E1054" t="s">
        <v>383</v>
      </c>
      <c r="F1054" s="20">
        <v>2025</v>
      </c>
      <c r="G1054" s="20">
        <v>42</v>
      </c>
      <c r="H1054" s="11">
        <v>5031.61378237189</v>
      </c>
      <c r="I1054" s="10">
        <v>4191595.4753991398</v>
      </c>
      <c r="J1054" s="34">
        <f t="shared" si="64"/>
        <v>1.2004053854678715E-3</v>
      </c>
      <c r="K1054" s="34">
        <f t="shared" si="65"/>
        <v>1.1996851871286518E-3</v>
      </c>
      <c r="L1054" s="34">
        <f t="shared" si="66"/>
        <v>0.99357577664731656</v>
      </c>
      <c r="M1054" s="34">
        <f t="shared" si="67"/>
        <v>0.99238379850578295</v>
      </c>
    </row>
    <row r="1055" spans="1:13" ht="27.6">
      <c r="A1055" t="s">
        <v>164</v>
      </c>
      <c r="B1055" t="s">
        <v>112</v>
      </c>
      <c r="C1055" s="14" t="s">
        <v>294</v>
      </c>
      <c r="D1055" t="s">
        <v>112</v>
      </c>
      <c r="E1055" t="s">
        <v>383</v>
      </c>
      <c r="F1055" s="20">
        <v>2025</v>
      </c>
      <c r="G1055" s="20">
        <v>43</v>
      </c>
      <c r="H1055" s="11">
        <v>5401.9240104237297</v>
      </c>
      <c r="I1055" s="10">
        <v>4139440.4420393198</v>
      </c>
      <c r="J1055" s="34">
        <f t="shared" si="64"/>
        <v>1.3049889438105891E-3</v>
      </c>
      <c r="K1055" s="34">
        <f t="shared" si="65"/>
        <v>1.3041378160165706E-3</v>
      </c>
      <c r="L1055" s="34">
        <f t="shared" si="66"/>
        <v>0.99238379850578295</v>
      </c>
      <c r="M1055" s="34">
        <f t="shared" si="67"/>
        <v>0.99108959326614943</v>
      </c>
    </row>
    <row r="1056" spans="1:13" ht="27.6">
      <c r="A1056" t="s">
        <v>164</v>
      </c>
      <c r="B1056" t="s">
        <v>112</v>
      </c>
      <c r="C1056" s="14" t="s">
        <v>294</v>
      </c>
      <c r="D1056" t="s">
        <v>112</v>
      </c>
      <c r="E1056" t="s">
        <v>383</v>
      </c>
      <c r="F1056" s="20">
        <v>2025</v>
      </c>
      <c r="G1056" s="20">
        <v>44</v>
      </c>
      <c r="H1056" s="11">
        <v>5382.08056177863</v>
      </c>
      <c r="I1056" s="10">
        <v>4079738.5720242099</v>
      </c>
      <c r="J1056" s="34">
        <f t="shared" si="64"/>
        <v>1.3192219223763272E-3</v>
      </c>
      <c r="K1056" s="34">
        <f t="shared" si="65"/>
        <v>1.3183521316604274E-3</v>
      </c>
      <c r="L1056" s="34">
        <f t="shared" si="66"/>
        <v>0.99108959326614943</v>
      </c>
      <c r="M1056" s="34">
        <f t="shared" si="67"/>
        <v>0.98978298818820054</v>
      </c>
    </row>
    <row r="1057" spans="1:13" ht="27.6">
      <c r="A1057" t="s">
        <v>164</v>
      </c>
      <c r="B1057" t="s">
        <v>112</v>
      </c>
      <c r="C1057" s="14" t="s">
        <v>294</v>
      </c>
      <c r="D1057" t="s">
        <v>112</v>
      </c>
      <c r="E1057" t="s">
        <v>383</v>
      </c>
      <c r="F1057" s="20">
        <v>2025</v>
      </c>
      <c r="G1057" s="20">
        <v>45</v>
      </c>
      <c r="H1057" s="11">
        <v>5502.70969436221</v>
      </c>
      <c r="I1057" s="10">
        <v>4025863.72277551</v>
      </c>
      <c r="J1057" s="34">
        <f t="shared" si="64"/>
        <v>1.3668395338947373E-3</v>
      </c>
      <c r="K1057" s="34">
        <f t="shared" si="65"/>
        <v>1.3659058341933816E-3</v>
      </c>
      <c r="L1057" s="34">
        <f t="shared" si="66"/>
        <v>0.98978298818820054</v>
      </c>
      <c r="M1057" s="34">
        <f t="shared" si="67"/>
        <v>0.98843103783004893</v>
      </c>
    </row>
    <row r="1058" spans="1:13" ht="27.6">
      <c r="A1058" t="s">
        <v>164</v>
      </c>
      <c r="B1058" t="s">
        <v>112</v>
      </c>
      <c r="C1058" s="14" t="s">
        <v>294</v>
      </c>
      <c r="D1058" t="s">
        <v>112</v>
      </c>
      <c r="E1058" t="s">
        <v>383</v>
      </c>
      <c r="F1058" s="20">
        <v>2025</v>
      </c>
      <c r="G1058" s="20">
        <v>46</v>
      </c>
      <c r="H1058" s="11">
        <v>6546.4338251416302</v>
      </c>
      <c r="I1058" s="10">
        <v>3958714.5785337202</v>
      </c>
      <c r="J1058" s="34">
        <f t="shared" si="64"/>
        <v>1.6536766405539605E-3</v>
      </c>
      <c r="K1058" s="34">
        <f t="shared" si="65"/>
        <v>1.6523100707301897E-3</v>
      </c>
      <c r="L1058" s="34">
        <f t="shared" si="66"/>
        <v>0.98843103783004893</v>
      </c>
      <c r="M1058" s="34">
        <f t="shared" si="67"/>
        <v>0.98679784327202003</v>
      </c>
    </row>
    <row r="1059" spans="1:13" ht="27.6">
      <c r="A1059" t="s">
        <v>164</v>
      </c>
      <c r="B1059" t="s">
        <v>112</v>
      </c>
      <c r="C1059" s="14" t="s">
        <v>294</v>
      </c>
      <c r="D1059" t="s">
        <v>112</v>
      </c>
      <c r="E1059" t="s">
        <v>383</v>
      </c>
      <c r="F1059" s="20">
        <v>2025</v>
      </c>
      <c r="G1059" s="20">
        <v>47</v>
      </c>
      <c r="H1059" s="11">
        <v>6840.4572084255597</v>
      </c>
      <c r="I1059" s="10">
        <v>3867221.8343678401</v>
      </c>
      <c r="J1059" s="34">
        <f t="shared" si="64"/>
        <v>1.7688297960139498E-3</v>
      </c>
      <c r="K1059" s="34">
        <f t="shared" si="65"/>
        <v>1.7672663385561727E-3</v>
      </c>
      <c r="L1059" s="34">
        <f t="shared" si="66"/>
        <v>0.98679784327202003</v>
      </c>
      <c r="M1059" s="34">
        <f t="shared" si="67"/>
        <v>0.98505390866064557</v>
      </c>
    </row>
    <row r="1060" spans="1:13" ht="27.6">
      <c r="A1060" t="s">
        <v>164</v>
      </c>
      <c r="B1060" t="s">
        <v>112</v>
      </c>
      <c r="C1060" s="14" t="s">
        <v>294</v>
      </c>
      <c r="D1060" t="s">
        <v>112</v>
      </c>
      <c r="E1060" t="s">
        <v>383</v>
      </c>
      <c r="F1060" s="20">
        <v>2025</v>
      </c>
      <c r="G1060" s="20">
        <v>48</v>
      </c>
      <c r="H1060" s="11">
        <v>7181.08740770039</v>
      </c>
      <c r="I1060" s="10">
        <v>3779945.0449384302</v>
      </c>
      <c r="J1060" s="34">
        <f t="shared" si="64"/>
        <v>1.8997861932718548E-3</v>
      </c>
      <c r="K1060" s="34">
        <f t="shared" si="65"/>
        <v>1.897982741720039E-3</v>
      </c>
      <c r="L1060" s="34">
        <f t="shared" si="66"/>
        <v>0.98505390866064557</v>
      </c>
      <c r="M1060" s="34">
        <f t="shared" si="67"/>
        <v>0.98318429334234381</v>
      </c>
    </row>
    <row r="1061" spans="1:13" ht="27.6">
      <c r="A1061" t="s">
        <v>164</v>
      </c>
      <c r="B1061" t="s">
        <v>112</v>
      </c>
      <c r="C1061" s="14" t="s">
        <v>294</v>
      </c>
      <c r="D1061" t="s">
        <v>112</v>
      </c>
      <c r="E1061" t="s">
        <v>383</v>
      </c>
      <c r="F1061" s="20">
        <v>2025</v>
      </c>
      <c r="G1061" s="20">
        <v>49</v>
      </c>
      <c r="H1061" s="11">
        <v>7517.2164470293401</v>
      </c>
      <c r="I1061" s="10">
        <v>3708728.3520107502</v>
      </c>
      <c r="J1061" s="34">
        <f t="shared" si="64"/>
        <v>2.0268986384386319E-3</v>
      </c>
      <c r="K1061" s="34">
        <f t="shared" si="65"/>
        <v>2.0248458665478308E-3</v>
      </c>
      <c r="L1061" s="34">
        <f t="shared" si="66"/>
        <v>0.98318429334234381</v>
      </c>
      <c r="M1061" s="34">
        <f t="shared" si="67"/>
        <v>0.98119349668991485</v>
      </c>
    </row>
    <row r="1062" spans="1:13" ht="27.6">
      <c r="A1062" t="s">
        <v>164</v>
      </c>
      <c r="B1062" t="s">
        <v>112</v>
      </c>
      <c r="C1062" s="14" t="s">
        <v>294</v>
      </c>
      <c r="D1062" t="s">
        <v>112</v>
      </c>
      <c r="E1062" t="s">
        <v>383</v>
      </c>
      <c r="F1062" s="20">
        <v>2025</v>
      </c>
      <c r="G1062" s="20">
        <v>50</v>
      </c>
      <c r="H1062" s="11">
        <v>7886.9055691549302</v>
      </c>
      <c r="I1062" s="10">
        <v>3624871.1799817998</v>
      </c>
      <c r="J1062" s="34">
        <f t="shared" si="64"/>
        <v>2.1757754076089761E-3</v>
      </c>
      <c r="K1062" s="34">
        <f t="shared" si="65"/>
        <v>2.1734101240497017E-3</v>
      </c>
      <c r="L1062" s="34">
        <f t="shared" si="66"/>
        <v>0.98119349668991485</v>
      </c>
      <c r="M1062" s="34">
        <f t="shared" si="67"/>
        <v>0.97906096081055727</v>
      </c>
    </row>
    <row r="1063" spans="1:13" ht="27.6">
      <c r="A1063" t="s">
        <v>164</v>
      </c>
      <c r="B1063" t="s">
        <v>112</v>
      </c>
      <c r="C1063" s="14" t="s">
        <v>294</v>
      </c>
      <c r="D1063" t="s">
        <v>112</v>
      </c>
      <c r="E1063" t="s">
        <v>383</v>
      </c>
      <c r="F1063" s="20">
        <v>2025</v>
      </c>
      <c r="G1063" s="20">
        <v>51</v>
      </c>
      <c r="H1063" s="11">
        <v>8898.9533991590306</v>
      </c>
      <c r="I1063" s="10">
        <v>3557342.5560414898</v>
      </c>
      <c r="J1063" s="34">
        <f t="shared" si="64"/>
        <v>2.5015733680316507E-3</v>
      </c>
      <c r="K1063" s="34">
        <f t="shared" si="65"/>
        <v>2.4984470408294657E-3</v>
      </c>
      <c r="L1063" s="34">
        <f t="shared" si="66"/>
        <v>0.97906096081055727</v>
      </c>
      <c r="M1063" s="34">
        <f t="shared" si="67"/>
        <v>0.97661482885022843</v>
      </c>
    </row>
    <row r="1064" spans="1:13" ht="27.6">
      <c r="A1064" t="s">
        <v>164</v>
      </c>
      <c r="B1064" t="s">
        <v>112</v>
      </c>
      <c r="C1064" s="14" t="s">
        <v>294</v>
      </c>
      <c r="D1064" t="s">
        <v>112</v>
      </c>
      <c r="E1064" t="s">
        <v>383</v>
      </c>
      <c r="F1064" s="20">
        <v>2025</v>
      </c>
      <c r="G1064" s="20">
        <v>52</v>
      </c>
      <c r="H1064" s="11">
        <v>9774.8668806352198</v>
      </c>
      <c r="I1064" s="10">
        <v>3491434.4181458498</v>
      </c>
      <c r="J1064" s="34">
        <f t="shared" si="64"/>
        <v>2.7996707685050059E-3</v>
      </c>
      <c r="K1064" s="34">
        <f t="shared" si="65"/>
        <v>2.7957553451167794E-3</v>
      </c>
      <c r="L1064" s="34">
        <f t="shared" si="66"/>
        <v>0.97661482885022843</v>
      </c>
      <c r="M1064" s="34">
        <f t="shared" si="67"/>
        <v>0.97388445272235014</v>
      </c>
    </row>
    <row r="1065" spans="1:13" ht="27.6">
      <c r="A1065" t="s">
        <v>164</v>
      </c>
      <c r="B1065" t="s">
        <v>112</v>
      </c>
      <c r="C1065" s="14" t="s">
        <v>294</v>
      </c>
      <c r="D1065" t="s">
        <v>112</v>
      </c>
      <c r="E1065" t="s">
        <v>383</v>
      </c>
      <c r="F1065" s="20">
        <v>2025</v>
      </c>
      <c r="G1065" s="20">
        <v>53</v>
      </c>
      <c r="H1065" s="11">
        <v>10509.9629781244</v>
      </c>
      <c r="I1065" s="10">
        <v>3403336.7950920402</v>
      </c>
      <c r="J1065" s="34">
        <f t="shared" si="64"/>
        <v>3.0881348543819825E-3</v>
      </c>
      <c r="K1065" s="34">
        <f t="shared" si="65"/>
        <v>3.0833714705280624E-3</v>
      </c>
      <c r="L1065" s="34">
        <f t="shared" si="66"/>
        <v>0.97388445272235014</v>
      </c>
      <c r="M1065" s="34">
        <f t="shared" si="67"/>
        <v>0.97088160518523525</v>
      </c>
    </row>
    <row r="1066" spans="1:13" ht="27.6">
      <c r="A1066" t="s">
        <v>164</v>
      </c>
      <c r="B1066" t="s">
        <v>112</v>
      </c>
      <c r="C1066" s="14" t="s">
        <v>294</v>
      </c>
      <c r="D1066" t="s">
        <v>112</v>
      </c>
      <c r="E1066" t="s">
        <v>383</v>
      </c>
      <c r="F1066" s="20">
        <v>2025</v>
      </c>
      <c r="G1066" s="20">
        <v>54</v>
      </c>
      <c r="H1066" s="11">
        <v>11305.101406579</v>
      </c>
      <c r="I1066" s="10">
        <v>3326094.6925646001</v>
      </c>
      <c r="J1066" s="34">
        <f t="shared" si="64"/>
        <v>3.3989114717182483E-3</v>
      </c>
      <c r="K1066" s="34">
        <f t="shared" si="65"/>
        <v>3.3931417109417383E-3</v>
      </c>
      <c r="L1066" s="34">
        <f t="shared" si="66"/>
        <v>0.97088160518523525</v>
      </c>
      <c r="M1066" s="34">
        <f t="shared" si="67"/>
        <v>0.96758726631429515</v>
      </c>
    </row>
    <row r="1067" spans="1:13" ht="27.6">
      <c r="A1067" t="s">
        <v>164</v>
      </c>
      <c r="B1067" t="s">
        <v>112</v>
      </c>
      <c r="C1067" s="14" t="s">
        <v>294</v>
      </c>
      <c r="D1067" t="s">
        <v>112</v>
      </c>
      <c r="E1067" t="s">
        <v>383</v>
      </c>
      <c r="F1067" s="20">
        <v>2025</v>
      </c>
      <c r="G1067" s="20">
        <v>55</v>
      </c>
      <c r="H1067" s="11">
        <v>12154.717251423301</v>
      </c>
      <c r="I1067" s="10">
        <v>3246660.0017613098</v>
      </c>
      <c r="J1067" s="34">
        <f t="shared" si="64"/>
        <v>3.7437604322070614E-3</v>
      </c>
      <c r="K1067" s="34">
        <f t="shared" si="65"/>
        <v>3.7367612982047715E-3</v>
      </c>
      <c r="L1067" s="34">
        <f t="shared" si="66"/>
        <v>0.96758726631429515</v>
      </c>
      <c r="M1067" s="34">
        <f t="shared" si="67"/>
        <v>0.96397162366489608</v>
      </c>
    </row>
    <row r="1068" spans="1:13" ht="27.6">
      <c r="A1068" t="s">
        <v>164</v>
      </c>
      <c r="B1068" t="s">
        <v>112</v>
      </c>
      <c r="C1068" s="14" t="s">
        <v>294</v>
      </c>
      <c r="D1068" t="s">
        <v>112</v>
      </c>
      <c r="E1068" t="s">
        <v>383</v>
      </c>
      <c r="F1068" s="20">
        <v>2025</v>
      </c>
      <c r="G1068" s="20">
        <v>56</v>
      </c>
      <c r="H1068" s="11">
        <v>13299.2312306</v>
      </c>
      <c r="I1068" s="10">
        <v>3151194.3645884902</v>
      </c>
      <c r="J1068" s="34">
        <f t="shared" si="64"/>
        <v>4.220377955752256E-3</v>
      </c>
      <c r="K1068" s="34">
        <f t="shared" si="65"/>
        <v>4.2114846761068803E-3</v>
      </c>
      <c r="L1068" s="34">
        <f t="shared" si="66"/>
        <v>0.96397162366489608</v>
      </c>
      <c r="M1068" s="34">
        <f t="shared" si="67"/>
        <v>0.95991187194362948</v>
      </c>
    </row>
    <row r="1069" spans="1:13" ht="27.6">
      <c r="A1069" t="s">
        <v>164</v>
      </c>
      <c r="B1069" t="s">
        <v>112</v>
      </c>
      <c r="C1069" s="14" t="s">
        <v>294</v>
      </c>
      <c r="D1069" t="s">
        <v>112</v>
      </c>
      <c r="E1069" t="s">
        <v>383</v>
      </c>
      <c r="F1069" s="20">
        <v>2025</v>
      </c>
      <c r="G1069" s="20">
        <v>57</v>
      </c>
      <c r="H1069" s="11">
        <v>14351.675078404</v>
      </c>
      <c r="I1069" s="10">
        <v>3049212.3527183598</v>
      </c>
      <c r="J1069" s="34">
        <f t="shared" si="64"/>
        <v>4.7066827161478418E-3</v>
      </c>
      <c r="K1069" s="34">
        <f t="shared" si="65"/>
        <v>4.6956236423728592E-3</v>
      </c>
      <c r="L1069" s="34">
        <f t="shared" si="66"/>
        <v>0.95991187194362948</v>
      </c>
      <c r="M1069" s="34">
        <f t="shared" si="67"/>
        <v>0.95540448706313663</v>
      </c>
    </row>
    <row r="1070" spans="1:13" ht="27.6">
      <c r="A1070" t="s">
        <v>164</v>
      </c>
      <c r="B1070" t="s">
        <v>112</v>
      </c>
      <c r="C1070" s="14" t="s">
        <v>294</v>
      </c>
      <c r="D1070" t="s">
        <v>112</v>
      </c>
      <c r="E1070" t="s">
        <v>383</v>
      </c>
      <c r="F1070" s="20">
        <v>2025</v>
      </c>
      <c r="G1070" s="20">
        <v>58</v>
      </c>
      <c r="H1070" s="11">
        <v>15595.0944384551</v>
      </c>
      <c r="I1070" s="10">
        <v>2949517.4934811001</v>
      </c>
      <c r="J1070" s="34">
        <f t="shared" si="64"/>
        <v>5.2873374960218829E-3</v>
      </c>
      <c r="K1070" s="34">
        <f t="shared" si="65"/>
        <v>5.2733841300069972E-3</v>
      </c>
      <c r="L1070" s="34">
        <f t="shared" si="66"/>
        <v>0.95540448706313663</v>
      </c>
      <c r="M1070" s="34">
        <f t="shared" si="67"/>
        <v>0.95036627220332037</v>
      </c>
    </row>
    <row r="1071" spans="1:13" ht="27.6">
      <c r="A1071" t="s">
        <v>164</v>
      </c>
      <c r="B1071" t="s">
        <v>112</v>
      </c>
      <c r="C1071" s="14" t="s">
        <v>294</v>
      </c>
      <c r="D1071" t="s">
        <v>112</v>
      </c>
      <c r="E1071" t="s">
        <v>383</v>
      </c>
      <c r="F1071" s="20">
        <v>2025</v>
      </c>
      <c r="G1071" s="20">
        <v>59</v>
      </c>
      <c r="H1071" s="11">
        <v>16202.064651662</v>
      </c>
      <c r="I1071" s="10">
        <v>2836556.0141030601</v>
      </c>
      <c r="J1071" s="34">
        <f t="shared" si="64"/>
        <v>5.7118789726368973E-3</v>
      </c>
      <c r="K1071" s="34">
        <f t="shared" si="65"/>
        <v>5.6955972065136917E-3</v>
      </c>
      <c r="L1071" s="34">
        <f t="shared" si="66"/>
        <v>0.95036627220332037</v>
      </c>
      <c r="M1071" s="34">
        <f t="shared" si="67"/>
        <v>0.94495336871819435</v>
      </c>
    </row>
    <row r="1072" spans="1:13" ht="27.6">
      <c r="A1072" t="s">
        <v>164</v>
      </c>
      <c r="B1072" t="s">
        <v>112</v>
      </c>
      <c r="C1072" s="14" t="s">
        <v>294</v>
      </c>
      <c r="D1072" t="s">
        <v>112</v>
      </c>
      <c r="E1072" t="s">
        <v>383</v>
      </c>
      <c r="F1072" s="20">
        <v>2025</v>
      </c>
      <c r="G1072" s="20">
        <v>60</v>
      </c>
      <c r="H1072" s="11">
        <v>16946.805939228201</v>
      </c>
      <c r="I1072" s="10">
        <v>2711118.0986436098</v>
      </c>
      <c r="J1072" s="34">
        <f t="shared" si="64"/>
        <v>6.2508549324010636E-3</v>
      </c>
      <c r="K1072" s="34">
        <f t="shared" si="65"/>
        <v>6.2313589819787962E-3</v>
      </c>
      <c r="L1072" s="34">
        <f t="shared" si="66"/>
        <v>0.94495336871819435</v>
      </c>
      <c r="M1072" s="34">
        <f t="shared" si="67"/>
        <v>0.93906502505648115</v>
      </c>
    </row>
    <row r="1073" spans="1:13" ht="27.6">
      <c r="A1073" t="s">
        <v>164</v>
      </c>
      <c r="B1073" t="s">
        <v>112</v>
      </c>
      <c r="C1073" s="14" t="s">
        <v>294</v>
      </c>
      <c r="D1073" t="s">
        <v>112</v>
      </c>
      <c r="E1073" t="s">
        <v>383</v>
      </c>
      <c r="F1073" s="20">
        <v>2025</v>
      </c>
      <c r="G1073" s="20">
        <v>61</v>
      </c>
      <c r="H1073" s="11">
        <v>18450.210281466902</v>
      </c>
      <c r="I1073" s="10">
        <v>2587587.36436335</v>
      </c>
      <c r="J1073" s="34">
        <f t="shared" si="64"/>
        <v>7.1302753041563071E-3</v>
      </c>
      <c r="K1073" s="34">
        <f t="shared" si="65"/>
        <v>7.1049152018345385E-3</v>
      </c>
      <c r="L1073" s="34">
        <f t="shared" si="66"/>
        <v>0.93906502505648115</v>
      </c>
      <c r="M1073" s="34">
        <f t="shared" si="67"/>
        <v>0.9323930476844462</v>
      </c>
    </row>
    <row r="1074" spans="1:13" ht="27.6">
      <c r="A1074" t="s">
        <v>164</v>
      </c>
      <c r="B1074" t="s">
        <v>112</v>
      </c>
      <c r="C1074" s="14" t="s">
        <v>294</v>
      </c>
      <c r="D1074" t="s">
        <v>112</v>
      </c>
      <c r="E1074" t="s">
        <v>383</v>
      </c>
      <c r="F1074" s="20">
        <v>2025</v>
      </c>
      <c r="G1074" s="20">
        <v>62</v>
      </c>
      <c r="H1074" s="11">
        <v>19677.323731390399</v>
      </c>
      <c r="I1074" s="10">
        <v>2464801.4290322</v>
      </c>
      <c r="J1074" s="34">
        <f t="shared" si="64"/>
        <v>7.9833302186605223E-3</v>
      </c>
      <c r="K1074" s="34">
        <f t="shared" si="65"/>
        <v>7.9515480700027563E-3</v>
      </c>
      <c r="L1074" s="34">
        <f t="shared" si="66"/>
        <v>0.9323930476844462</v>
      </c>
      <c r="M1074" s="34">
        <f t="shared" si="67"/>
        <v>0.92497907954564695</v>
      </c>
    </row>
    <row r="1075" spans="1:13" ht="27.6">
      <c r="A1075" t="s">
        <v>164</v>
      </c>
      <c r="B1075" t="s">
        <v>112</v>
      </c>
      <c r="C1075" s="14" t="s">
        <v>294</v>
      </c>
      <c r="D1075" t="s">
        <v>112</v>
      </c>
      <c r="E1075" t="s">
        <v>383</v>
      </c>
      <c r="F1075" s="20">
        <v>2025</v>
      </c>
      <c r="G1075" s="20">
        <v>63</v>
      </c>
      <c r="H1075" s="11">
        <v>20920.762293209202</v>
      </c>
      <c r="I1075" s="10">
        <v>2342092.6212101402</v>
      </c>
      <c r="J1075" s="34">
        <f t="shared" si="64"/>
        <v>8.9325085198379613E-3</v>
      </c>
      <c r="K1075" s="34">
        <f t="shared" si="65"/>
        <v>8.8927321878579102E-3</v>
      </c>
      <c r="L1075" s="34">
        <f t="shared" si="66"/>
        <v>0.92497907954564695</v>
      </c>
      <c r="M1075" s="34">
        <f t="shared" si="67"/>
        <v>0.9167534883118762</v>
      </c>
    </row>
    <row r="1076" spans="1:13" ht="27.6">
      <c r="A1076" t="s">
        <v>164</v>
      </c>
      <c r="B1076" t="s">
        <v>112</v>
      </c>
      <c r="C1076" s="14" t="s">
        <v>294</v>
      </c>
      <c r="D1076" t="s">
        <v>112</v>
      </c>
      <c r="E1076" t="s">
        <v>383</v>
      </c>
      <c r="F1076" s="20">
        <v>2025</v>
      </c>
      <c r="G1076" s="20">
        <v>64</v>
      </c>
      <c r="H1076" s="11">
        <v>22271.339267920699</v>
      </c>
      <c r="I1076" s="10">
        <v>2218148.70530253</v>
      </c>
      <c r="J1076" s="34">
        <f t="shared" si="64"/>
        <v>1.0040507750756569E-2</v>
      </c>
      <c r="K1076" s="34">
        <f t="shared" si="65"/>
        <v>9.9902701304696029E-3</v>
      </c>
      <c r="L1076" s="34">
        <f t="shared" si="66"/>
        <v>0.9167534883118762</v>
      </c>
      <c r="M1076" s="34">
        <f t="shared" si="67"/>
        <v>0.9075948733205903</v>
      </c>
    </row>
    <row r="1077" spans="1:13" ht="27.6">
      <c r="A1077" t="s">
        <v>164</v>
      </c>
      <c r="B1077" t="s">
        <v>112</v>
      </c>
      <c r="C1077" s="14" t="s">
        <v>294</v>
      </c>
      <c r="D1077" t="s">
        <v>112</v>
      </c>
      <c r="E1077" t="s">
        <v>383</v>
      </c>
      <c r="F1077" s="20">
        <v>2025</v>
      </c>
      <c r="G1077" s="20">
        <v>65</v>
      </c>
      <c r="H1077" s="11">
        <v>23438.241492724101</v>
      </c>
      <c r="I1077" s="10">
        <v>2089504.47083457</v>
      </c>
      <c r="J1077" s="34">
        <f t="shared" si="64"/>
        <v>1.1217129142280621E-2</v>
      </c>
      <c r="K1077" s="34">
        <f t="shared" si="65"/>
        <v>1.1154451721657632E-2</v>
      </c>
      <c r="L1077" s="34">
        <f t="shared" si="66"/>
        <v>0.9075948733205903</v>
      </c>
      <c r="M1077" s="34">
        <f t="shared" si="67"/>
        <v>0.8974711501233118</v>
      </c>
    </row>
    <row r="1078" spans="1:13" ht="27.6">
      <c r="A1078" t="s">
        <v>164</v>
      </c>
      <c r="B1078" t="s">
        <v>112</v>
      </c>
      <c r="C1078" s="14" t="s">
        <v>294</v>
      </c>
      <c r="D1078" t="s">
        <v>112</v>
      </c>
      <c r="E1078" t="s">
        <v>383</v>
      </c>
      <c r="F1078" s="20">
        <v>2025</v>
      </c>
      <c r="G1078" s="20">
        <v>66</v>
      </c>
      <c r="H1078" s="11">
        <v>24126.781892882598</v>
      </c>
      <c r="I1078" s="10">
        <v>1956080.13586195</v>
      </c>
      <c r="J1078" s="34">
        <f t="shared" si="64"/>
        <v>1.2334250243920141E-2</v>
      </c>
      <c r="K1078" s="34">
        <f t="shared" si="65"/>
        <v>1.2258495159973903E-2</v>
      </c>
      <c r="L1078" s="34">
        <f t="shared" si="66"/>
        <v>0.8974711501233118</v>
      </c>
      <c r="M1078" s="34">
        <f t="shared" si="67"/>
        <v>0.88646950437330896</v>
      </c>
    </row>
    <row r="1079" spans="1:13" ht="27.6">
      <c r="A1079" t="s">
        <v>164</v>
      </c>
      <c r="B1079" t="s">
        <v>112</v>
      </c>
      <c r="C1079" s="14" t="s">
        <v>294</v>
      </c>
      <c r="D1079" t="s">
        <v>112</v>
      </c>
      <c r="E1079" t="s">
        <v>383</v>
      </c>
      <c r="F1079" s="20">
        <v>2025</v>
      </c>
      <c r="G1079" s="20">
        <v>67</v>
      </c>
      <c r="H1079" s="11">
        <v>20820.780548218499</v>
      </c>
      <c r="I1079" s="10">
        <v>1821534.82128253</v>
      </c>
      <c r="J1079" s="34">
        <f t="shared" si="64"/>
        <v>1.1430350002070634E-2</v>
      </c>
      <c r="K1079" s="34">
        <f t="shared" si="65"/>
        <v>1.1365271743249306E-2</v>
      </c>
      <c r="L1079" s="34">
        <f t="shared" si="66"/>
        <v>0.88646950437330896</v>
      </c>
      <c r="M1079" s="34">
        <f t="shared" si="67"/>
        <v>0.87639453756400276</v>
      </c>
    </row>
    <row r="1080" spans="1:13" ht="27.6">
      <c r="A1080" t="s">
        <v>164</v>
      </c>
      <c r="B1080" t="s">
        <v>112</v>
      </c>
      <c r="C1080" s="14" t="s">
        <v>294</v>
      </c>
      <c r="D1080" t="s">
        <v>112</v>
      </c>
      <c r="E1080" t="s">
        <v>383</v>
      </c>
      <c r="F1080" s="20">
        <v>2025</v>
      </c>
      <c r="G1080" s="20">
        <v>68</v>
      </c>
      <c r="H1080" s="11">
        <v>20444.7848920998</v>
      </c>
      <c r="I1080" s="10">
        <v>1697547.8816679099</v>
      </c>
      <c r="J1080" s="34">
        <f t="shared" si="64"/>
        <v>1.2043716181962399E-2</v>
      </c>
      <c r="K1080" s="34">
        <f t="shared" si="65"/>
        <v>1.1971480916720401E-2</v>
      </c>
      <c r="L1080" s="34">
        <f t="shared" si="66"/>
        <v>0.87639453756400276</v>
      </c>
      <c r="M1080" s="34">
        <f t="shared" si="67"/>
        <v>0.86590279708203732</v>
      </c>
    </row>
    <row r="1081" spans="1:13" ht="27.6">
      <c r="A1081" t="s">
        <v>164</v>
      </c>
      <c r="B1081" t="s">
        <v>112</v>
      </c>
      <c r="C1081" s="14" t="s">
        <v>294</v>
      </c>
      <c r="D1081" t="s">
        <v>112</v>
      </c>
      <c r="E1081" t="s">
        <v>383</v>
      </c>
      <c r="F1081" s="20">
        <v>2025</v>
      </c>
      <c r="G1081" s="20">
        <v>69</v>
      </c>
      <c r="H1081" s="11">
        <v>20115.647148754299</v>
      </c>
      <c r="I1081" s="10">
        <v>1580975.5137741701</v>
      </c>
      <c r="J1081" s="34">
        <f t="shared" si="64"/>
        <v>1.2723566540719784E-2</v>
      </c>
      <c r="K1081" s="34">
        <f t="shared" si="65"/>
        <v>1.2642964179949923E-2</v>
      </c>
      <c r="L1081" s="34">
        <f t="shared" si="66"/>
        <v>0.86590279708203732</v>
      </c>
      <c r="M1081" s="34">
        <f t="shared" si="67"/>
        <v>0.85495521903521066</v>
      </c>
    </row>
    <row r="1082" spans="1:13" ht="27.6">
      <c r="A1082" t="s">
        <v>164</v>
      </c>
      <c r="B1082" t="s">
        <v>112</v>
      </c>
      <c r="C1082" s="14" t="s">
        <v>294</v>
      </c>
      <c r="D1082" t="s">
        <v>112</v>
      </c>
      <c r="E1082" t="s">
        <v>383</v>
      </c>
      <c r="F1082" s="20">
        <v>2026</v>
      </c>
      <c r="G1082" s="20">
        <v>30</v>
      </c>
      <c r="H1082" s="11">
        <v>921.48052751610999</v>
      </c>
      <c r="I1082" s="10">
        <v>4382720.6847421201</v>
      </c>
      <c r="J1082" s="34">
        <f t="shared" si="64"/>
        <v>2.1025308108822135E-4</v>
      </c>
      <c r="K1082" s="34">
        <f t="shared" si="65"/>
        <v>2.1023097945815916E-4</v>
      </c>
      <c r="L1082" s="34">
        <f t="shared" si="66"/>
        <v>1</v>
      </c>
      <c r="M1082" s="34">
        <f t="shared" si="67"/>
        <v>0.99978976902054184</v>
      </c>
    </row>
    <row r="1083" spans="1:13" ht="27.6">
      <c r="A1083" t="s">
        <v>164</v>
      </c>
      <c r="B1083" t="s">
        <v>112</v>
      </c>
      <c r="C1083" s="14" t="s">
        <v>294</v>
      </c>
      <c r="D1083" t="s">
        <v>112</v>
      </c>
      <c r="E1083" t="s">
        <v>383</v>
      </c>
      <c r="F1083" s="20">
        <v>2026</v>
      </c>
      <c r="G1083" s="20">
        <v>31</v>
      </c>
      <c r="H1083" s="11">
        <v>1300.96056049047</v>
      </c>
      <c r="I1083" s="10">
        <v>4319604.7020792998</v>
      </c>
      <c r="J1083" s="34">
        <f t="shared" si="64"/>
        <v>3.0117583672974407E-4</v>
      </c>
      <c r="K1083" s="34">
        <f t="shared" si="65"/>
        <v>3.0113048784019547E-4</v>
      </c>
      <c r="L1083" s="34">
        <f t="shared" si="66"/>
        <v>0.99978976902054184</v>
      </c>
      <c r="M1083" s="34">
        <f t="shared" si="67"/>
        <v>0.9994887018396591</v>
      </c>
    </row>
    <row r="1084" spans="1:13" ht="27.6">
      <c r="A1084" t="s">
        <v>164</v>
      </c>
      <c r="B1084" t="s">
        <v>112</v>
      </c>
      <c r="C1084" s="14" t="s">
        <v>294</v>
      </c>
      <c r="D1084" t="s">
        <v>112</v>
      </c>
      <c r="E1084" t="s">
        <v>383</v>
      </c>
      <c r="F1084" s="20">
        <v>2026</v>
      </c>
      <c r="G1084" s="20">
        <v>32</v>
      </c>
      <c r="H1084" s="11">
        <v>1324.9831214997801</v>
      </c>
      <c r="I1084" s="10">
        <v>4266455.7837115899</v>
      </c>
      <c r="J1084" s="34">
        <f t="shared" si="64"/>
        <v>3.105582686590309E-4</v>
      </c>
      <c r="K1084" s="34">
        <f t="shared" si="65"/>
        <v>3.1051005043158941E-4</v>
      </c>
      <c r="L1084" s="34">
        <f t="shared" si="66"/>
        <v>0.9994887018396591</v>
      </c>
      <c r="M1084" s="34">
        <f t="shared" si="67"/>
        <v>0.99917835055244508</v>
      </c>
    </row>
    <row r="1085" spans="1:13" ht="27.6">
      <c r="A1085" t="s">
        <v>164</v>
      </c>
      <c r="B1085" t="s">
        <v>112</v>
      </c>
      <c r="C1085" s="14" t="s">
        <v>294</v>
      </c>
      <c r="D1085" t="s">
        <v>112</v>
      </c>
      <c r="E1085" t="s">
        <v>383</v>
      </c>
      <c r="F1085" s="20">
        <v>2026</v>
      </c>
      <c r="G1085" s="20">
        <v>33</v>
      </c>
      <c r="H1085" s="11">
        <v>1385.02669095641</v>
      </c>
      <c r="I1085" s="10">
        <v>4216175.8797302702</v>
      </c>
      <c r="J1085" s="34">
        <f t="shared" si="64"/>
        <v>3.2850306307549416E-4</v>
      </c>
      <c r="K1085" s="34">
        <f t="shared" si="65"/>
        <v>3.2844911185214709E-4</v>
      </c>
      <c r="L1085" s="34">
        <f t="shared" si="66"/>
        <v>0.99917835055244508</v>
      </c>
      <c r="M1085" s="34">
        <f t="shared" si="67"/>
        <v>0.99885017131062426</v>
      </c>
    </row>
    <row r="1086" spans="1:13" ht="27.6">
      <c r="A1086" t="s">
        <v>164</v>
      </c>
      <c r="B1086" t="s">
        <v>112</v>
      </c>
      <c r="C1086" s="14" t="s">
        <v>294</v>
      </c>
      <c r="D1086" t="s">
        <v>112</v>
      </c>
      <c r="E1086" t="s">
        <v>383</v>
      </c>
      <c r="F1086" s="20">
        <v>2026</v>
      </c>
      <c r="G1086" s="20">
        <v>34</v>
      </c>
      <c r="H1086" s="11">
        <v>1461.5957309604501</v>
      </c>
      <c r="I1086" s="10">
        <v>4201385.4768012799</v>
      </c>
      <c r="J1086" s="34">
        <f t="shared" si="64"/>
        <v>3.4788422510405645E-4</v>
      </c>
      <c r="K1086" s="34">
        <f t="shared" si="65"/>
        <v>3.4782372040342846E-4</v>
      </c>
      <c r="L1086" s="34">
        <f t="shared" si="66"/>
        <v>0.99885017131062426</v>
      </c>
      <c r="M1086" s="34">
        <f t="shared" si="67"/>
        <v>0.99850274752791335</v>
      </c>
    </row>
    <row r="1087" spans="1:13" ht="27.6">
      <c r="A1087" t="s">
        <v>164</v>
      </c>
      <c r="B1087" t="s">
        <v>112</v>
      </c>
      <c r="C1087" s="14" t="s">
        <v>294</v>
      </c>
      <c r="D1087" t="s">
        <v>112</v>
      </c>
      <c r="E1087" t="s">
        <v>383</v>
      </c>
      <c r="F1087" s="20">
        <v>2026</v>
      </c>
      <c r="G1087" s="20">
        <v>35</v>
      </c>
      <c r="H1087" s="11">
        <v>1579.5189325982501</v>
      </c>
      <c r="I1087" s="10">
        <v>4181111.1197778201</v>
      </c>
      <c r="J1087" s="34">
        <f t="shared" si="64"/>
        <v>3.7777492330368491E-4</v>
      </c>
      <c r="K1087" s="34">
        <f t="shared" si="65"/>
        <v>3.7770357534216981E-4</v>
      </c>
      <c r="L1087" s="34">
        <f t="shared" si="66"/>
        <v>0.99850274752791335</v>
      </c>
      <c r="M1087" s="34">
        <f t="shared" si="67"/>
        <v>0.99812560947018303</v>
      </c>
    </row>
    <row r="1088" spans="1:13" ht="27.6">
      <c r="A1088" t="s">
        <v>164</v>
      </c>
      <c r="B1088" t="s">
        <v>112</v>
      </c>
      <c r="C1088" s="14" t="s">
        <v>294</v>
      </c>
      <c r="D1088" t="s">
        <v>112</v>
      </c>
      <c r="E1088" t="s">
        <v>383</v>
      </c>
      <c r="F1088" s="20">
        <v>2026</v>
      </c>
      <c r="G1088" s="20">
        <v>36</v>
      </c>
      <c r="H1088" s="11">
        <v>2124.2302620688502</v>
      </c>
      <c r="I1088" s="10">
        <v>4164574.1507378202</v>
      </c>
      <c r="J1088" s="34">
        <f t="shared" si="64"/>
        <v>5.100714227149754E-4</v>
      </c>
      <c r="K1088" s="34">
        <f t="shared" si="65"/>
        <v>5.0994135840176646E-4</v>
      </c>
      <c r="L1088" s="34">
        <f t="shared" si="66"/>
        <v>0.99812560947018303</v>
      </c>
      <c r="M1088" s="34">
        <f t="shared" si="67"/>
        <v>0.99761662394103423</v>
      </c>
    </row>
    <row r="1089" spans="1:13" ht="27.6">
      <c r="A1089" t="s">
        <v>164</v>
      </c>
      <c r="B1089" t="s">
        <v>112</v>
      </c>
      <c r="C1089" s="14" t="s">
        <v>294</v>
      </c>
      <c r="D1089" t="s">
        <v>112</v>
      </c>
      <c r="E1089" t="s">
        <v>383</v>
      </c>
      <c r="F1089" s="20">
        <v>2026</v>
      </c>
      <c r="G1089" s="20">
        <v>37</v>
      </c>
      <c r="H1089" s="11">
        <v>2336.6457340849702</v>
      </c>
      <c r="I1089" s="10">
        <v>4171610.5175144202</v>
      </c>
      <c r="J1089" s="34">
        <f t="shared" si="64"/>
        <v>5.6013036794173659E-4</v>
      </c>
      <c r="K1089" s="34">
        <f t="shared" si="65"/>
        <v>5.5997352421288671E-4</v>
      </c>
      <c r="L1089" s="34">
        <f t="shared" si="66"/>
        <v>0.99761662394103423</v>
      </c>
      <c r="M1089" s="34">
        <f t="shared" si="67"/>
        <v>0.99705798504431264</v>
      </c>
    </row>
    <row r="1090" spans="1:13" ht="27.6">
      <c r="A1090" t="s">
        <v>164</v>
      </c>
      <c r="B1090" t="s">
        <v>112</v>
      </c>
      <c r="C1090" s="14" t="s">
        <v>294</v>
      </c>
      <c r="D1090" t="s">
        <v>112</v>
      </c>
      <c r="E1090" t="s">
        <v>383</v>
      </c>
      <c r="F1090" s="20">
        <v>2026</v>
      </c>
      <c r="G1090" s="20">
        <v>38</v>
      </c>
      <c r="H1090" s="11">
        <v>2640.1515325576502</v>
      </c>
      <c r="I1090" s="10">
        <v>4132993.2030490302</v>
      </c>
      <c r="J1090" s="34">
        <f t="shared" ref="J1090:J1153" si="68">IF(I1090&gt;0,H1090/I1090,0)</f>
        <v>6.3879890501874841E-4</v>
      </c>
      <c r="K1090" s="34">
        <f t="shared" ref="K1090:K1153" si="69">1-EXP(-J1090)</f>
        <v>6.3859491643647459E-4</v>
      </c>
      <c r="L1090" s="34">
        <f t="shared" ref="L1090:L1153" si="70">IF(G1090=30,1,M1089)</f>
        <v>0.99705798504431264</v>
      </c>
      <c r="M1090" s="34">
        <f t="shared" ref="M1090:M1153" si="71">L1090*(1-K1090)</f>
        <v>0.996421268883671</v>
      </c>
    </row>
    <row r="1091" spans="1:13" ht="27.6">
      <c r="A1091" t="s">
        <v>164</v>
      </c>
      <c r="B1091" t="s">
        <v>112</v>
      </c>
      <c r="C1091" s="14" t="s">
        <v>294</v>
      </c>
      <c r="D1091" t="s">
        <v>112</v>
      </c>
      <c r="E1091" t="s">
        <v>383</v>
      </c>
      <c r="F1091" s="20">
        <v>2026</v>
      </c>
      <c r="G1091" s="20">
        <v>39</v>
      </c>
      <c r="H1091" s="11">
        <v>2853.41005891333</v>
      </c>
      <c r="I1091" s="10">
        <v>4085756.02599061</v>
      </c>
      <c r="J1091" s="34">
        <f t="shared" si="68"/>
        <v>6.9837994260107776E-4</v>
      </c>
      <c r="K1091" s="34">
        <f t="shared" si="69"/>
        <v>6.9813613208968839E-4</v>
      </c>
      <c r="L1091" s="34">
        <f t="shared" si="70"/>
        <v>0.996421268883671</v>
      </c>
      <c r="M1091" s="34">
        <f t="shared" si="71"/>
        <v>0.99572563119308066</v>
      </c>
    </row>
    <row r="1092" spans="1:13" ht="27.6">
      <c r="A1092" t="s">
        <v>164</v>
      </c>
      <c r="B1092" t="s">
        <v>112</v>
      </c>
      <c r="C1092" s="14" t="s">
        <v>294</v>
      </c>
      <c r="D1092" t="s">
        <v>112</v>
      </c>
      <c r="E1092" t="s">
        <v>383</v>
      </c>
      <c r="F1092" s="20">
        <v>2026</v>
      </c>
      <c r="G1092" s="20">
        <v>40</v>
      </c>
      <c r="H1092" s="11">
        <v>3183.3124364515802</v>
      </c>
      <c r="I1092" s="10">
        <v>4101297.9342499599</v>
      </c>
      <c r="J1092" s="34">
        <f t="shared" si="68"/>
        <v>7.7617195519197031E-4</v>
      </c>
      <c r="K1092" s="34">
        <f t="shared" si="69"/>
        <v>7.7587081165808591E-4</v>
      </c>
      <c r="L1092" s="34">
        <f t="shared" si="70"/>
        <v>0.99572563119308066</v>
      </c>
      <c r="M1092" s="34">
        <f t="shared" si="71"/>
        <v>0.99495307673941813</v>
      </c>
    </row>
    <row r="1093" spans="1:13" ht="27.6">
      <c r="A1093" t="s">
        <v>164</v>
      </c>
      <c r="B1093" t="s">
        <v>112</v>
      </c>
      <c r="C1093" s="14" t="s">
        <v>294</v>
      </c>
      <c r="D1093" t="s">
        <v>112</v>
      </c>
      <c r="E1093" t="s">
        <v>383</v>
      </c>
      <c r="F1093" s="20">
        <v>2026</v>
      </c>
      <c r="G1093" s="20">
        <v>41</v>
      </c>
      <c r="H1093" s="11">
        <v>4336.28954271152</v>
      </c>
      <c r="I1093" s="10">
        <v>4174690.8931197398</v>
      </c>
      <c r="J1093" s="34">
        <f t="shared" si="68"/>
        <v>1.0387091293053837E-3</v>
      </c>
      <c r="K1093" s="34">
        <f t="shared" si="69"/>
        <v>1.0381698577093257E-3</v>
      </c>
      <c r="L1093" s="34">
        <f t="shared" si="70"/>
        <v>0.99495307673941813</v>
      </c>
      <c r="M1093" s="34">
        <f t="shared" si="71"/>
        <v>0.99392014644531212</v>
      </c>
    </row>
    <row r="1094" spans="1:13" ht="27.6">
      <c r="A1094" t="s">
        <v>164</v>
      </c>
      <c r="B1094" t="s">
        <v>112</v>
      </c>
      <c r="C1094" s="14" t="s">
        <v>294</v>
      </c>
      <c r="D1094" t="s">
        <v>112</v>
      </c>
      <c r="E1094" t="s">
        <v>383</v>
      </c>
      <c r="F1094" s="20">
        <v>2026</v>
      </c>
      <c r="G1094" s="20">
        <v>42</v>
      </c>
      <c r="H1094" s="11">
        <v>4916.91334143314</v>
      </c>
      <c r="I1094" s="10">
        <v>4206485.88342488</v>
      </c>
      <c r="J1094" s="34">
        <f t="shared" si="68"/>
        <v>1.1688885872189916E-3</v>
      </c>
      <c r="K1094" s="34">
        <f t="shared" si="69"/>
        <v>1.1682057030520943E-3</v>
      </c>
      <c r="L1094" s="34">
        <f t="shared" si="70"/>
        <v>0.99392014644531212</v>
      </c>
      <c r="M1094" s="34">
        <f t="shared" si="71"/>
        <v>0.99275904326185638</v>
      </c>
    </row>
    <row r="1095" spans="1:13" ht="27.6">
      <c r="A1095" t="s">
        <v>164</v>
      </c>
      <c r="B1095" t="s">
        <v>112</v>
      </c>
      <c r="C1095" s="14" t="s">
        <v>294</v>
      </c>
      <c r="D1095" t="s">
        <v>112</v>
      </c>
      <c r="E1095" t="s">
        <v>383</v>
      </c>
      <c r="F1095" s="20">
        <v>2026</v>
      </c>
      <c r="G1095" s="20">
        <v>43</v>
      </c>
      <c r="H1095" s="11">
        <v>5319.1745478243502</v>
      </c>
      <c r="I1095" s="10">
        <v>4178078.7273808699</v>
      </c>
      <c r="J1095" s="34">
        <f t="shared" si="68"/>
        <v>1.2731149638146727E-3</v>
      </c>
      <c r="K1095" s="34">
        <f t="shared" si="69"/>
        <v>1.2723048967651085E-3</v>
      </c>
      <c r="L1095" s="34">
        <f t="shared" si="70"/>
        <v>0.99275904326185638</v>
      </c>
      <c r="M1095" s="34">
        <f t="shared" si="71"/>
        <v>0.99149595106980648</v>
      </c>
    </row>
    <row r="1096" spans="1:13" ht="27.6">
      <c r="A1096" t="s">
        <v>164</v>
      </c>
      <c r="B1096" t="s">
        <v>112</v>
      </c>
      <c r="C1096" s="14" t="s">
        <v>294</v>
      </c>
      <c r="D1096" t="s">
        <v>112</v>
      </c>
      <c r="E1096" t="s">
        <v>383</v>
      </c>
      <c r="F1096" s="20">
        <v>2026</v>
      </c>
      <c r="G1096" s="20">
        <v>44</v>
      </c>
      <c r="H1096" s="11">
        <v>5401.1523585121104</v>
      </c>
      <c r="I1096" s="10">
        <v>4124945.1165071502</v>
      </c>
      <c r="J1096" s="34">
        <f t="shared" si="68"/>
        <v>1.3093876902501929E-3</v>
      </c>
      <c r="K1096" s="34">
        <f t="shared" si="69"/>
        <v>1.3085308162227305E-3</v>
      </c>
      <c r="L1096" s="34">
        <f t="shared" si="70"/>
        <v>0.99149595106980648</v>
      </c>
      <c r="M1096" s="34">
        <f t="shared" si="71"/>
        <v>0.99019854806367158</v>
      </c>
    </row>
    <row r="1097" spans="1:13" ht="27.6">
      <c r="A1097" t="s">
        <v>164</v>
      </c>
      <c r="B1097" t="s">
        <v>112</v>
      </c>
      <c r="C1097" s="14" t="s">
        <v>294</v>
      </c>
      <c r="D1097" t="s">
        <v>112</v>
      </c>
      <c r="E1097" t="s">
        <v>383</v>
      </c>
      <c r="F1097" s="20">
        <v>2026</v>
      </c>
      <c r="G1097" s="20">
        <v>45</v>
      </c>
      <c r="H1097" s="11">
        <v>5552.7816034995603</v>
      </c>
      <c r="I1097" s="10">
        <v>4064604.3896963601</v>
      </c>
      <c r="J1097" s="34">
        <f t="shared" si="68"/>
        <v>1.3661308878117834E-3</v>
      </c>
      <c r="K1097" s="34">
        <f t="shared" si="69"/>
        <v>1.3651981558034931E-3</v>
      </c>
      <c r="L1097" s="34">
        <f t="shared" si="70"/>
        <v>0.99019854806367158</v>
      </c>
      <c r="M1097" s="34">
        <f t="shared" si="71"/>
        <v>0.98884673083197572</v>
      </c>
    </row>
    <row r="1098" spans="1:13" ht="27.6">
      <c r="A1098" t="s">
        <v>164</v>
      </c>
      <c r="B1098" t="s">
        <v>112</v>
      </c>
      <c r="C1098" s="14" t="s">
        <v>294</v>
      </c>
      <c r="D1098" t="s">
        <v>112</v>
      </c>
      <c r="E1098" t="s">
        <v>383</v>
      </c>
      <c r="F1098" s="20">
        <v>2026</v>
      </c>
      <c r="G1098" s="20">
        <v>46</v>
      </c>
      <c r="H1098" s="11">
        <v>6613.02806613129</v>
      </c>
      <c r="I1098" s="10">
        <v>4009850.69818926</v>
      </c>
      <c r="J1098" s="34">
        <f t="shared" si="68"/>
        <v>1.6491955845432237E-3</v>
      </c>
      <c r="K1098" s="34">
        <f t="shared" si="69"/>
        <v>1.647836408790071E-3</v>
      </c>
      <c r="L1098" s="34">
        <f t="shared" si="70"/>
        <v>0.98884673083197572</v>
      </c>
      <c r="M1098" s="34">
        <f t="shared" si="71"/>
        <v>0.98721727318619779</v>
      </c>
    </row>
    <row r="1099" spans="1:13" ht="27.6">
      <c r="A1099" t="s">
        <v>164</v>
      </c>
      <c r="B1099" t="s">
        <v>112</v>
      </c>
      <c r="C1099" s="14" t="s">
        <v>294</v>
      </c>
      <c r="D1099" t="s">
        <v>112</v>
      </c>
      <c r="E1099" t="s">
        <v>383</v>
      </c>
      <c r="F1099" s="20">
        <v>2026</v>
      </c>
      <c r="G1099" s="20">
        <v>47</v>
      </c>
      <c r="H1099" s="11">
        <v>6910.5087366875896</v>
      </c>
      <c r="I1099" s="10">
        <v>3941798.6500215302</v>
      </c>
      <c r="J1099" s="34">
        <f t="shared" si="68"/>
        <v>1.7531359032379405E-3</v>
      </c>
      <c r="K1099" s="34">
        <f t="shared" si="69"/>
        <v>1.7516000581364599E-3</v>
      </c>
      <c r="L1099" s="34">
        <f t="shared" si="70"/>
        <v>0.98721727318619779</v>
      </c>
      <c r="M1099" s="34">
        <f t="shared" si="71"/>
        <v>0.98548806335309147</v>
      </c>
    </row>
    <row r="1100" spans="1:13" ht="27.6">
      <c r="A1100" t="s">
        <v>164</v>
      </c>
      <c r="B1100" t="s">
        <v>112</v>
      </c>
      <c r="C1100" s="14" t="s">
        <v>294</v>
      </c>
      <c r="D1100" t="s">
        <v>112</v>
      </c>
      <c r="E1100" t="s">
        <v>383</v>
      </c>
      <c r="F1100" s="20">
        <v>2026</v>
      </c>
      <c r="G1100" s="20">
        <v>48</v>
      </c>
      <c r="H1100" s="11">
        <v>7288.8703097860798</v>
      </c>
      <c r="I1100" s="10">
        <v>3849275.4894583998</v>
      </c>
      <c r="J1100" s="34">
        <f t="shared" si="68"/>
        <v>1.8935694079956946E-3</v>
      </c>
      <c r="K1100" s="34">
        <f t="shared" si="69"/>
        <v>1.891777736507394E-3</v>
      </c>
      <c r="L1100" s="34">
        <f t="shared" si="70"/>
        <v>0.98548806335309147</v>
      </c>
      <c r="M1100" s="34">
        <f t="shared" si="71"/>
        <v>0.98362373897524635</v>
      </c>
    </row>
    <row r="1101" spans="1:13" ht="27.6">
      <c r="A1101" t="s">
        <v>164</v>
      </c>
      <c r="B1101" t="s">
        <v>112</v>
      </c>
      <c r="C1101" s="14" t="s">
        <v>294</v>
      </c>
      <c r="D1101" t="s">
        <v>112</v>
      </c>
      <c r="E1101" t="s">
        <v>383</v>
      </c>
      <c r="F1101" s="20">
        <v>2026</v>
      </c>
      <c r="G1101" s="20">
        <v>49</v>
      </c>
      <c r="H1101" s="11">
        <v>7471.3431581991999</v>
      </c>
      <c r="I1101" s="10">
        <v>3760865.1690847599</v>
      </c>
      <c r="J1101" s="34">
        <f t="shared" si="68"/>
        <v>1.9866022370638239E-3</v>
      </c>
      <c r="K1101" s="34">
        <f t="shared" si="69"/>
        <v>1.984630248907826E-3</v>
      </c>
      <c r="L1101" s="34">
        <f t="shared" si="70"/>
        <v>0.98362373897524635</v>
      </c>
      <c r="M1101" s="34">
        <f t="shared" si="71"/>
        <v>0.9816716095493323</v>
      </c>
    </row>
    <row r="1102" spans="1:13" ht="27.6">
      <c r="A1102" t="s">
        <v>164</v>
      </c>
      <c r="B1102" t="s">
        <v>112</v>
      </c>
      <c r="C1102" s="14" t="s">
        <v>294</v>
      </c>
      <c r="D1102" t="s">
        <v>112</v>
      </c>
      <c r="E1102" t="s">
        <v>383</v>
      </c>
      <c r="F1102" s="20">
        <v>2026</v>
      </c>
      <c r="G1102" s="20">
        <v>50</v>
      </c>
      <c r="H1102" s="11">
        <v>7878.2044796575001</v>
      </c>
      <c r="I1102" s="10">
        <v>3688482.0781312799</v>
      </c>
      <c r="J1102" s="34">
        <f t="shared" si="68"/>
        <v>2.135893387246411E-3</v>
      </c>
      <c r="K1102" s="34">
        <f t="shared" si="69"/>
        <v>2.133613990104144E-3</v>
      </c>
      <c r="L1102" s="34">
        <f t="shared" si="70"/>
        <v>0.9816716095493323</v>
      </c>
      <c r="M1102" s="34">
        <f t="shared" si="71"/>
        <v>0.97957710126950981</v>
      </c>
    </row>
    <row r="1103" spans="1:13" ht="27.6">
      <c r="A1103" t="s">
        <v>164</v>
      </c>
      <c r="B1103" t="s">
        <v>112</v>
      </c>
      <c r="C1103" s="14" t="s">
        <v>294</v>
      </c>
      <c r="D1103" t="s">
        <v>112</v>
      </c>
      <c r="E1103" t="s">
        <v>383</v>
      </c>
      <c r="F1103" s="20">
        <v>2026</v>
      </c>
      <c r="G1103" s="20">
        <v>51</v>
      </c>
      <c r="H1103" s="11">
        <v>8769.0232523594295</v>
      </c>
      <c r="I1103" s="10">
        <v>3603422.4386088802</v>
      </c>
      <c r="J1103" s="34">
        <f t="shared" si="68"/>
        <v>2.4335262938931903E-3</v>
      </c>
      <c r="K1103" s="34">
        <f t="shared" si="69"/>
        <v>2.4305676692318867E-3</v>
      </c>
      <c r="L1103" s="34">
        <f t="shared" si="70"/>
        <v>0.97957710126950981</v>
      </c>
      <c r="M1103" s="34">
        <f t="shared" si="71"/>
        <v>0.97719617283764426</v>
      </c>
    </row>
    <row r="1104" spans="1:13" ht="27.6">
      <c r="A1104" t="s">
        <v>164</v>
      </c>
      <c r="B1104" t="s">
        <v>112</v>
      </c>
      <c r="C1104" s="14" t="s">
        <v>294</v>
      </c>
      <c r="D1104" t="s">
        <v>112</v>
      </c>
      <c r="E1104" t="s">
        <v>383</v>
      </c>
      <c r="F1104" s="20">
        <v>2026</v>
      </c>
      <c r="G1104" s="20">
        <v>52</v>
      </c>
      <c r="H1104" s="11">
        <v>9325.6258642953908</v>
      </c>
      <c r="I1104" s="10">
        <v>3534552.4196641501</v>
      </c>
      <c r="J1104" s="34">
        <f t="shared" si="68"/>
        <v>2.6384177562095695E-3</v>
      </c>
      <c r="K1104" s="34">
        <f t="shared" si="69"/>
        <v>2.6349401911768267E-3</v>
      </c>
      <c r="L1104" s="34">
        <f t="shared" si="70"/>
        <v>0.97719617283764426</v>
      </c>
      <c r="M1104" s="34">
        <f t="shared" si="71"/>
        <v>0.97462131936717022</v>
      </c>
    </row>
    <row r="1105" spans="1:13" ht="27.6">
      <c r="A1105" t="s">
        <v>164</v>
      </c>
      <c r="B1105" t="s">
        <v>112</v>
      </c>
      <c r="C1105" s="14" t="s">
        <v>294</v>
      </c>
      <c r="D1105" t="s">
        <v>112</v>
      </c>
      <c r="E1105" t="s">
        <v>383</v>
      </c>
      <c r="F1105" s="20">
        <v>2026</v>
      </c>
      <c r="G1105" s="20">
        <v>53</v>
      </c>
      <c r="H1105" s="11">
        <v>10195.6565455857</v>
      </c>
      <c r="I1105" s="10">
        <v>3466820.1760089099</v>
      </c>
      <c r="J1105" s="34">
        <f t="shared" si="68"/>
        <v>2.9409245440942351E-3</v>
      </c>
      <c r="K1105" s="34">
        <f t="shared" si="69"/>
        <v>2.9366042617531285E-3</v>
      </c>
      <c r="L1105" s="34">
        <f t="shared" si="70"/>
        <v>0.97462131936717022</v>
      </c>
      <c r="M1105" s="34">
        <f t="shared" si="71"/>
        <v>0.97175924224712118</v>
      </c>
    </row>
    <row r="1106" spans="1:13" ht="27.6">
      <c r="A1106" t="s">
        <v>164</v>
      </c>
      <c r="B1106" t="s">
        <v>112</v>
      </c>
      <c r="C1106" s="14" t="s">
        <v>294</v>
      </c>
      <c r="D1106" t="s">
        <v>112</v>
      </c>
      <c r="E1106" t="s">
        <v>383</v>
      </c>
      <c r="F1106" s="20">
        <v>2026</v>
      </c>
      <c r="G1106" s="20">
        <v>54</v>
      </c>
      <c r="H1106" s="11">
        <v>11026.8717923408</v>
      </c>
      <c r="I1106" s="10">
        <v>3377075.6806735001</v>
      </c>
      <c r="J1106" s="34">
        <f t="shared" si="68"/>
        <v>3.2652131118784044E-3</v>
      </c>
      <c r="K1106" s="34">
        <f t="shared" si="69"/>
        <v>3.2598881008872871E-3</v>
      </c>
      <c r="L1106" s="34">
        <f t="shared" si="70"/>
        <v>0.97175924224712118</v>
      </c>
      <c r="M1106" s="34">
        <f t="shared" si="71"/>
        <v>0.96859141585639252</v>
      </c>
    </row>
    <row r="1107" spans="1:13" ht="27.6">
      <c r="A1107" t="s">
        <v>164</v>
      </c>
      <c r="B1107" t="s">
        <v>112</v>
      </c>
      <c r="C1107" s="14" t="s">
        <v>294</v>
      </c>
      <c r="D1107" t="s">
        <v>112</v>
      </c>
      <c r="E1107" t="s">
        <v>383</v>
      </c>
      <c r="F1107" s="20">
        <v>2026</v>
      </c>
      <c r="G1107" s="20">
        <v>55</v>
      </c>
      <c r="H1107" s="11">
        <v>11865.1193574688</v>
      </c>
      <c r="I1107" s="10">
        <v>3298016.2836388401</v>
      </c>
      <c r="J1107" s="34">
        <f t="shared" si="68"/>
        <v>3.5976533579687225E-3</v>
      </c>
      <c r="K1107" s="34">
        <f t="shared" si="69"/>
        <v>3.5911895569551433E-3</v>
      </c>
      <c r="L1107" s="34">
        <f t="shared" si="70"/>
        <v>0.96859141585639252</v>
      </c>
      <c r="M1107" s="34">
        <f t="shared" si="71"/>
        <v>0.96511302047881264</v>
      </c>
    </row>
    <row r="1108" spans="1:13" ht="27.6">
      <c r="A1108" t="s">
        <v>164</v>
      </c>
      <c r="B1108" t="s">
        <v>112</v>
      </c>
      <c r="C1108" s="14" t="s">
        <v>294</v>
      </c>
      <c r="D1108" t="s">
        <v>112</v>
      </c>
      <c r="E1108" t="s">
        <v>383</v>
      </c>
      <c r="F1108" s="20">
        <v>2026</v>
      </c>
      <c r="G1108" s="20">
        <v>56</v>
      </c>
      <c r="H1108" s="11">
        <v>12942.840178815501</v>
      </c>
      <c r="I1108" s="10">
        <v>3216647.9930529101</v>
      </c>
      <c r="J1108" s="34">
        <f t="shared" si="68"/>
        <v>4.023704243289454E-3</v>
      </c>
      <c r="K1108" s="34">
        <f t="shared" si="69"/>
        <v>4.0156199918843782E-3</v>
      </c>
      <c r="L1108" s="34">
        <f t="shared" si="70"/>
        <v>0.96511302047881264</v>
      </c>
      <c r="M1108" s="34">
        <f t="shared" si="71"/>
        <v>0.96123749333935005</v>
      </c>
    </row>
    <row r="1109" spans="1:13" ht="27.6">
      <c r="A1109" t="s">
        <v>164</v>
      </c>
      <c r="B1109" t="s">
        <v>112</v>
      </c>
      <c r="C1109" s="14" t="s">
        <v>294</v>
      </c>
      <c r="D1109" t="s">
        <v>112</v>
      </c>
      <c r="E1109" t="s">
        <v>383</v>
      </c>
      <c r="F1109" s="20">
        <v>2026</v>
      </c>
      <c r="G1109" s="20">
        <v>57</v>
      </c>
      <c r="H1109" s="11">
        <v>13863.248452355199</v>
      </c>
      <c r="I1109" s="10">
        <v>3119233.31002719</v>
      </c>
      <c r="J1109" s="34">
        <f t="shared" si="68"/>
        <v>4.444441013049567E-3</v>
      </c>
      <c r="K1109" s="34">
        <f t="shared" si="69"/>
        <v>4.4345791007290858E-3</v>
      </c>
      <c r="L1109" s="34">
        <f t="shared" si="70"/>
        <v>0.96123749333935005</v>
      </c>
      <c r="M1109" s="34">
        <f t="shared" si="71"/>
        <v>0.95697480964055015</v>
      </c>
    </row>
    <row r="1110" spans="1:13" ht="27.6">
      <c r="A1110" t="s">
        <v>164</v>
      </c>
      <c r="B1110" t="s">
        <v>112</v>
      </c>
      <c r="C1110" s="14" t="s">
        <v>294</v>
      </c>
      <c r="D1110" t="s">
        <v>112</v>
      </c>
      <c r="E1110" t="s">
        <v>383</v>
      </c>
      <c r="F1110" s="20">
        <v>2026</v>
      </c>
      <c r="G1110" s="20">
        <v>58</v>
      </c>
      <c r="H1110" s="11">
        <v>14966.847894647301</v>
      </c>
      <c r="I1110" s="10">
        <v>3015150.5668734801</v>
      </c>
      <c r="J1110" s="34">
        <f t="shared" si="68"/>
        <v>4.9638807624015182E-3</v>
      </c>
      <c r="K1110" s="34">
        <f t="shared" si="69"/>
        <v>4.9515810661141524E-3</v>
      </c>
      <c r="L1110" s="34">
        <f t="shared" si="70"/>
        <v>0.95697480964055015</v>
      </c>
      <c r="M1110" s="34">
        <f t="shared" si="71"/>
        <v>0.95223627129238586</v>
      </c>
    </row>
    <row r="1111" spans="1:13" ht="27.6">
      <c r="A1111" t="s">
        <v>164</v>
      </c>
      <c r="B1111" t="s">
        <v>112</v>
      </c>
      <c r="C1111" s="14" t="s">
        <v>294</v>
      </c>
      <c r="D1111" t="s">
        <v>112</v>
      </c>
      <c r="E1111" t="s">
        <v>383</v>
      </c>
      <c r="F1111" s="20">
        <v>2026</v>
      </c>
      <c r="G1111" s="20">
        <v>59</v>
      </c>
      <c r="H1111" s="11">
        <v>15515.2303826971</v>
      </c>
      <c r="I1111" s="10">
        <v>2913103.1873548301</v>
      </c>
      <c r="J1111" s="34">
        <f t="shared" si="68"/>
        <v>5.3260146945859864E-3</v>
      </c>
      <c r="K1111" s="34">
        <f t="shared" si="69"/>
        <v>5.3118566248370191E-3</v>
      </c>
      <c r="L1111" s="34">
        <f t="shared" si="70"/>
        <v>0.95223627129238586</v>
      </c>
      <c r="M1111" s="34">
        <f t="shared" si="71"/>
        <v>0.94717812874631135</v>
      </c>
    </row>
    <row r="1112" spans="1:13" ht="27.6">
      <c r="A1112" t="s">
        <v>164</v>
      </c>
      <c r="B1112" t="s">
        <v>112</v>
      </c>
      <c r="C1112" s="14" t="s">
        <v>294</v>
      </c>
      <c r="D1112" t="s">
        <v>112</v>
      </c>
      <c r="E1112" t="s">
        <v>383</v>
      </c>
      <c r="F1112" s="20">
        <v>2026</v>
      </c>
      <c r="G1112" s="20">
        <v>60</v>
      </c>
      <c r="H1112" s="11">
        <v>16287.897511463099</v>
      </c>
      <c r="I1112" s="10">
        <v>2798514.85427916</v>
      </c>
      <c r="J1112" s="34">
        <f t="shared" si="68"/>
        <v>5.8201933381048744E-3</v>
      </c>
      <c r="K1112" s="34">
        <f t="shared" si="69"/>
        <v>5.8032888246043468E-3</v>
      </c>
      <c r="L1112" s="34">
        <f t="shared" si="70"/>
        <v>0.94717812874631135</v>
      </c>
      <c r="M1112" s="34">
        <f t="shared" si="71"/>
        <v>0.94168138049684824</v>
      </c>
    </row>
    <row r="1113" spans="1:13" ht="27.6">
      <c r="A1113" t="s">
        <v>164</v>
      </c>
      <c r="B1113" t="s">
        <v>112</v>
      </c>
      <c r="C1113" s="14" t="s">
        <v>294</v>
      </c>
      <c r="D1113" t="s">
        <v>112</v>
      </c>
      <c r="E1113" t="s">
        <v>383</v>
      </c>
      <c r="F1113" s="20">
        <v>2026</v>
      </c>
      <c r="G1113" s="20">
        <v>61</v>
      </c>
      <c r="H1113" s="11">
        <v>17607.077125897202</v>
      </c>
      <c r="I1113" s="10">
        <v>2671395.75590517</v>
      </c>
      <c r="J1113" s="34">
        <f t="shared" si="68"/>
        <v>6.5909654482966184E-3</v>
      </c>
      <c r="K1113" s="34">
        <f t="shared" si="69"/>
        <v>6.5692926764971959E-3</v>
      </c>
      <c r="L1113" s="34">
        <f t="shared" si="70"/>
        <v>0.94168138049684824</v>
      </c>
      <c r="M1113" s="34">
        <f t="shared" si="71"/>
        <v>0.93549519990035657</v>
      </c>
    </row>
    <row r="1114" spans="1:13" ht="27.6">
      <c r="A1114" t="s">
        <v>164</v>
      </c>
      <c r="B1114" t="s">
        <v>112</v>
      </c>
      <c r="C1114" s="14" t="s">
        <v>294</v>
      </c>
      <c r="D1114" t="s">
        <v>112</v>
      </c>
      <c r="E1114" t="s">
        <v>383</v>
      </c>
      <c r="F1114" s="20">
        <v>2026</v>
      </c>
      <c r="G1114" s="20">
        <v>62</v>
      </c>
      <c r="H1114" s="11">
        <v>18531.333182221799</v>
      </c>
      <c r="I1114" s="10">
        <v>2545899.3032479002</v>
      </c>
      <c r="J1114" s="34">
        <f t="shared" si="68"/>
        <v>7.2788947931211089E-3</v>
      </c>
      <c r="K1114" s="34">
        <f t="shared" si="69"/>
        <v>7.2524677970656759E-3</v>
      </c>
      <c r="L1114" s="34">
        <f t="shared" si="70"/>
        <v>0.93549519990035657</v>
      </c>
      <c r="M1114" s="34">
        <f t="shared" si="71"/>
        <v>0.92871055108876976</v>
      </c>
    </row>
    <row r="1115" spans="1:13" ht="27.6">
      <c r="A1115" t="s">
        <v>164</v>
      </c>
      <c r="B1115" t="s">
        <v>112</v>
      </c>
      <c r="C1115" s="14" t="s">
        <v>294</v>
      </c>
      <c r="D1115" t="s">
        <v>112</v>
      </c>
      <c r="E1115" t="s">
        <v>383</v>
      </c>
      <c r="F1115" s="20">
        <v>2026</v>
      </c>
      <c r="G1115" s="20">
        <v>63</v>
      </c>
      <c r="H1115" s="11">
        <v>19450.8232949009</v>
      </c>
      <c r="I1115" s="10">
        <v>2420908.6322728298</v>
      </c>
      <c r="J1115" s="34">
        <f t="shared" si="68"/>
        <v>8.0345135853556841E-3</v>
      </c>
      <c r="K1115" s="34">
        <f t="shared" si="69"/>
        <v>8.0023231502663883E-3</v>
      </c>
      <c r="L1115" s="34">
        <f t="shared" si="70"/>
        <v>0.92871055108876976</v>
      </c>
      <c r="M1115" s="34">
        <f t="shared" si="71"/>
        <v>0.92127870914589549</v>
      </c>
    </row>
    <row r="1116" spans="1:13" ht="27.6">
      <c r="A1116" t="s">
        <v>164</v>
      </c>
      <c r="B1116" t="s">
        <v>112</v>
      </c>
      <c r="C1116" s="14" t="s">
        <v>294</v>
      </c>
      <c r="D1116" t="s">
        <v>112</v>
      </c>
      <c r="E1116" t="s">
        <v>383</v>
      </c>
      <c r="F1116" s="20">
        <v>2026</v>
      </c>
      <c r="G1116" s="20">
        <v>64</v>
      </c>
      <c r="H1116" s="11">
        <v>20731.0931004794</v>
      </c>
      <c r="I1116" s="10">
        <v>2295992.0445635198</v>
      </c>
      <c r="J1116" s="34">
        <f t="shared" si="68"/>
        <v>9.0292530192196251E-3</v>
      </c>
      <c r="K1116" s="34">
        <f t="shared" si="69"/>
        <v>8.9886117263321408E-3</v>
      </c>
      <c r="L1116" s="34">
        <f t="shared" si="70"/>
        <v>0.92127870914589549</v>
      </c>
      <c r="M1116" s="34">
        <f t="shared" si="71"/>
        <v>0.91299769253764651</v>
      </c>
    </row>
    <row r="1117" spans="1:13" ht="27.6">
      <c r="A1117" t="s">
        <v>164</v>
      </c>
      <c r="B1117" t="s">
        <v>112</v>
      </c>
      <c r="C1117" s="14" t="s">
        <v>294</v>
      </c>
      <c r="D1117" t="s">
        <v>112</v>
      </c>
      <c r="E1117" t="s">
        <v>383</v>
      </c>
      <c r="F1117" s="20">
        <v>2026</v>
      </c>
      <c r="G1117" s="20">
        <v>65</v>
      </c>
      <c r="H1117" s="11">
        <v>21641.603910086498</v>
      </c>
      <c r="I1117" s="10">
        <v>2169761.6213844498</v>
      </c>
      <c r="J1117" s="34">
        <f t="shared" si="68"/>
        <v>9.9741850426305085E-3</v>
      </c>
      <c r="K1117" s="34">
        <f t="shared" si="69"/>
        <v>9.9246078266866933E-3</v>
      </c>
      <c r="L1117" s="34">
        <f t="shared" si="70"/>
        <v>0.91299769253764651</v>
      </c>
      <c r="M1117" s="34">
        <f t="shared" si="71"/>
        <v>0.90393654849254046</v>
      </c>
    </row>
    <row r="1118" spans="1:13" ht="27.6">
      <c r="A1118" t="s">
        <v>164</v>
      </c>
      <c r="B1118" t="s">
        <v>112</v>
      </c>
      <c r="C1118" s="14" t="s">
        <v>294</v>
      </c>
      <c r="D1118" t="s">
        <v>112</v>
      </c>
      <c r="E1118" t="s">
        <v>383</v>
      </c>
      <c r="F1118" s="20">
        <v>2026</v>
      </c>
      <c r="G1118" s="20">
        <v>66</v>
      </c>
      <c r="H1118" s="11">
        <v>22030.844529853301</v>
      </c>
      <c r="I1118" s="10">
        <v>2039116.6076837999</v>
      </c>
      <c r="J1118" s="34">
        <f t="shared" si="68"/>
        <v>1.0804112156625405E-2</v>
      </c>
      <c r="K1118" s="34">
        <f t="shared" si="69"/>
        <v>1.0745957362281566E-2</v>
      </c>
      <c r="L1118" s="34">
        <f t="shared" si="70"/>
        <v>0.90393654849254046</v>
      </c>
      <c r="M1118" s="34">
        <f t="shared" si="71"/>
        <v>0.89422288488423163</v>
      </c>
    </row>
    <row r="1119" spans="1:13" ht="27.6">
      <c r="A1119" t="s">
        <v>164</v>
      </c>
      <c r="B1119" t="s">
        <v>112</v>
      </c>
      <c r="C1119" s="14" t="s">
        <v>294</v>
      </c>
      <c r="D1119" t="s">
        <v>112</v>
      </c>
      <c r="E1119" t="s">
        <v>383</v>
      </c>
      <c r="F1119" s="20">
        <v>2026</v>
      </c>
      <c r="G1119" s="20">
        <v>67</v>
      </c>
      <c r="H1119" s="11">
        <v>22688.9713636956</v>
      </c>
      <c r="I1119" s="10">
        <v>1903872.08389444</v>
      </c>
      <c r="J1119" s="34">
        <f t="shared" si="68"/>
        <v>1.1917277192953258E-2</v>
      </c>
      <c r="K1119" s="34">
        <f t="shared" si="69"/>
        <v>1.1846547691606424E-2</v>
      </c>
      <c r="L1119" s="34">
        <f t="shared" si="70"/>
        <v>0.89422288488423163</v>
      </c>
      <c r="M1119" s="34">
        <f t="shared" si="71"/>
        <v>0.88362943083152468</v>
      </c>
    </row>
    <row r="1120" spans="1:13" ht="27.6">
      <c r="A1120" t="s">
        <v>164</v>
      </c>
      <c r="B1120" t="s">
        <v>112</v>
      </c>
      <c r="C1120" s="14" t="s">
        <v>294</v>
      </c>
      <c r="D1120" t="s">
        <v>112</v>
      </c>
      <c r="E1120" t="s">
        <v>383</v>
      </c>
      <c r="F1120" s="20">
        <v>2026</v>
      </c>
      <c r="G1120" s="20">
        <v>68</v>
      </c>
      <c r="H1120" s="11">
        <v>20983.826135978499</v>
      </c>
      <c r="I1120" s="10">
        <v>1772127.3459622201</v>
      </c>
      <c r="J1120" s="34">
        <f t="shared" si="68"/>
        <v>1.1841037374537447E-2</v>
      </c>
      <c r="K1120" s="34">
        <f t="shared" si="69"/>
        <v>1.1771208179936599E-2</v>
      </c>
      <c r="L1120" s="34">
        <f t="shared" si="70"/>
        <v>0.88362943083152468</v>
      </c>
      <c r="M1120" s="34">
        <f t="shared" si="71"/>
        <v>0.87322804484728789</v>
      </c>
    </row>
    <row r="1121" spans="1:13" ht="27.6">
      <c r="A1121" t="s">
        <v>164</v>
      </c>
      <c r="B1121" t="s">
        <v>112</v>
      </c>
      <c r="C1121" s="14" t="s">
        <v>294</v>
      </c>
      <c r="D1121" t="s">
        <v>112</v>
      </c>
      <c r="E1121" t="s">
        <v>383</v>
      </c>
      <c r="F1121" s="20">
        <v>2026</v>
      </c>
      <c r="G1121" s="20">
        <v>69</v>
      </c>
      <c r="H1121" s="11">
        <v>20190.474190700701</v>
      </c>
      <c r="I1121" s="10">
        <v>1647966.3614979901</v>
      </c>
      <c r="J1121" s="34">
        <f t="shared" si="68"/>
        <v>1.2251751408534637E-2</v>
      </c>
      <c r="K1121" s="34">
        <f t="shared" si="69"/>
        <v>1.2177004274757319E-2</v>
      </c>
      <c r="L1121" s="34">
        <f t="shared" si="70"/>
        <v>0.87322804484728789</v>
      </c>
      <c r="M1121" s="34">
        <f t="shared" si="71"/>
        <v>0.86259474321234453</v>
      </c>
    </row>
    <row r="1122" spans="1:13" ht="27.6">
      <c r="A1122" t="s">
        <v>164</v>
      </c>
      <c r="B1122" t="s">
        <v>112</v>
      </c>
      <c r="C1122" s="14" t="s">
        <v>294</v>
      </c>
      <c r="D1122" t="s">
        <v>112</v>
      </c>
      <c r="E1122" t="s">
        <v>383</v>
      </c>
      <c r="F1122" s="20">
        <v>2027</v>
      </c>
      <c r="G1122" s="20">
        <v>30</v>
      </c>
      <c r="H1122" s="11">
        <v>921.94783026190998</v>
      </c>
      <c r="I1122" s="10">
        <v>4437767.1083891196</v>
      </c>
      <c r="J1122" s="34">
        <f t="shared" si="68"/>
        <v>2.0775038611626714E-4</v>
      </c>
      <c r="K1122" s="34">
        <f t="shared" si="69"/>
        <v>2.0772880749919675E-4</v>
      </c>
      <c r="L1122" s="34">
        <f t="shared" si="70"/>
        <v>1</v>
      </c>
      <c r="M1122" s="34">
        <f t="shared" si="71"/>
        <v>0.9997922711925008</v>
      </c>
    </row>
    <row r="1123" spans="1:13" ht="27.6">
      <c r="A1123" t="s">
        <v>164</v>
      </c>
      <c r="B1123" t="s">
        <v>112</v>
      </c>
      <c r="C1123" s="14" t="s">
        <v>294</v>
      </c>
      <c r="D1123" t="s">
        <v>112</v>
      </c>
      <c r="E1123" t="s">
        <v>383</v>
      </c>
      <c r="F1123" s="20">
        <v>2027</v>
      </c>
      <c r="G1123" s="20">
        <v>31</v>
      </c>
      <c r="H1123" s="11">
        <v>1303.61270969885</v>
      </c>
      <c r="I1123" s="10">
        <v>4376375.1504337201</v>
      </c>
      <c r="J1123" s="34">
        <f t="shared" si="68"/>
        <v>2.9787499126295323E-4</v>
      </c>
      <c r="K1123" s="34">
        <f t="shared" si="69"/>
        <v>2.9783063091248785E-4</v>
      </c>
      <c r="L1123" s="34">
        <f t="shared" si="70"/>
        <v>0.9997922711925008</v>
      </c>
      <c r="M1123" s="34">
        <f t="shared" si="71"/>
        <v>0.99949450242959015</v>
      </c>
    </row>
    <row r="1124" spans="1:13" ht="27.6">
      <c r="A1124" t="s">
        <v>164</v>
      </c>
      <c r="B1124" t="s">
        <v>112</v>
      </c>
      <c r="C1124" s="14" t="s">
        <v>294</v>
      </c>
      <c r="D1124" t="s">
        <v>112</v>
      </c>
      <c r="E1124" t="s">
        <v>383</v>
      </c>
      <c r="F1124" s="20">
        <v>2027</v>
      </c>
      <c r="G1124" s="20">
        <v>32</v>
      </c>
      <c r="H1124" s="11">
        <v>1316.0347704711201</v>
      </c>
      <c r="I1124" s="10">
        <v>4313218.5663016904</v>
      </c>
      <c r="J1124" s="34">
        <f t="shared" si="68"/>
        <v>3.0511664323088915E-4</v>
      </c>
      <c r="K1124" s="34">
        <f t="shared" si="69"/>
        <v>3.050700998817879E-4</v>
      </c>
      <c r="L1124" s="34">
        <f t="shared" si="70"/>
        <v>0.99949450242959015</v>
      </c>
      <c r="M1124" s="34">
        <f t="shared" si="71"/>
        <v>0.99918958654190271</v>
      </c>
    </row>
    <row r="1125" spans="1:13" ht="27.6">
      <c r="A1125" t="s">
        <v>164</v>
      </c>
      <c r="B1125" t="s">
        <v>112</v>
      </c>
      <c r="C1125" s="14" t="s">
        <v>294</v>
      </c>
      <c r="D1125" t="s">
        <v>112</v>
      </c>
      <c r="E1125" t="s">
        <v>383</v>
      </c>
      <c r="F1125" s="20">
        <v>2027</v>
      </c>
      <c r="G1125" s="20">
        <v>33</v>
      </c>
      <c r="H1125" s="11">
        <v>1361.02598633655</v>
      </c>
      <c r="I1125" s="10">
        <v>4259904.9043220105</v>
      </c>
      <c r="J1125" s="34">
        <f t="shared" si="68"/>
        <v>3.1949680025854135E-4</v>
      </c>
      <c r="K1125" s="34">
        <f t="shared" si="69"/>
        <v>3.1944576659104218E-4</v>
      </c>
      <c r="L1125" s="34">
        <f t="shared" si="70"/>
        <v>0.99918958654190271</v>
      </c>
      <c r="M1125" s="34">
        <f t="shared" si="71"/>
        <v>0.99887039965846003</v>
      </c>
    </row>
    <row r="1126" spans="1:13" ht="27.6">
      <c r="A1126" t="s">
        <v>164</v>
      </c>
      <c r="B1126" t="s">
        <v>112</v>
      </c>
      <c r="C1126" s="14" t="s">
        <v>294</v>
      </c>
      <c r="D1126" t="s">
        <v>112</v>
      </c>
      <c r="E1126" t="s">
        <v>383</v>
      </c>
      <c r="F1126" s="20">
        <v>2027</v>
      </c>
      <c r="G1126" s="20">
        <v>34</v>
      </c>
      <c r="H1126" s="11">
        <v>1428.29387704341</v>
      </c>
      <c r="I1126" s="10">
        <v>4209387.8604143197</v>
      </c>
      <c r="J1126" s="34">
        <f t="shared" si="68"/>
        <v>3.3931153992134777E-4</v>
      </c>
      <c r="K1126" s="34">
        <f t="shared" si="69"/>
        <v>3.3925398027123688E-4</v>
      </c>
      <c r="L1126" s="34">
        <f t="shared" si="70"/>
        <v>0.99887039965846003</v>
      </c>
      <c r="M1126" s="34">
        <f t="shared" si="71"/>
        <v>0.99853152889960073</v>
      </c>
    </row>
    <row r="1127" spans="1:13" ht="27.6">
      <c r="A1127" t="s">
        <v>164</v>
      </c>
      <c r="B1127" t="s">
        <v>112</v>
      </c>
      <c r="C1127" s="14" t="s">
        <v>294</v>
      </c>
      <c r="D1127" t="s">
        <v>112</v>
      </c>
      <c r="E1127" t="s">
        <v>383</v>
      </c>
      <c r="F1127" s="20">
        <v>2027</v>
      </c>
      <c r="G1127" s="20">
        <v>35</v>
      </c>
      <c r="H1127" s="11">
        <v>1531.1032466628201</v>
      </c>
      <c r="I1127" s="10">
        <v>4194253.84828177</v>
      </c>
      <c r="J1127" s="34">
        <f t="shared" si="68"/>
        <v>3.6504782544100333E-4</v>
      </c>
      <c r="K1127" s="34">
        <f t="shared" si="69"/>
        <v>3.6498120359051978E-4</v>
      </c>
      <c r="L1127" s="34">
        <f t="shared" si="70"/>
        <v>0.99853152889960073</v>
      </c>
      <c r="M1127" s="34">
        <f t="shared" si="71"/>
        <v>0.99816708366035989</v>
      </c>
    </row>
    <row r="1128" spans="1:13" ht="27.6">
      <c r="A1128" t="s">
        <v>164</v>
      </c>
      <c r="B1128" t="s">
        <v>112</v>
      </c>
      <c r="C1128" s="14" t="s">
        <v>294</v>
      </c>
      <c r="D1128" t="s">
        <v>112</v>
      </c>
      <c r="E1128" t="s">
        <v>383</v>
      </c>
      <c r="F1128" s="20">
        <v>2027</v>
      </c>
      <c r="G1128" s="20">
        <v>36</v>
      </c>
      <c r="H1128" s="11">
        <v>2053.43669293209</v>
      </c>
      <c r="I1128" s="10">
        <v>4173553.7619008501</v>
      </c>
      <c r="J1128" s="34">
        <f t="shared" si="68"/>
        <v>4.9201155899255742E-4</v>
      </c>
      <c r="K1128" s="34">
        <f t="shared" si="69"/>
        <v>4.9189054115361674E-4</v>
      </c>
      <c r="L1128" s="34">
        <f t="shared" si="70"/>
        <v>0.99816708366035989</v>
      </c>
      <c r="M1128" s="34">
        <f t="shared" si="71"/>
        <v>0.99767609471341645</v>
      </c>
    </row>
    <row r="1129" spans="1:13" ht="27.6">
      <c r="A1129" t="s">
        <v>164</v>
      </c>
      <c r="B1129" t="s">
        <v>112</v>
      </c>
      <c r="C1129" s="14" t="s">
        <v>294</v>
      </c>
      <c r="D1129" t="s">
        <v>112</v>
      </c>
      <c r="E1129" t="s">
        <v>383</v>
      </c>
      <c r="F1129" s="20">
        <v>2027</v>
      </c>
      <c r="G1129" s="20">
        <v>37</v>
      </c>
      <c r="H1129" s="11">
        <v>2232.4599526607399</v>
      </c>
      <c r="I1129" s="10">
        <v>4156569.2387217302</v>
      </c>
      <c r="J1129" s="34">
        <f t="shared" si="68"/>
        <v>5.3709196802584444E-4</v>
      </c>
      <c r="K1129" s="34">
        <f t="shared" si="69"/>
        <v>5.3694775995360988E-4</v>
      </c>
      <c r="L1129" s="34">
        <f t="shared" si="70"/>
        <v>0.99767609471341645</v>
      </c>
      <c r="M1129" s="34">
        <f t="shared" si="71"/>
        <v>0.9971403947692008</v>
      </c>
    </row>
    <row r="1130" spans="1:13" ht="27.6">
      <c r="A1130" t="s">
        <v>164</v>
      </c>
      <c r="B1130" t="s">
        <v>112</v>
      </c>
      <c r="C1130" s="14" t="s">
        <v>294</v>
      </c>
      <c r="D1130" t="s">
        <v>112</v>
      </c>
      <c r="E1130" t="s">
        <v>383</v>
      </c>
      <c r="F1130" s="20">
        <v>2027</v>
      </c>
      <c r="G1130" s="20">
        <v>38</v>
      </c>
      <c r="H1130" s="11">
        <v>2468.1803544650502</v>
      </c>
      <c r="I1130" s="10">
        <v>4162971.5247055301</v>
      </c>
      <c r="J1130" s="34">
        <f t="shared" si="68"/>
        <v>5.9288907930727156E-4</v>
      </c>
      <c r="K1130" s="34">
        <f t="shared" si="69"/>
        <v>5.9271335530708402E-4</v>
      </c>
      <c r="L1130" s="34">
        <f t="shared" si="70"/>
        <v>0.9971403947692008</v>
      </c>
      <c r="M1130" s="34">
        <f t="shared" si="71"/>
        <v>0.99654937634010488</v>
      </c>
    </row>
    <row r="1131" spans="1:13" ht="27.6">
      <c r="A1131" t="s">
        <v>164</v>
      </c>
      <c r="B1131" t="s">
        <v>112</v>
      </c>
      <c r="C1131" s="14" t="s">
        <v>294</v>
      </c>
      <c r="D1131" t="s">
        <v>112</v>
      </c>
      <c r="E1131" t="s">
        <v>383</v>
      </c>
      <c r="F1131" s="20">
        <v>2027</v>
      </c>
      <c r="G1131" s="20">
        <v>39</v>
      </c>
      <c r="H1131" s="11">
        <v>2688.0763537815201</v>
      </c>
      <c r="I1131" s="10">
        <v>4123657.1274673501</v>
      </c>
      <c r="J1131" s="34">
        <f t="shared" si="68"/>
        <v>6.5186708562078519E-4</v>
      </c>
      <c r="K1131" s="34">
        <f t="shared" si="69"/>
        <v>6.5165466643102299E-4</v>
      </c>
      <c r="L1131" s="34">
        <f t="shared" si="70"/>
        <v>0.99654937634010488</v>
      </c>
      <c r="M1131" s="34">
        <f t="shared" si="71"/>
        <v>0.99589997028868393</v>
      </c>
    </row>
    <row r="1132" spans="1:13" ht="27.6">
      <c r="A1132" t="s">
        <v>164</v>
      </c>
      <c r="B1132" t="s">
        <v>112</v>
      </c>
      <c r="C1132" s="14" t="s">
        <v>294</v>
      </c>
      <c r="D1132" t="s">
        <v>112</v>
      </c>
      <c r="E1132" t="s">
        <v>383</v>
      </c>
      <c r="F1132" s="20">
        <v>2027</v>
      </c>
      <c r="G1132" s="20">
        <v>40</v>
      </c>
      <c r="H1132" s="11">
        <v>2968.2537176067699</v>
      </c>
      <c r="I1132" s="10">
        <v>4075807.6790750301</v>
      </c>
      <c r="J1132" s="34">
        <f t="shared" si="68"/>
        <v>7.2826147633157944E-4</v>
      </c>
      <c r="K1132" s="34">
        <f t="shared" si="69"/>
        <v>7.2799635830489429E-4</v>
      </c>
      <c r="L1132" s="34">
        <f t="shared" si="70"/>
        <v>0.99589997028868393</v>
      </c>
      <c r="M1132" s="34">
        <f t="shared" si="71"/>
        <v>0.99517495873707784</v>
      </c>
    </row>
    <row r="1133" spans="1:13" ht="27.6">
      <c r="A1133" t="s">
        <v>164</v>
      </c>
      <c r="B1133" t="s">
        <v>112</v>
      </c>
      <c r="C1133" s="14" t="s">
        <v>294</v>
      </c>
      <c r="D1133" t="s">
        <v>112</v>
      </c>
      <c r="E1133" t="s">
        <v>383</v>
      </c>
      <c r="F1133" s="20">
        <v>2027</v>
      </c>
      <c r="G1133" s="20">
        <v>41</v>
      </c>
      <c r="H1133" s="11">
        <v>3993.85702886432</v>
      </c>
      <c r="I1133" s="10">
        <v>4090462.6554682301</v>
      </c>
      <c r="J1133" s="34">
        <f t="shared" si="68"/>
        <v>9.7638271395174205E-4</v>
      </c>
      <c r="K1133" s="34">
        <f t="shared" si="69"/>
        <v>9.7590620744658629E-4</v>
      </c>
      <c r="L1133" s="34">
        <f t="shared" si="70"/>
        <v>0.99517495873707784</v>
      </c>
      <c r="M1133" s="34">
        <f t="shared" si="71"/>
        <v>0.99420376131735089</v>
      </c>
    </row>
    <row r="1134" spans="1:13" ht="27.6">
      <c r="A1134" t="s">
        <v>164</v>
      </c>
      <c r="B1134" t="s">
        <v>112</v>
      </c>
      <c r="C1134" s="14" t="s">
        <v>294</v>
      </c>
      <c r="D1134" t="s">
        <v>112</v>
      </c>
      <c r="E1134" t="s">
        <v>383</v>
      </c>
      <c r="F1134" s="20">
        <v>2027</v>
      </c>
      <c r="G1134" s="20">
        <v>42</v>
      </c>
      <c r="H1134" s="11">
        <v>4557.2102877573698</v>
      </c>
      <c r="I1134" s="10">
        <v>4162692.2181853098</v>
      </c>
      <c r="J1134" s="34">
        <f t="shared" si="68"/>
        <v>1.0947747392537339E-3</v>
      </c>
      <c r="K1134" s="34">
        <f t="shared" si="69"/>
        <v>1.0941756920160861E-3</v>
      </c>
      <c r="L1134" s="34">
        <f t="shared" si="70"/>
        <v>0.99420376131735089</v>
      </c>
      <c r="M1134" s="34">
        <f t="shared" si="71"/>
        <v>0.99311592772880652</v>
      </c>
    </row>
    <row r="1135" spans="1:13" ht="27.6">
      <c r="A1135" t="s">
        <v>164</v>
      </c>
      <c r="B1135" t="s">
        <v>112</v>
      </c>
      <c r="C1135" s="14" t="s">
        <v>294</v>
      </c>
      <c r="D1135" t="s">
        <v>112</v>
      </c>
      <c r="E1135" t="s">
        <v>383</v>
      </c>
      <c r="F1135" s="20">
        <v>2027</v>
      </c>
      <c r="G1135" s="20">
        <v>43</v>
      </c>
      <c r="H1135" s="11">
        <v>5205.3353750550796</v>
      </c>
      <c r="I1135" s="10">
        <v>4193226.2280858699</v>
      </c>
      <c r="J1135" s="34">
        <f t="shared" si="68"/>
        <v>1.2413676467513699E-3</v>
      </c>
      <c r="K1135" s="34">
        <f t="shared" si="69"/>
        <v>1.2405974686585663E-3</v>
      </c>
      <c r="L1135" s="34">
        <f t="shared" si="70"/>
        <v>0.99311592772880652</v>
      </c>
      <c r="M1135" s="34">
        <f t="shared" si="71"/>
        <v>0.99188387062278172</v>
      </c>
    </row>
    <row r="1136" spans="1:13" ht="27.6">
      <c r="A1136" t="s">
        <v>164</v>
      </c>
      <c r="B1136" t="s">
        <v>112</v>
      </c>
      <c r="C1136" s="14" t="s">
        <v>294</v>
      </c>
      <c r="D1136" t="s">
        <v>112</v>
      </c>
      <c r="E1136" t="s">
        <v>383</v>
      </c>
      <c r="F1136" s="20">
        <v>2027</v>
      </c>
      <c r="G1136" s="20">
        <v>44</v>
      </c>
      <c r="H1136" s="11">
        <v>5329.8273175709401</v>
      </c>
      <c r="I1136" s="10">
        <v>4163762.5156682399</v>
      </c>
      <c r="J1136" s="34">
        <f t="shared" si="68"/>
        <v>1.280050746774053E-3</v>
      </c>
      <c r="K1136" s="34">
        <f t="shared" si="69"/>
        <v>1.2792318312719875E-3</v>
      </c>
      <c r="L1136" s="34">
        <f t="shared" si="70"/>
        <v>0.99188387062278172</v>
      </c>
      <c r="M1136" s="34">
        <f t="shared" si="71"/>
        <v>0.99061502120255573</v>
      </c>
    </row>
    <row r="1137" spans="1:13" ht="27.6">
      <c r="A1137" t="s">
        <v>164</v>
      </c>
      <c r="B1137" t="s">
        <v>112</v>
      </c>
      <c r="C1137" s="14" t="s">
        <v>294</v>
      </c>
      <c r="D1137" t="s">
        <v>112</v>
      </c>
      <c r="E1137" t="s">
        <v>383</v>
      </c>
      <c r="F1137" s="20">
        <v>2027</v>
      </c>
      <c r="G1137" s="20">
        <v>45</v>
      </c>
      <c r="H1137" s="11">
        <v>5574.8766594962299</v>
      </c>
      <c r="I1137" s="10">
        <v>4109873.7579883202</v>
      </c>
      <c r="J1137" s="34">
        <f t="shared" si="68"/>
        <v>1.3564593434677642E-3</v>
      </c>
      <c r="K1137" s="34">
        <f t="shared" si="69"/>
        <v>1.3555397683282511E-3</v>
      </c>
      <c r="L1137" s="34">
        <f t="shared" si="70"/>
        <v>0.99061502120255573</v>
      </c>
      <c r="M1137" s="34">
        <f t="shared" si="71"/>
        <v>0.98927220314621234</v>
      </c>
    </row>
    <row r="1138" spans="1:13" ht="27.6">
      <c r="A1138" t="s">
        <v>164</v>
      </c>
      <c r="B1138" t="s">
        <v>112</v>
      </c>
      <c r="C1138" s="14" t="s">
        <v>294</v>
      </c>
      <c r="D1138" t="s">
        <v>112</v>
      </c>
      <c r="E1138" t="s">
        <v>383</v>
      </c>
      <c r="F1138" s="20">
        <v>2027</v>
      </c>
      <c r="G1138" s="20">
        <v>46</v>
      </c>
      <c r="H1138" s="11">
        <v>6668.5005493413901</v>
      </c>
      <c r="I1138" s="10">
        <v>4048640.91510846</v>
      </c>
      <c r="J1138" s="34">
        <f t="shared" si="68"/>
        <v>1.6470960722785527E-3</v>
      </c>
      <c r="K1138" s="34">
        <f t="shared" si="69"/>
        <v>1.6457403539777982E-3</v>
      </c>
      <c r="L1138" s="34">
        <f t="shared" si="70"/>
        <v>0.98927220314621234</v>
      </c>
      <c r="M1138" s="34">
        <f t="shared" si="71"/>
        <v>0.98764411796042606</v>
      </c>
    </row>
    <row r="1139" spans="1:13" ht="27.6">
      <c r="A1139" t="s">
        <v>164</v>
      </c>
      <c r="B1139" t="s">
        <v>112</v>
      </c>
      <c r="C1139" s="14" t="s">
        <v>294</v>
      </c>
      <c r="D1139" t="s">
        <v>112</v>
      </c>
      <c r="E1139" t="s">
        <v>383</v>
      </c>
      <c r="F1139" s="20">
        <v>2027</v>
      </c>
      <c r="G1139" s="20">
        <v>47</v>
      </c>
      <c r="H1139" s="11">
        <v>6975.06078593041</v>
      </c>
      <c r="I1139" s="10">
        <v>3992947.3047394902</v>
      </c>
      <c r="J1139" s="34">
        <f t="shared" si="68"/>
        <v>1.7468451881774785E-3</v>
      </c>
      <c r="K1139" s="34">
        <f t="shared" si="69"/>
        <v>1.7453203421409214E-3</v>
      </c>
      <c r="L1139" s="34">
        <f t="shared" si="70"/>
        <v>0.98764411796042606</v>
      </c>
      <c r="M1139" s="34">
        <f t="shared" si="71"/>
        <v>0.98592036259055393</v>
      </c>
    </row>
    <row r="1140" spans="1:13" ht="27.6">
      <c r="A1140" t="s">
        <v>164</v>
      </c>
      <c r="B1140" t="s">
        <v>112</v>
      </c>
      <c r="C1140" s="14" t="s">
        <v>294</v>
      </c>
      <c r="D1140" t="s">
        <v>112</v>
      </c>
      <c r="E1140" t="s">
        <v>383</v>
      </c>
      <c r="F1140" s="20">
        <v>2027</v>
      </c>
      <c r="G1140" s="20">
        <v>48</v>
      </c>
      <c r="H1140" s="11">
        <v>7366.2501364760001</v>
      </c>
      <c r="I1140" s="10">
        <v>3923785.1927095898</v>
      </c>
      <c r="J1140" s="34">
        <f t="shared" si="68"/>
        <v>1.877332671055114E-3</v>
      </c>
      <c r="K1140" s="34">
        <f t="shared" si="69"/>
        <v>1.8755715842971865E-3</v>
      </c>
      <c r="L1140" s="34">
        <f t="shared" si="70"/>
        <v>0.98592036259055393</v>
      </c>
      <c r="M1140" s="34">
        <f t="shared" si="71"/>
        <v>0.98407119837409907</v>
      </c>
    </row>
    <row r="1141" spans="1:13" ht="27.6">
      <c r="A1141" t="s">
        <v>164</v>
      </c>
      <c r="B1141" t="s">
        <v>112</v>
      </c>
      <c r="C1141" s="14" t="s">
        <v>294</v>
      </c>
      <c r="D1141" t="s">
        <v>112</v>
      </c>
      <c r="E1141" t="s">
        <v>383</v>
      </c>
      <c r="F1141" s="20">
        <v>2027</v>
      </c>
      <c r="G1141" s="20">
        <v>49</v>
      </c>
      <c r="H1141" s="11">
        <v>7580.9008954206902</v>
      </c>
      <c r="I1141" s="10">
        <v>3830094.80461674</v>
      </c>
      <c r="J1141" s="34">
        <f t="shared" si="68"/>
        <v>1.9792984983773203E-3</v>
      </c>
      <c r="K1141" s="34">
        <f t="shared" si="69"/>
        <v>1.9773409788226282E-3</v>
      </c>
      <c r="L1141" s="34">
        <f t="shared" si="70"/>
        <v>0.98407119837409907</v>
      </c>
      <c r="M1141" s="34">
        <f t="shared" si="71"/>
        <v>0.98212535406747492</v>
      </c>
    </row>
    <row r="1142" spans="1:13" ht="27.6">
      <c r="A1142" t="s">
        <v>164</v>
      </c>
      <c r="B1142" t="s">
        <v>112</v>
      </c>
      <c r="C1142" s="14" t="s">
        <v>294</v>
      </c>
      <c r="D1142" t="s">
        <v>112</v>
      </c>
      <c r="E1142" t="s">
        <v>383</v>
      </c>
      <c r="F1142" s="20">
        <v>2027</v>
      </c>
      <c r="G1142" s="20">
        <v>50</v>
      </c>
      <c r="H1142" s="11">
        <v>7843.0837463772205</v>
      </c>
      <c r="I1142" s="10">
        <v>3740704.4293243899</v>
      </c>
      <c r="J1142" s="34">
        <f t="shared" si="68"/>
        <v>2.0966863045615617E-3</v>
      </c>
      <c r="K1142" s="34">
        <f t="shared" si="69"/>
        <v>2.0944897932315687E-3</v>
      </c>
      <c r="L1142" s="34">
        <f t="shared" si="70"/>
        <v>0.98212535406747492</v>
      </c>
      <c r="M1142" s="34">
        <f t="shared" si="71"/>
        <v>0.9800683025377066</v>
      </c>
    </row>
    <row r="1143" spans="1:13" ht="27.6">
      <c r="A1143" t="s">
        <v>164</v>
      </c>
      <c r="B1143" t="s">
        <v>112</v>
      </c>
      <c r="C1143" s="14" t="s">
        <v>294</v>
      </c>
      <c r="D1143" t="s">
        <v>112</v>
      </c>
      <c r="E1143" t="s">
        <v>383</v>
      </c>
      <c r="F1143" s="20">
        <v>2027</v>
      </c>
      <c r="G1143" s="20">
        <v>51</v>
      </c>
      <c r="H1143" s="11">
        <v>8755.2540970233404</v>
      </c>
      <c r="I1143" s="10">
        <v>3667029.3308404498</v>
      </c>
      <c r="J1143" s="34">
        <f t="shared" si="68"/>
        <v>2.3875604221078634E-3</v>
      </c>
      <c r="K1143" s="34">
        <f t="shared" si="69"/>
        <v>2.3847124667293329E-3</v>
      </c>
      <c r="L1143" s="34">
        <f t="shared" si="70"/>
        <v>0.9800683025377066</v>
      </c>
      <c r="M1143" s="34">
        <f t="shared" si="71"/>
        <v>0.97773112143839869</v>
      </c>
    </row>
    <row r="1144" spans="1:13" ht="27.6">
      <c r="A1144" t="s">
        <v>164</v>
      </c>
      <c r="B1144" t="s">
        <v>112</v>
      </c>
      <c r="C1144" s="14" t="s">
        <v>294</v>
      </c>
      <c r="D1144" t="s">
        <v>112</v>
      </c>
      <c r="E1144" t="s">
        <v>383</v>
      </c>
      <c r="F1144" s="20">
        <v>2027</v>
      </c>
      <c r="G1144" s="20">
        <v>52</v>
      </c>
      <c r="H1144" s="11">
        <v>9208.8596725569096</v>
      </c>
      <c r="I1144" s="10">
        <v>3580801.4766638498</v>
      </c>
      <c r="J1144" s="34">
        <f t="shared" si="68"/>
        <v>2.5717314217420933E-3</v>
      </c>
      <c r="K1144" s="34">
        <f t="shared" si="69"/>
        <v>2.5684273534882784E-3</v>
      </c>
      <c r="L1144" s="34">
        <f t="shared" si="70"/>
        <v>0.97773112143839869</v>
      </c>
      <c r="M1144" s="34">
        <f t="shared" si="71"/>
        <v>0.97521989008173948</v>
      </c>
    </row>
    <row r="1145" spans="1:13" ht="27.6">
      <c r="A1145" t="s">
        <v>164</v>
      </c>
      <c r="B1145" t="s">
        <v>112</v>
      </c>
      <c r="C1145" s="14" t="s">
        <v>294</v>
      </c>
      <c r="D1145" t="s">
        <v>112</v>
      </c>
      <c r="E1145" t="s">
        <v>383</v>
      </c>
      <c r="F1145" s="20">
        <v>2027</v>
      </c>
      <c r="G1145" s="20">
        <v>53</v>
      </c>
      <c r="H1145" s="11">
        <v>9811.3748370199392</v>
      </c>
      <c r="I1145" s="10">
        <v>3510417.50274366</v>
      </c>
      <c r="J1145" s="34">
        <f t="shared" si="68"/>
        <v>2.7949310386447194E-3</v>
      </c>
      <c r="K1145" s="34">
        <f t="shared" si="69"/>
        <v>2.7910288551804552E-3</v>
      </c>
      <c r="L1145" s="34">
        <f t="shared" si="70"/>
        <v>0.97521989008173948</v>
      </c>
      <c r="M1145" s="34">
        <f t="shared" si="71"/>
        <v>0.97249802322837542</v>
      </c>
    </row>
    <row r="1146" spans="1:13" ht="27.6">
      <c r="A1146" t="s">
        <v>164</v>
      </c>
      <c r="B1146" t="s">
        <v>112</v>
      </c>
      <c r="C1146" s="14" t="s">
        <v>294</v>
      </c>
      <c r="D1146" t="s">
        <v>112</v>
      </c>
      <c r="E1146" t="s">
        <v>383</v>
      </c>
      <c r="F1146" s="20">
        <v>2027</v>
      </c>
      <c r="G1146" s="20">
        <v>54</v>
      </c>
      <c r="H1146" s="11">
        <v>10766.5896363884</v>
      </c>
      <c r="I1146" s="10">
        <v>3440801.1395584298</v>
      </c>
      <c r="J1146" s="34">
        <f t="shared" si="68"/>
        <v>3.1290938359111666E-3</v>
      </c>
      <c r="K1146" s="34">
        <f t="shared" si="69"/>
        <v>3.1242033240808098E-3</v>
      </c>
      <c r="L1146" s="34">
        <f t="shared" si="70"/>
        <v>0.97249802322837542</v>
      </c>
      <c r="M1146" s="34">
        <f t="shared" si="71"/>
        <v>0.96945974167154336</v>
      </c>
    </row>
    <row r="1147" spans="1:13" ht="27.6">
      <c r="A1147" t="s">
        <v>164</v>
      </c>
      <c r="B1147" t="s">
        <v>112</v>
      </c>
      <c r="C1147" s="14" t="s">
        <v>294</v>
      </c>
      <c r="D1147" t="s">
        <v>112</v>
      </c>
      <c r="E1147" t="s">
        <v>383</v>
      </c>
      <c r="F1147" s="20">
        <v>2027</v>
      </c>
      <c r="G1147" s="20">
        <v>55</v>
      </c>
      <c r="H1147" s="11">
        <v>11633.850760912799</v>
      </c>
      <c r="I1147" s="10">
        <v>3349258.3803519001</v>
      </c>
      <c r="J1147" s="34">
        <f t="shared" si="68"/>
        <v>3.4735602452058215E-3</v>
      </c>
      <c r="K1147" s="34">
        <f t="shared" si="69"/>
        <v>3.4675344138658248E-3</v>
      </c>
      <c r="L1147" s="34">
        <f t="shared" si="70"/>
        <v>0.96945974167154336</v>
      </c>
      <c r="M1147" s="34">
        <f t="shared" si="71"/>
        <v>0.96609810665443985</v>
      </c>
    </row>
    <row r="1148" spans="1:13" ht="27.6">
      <c r="A1148" t="s">
        <v>164</v>
      </c>
      <c r="B1148" t="s">
        <v>112</v>
      </c>
      <c r="C1148" s="14" t="s">
        <v>294</v>
      </c>
      <c r="D1148" t="s">
        <v>112</v>
      </c>
      <c r="E1148" t="s">
        <v>383</v>
      </c>
      <c r="F1148" s="20">
        <v>2027</v>
      </c>
      <c r="G1148" s="20">
        <v>56</v>
      </c>
      <c r="H1148" s="11">
        <v>12683.106819573801</v>
      </c>
      <c r="I1148" s="10">
        <v>3268262.7708326099</v>
      </c>
      <c r="J1148" s="34">
        <f t="shared" si="68"/>
        <v>3.8806876034458825E-3</v>
      </c>
      <c r="K1148" s="34">
        <f t="shared" si="69"/>
        <v>3.8731674662209059E-3</v>
      </c>
      <c r="L1148" s="34">
        <f t="shared" si="70"/>
        <v>0.96609810665443985</v>
      </c>
      <c r="M1148" s="34">
        <f t="shared" si="71"/>
        <v>0.96235624689856825</v>
      </c>
    </row>
    <row r="1149" spans="1:13" ht="27.6">
      <c r="A1149" t="s">
        <v>164</v>
      </c>
      <c r="B1149" t="s">
        <v>112</v>
      </c>
      <c r="C1149" s="14" t="s">
        <v>294</v>
      </c>
      <c r="D1149" t="s">
        <v>112</v>
      </c>
      <c r="E1149" t="s">
        <v>383</v>
      </c>
      <c r="F1149" s="20">
        <v>2027</v>
      </c>
      <c r="G1149" s="20">
        <v>57</v>
      </c>
      <c r="H1149" s="11">
        <v>13577.9120851556</v>
      </c>
      <c r="I1149" s="10">
        <v>3184896.5852339999</v>
      </c>
      <c r="J1149" s="34">
        <f t="shared" si="68"/>
        <v>4.2632191412764527E-3</v>
      </c>
      <c r="K1149" s="34">
        <f t="shared" si="69"/>
        <v>4.2541445228290176E-3</v>
      </c>
      <c r="L1149" s="34">
        <f t="shared" si="70"/>
        <v>0.96235624689856825</v>
      </c>
      <c r="M1149" s="34">
        <f t="shared" si="71"/>
        <v>0.9582622443418144</v>
      </c>
    </row>
    <row r="1150" spans="1:13" ht="27.6">
      <c r="A1150" t="s">
        <v>164</v>
      </c>
      <c r="B1150" t="s">
        <v>112</v>
      </c>
      <c r="C1150" s="14" t="s">
        <v>294</v>
      </c>
      <c r="D1150" t="s">
        <v>112</v>
      </c>
      <c r="E1150" t="s">
        <v>383</v>
      </c>
      <c r="F1150" s="20">
        <v>2027</v>
      </c>
      <c r="G1150" s="20">
        <v>58</v>
      </c>
      <c r="H1150" s="11">
        <v>14497.9118495153</v>
      </c>
      <c r="I1150" s="10">
        <v>3085450.24723231</v>
      </c>
      <c r="J1150" s="34">
        <f t="shared" si="68"/>
        <v>4.6987994256332995E-3</v>
      </c>
      <c r="K1150" s="34">
        <f t="shared" si="69"/>
        <v>4.6877773378963816E-3</v>
      </c>
      <c r="L1150" s="34">
        <f t="shared" si="70"/>
        <v>0.9582622443418144</v>
      </c>
      <c r="M1150" s="34">
        <f t="shared" si="71"/>
        <v>0.95377012430902708</v>
      </c>
    </row>
    <row r="1151" spans="1:13" ht="27.6">
      <c r="A1151" t="s">
        <v>164</v>
      </c>
      <c r="B1151" t="s">
        <v>112</v>
      </c>
      <c r="C1151" s="14" t="s">
        <v>294</v>
      </c>
      <c r="D1151" t="s">
        <v>112</v>
      </c>
      <c r="E1151" t="s">
        <v>383</v>
      </c>
      <c r="F1151" s="20">
        <v>2027</v>
      </c>
      <c r="G1151" s="20">
        <v>59</v>
      </c>
      <c r="H1151" s="11">
        <v>14951.311119132901</v>
      </c>
      <c r="I1151" s="10">
        <v>2979157.74243666</v>
      </c>
      <c r="J1151" s="34">
        <f t="shared" si="68"/>
        <v>5.0186369476710518E-3</v>
      </c>
      <c r="K1151" s="34">
        <f t="shared" si="69"/>
        <v>5.0060646300237321E-3</v>
      </c>
      <c r="L1151" s="34">
        <f t="shared" si="70"/>
        <v>0.95377012430902708</v>
      </c>
      <c r="M1151" s="34">
        <f t="shared" si="71"/>
        <v>0.94899548942455036</v>
      </c>
    </row>
    <row r="1152" spans="1:13" ht="27.6">
      <c r="A1152" t="s">
        <v>164</v>
      </c>
      <c r="B1152" t="s">
        <v>112</v>
      </c>
      <c r="C1152" s="14" t="s">
        <v>294</v>
      </c>
      <c r="D1152" t="s">
        <v>112</v>
      </c>
      <c r="E1152" t="s">
        <v>383</v>
      </c>
      <c r="F1152" s="20">
        <v>2027</v>
      </c>
      <c r="G1152" s="20">
        <v>60</v>
      </c>
      <c r="H1152" s="11">
        <v>15696.909560153201</v>
      </c>
      <c r="I1152" s="10">
        <v>2875439.8895711699</v>
      </c>
      <c r="J1152" s="34">
        <f t="shared" si="68"/>
        <v>5.4589593811659081E-3</v>
      </c>
      <c r="K1152" s="34">
        <f t="shared" si="69"/>
        <v>5.4440863384891403E-3</v>
      </c>
      <c r="L1152" s="34">
        <f t="shared" si="70"/>
        <v>0.94899548942455036</v>
      </c>
      <c r="M1152" s="34">
        <f t="shared" si="71"/>
        <v>0.94382907604528632</v>
      </c>
    </row>
    <row r="1153" spans="1:13" ht="27.6">
      <c r="A1153" t="s">
        <v>164</v>
      </c>
      <c r="B1153" t="s">
        <v>112</v>
      </c>
      <c r="C1153" s="14" t="s">
        <v>294</v>
      </c>
      <c r="D1153" t="s">
        <v>112</v>
      </c>
      <c r="E1153" t="s">
        <v>383</v>
      </c>
      <c r="F1153" s="20">
        <v>2027</v>
      </c>
      <c r="G1153" s="20">
        <v>61</v>
      </c>
      <c r="H1153" s="11">
        <v>17012.984327232702</v>
      </c>
      <c r="I1153" s="10">
        <v>2759001.7140054801</v>
      </c>
      <c r="J1153" s="34">
        <f t="shared" si="68"/>
        <v>6.1663551134709116E-3</v>
      </c>
      <c r="K1153" s="34">
        <f t="shared" si="69"/>
        <v>6.1473821637912929E-3</v>
      </c>
      <c r="L1153" s="34">
        <f t="shared" si="70"/>
        <v>0.94382907604528632</v>
      </c>
      <c r="M1153" s="34">
        <f t="shared" si="71"/>
        <v>0.93802699801753786</v>
      </c>
    </row>
    <row r="1154" spans="1:13" ht="27.6">
      <c r="A1154" t="s">
        <v>164</v>
      </c>
      <c r="B1154" t="s">
        <v>112</v>
      </c>
      <c r="C1154" s="14" t="s">
        <v>294</v>
      </c>
      <c r="D1154" t="s">
        <v>112</v>
      </c>
      <c r="E1154" t="s">
        <v>383</v>
      </c>
      <c r="F1154" s="20">
        <v>2027</v>
      </c>
      <c r="G1154" s="20">
        <v>62</v>
      </c>
      <c r="H1154" s="11">
        <v>17843.926685716899</v>
      </c>
      <c r="I1154" s="10">
        <v>2630047.2578052799</v>
      </c>
      <c r="J1154" s="34">
        <f t="shared" ref="J1154:J1217" si="72">IF(I1154&gt;0,H1154/I1154,0)</f>
        <v>6.7846410868705404E-3</v>
      </c>
      <c r="K1154" s="34">
        <f t="shared" ref="K1154:K1217" si="73">1-EXP(-J1154)</f>
        <v>6.7616773724011869E-3</v>
      </c>
      <c r="L1154" s="34">
        <f t="shared" ref="L1154:L1217" si="74">IF(G1154=30,1,M1153)</f>
        <v>0.93802699801753786</v>
      </c>
      <c r="M1154" s="34">
        <f t="shared" ref="M1154:M1217" si="75">L1154*(1-K1154)</f>
        <v>0.93168436209034122</v>
      </c>
    </row>
    <row r="1155" spans="1:13" ht="27.6">
      <c r="A1155" t="s">
        <v>164</v>
      </c>
      <c r="B1155" t="s">
        <v>112</v>
      </c>
      <c r="C1155" s="14" t="s">
        <v>294</v>
      </c>
      <c r="D1155" t="s">
        <v>112</v>
      </c>
      <c r="E1155" t="s">
        <v>383</v>
      </c>
      <c r="F1155" s="20">
        <v>2027</v>
      </c>
      <c r="G1155" s="20">
        <v>63</v>
      </c>
      <c r="H1155" s="11">
        <v>18726.712029724698</v>
      </c>
      <c r="I1155" s="10">
        <v>2502652.35124121</v>
      </c>
      <c r="J1155" s="34">
        <f t="shared" si="72"/>
        <v>7.4827460635661361E-3</v>
      </c>
      <c r="K1155" s="34">
        <f t="shared" si="73"/>
        <v>7.4548200171570267E-3</v>
      </c>
      <c r="L1155" s="34">
        <f t="shared" si="74"/>
        <v>0.93168436209034122</v>
      </c>
      <c r="M1155" s="34">
        <f t="shared" si="75"/>
        <v>0.924738822858158</v>
      </c>
    </row>
    <row r="1156" spans="1:13" ht="27.6">
      <c r="A1156" t="s">
        <v>164</v>
      </c>
      <c r="B1156" t="s">
        <v>112</v>
      </c>
      <c r="C1156" s="14" t="s">
        <v>294</v>
      </c>
      <c r="D1156" t="s">
        <v>112</v>
      </c>
      <c r="E1156" t="s">
        <v>383</v>
      </c>
      <c r="F1156" s="20">
        <v>2027</v>
      </c>
      <c r="G1156" s="20">
        <v>64</v>
      </c>
      <c r="H1156" s="11">
        <v>19793.210291465301</v>
      </c>
      <c r="I1156" s="10">
        <v>2375729.0511989701</v>
      </c>
      <c r="J1156" s="34">
        <f t="shared" si="72"/>
        <v>8.3314257917905966E-3</v>
      </c>
      <c r="K1156" s="34">
        <f t="shared" si="73"/>
        <v>8.2968156479060751E-3</v>
      </c>
      <c r="L1156" s="34">
        <f t="shared" si="74"/>
        <v>0.924738822858158</v>
      </c>
      <c r="M1156" s="34">
        <f t="shared" si="75"/>
        <v>0.91706643532244214</v>
      </c>
    </row>
    <row r="1157" spans="1:13" ht="27.6">
      <c r="A1157" t="s">
        <v>164</v>
      </c>
      <c r="B1157" t="s">
        <v>112</v>
      </c>
      <c r="C1157" s="14" t="s">
        <v>294</v>
      </c>
      <c r="D1157" t="s">
        <v>112</v>
      </c>
      <c r="E1157" t="s">
        <v>383</v>
      </c>
      <c r="F1157" s="20">
        <v>2027</v>
      </c>
      <c r="G1157" s="20">
        <v>65</v>
      </c>
      <c r="H1157" s="11">
        <v>20786.365146405999</v>
      </c>
      <c r="I1157" s="10">
        <v>2248531.0492145899</v>
      </c>
      <c r="J1157" s="34">
        <f t="shared" si="72"/>
        <v>9.2444198863371983E-3</v>
      </c>
      <c r="K1157" s="34">
        <f t="shared" si="73"/>
        <v>9.2018216033515898E-3</v>
      </c>
      <c r="L1157" s="34">
        <f t="shared" si="74"/>
        <v>0.91706643532244214</v>
      </c>
      <c r="M1157" s="34">
        <f t="shared" si="75"/>
        <v>0.90862775358618342</v>
      </c>
    </row>
    <row r="1158" spans="1:13" ht="27.6">
      <c r="A1158" t="s">
        <v>164</v>
      </c>
      <c r="B1158" t="s">
        <v>112</v>
      </c>
      <c r="C1158" s="14" t="s">
        <v>294</v>
      </c>
      <c r="D1158" t="s">
        <v>112</v>
      </c>
      <c r="E1158" t="s">
        <v>383</v>
      </c>
      <c r="F1158" s="20">
        <v>2027</v>
      </c>
      <c r="G1158" s="20">
        <v>66</v>
      </c>
      <c r="H1158" s="11">
        <v>21096.239936088801</v>
      </c>
      <c r="I1158" s="10">
        <v>2120436.6516516702</v>
      </c>
      <c r="J1158" s="34">
        <f t="shared" si="72"/>
        <v>9.9490073988564211E-3</v>
      </c>
      <c r="K1158" s="34">
        <f t="shared" si="73"/>
        <v>9.8996797473391851E-3</v>
      </c>
      <c r="L1158" s="34">
        <f t="shared" si="74"/>
        <v>0.90862775358618342</v>
      </c>
      <c r="M1158" s="34">
        <f t="shared" si="75"/>
        <v>0.89963262981613601</v>
      </c>
    </row>
    <row r="1159" spans="1:13" ht="27.6">
      <c r="A1159" t="s">
        <v>164</v>
      </c>
      <c r="B1159" t="s">
        <v>112</v>
      </c>
      <c r="C1159" s="14" t="s">
        <v>294</v>
      </c>
      <c r="D1159" t="s">
        <v>112</v>
      </c>
      <c r="E1159" t="s">
        <v>383</v>
      </c>
      <c r="F1159" s="20">
        <v>2027</v>
      </c>
      <c r="G1159" s="20">
        <v>67</v>
      </c>
      <c r="H1159" s="11">
        <v>21610.869077130701</v>
      </c>
      <c r="I1159" s="10">
        <v>1988089.43110004</v>
      </c>
      <c r="J1159" s="34">
        <f t="shared" si="72"/>
        <v>1.0870169489897183E-2</v>
      </c>
      <c r="K1159" s="34">
        <f t="shared" si="73"/>
        <v>1.0811302687973812E-2</v>
      </c>
      <c r="L1159" s="34">
        <f t="shared" si="74"/>
        <v>0.89963262981613601</v>
      </c>
      <c r="M1159" s="34">
        <f t="shared" si="75"/>
        <v>0.88990642914721585</v>
      </c>
    </row>
    <row r="1160" spans="1:13" ht="27.6">
      <c r="A1160" t="s">
        <v>164</v>
      </c>
      <c r="B1160" t="s">
        <v>112</v>
      </c>
      <c r="C1160" s="14" t="s">
        <v>294</v>
      </c>
      <c r="D1160" t="s">
        <v>112</v>
      </c>
      <c r="E1160" t="s">
        <v>383</v>
      </c>
      <c r="F1160" s="20">
        <v>2027</v>
      </c>
      <c r="G1160" s="20">
        <v>68</v>
      </c>
      <c r="H1160" s="11">
        <v>21973.890528031701</v>
      </c>
      <c r="I1160" s="10">
        <v>1851513.95264498</v>
      </c>
      <c r="J1160" s="34">
        <f t="shared" si="72"/>
        <v>1.186806639865765E-2</v>
      </c>
      <c r="K1160" s="34">
        <f t="shared" si="73"/>
        <v>1.1797918678805974E-2</v>
      </c>
      <c r="L1160" s="34">
        <f t="shared" si="74"/>
        <v>0.88990642914721585</v>
      </c>
      <c r="M1160" s="34">
        <f t="shared" si="75"/>
        <v>0.87940738546439035</v>
      </c>
    </row>
    <row r="1161" spans="1:13" ht="27.6">
      <c r="A1161" t="s">
        <v>164</v>
      </c>
      <c r="B1161" t="s">
        <v>112</v>
      </c>
      <c r="C1161" s="14" t="s">
        <v>294</v>
      </c>
      <c r="D1161" t="s">
        <v>112</v>
      </c>
      <c r="E1161" t="s">
        <v>383</v>
      </c>
      <c r="F1161" s="20">
        <v>2027</v>
      </c>
      <c r="G1161" s="20">
        <v>69</v>
      </c>
      <c r="H1161" s="11">
        <v>20450.649228889099</v>
      </c>
      <c r="I1161" s="10">
        <v>1720934.9946472601</v>
      </c>
      <c r="J1161" s="34">
        <f t="shared" si="72"/>
        <v>1.1883452479319748E-2</v>
      </c>
      <c r="K1161" s="34">
        <f t="shared" si="73"/>
        <v>1.1813123118771029E-2</v>
      </c>
      <c r="L1161" s="34">
        <f t="shared" si="74"/>
        <v>0.87940738546439035</v>
      </c>
      <c r="M1161" s="34">
        <f t="shared" si="75"/>
        <v>0.86901883774834299</v>
      </c>
    </row>
    <row r="1162" spans="1:13" ht="27.6">
      <c r="A1162" t="s">
        <v>164</v>
      </c>
      <c r="B1162" t="s">
        <v>112</v>
      </c>
      <c r="C1162" s="14" t="s">
        <v>294</v>
      </c>
      <c r="D1162" t="s">
        <v>112</v>
      </c>
      <c r="E1162" t="s">
        <v>383</v>
      </c>
      <c r="F1162" s="20">
        <v>2028</v>
      </c>
      <c r="G1162" s="20">
        <v>30</v>
      </c>
      <c r="H1162" s="11">
        <v>898.87247386899605</v>
      </c>
      <c r="I1162" s="10">
        <v>4433727.3498469302</v>
      </c>
      <c r="J1162" s="34">
        <f t="shared" si="72"/>
        <v>2.0273517132261837E-4</v>
      </c>
      <c r="K1162" s="34">
        <f t="shared" si="73"/>
        <v>2.0271462193643952E-4</v>
      </c>
      <c r="L1162" s="34">
        <f t="shared" si="74"/>
        <v>1</v>
      </c>
      <c r="M1162" s="34">
        <f t="shared" si="75"/>
        <v>0.99979728537806356</v>
      </c>
    </row>
    <row r="1163" spans="1:13" ht="27.6">
      <c r="A1163" t="s">
        <v>164</v>
      </c>
      <c r="B1163" t="s">
        <v>112</v>
      </c>
      <c r="C1163" s="14" t="s">
        <v>294</v>
      </c>
      <c r="D1163" t="s">
        <v>112</v>
      </c>
      <c r="E1163" t="s">
        <v>383</v>
      </c>
      <c r="F1163" s="20">
        <v>2028</v>
      </c>
      <c r="G1163" s="20">
        <v>31</v>
      </c>
      <c r="H1163" s="11">
        <v>1301.33911737682</v>
      </c>
      <c r="I1163" s="10">
        <v>4431466.71091469</v>
      </c>
      <c r="J1163" s="34">
        <f t="shared" si="72"/>
        <v>2.9365878212999442E-4</v>
      </c>
      <c r="K1163" s="34">
        <f t="shared" si="73"/>
        <v>2.9361566861019206E-4</v>
      </c>
      <c r="L1163" s="34">
        <f t="shared" si="74"/>
        <v>0.99979728537806356</v>
      </c>
      <c r="M1163" s="34">
        <f t="shared" si="75"/>
        <v>0.99950372922964259</v>
      </c>
    </row>
    <row r="1164" spans="1:13" ht="27.6">
      <c r="A1164" t="s">
        <v>164</v>
      </c>
      <c r="B1164" t="s">
        <v>112</v>
      </c>
      <c r="C1164" s="14" t="s">
        <v>294</v>
      </c>
      <c r="D1164" t="s">
        <v>112</v>
      </c>
      <c r="E1164" t="s">
        <v>383</v>
      </c>
      <c r="F1164" s="20">
        <v>2028</v>
      </c>
      <c r="G1164" s="20">
        <v>32</v>
      </c>
      <c r="H1164" s="11">
        <v>1317.53492835004</v>
      </c>
      <c r="I1164" s="10">
        <v>4370032.7253287695</v>
      </c>
      <c r="J1164" s="34">
        <f t="shared" si="72"/>
        <v>3.0149314917336648E-4</v>
      </c>
      <c r="K1164" s="34">
        <f t="shared" si="73"/>
        <v>3.0144770468110149E-4</v>
      </c>
      <c r="L1164" s="34">
        <f t="shared" si="74"/>
        <v>0.99950372922964259</v>
      </c>
      <c r="M1164" s="34">
        <f t="shared" si="75"/>
        <v>0.99920243112464613</v>
      </c>
    </row>
    <row r="1165" spans="1:13" ht="27.6">
      <c r="A1165" t="s">
        <v>164</v>
      </c>
      <c r="B1165" t="s">
        <v>112</v>
      </c>
      <c r="C1165" s="14" t="s">
        <v>294</v>
      </c>
      <c r="D1165" t="s">
        <v>112</v>
      </c>
      <c r="E1165" t="s">
        <v>383</v>
      </c>
      <c r="F1165" s="20">
        <v>2028</v>
      </c>
      <c r="G1165" s="20">
        <v>33</v>
      </c>
      <c r="H1165" s="11">
        <v>1351.58715469916</v>
      </c>
      <c r="I1165" s="10">
        <v>4306735.0834897198</v>
      </c>
      <c r="J1165" s="34">
        <f t="shared" si="72"/>
        <v>3.1383104103166188E-4</v>
      </c>
      <c r="K1165" s="34">
        <f t="shared" si="73"/>
        <v>3.1378180122165755E-4</v>
      </c>
      <c r="L1165" s="34">
        <f t="shared" si="74"/>
        <v>0.99920243112464613</v>
      </c>
      <c r="M1165" s="34">
        <f t="shared" si="75"/>
        <v>0.99888889958602278</v>
      </c>
    </row>
    <row r="1166" spans="1:13" ht="27.6">
      <c r="A1166" t="s">
        <v>164</v>
      </c>
      <c r="B1166" t="s">
        <v>112</v>
      </c>
      <c r="C1166" s="14" t="s">
        <v>294</v>
      </c>
      <c r="D1166" t="s">
        <v>112</v>
      </c>
      <c r="E1166" t="s">
        <v>383</v>
      </c>
      <c r="F1166" s="20">
        <v>2028</v>
      </c>
      <c r="G1166" s="20">
        <v>34</v>
      </c>
      <c r="H1166" s="11">
        <v>1405.1864848539501</v>
      </c>
      <c r="I1166" s="10">
        <v>4253201.0947688902</v>
      </c>
      <c r="J1166" s="34">
        <f t="shared" si="72"/>
        <v>3.303832698111127E-4</v>
      </c>
      <c r="K1166" s="34">
        <f t="shared" si="73"/>
        <v>3.3032869926852282E-4</v>
      </c>
      <c r="L1166" s="34">
        <f t="shared" si="74"/>
        <v>0.99888889958602278</v>
      </c>
      <c r="M1166" s="34">
        <f t="shared" si="75"/>
        <v>0.99855893791510875</v>
      </c>
    </row>
    <row r="1167" spans="1:13" ht="27.6">
      <c r="A1167" t="s">
        <v>164</v>
      </c>
      <c r="B1167" t="s">
        <v>112</v>
      </c>
      <c r="C1167" s="14" t="s">
        <v>294</v>
      </c>
      <c r="D1167" t="s">
        <v>112</v>
      </c>
      <c r="E1167" t="s">
        <v>383</v>
      </c>
      <c r="F1167" s="20">
        <v>2028</v>
      </c>
      <c r="G1167" s="20">
        <v>35</v>
      </c>
      <c r="H1167" s="11">
        <v>1497.6628444169501</v>
      </c>
      <c r="I1167" s="10">
        <v>4202398.3087323196</v>
      </c>
      <c r="J1167" s="34">
        <f t="shared" si="72"/>
        <v>3.5638288767271314E-4</v>
      </c>
      <c r="K1167" s="34">
        <f t="shared" si="73"/>
        <v>3.5631939083469177E-4</v>
      </c>
      <c r="L1167" s="34">
        <f t="shared" si="74"/>
        <v>0.99855893791510875</v>
      </c>
      <c r="M1167" s="34">
        <f t="shared" si="75"/>
        <v>0.99820313200263833</v>
      </c>
    </row>
    <row r="1168" spans="1:13" ht="27.6">
      <c r="A1168" t="s">
        <v>164</v>
      </c>
      <c r="B1168" t="s">
        <v>112</v>
      </c>
      <c r="C1168" s="14" t="s">
        <v>294</v>
      </c>
      <c r="D1168" t="s">
        <v>112</v>
      </c>
      <c r="E1168" t="s">
        <v>383</v>
      </c>
      <c r="F1168" s="20">
        <v>2028</v>
      </c>
      <c r="G1168" s="20">
        <v>36</v>
      </c>
      <c r="H1168" s="11">
        <v>1986.7825592998399</v>
      </c>
      <c r="I1168" s="10">
        <v>4186848.8580783498</v>
      </c>
      <c r="J1168" s="34">
        <f t="shared" si="72"/>
        <v>4.7452932423543929E-4</v>
      </c>
      <c r="K1168" s="34">
        <f t="shared" si="73"/>
        <v>4.7441675300252673E-4</v>
      </c>
      <c r="L1168" s="34">
        <f t="shared" si="74"/>
        <v>0.99820313200263833</v>
      </c>
      <c r="M1168" s="34">
        <f t="shared" si="75"/>
        <v>0.99772956771391663</v>
      </c>
    </row>
    <row r="1169" spans="1:13" ht="27.6">
      <c r="A1169" t="s">
        <v>164</v>
      </c>
      <c r="B1169" t="s">
        <v>112</v>
      </c>
      <c r="C1169" s="14" t="s">
        <v>294</v>
      </c>
      <c r="D1169" t="s">
        <v>112</v>
      </c>
      <c r="E1169" t="s">
        <v>383</v>
      </c>
      <c r="F1169" s="20">
        <v>2028</v>
      </c>
      <c r="G1169" s="20">
        <v>37</v>
      </c>
      <c r="H1169" s="11">
        <v>2162.6456270188201</v>
      </c>
      <c r="I1169" s="10">
        <v>4165727.06387517</v>
      </c>
      <c r="J1169" s="34">
        <f t="shared" si="72"/>
        <v>5.1915202168982663E-4</v>
      </c>
      <c r="K1169" s="34">
        <f t="shared" si="73"/>
        <v>5.1901728559622384E-4</v>
      </c>
      <c r="L1169" s="34">
        <f t="shared" si="74"/>
        <v>0.99772956771391663</v>
      </c>
      <c r="M1169" s="34">
        <f t="shared" si="75"/>
        <v>0.99721172882192266</v>
      </c>
    </row>
    <row r="1170" spans="1:13" ht="27.6">
      <c r="A1170" t="s">
        <v>164</v>
      </c>
      <c r="B1170" t="s">
        <v>112</v>
      </c>
      <c r="C1170" s="14" t="s">
        <v>294</v>
      </c>
      <c r="D1170" t="s">
        <v>112</v>
      </c>
      <c r="E1170" t="s">
        <v>383</v>
      </c>
      <c r="F1170" s="20">
        <v>2028</v>
      </c>
      <c r="G1170" s="20">
        <v>38</v>
      </c>
      <c r="H1170" s="11">
        <v>2364.4518695433098</v>
      </c>
      <c r="I1170" s="10">
        <v>4148184.7716322499</v>
      </c>
      <c r="J1170" s="34">
        <f t="shared" si="72"/>
        <v>5.6999675754870792E-4</v>
      </c>
      <c r="K1170" s="34">
        <f t="shared" si="73"/>
        <v>5.6983434025748014E-4</v>
      </c>
      <c r="L1170" s="34">
        <f t="shared" si="74"/>
        <v>0.99721172882192266</v>
      </c>
      <c r="M1170" s="34">
        <f t="shared" si="75"/>
        <v>0.99664348333433239</v>
      </c>
    </row>
    <row r="1171" spans="1:13" ht="27.6">
      <c r="A1171" t="s">
        <v>164</v>
      </c>
      <c r="B1171" t="s">
        <v>112</v>
      </c>
      <c r="C1171" s="14" t="s">
        <v>294</v>
      </c>
      <c r="D1171" t="s">
        <v>112</v>
      </c>
      <c r="E1171" t="s">
        <v>383</v>
      </c>
      <c r="F1171" s="20">
        <v>2028</v>
      </c>
      <c r="G1171" s="20">
        <v>39</v>
      </c>
      <c r="H1171" s="11">
        <v>2525.3046776066299</v>
      </c>
      <c r="I1171" s="10">
        <v>4153893.1110584899</v>
      </c>
      <c r="J1171" s="34">
        <f t="shared" si="72"/>
        <v>6.0793684625243879E-4</v>
      </c>
      <c r="K1171" s="34">
        <f t="shared" si="73"/>
        <v>6.0775209008989695E-4</v>
      </c>
      <c r="L1171" s="34">
        <f t="shared" si="74"/>
        <v>0.99664348333433239</v>
      </c>
      <c r="M1171" s="34">
        <f t="shared" si="75"/>
        <v>0.99603777117426151</v>
      </c>
    </row>
    <row r="1172" spans="1:13" ht="27.6">
      <c r="A1172" t="s">
        <v>164</v>
      </c>
      <c r="B1172" t="s">
        <v>112</v>
      </c>
      <c r="C1172" s="14" t="s">
        <v>294</v>
      </c>
      <c r="D1172" t="s">
        <v>112</v>
      </c>
      <c r="E1172" t="s">
        <v>383</v>
      </c>
      <c r="F1172" s="20">
        <v>2028</v>
      </c>
      <c r="G1172" s="20">
        <v>40</v>
      </c>
      <c r="H1172" s="11">
        <v>2809.5116879106599</v>
      </c>
      <c r="I1172" s="10">
        <v>4113947.3009914402</v>
      </c>
      <c r="J1172" s="34">
        <f t="shared" si="72"/>
        <v>6.8292359681748529E-4</v>
      </c>
      <c r="K1172" s="34">
        <f t="shared" si="73"/>
        <v>6.8269045757307634E-4</v>
      </c>
      <c r="L1172" s="34">
        <f t="shared" si="74"/>
        <v>0.99603777117426151</v>
      </c>
      <c r="M1172" s="34">
        <f t="shared" si="75"/>
        <v>0.99535778569249844</v>
      </c>
    </row>
    <row r="1173" spans="1:13" ht="27.6">
      <c r="A1173" t="s">
        <v>164</v>
      </c>
      <c r="B1173" t="s">
        <v>112</v>
      </c>
      <c r="C1173" s="14" t="s">
        <v>294</v>
      </c>
      <c r="D1173" t="s">
        <v>112</v>
      </c>
      <c r="E1173" t="s">
        <v>383</v>
      </c>
      <c r="F1173" s="20">
        <v>2028</v>
      </c>
      <c r="G1173" s="20">
        <v>41</v>
      </c>
      <c r="H1173" s="11">
        <v>3735.4559025675098</v>
      </c>
      <c r="I1173" s="10">
        <v>4065381.2862724098</v>
      </c>
      <c r="J1173" s="34">
        <f t="shared" si="72"/>
        <v>9.1884515609422408E-4</v>
      </c>
      <c r="K1173" s="34">
        <f t="shared" si="73"/>
        <v>9.1842314714729589E-4</v>
      </c>
      <c r="L1173" s="34">
        <f t="shared" si="74"/>
        <v>0.99535778569249844</v>
      </c>
      <c r="M1173" s="34">
        <f t="shared" si="75"/>
        <v>0.9944436260624252</v>
      </c>
    </row>
    <row r="1174" spans="1:13" ht="27.6">
      <c r="A1174" t="s">
        <v>164</v>
      </c>
      <c r="B1174" t="s">
        <v>112</v>
      </c>
      <c r="C1174" s="14" t="s">
        <v>294</v>
      </c>
      <c r="D1174" t="s">
        <v>112</v>
      </c>
      <c r="E1174" t="s">
        <v>383</v>
      </c>
      <c r="F1174" s="20">
        <v>2028</v>
      </c>
      <c r="G1174" s="20">
        <v>42</v>
      </c>
      <c r="H1174" s="11">
        <v>4216.6250645066302</v>
      </c>
      <c r="I1174" s="10">
        <v>4079109.8556754598</v>
      </c>
      <c r="J1174" s="34">
        <f t="shared" si="72"/>
        <v>1.0337120630962756E-3</v>
      </c>
      <c r="K1174" s="34">
        <f t="shared" si="73"/>
        <v>1.0331779668313334E-3</v>
      </c>
      <c r="L1174" s="34">
        <f t="shared" si="74"/>
        <v>0.9944436260624252</v>
      </c>
      <c r="M1174" s="34">
        <f t="shared" si="75"/>
        <v>0.99341618881872162</v>
      </c>
    </row>
    <row r="1175" spans="1:13" ht="27.6">
      <c r="A1175" t="s">
        <v>164</v>
      </c>
      <c r="B1175" t="s">
        <v>112</v>
      </c>
      <c r="C1175" s="14" t="s">
        <v>294</v>
      </c>
      <c r="D1175" t="s">
        <v>112</v>
      </c>
      <c r="E1175" t="s">
        <v>383</v>
      </c>
      <c r="F1175" s="20">
        <v>2028</v>
      </c>
      <c r="G1175" s="20">
        <v>43</v>
      </c>
      <c r="H1175" s="11">
        <v>4848.0366823866998</v>
      </c>
      <c r="I1175" s="10">
        <v>4150041.24256723</v>
      </c>
      <c r="J1175" s="34">
        <f t="shared" si="72"/>
        <v>1.1681900007788086E-3</v>
      </c>
      <c r="K1175" s="34">
        <f t="shared" si="73"/>
        <v>1.1675079324607873E-3</v>
      </c>
      <c r="L1175" s="34">
        <f t="shared" si="74"/>
        <v>0.99341618881872162</v>
      </c>
      <c r="M1175" s="34">
        <f t="shared" si="75"/>
        <v>0.99225636753804081</v>
      </c>
    </row>
    <row r="1176" spans="1:13" ht="27.6">
      <c r="A1176" t="s">
        <v>164</v>
      </c>
      <c r="B1176" t="s">
        <v>112</v>
      </c>
      <c r="C1176" s="14" t="s">
        <v>294</v>
      </c>
      <c r="D1176" t="s">
        <v>112</v>
      </c>
      <c r="E1176" t="s">
        <v>383</v>
      </c>
      <c r="F1176" s="20">
        <v>2028</v>
      </c>
      <c r="G1176" s="20">
        <v>44</v>
      </c>
      <c r="H1176" s="11">
        <v>5227.6736413624103</v>
      </c>
      <c r="I1176" s="10">
        <v>4179175.9498795299</v>
      </c>
      <c r="J1176" s="34">
        <f t="shared" si="72"/>
        <v>1.2508862283037174E-3</v>
      </c>
      <c r="K1176" s="34">
        <f t="shared" si="73"/>
        <v>1.2501041962373893E-3</v>
      </c>
      <c r="L1176" s="34">
        <f t="shared" si="74"/>
        <v>0.99225636753804081</v>
      </c>
      <c r="M1176" s="34">
        <f t="shared" si="75"/>
        <v>0.99101594368923829</v>
      </c>
    </row>
    <row r="1177" spans="1:13" ht="27.6">
      <c r="A1177" t="s">
        <v>164</v>
      </c>
      <c r="B1177" t="s">
        <v>112</v>
      </c>
      <c r="C1177" s="14" t="s">
        <v>294</v>
      </c>
      <c r="D1177" t="s">
        <v>112</v>
      </c>
      <c r="E1177" t="s">
        <v>383</v>
      </c>
      <c r="F1177" s="20">
        <v>2028</v>
      </c>
      <c r="G1177" s="20">
        <v>45</v>
      </c>
      <c r="H1177" s="11">
        <v>5510.9907441835703</v>
      </c>
      <c r="I1177" s="10">
        <v>4148866.7881413498</v>
      </c>
      <c r="J1177" s="34">
        <f t="shared" si="72"/>
        <v>1.3283122899813418E-3</v>
      </c>
      <c r="K1177" s="34">
        <f t="shared" si="73"/>
        <v>1.3274304736972109E-3</v>
      </c>
      <c r="L1177" s="34">
        <f t="shared" si="74"/>
        <v>0.99101594368923829</v>
      </c>
      <c r="M1177" s="34">
        <f t="shared" si="75"/>
        <v>0.98970043892566539</v>
      </c>
    </row>
    <row r="1178" spans="1:13" ht="27.6">
      <c r="A1178" t="s">
        <v>164</v>
      </c>
      <c r="B1178" t="s">
        <v>112</v>
      </c>
      <c r="C1178" s="14" t="s">
        <v>294</v>
      </c>
      <c r="D1178" t="s">
        <v>112</v>
      </c>
      <c r="E1178" t="s">
        <v>383</v>
      </c>
      <c r="F1178" s="20">
        <v>2028</v>
      </c>
      <c r="G1178" s="20">
        <v>46</v>
      </c>
      <c r="H1178" s="11">
        <v>6695.2808132029604</v>
      </c>
      <c r="I1178" s="10">
        <v>4093978.5773737901</v>
      </c>
      <c r="J1178" s="34">
        <f t="shared" si="72"/>
        <v>1.635397129385532E-3</v>
      </c>
      <c r="K1178" s="34">
        <f t="shared" si="73"/>
        <v>1.6340605961869814E-3</v>
      </c>
      <c r="L1178" s="34">
        <f t="shared" si="74"/>
        <v>0.98970043892566539</v>
      </c>
      <c r="M1178" s="34">
        <f t="shared" si="75"/>
        <v>0.98808320843638797</v>
      </c>
    </row>
    <row r="1179" spans="1:13" ht="27.6">
      <c r="A1179" t="s">
        <v>164</v>
      </c>
      <c r="B1179" t="s">
        <v>112</v>
      </c>
      <c r="C1179" s="14" t="s">
        <v>294</v>
      </c>
      <c r="D1179" t="s">
        <v>112</v>
      </c>
      <c r="E1179" t="s">
        <v>383</v>
      </c>
      <c r="F1179" s="20">
        <v>2028</v>
      </c>
      <c r="G1179" s="20">
        <v>47</v>
      </c>
      <c r="H1179" s="11">
        <v>7030.4408744079901</v>
      </c>
      <c r="I1179" s="10">
        <v>4031796.12343426</v>
      </c>
      <c r="J1179" s="34">
        <f t="shared" si="72"/>
        <v>1.7437491031712939E-3</v>
      </c>
      <c r="K1179" s="34">
        <f t="shared" si="73"/>
        <v>1.7422296560104522E-3</v>
      </c>
      <c r="L1179" s="34">
        <f t="shared" si="74"/>
        <v>0.98808320843638797</v>
      </c>
      <c r="M1179" s="34">
        <f t="shared" si="75"/>
        <v>0.98636174056804415</v>
      </c>
    </row>
    <row r="1180" spans="1:13" ht="27.6">
      <c r="A1180" t="s">
        <v>164</v>
      </c>
      <c r="B1180" t="s">
        <v>112</v>
      </c>
      <c r="C1180" s="14" t="s">
        <v>294</v>
      </c>
      <c r="D1180" t="s">
        <v>112</v>
      </c>
      <c r="E1180" t="s">
        <v>383</v>
      </c>
      <c r="F1180" s="20">
        <v>2028</v>
      </c>
      <c r="G1180" s="20">
        <v>48</v>
      </c>
      <c r="H1180" s="11">
        <v>7431.5330995833501</v>
      </c>
      <c r="I1180" s="10">
        <v>3974957.3049702998</v>
      </c>
      <c r="J1180" s="34">
        <f t="shared" si="72"/>
        <v>1.8695881564038275E-3</v>
      </c>
      <c r="K1180" s="34">
        <f t="shared" si="73"/>
        <v>1.8678415651048885E-3</v>
      </c>
      <c r="L1180" s="34">
        <f t="shared" si="74"/>
        <v>0.98636174056804415</v>
      </c>
      <c r="M1180" s="34">
        <f t="shared" si="75"/>
        <v>0.98451937311078197</v>
      </c>
    </row>
    <row r="1181" spans="1:13" ht="27.6">
      <c r="A1181" t="s">
        <v>164</v>
      </c>
      <c r="B1181" t="s">
        <v>112</v>
      </c>
      <c r="C1181" s="14" t="s">
        <v>294</v>
      </c>
      <c r="D1181" t="s">
        <v>112</v>
      </c>
      <c r="E1181" t="s">
        <v>383</v>
      </c>
      <c r="F1181" s="20">
        <v>2028</v>
      </c>
      <c r="G1181" s="20">
        <v>49</v>
      </c>
      <c r="H1181" s="11">
        <v>7666.5533669014603</v>
      </c>
      <c r="I1181" s="10">
        <v>3904532.8699262398</v>
      </c>
      <c r="J1181" s="34">
        <f t="shared" si="72"/>
        <v>1.9635007880075264E-3</v>
      </c>
      <c r="K1181" s="34">
        <f t="shared" si="73"/>
        <v>1.9615743813752307E-3</v>
      </c>
      <c r="L1181" s="34">
        <f t="shared" si="74"/>
        <v>0.98451937311078197</v>
      </c>
      <c r="M1181" s="34">
        <f t="shared" si="75"/>
        <v>0.98258816513052027</v>
      </c>
    </row>
    <row r="1182" spans="1:13" ht="27.6">
      <c r="A1182" t="s">
        <v>164</v>
      </c>
      <c r="B1182" t="s">
        <v>112</v>
      </c>
      <c r="C1182" s="14" t="s">
        <v>294</v>
      </c>
      <c r="D1182" t="s">
        <v>112</v>
      </c>
      <c r="E1182" t="s">
        <v>383</v>
      </c>
      <c r="F1182" s="20">
        <v>2028</v>
      </c>
      <c r="G1182" s="20">
        <v>50</v>
      </c>
      <c r="H1182" s="11">
        <v>7959.8027129378397</v>
      </c>
      <c r="I1182" s="10">
        <v>3809832.9534065598</v>
      </c>
      <c r="J1182" s="34">
        <f t="shared" si="72"/>
        <v>2.0892786666199072E-3</v>
      </c>
      <c r="K1182" s="34">
        <f t="shared" si="73"/>
        <v>2.0870976431328625E-3</v>
      </c>
      <c r="L1182" s="34">
        <f t="shared" si="74"/>
        <v>0.98258816513052027</v>
      </c>
      <c r="M1182" s="34">
        <f t="shared" si="75"/>
        <v>0.98053740768690612</v>
      </c>
    </row>
    <row r="1183" spans="1:13" ht="27.6">
      <c r="A1183" t="s">
        <v>164</v>
      </c>
      <c r="B1183" t="s">
        <v>112</v>
      </c>
      <c r="C1183" s="14" t="s">
        <v>294</v>
      </c>
      <c r="D1183" t="s">
        <v>112</v>
      </c>
      <c r="E1183" t="s">
        <v>383</v>
      </c>
      <c r="F1183" s="20">
        <v>2028</v>
      </c>
      <c r="G1183" s="20">
        <v>51</v>
      </c>
      <c r="H1183" s="11">
        <v>8716.5359208728205</v>
      </c>
      <c r="I1183" s="10">
        <v>3719329.4751166701</v>
      </c>
      <c r="J1183" s="34">
        <f t="shared" si="72"/>
        <v>2.3435772440136928E-3</v>
      </c>
      <c r="K1183" s="34">
        <f t="shared" si="73"/>
        <v>2.340833210900839E-3</v>
      </c>
      <c r="L1183" s="34">
        <f t="shared" si="74"/>
        <v>0.98053740768690612</v>
      </c>
      <c r="M1183" s="34">
        <f t="shared" si="75"/>
        <v>0.97824213315846198</v>
      </c>
    </row>
    <row r="1184" spans="1:13" ht="27.6">
      <c r="A1184" t="s">
        <v>164</v>
      </c>
      <c r="B1184" t="s">
        <v>112</v>
      </c>
      <c r="C1184" s="14" t="s">
        <v>294</v>
      </c>
      <c r="D1184" t="s">
        <v>112</v>
      </c>
      <c r="E1184" t="s">
        <v>383</v>
      </c>
      <c r="F1184" s="20">
        <v>2028</v>
      </c>
      <c r="G1184" s="20">
        <v>52</v>
      </c>
      <c r="H1184" s="11">
        <v>9212.2127214171705</v>
      </c>
      <c r="I1184" s="10">
        <v>3644404.0102977301</v>
      </c>
      <c r="J1184" s="34">
        <f t="shared" si="72"/>
        <v>2.52776934044274E-3</v>
      </c>
      <c r="K1184" s="34">
        <f t="shared" si="73"/>
        <v>2.5245772217366014E-3</v>
      </c>
      <c r="L1184" s="34">
        <f t="shared" si="74"/>
        <v>0.97824213315846198</v>
      </c>
      <c r="M1184" s="34">
        <f t="shared" si="75"/>
        <v>0.9757724853517471</v>
      </c>
    </row>
    <row r="1185" spans="1:13" ht="27.6">
      <c r="A1185" t="s">
        <v>164</v>
      </c>
      <c r="B1185" t="s">
        <v>112</v>
      </c>
      <c r="C1185" s="14" t="s">
        <v>294</v>
      </c>
      <c r="D1185" t="s">
        <v>112</v>
      </c>
      <c r="E1185" t="s">
        <v>383</v>
      </c>
      <c r="F1185" s="20">
        <v>2028</v>
      </c>
      <c r="G1185" s="20">
        <v>53</v>
      </c>
      <c r="H1185" s="11">
        <v>9711.8318267424493</v>
      </c>
      <c r="I1185" s="10">
        <v>3556825.9076454998</v>
      </c>
      <c r="J1185" s="34">
        <f t="shared" si="72"/>
        <v>2.7304771385820675E-3</v>
      </c>
      <c r="K1185" s="34">
        <f t="shared" si="73"/>
        <v>2.7267527764129884E-3</v>
      </c>
      <c r="L1185" s="34">
        <f t="shared" si="74"/>
        <v>0.9757724853517471</v>
      </c>
      <c r="M1185" s="34">
        <f t="shared" si="75"/>
        <v>0.9731117950181668</v>
      </c>
    </row>
    <row r="1186" spans="1:13" ht="27.6">
      <c r="A1186" t="s">
        <v>164</v>
      </c>
      <c r="B1186" t="s">
        <v>112</v>
      </c>
      <c r="C1186" s="14" t="s">
        <v>294</v>
      </c>
      <c r="D1186" t="s">
        <v>112</v>
      </c>
      <c r="E1186" t="s">
        <v>383</v>
      </c>
      <c r="F1186" s="20">
        <v>2028</v>
      </c>
      <c r="G1186" s="20">
        <v>54</v>
      </c>
      <c r="H1186" s="11">
        <v>10440.5161560837</v>
      </c>
      <c r="I1186" s="10">
        <v>3484815.9819780602</v>
      </c>
      <c r="J1186" s="34">
        <f t="shared" si="72"/>
        <v>2.996002144755267E-3</v>
      </c>
      <c r="K1186" s="34">
        <f t="shared" si="73"/>
        <v>2.991518609008148E-3</v>
      </c>
      <c r="L1186" s="34">
        <f t="shared" si="74"/>
        <v>0.9731117950181668</v>
      </c>
      <c r="M1186" s="34">
        <f t="shared" si="75"/>
        <v>0.97020071297472465</v>
      </c>
    </row>
    <row r="1187" spans="1:13" ht="27.6">
      <c r="A1187" t="s">
        <v>164</v>
      </c>
      <c r="B1187" t="s">
        <v>112</v>
      </c>
      <c r="C1187" s="14" t="s">
        <v>294</v>
      </c>
      <c r="D1187" t="s">
        <v>112</v>
      </c>
      <c r="E1187" t="s">
        <v>383</v>
      </c>
      <c r="F1187" s="20">
        <v>2028</v>
      </c>
      <c r="G1187" s="20">
        <v>55</v>
      </c>
      <c r="H1187" s="11">
        <v>11431.735773405801</v>
      </c>
      <c r="I1187" s="10">
        <v>3413170.3786377502</v>
      </c>
      <c r="J1187" s="34">
        <f t="shared" si="72"/>
        <v>3.3493012376277524E-3</v>
      </c>
      <c r="K1187" s="34">
        <f t="shared" si="73"/>
        <v>3.3436985849735201E-3</v>
      </c>
      <c r="L1187" s="34">
        <f t="shared" si="74"/>
        <v>0.97020071297472465</v>
      </c>
      <c r="M1187" s="34">
        <f t="shared" si="75"/>
        <v>0.96695665422361077</v>
      </c>
    </row>
    <row r="1188" spans="1:13" ht="27.6">
      <c r="A1188" t="s">
        <v>164</v>
      </c>
      <c r="B1188" t="s">
        <v>112</v>
      </c>
      <c r="C1188" s="14" t="s">
        <v>294</v>
      </c>
      <c r="D1188" t="s">
        <v>112</v>
      </c>
      <c r="E1188" t="s">
        <v>383</v>
      </c>
      <c r="F1188" s="20">
        <v>2028</v>
      </c>
      <c r="G1188" s="20">
        <v>56</v>
      </c>
      <c r="H1188" s="11">
        <v>12481.8407674589</v>
      </c>
      <c r="I1188" s="10">
        <v>3319722.76764757</v>
      </c>
      <c r="J1188" s="34">
        <f t="shared" si="72"/>
        <v>3.7599045586278919E-3</v>
      </c>
      <c r="K1188" s="34">
        <f t="shared" si="73"/>
        <v>3.752844968050062E-3</v>
      </c>
      <c r="L1188" s="34">
        <f t="shared" si="74"/>
        <v>0.96695665422361077</v>
      </c>
      <c r="M1188" s="34">
        <f t="shared" si="75"/>
        <v>0.96332781580948512</v>
      </c>
    </row>
    <row r="1189" spans="1:13" ht="27.6">
      <c r="A1189" t="s">
        <v>164</v>
      </c>
      <c r="B1189" t="s">
        <v>112</v>
      </c>
      <c r="C1189" s="14" t="s">
        <v>294</v>
      </c>
      <c r="D1189" t="s">
        <v>112</v>
      </c>
      <c r="E1189" t="s">
        <v>383</v>
      </c>
      <c r="F1189" s="20">
        <v>2028</v>
      </c>
      <c r="G1189" s="20">
        <v>57</v>
      </c>
      <c r="H1189" s="11">
        <v>13379.918576260099</v>
      </c>
      <c r="I1189" s="10">
        <v>3236720.75023073</v>
      </c>
      <c r="J1189" s="34">
        <f t="shared" si="72"/>
        <v>4.1337883644445728E-3</v>
      </c>
      <c r="K1189" s="34">
        <f t="shared" si="73"/>
        <v>4.1252560223380419E-3</v>
      </c>
      <c r="L1189" s="34">
        <f t="shared" si="74"/>
        <v>0.96332781580948512</v>
      </c>
      <c r="M1189" s="34">
        <f t="shared" si="75"/>
        <v>0.95935384193583129</v>
      </c>
    </row>
    <row r="1190" spans="1:13" ht="27.6">
      <c r="A1190" t="s">
        <v>164</v>
      </c>
      <c r="B1190" t="s">
        <v>112</v>
      </c>
      <c r="C1190" s="14" t="s">
        <v>294</v>
      </c>
      <c r="D1190" t="s">
        <v>112</v>
      </c>
      <c r="E1190" t="s">
        <v>383</v>
      </c>
      <c r="F1190" s="20">
        <v>2028</v>
      </c>
      <c r="G1190" s="20">
        <v>58</v>
      </c>
      <c r="H1190" s="11">
        <v>14288.6530250454</v>
      </c>
      <c r="I1190" s="10">
        <v>3151249.04242892</v>
      </c>
      <c r="J1190" s="34">
        <f t="shared" si="72"/>
        <v>4.5342823853845556E-3</v>
      </c>
      <c r="K1190" s="34">
        <f t="shared" si="73"/>
        <v>4.5240180466730173E-3</v>
      </c>
      <c r="L1190" s="34">
        <f t="shared" si="74"/>
        <v>0.95935384193583129</v>
      </c>
      <c r="M1190" s="34">
        <f t="shared" si="75"/>
        <v>0.95501370784176853</v>
      </c>
    </row>
    <row r="1191" spans="1:13" ht="27.6">
      <c r="A1191" t="s">
        <v>164</v>
      </c>
      <c r="B1191" t="s">
        <v>112</v>
      </c>
      <c r="C1191" s="14" t="s">
        <v>294</v>
      </c>
      <c r="D1191" t="s">
        <v>112</v>
      </c>
      <c r="E1191" t="s">
        <v>383</v>
      </c>
      <c r="F1191" s="20">
        <v>2028</v>
      </c>
      <c r="G1191" s="20">
        <v>59</v>
      </c>
      <c r="H1191" s="11">
        <v>14534.293591744001</v>
      </c>
      <c r="I1191" s="10">
        <v>3049708.15512816</v>
      </c>
      <c r="J1191" s="34">
        <f t="shared" si="72"/>
        <v>4.7657981854113563E-3</v>
      </c>
      <c r="K1191" s="34">
        <f t="shared" si="73"/>
        <v>4.7544597885609274E-3</v>
      </c>
      <c r="L1191" s="34">
        <f t="shared" si="74"/>
        <v>0.95501370784176853</v>
      </c>
      <c r="M1191" s="34">
        <f t="shared" si="75"/>
        <v>0.95047313357031038</v>
      </c>
    </row>
    <row r="1192" spans="1:13" ht="27.6">
      <c r="A1192" t="s">
        <v>164</v>
      </c>
      <c r="B1192" t="s">
        <v>112</v>
      </c>
      <c r="C1192" s="14" t="s">
        <v>294</v>
      </c>
      <c r="D1192" t="s">
        <v>112</v>
      </c>
      <c r="E1192" t="s">
        <v>383</v>
      </c>
      <c r="F1192" s="20">
        <v>2028</v>
      </c>
      <c r="G1192" s="20">
        <v>60</v>
      </c>
      <c r="H1192" s="11">
        <v>15210.1111604834</v>
      </c>
      <c r="I1192" s="10">
        <v>2941841.1275815102</v>
      </c>
      <c r="J1192" s="34">
        <f t="shared" si="72"/>
        <v>5.170269399621741E-3</v>
      </c>
      <c r="K1192" s="34">
        <f t="shared" si="73"/>
        <v>5.1569265620485805E-3</v>
      </c>
      <c r="L1192" s="34">
        <f t="shared" si="74"/>
        <v>0.95047313357031038</v>
      </c>
      <c r="M1192" s="34">
        <f t="shared" si="75"/>
        <v>0.94557161342128815</v>
      </c>
    </row>
    <row r="1193" spans="1:13" ht="27.6">
      <c r="A1193" t="s">
        <v>164</v>
      </c>
      <c r="B1193" t="s">
        <v>112</v>
      </c>
      <c r="C1193" s="14" t="s">
        <v>294</v>
      </c>
      <c r="D1193" t="s">
        <v>112</v>
      </c>
      <c r="E1193" t="s">
        <v>383</v>
      </c>
      <c r="F1193" s="20">
        <v>2028</v>
      </c>
      <c r="G1193" s="20">
        <v>61</v>
      </c>
      <c r="H1193" s="11">
        <v>16474.509751581299</v>
      </c>
      <c r="I1193" s="10">
        <v>2836188.2760079098</v>
      </c>
      <c r="J1193" s="34">
        <f t="shared" si="72"/>
        <v>5.8086798718349096E-3</v>
      </c>
      <c r="K1193" s="34">
        <f t="shared" si="73"/>
        <v>5.7918421084089955E-3</v>
      </c>
      <c r="L1193" s="34">
        <f t="shared" si="74"/>
        <v>0.94557161342128815</v>
      </c>
      <c r="M1193" s="34">
        <f t="shared" si="75"/>
        <v>0.94009501193415845</v>
      </c>
    </row>
    <row r="1194" spans="1:13" ht="27.6">
      <c r="A1194" t="s">
        <v>164</v>
      </c>
      <c r="B1194" t="s">
        <v>112</v>
      </c>
      <c r="C1194" s="14" t="s">
        <v>294</v>
      </c>
      <c r="D1194" t="s">
        <v>112</v>
      </c>
      <c r="E1194" t="s">
        <v>383</v>
      </c>
      <c r="F1194" s="20">
        <v>2028</v>
      </c>
      <c r="G1194" s="20">
        <v>62</v>
      </c>
      <c r="H1194" s="11">
        <v>17387.655017911198</v>
      </c>
      <c r="I1194" s="10">
        <v>2717741.5598328901</v>
      </c>
      <c r="J1194" s="34">
        <f t="shared" si="72"/>
        <v>6.3978324042630232E-3</v>
      </c>
      <c r="K1194" s="34">
        <f t="shared" si="73"/>
        <v>6.3774098510946953E-3</v>
      </c>
      <c r="L1194" s="34">
        <f t="shared" si="74"/>
        <v>0.94009501193415845</v>
      </c>
      <c r="M1194" s="34">
        <f t="shared" si="75"/>
        <v>0.93409964074408458</v>
      </c>
    </row>
    <row r="1195" spans="1:13" ht="27.6">
      <c r="A1195" t="s">
        <v>164</v>
      </c>
      <c r="B1195" t="s">
        <v>112</v>
      </c>
      <c r="C1195" s="14" t="s">
        <v>294</v>
      </c>
      <c r="D1195" t="s">
        <v>112</v>
      </c>
      <c r="E1195" t="s">
        <v>383</v>
      </c>
      <c r="F1195" s="20">
        <v>2028</v>
      </c>
      <c r="G1195" s="20">
        <v>63</v>
      </c>
      <c r="H1195" s="11">
        <v>18197.3324149486</v>
      </c>
      <c r="I1195" s="10">
        <v>2586948.4352357402</v>
      </c>
      <c r="J1195" s="34">
        <f t="shared" si="72"/>
        <v>7.0342849386135272E-3</v>
      </c>
      <c r="K1195" s="34">
        <f t="shared" si="73"/>
        <v>7.0096022652105239E-3</v>
      </c>
      <c r="L1195" s="34">
        <f t="shared" si="74"/>
        <v>0.93409964074408458</v>
      </c>
      <c r="M1195" s="34">
        <f t="shared" si="75"/>
        <v>0.92755197378639254</v>
      </c>
    </row>
    <row r="1196" spans="1:13" ht="27.6">
      <c r="A1196" t="s">
        <v>164</v>
      </c>
      <c r="B1196" t="s">
        <v>112</v>
      </c>
      <c r="C1196" s="14" t="s">
        <v>294</v>
      </c>
      <c r="D1196" t="s">
        <v>112</v>
      </c>
      <c r="E1196" t="s">
        <v>383</v>
      </c>
      <c r="F1196" s="20">
        <v>2028</v>
      </c>
      <c r="G1196" s="20">
        <v>64</v>
      </c>
      <c r="H1196" s="11">
        <v>19369.668385261099</v>
      </c>
      <c r="I1196" s="10">
        <v>2457651.2737355898</v>
      </c>
      <c r="J1196" s="34">
        <f t="shared" si="72"/>
        <v>7.8813738109473602E-3</v>
      </c>
      <c r="K1196" s="34">
        <f t="shared" si="73"/>
        <v>7.8503972171654057E-3</v>
      </c>
      <c r="L1196" s="34">
        <f t="shared" si="74"/>
        <v>0.92755197378639254</v>
      </c>
      <c r="M1196" s="34">
        <f t="shared" si="75"/>
        <v>0.92027032235260353</v>
      </c>
    </row>
    <row r="1197" spans="1:13" ht="27.6">
      <c r="A1197" t="s">
        <v>164</v>
      </c>
      <c r="B1197" t="s">
        <v>112</v>
      </c>
      <c r="C1197" s="14" t="s">
        <v>294</v>
      </c>
      <c r="D1197" t="s">
        <v>112</v>
      </c>
      <c r="E1197" t="s">
        <v>383</v>
      </c>
      <c r="F1197" s="20">
        <v>2028</v>
      </c>
      <c r="G1197" s="20">
        <v>65</v>
      </c>
      <c r="H1197" s="11">
        <v>20245.217125691601</v>
      </c>
      <c r="I1197" s="10">
        <v>2328604.6639531199</v>
      </c>
      <c r="J1197" s="34">
        <f t="shared" si="72"/>
        <v>8.6941409330180668E-3</v>
      </c>
      <c r="K1197" s="34">
        <f t="shared" si="73"/>
        <v>8.6564561809977514E-3</v>
      </c>
      <c r="L1197" s="34">
        <f t="shared" si="74"/>
        <v>0.92027032235260353</v>
      </c>
      <c r="M1197" s="34">
        <f t="shared" si="75"/>
        <v>0.91230404263248555</v>
      </c>
    </row>
    <row r="1198" spans="1:13" ht="27.6">
      <c r="A1198" t="s">
        <v>164</v>
      </c>
      <c r="B1198" t="s">
        <v>112</v>
      </c>
      <c r="C1198" s="14" t="s">
        <v>294</v>
      </c>
      <c r="D1198" t="s">
        <v>112</v>
      </c>
      <c r="E1198" t="s">
        <v>383</v>
      </c>
      <c r="F1198" s="20">
        <v>2028</v>
      </c>
      <c r="G1198" s="20">
        <v>66</v>
      </c>
      <c r="H1198" s="11">
        <v>20706.6216061468</v>
      </c>
      <c r="I1198" s="10">
        <v>2199387.97688659</v>
      </c>
      <c r="J1198" s="34">
        <f t="shared" si="72"/>
        <v>9.41471983285945E-3</v>
      </c>
      <c r="K1198" s="34">
        <f t="shared" si="73"/>
        <v>9.3705401133624688E-3</v>
      </c>
      <c r="L1198" s="34">
        <f t="shared" si="74"/>
        <v>0.91230404263248555</v>
      </c>
      <c r="M1198" s="34">
        <f t="shared" si="75"/>
        <v>0.90375526100541514</v>
      </c>
    </row>
    <row r="1199" spans="1:13" ht="27.6">
      <c r="A1199" t="s">
        <v>164</v>
      </c>
      <c r="B1199" t="s">
        <v>112</v>
      </c>
      <c r="C1199" s="14" t="s">
        <v>294</v>
      </c>
      <c r="D1199" t="s">
        <v>112</v>
      </c>
      <c r="E1199" t="s">
        <v>383</v>
      </c>
      <c r="F1199" s="20">
        <v>2028</v>
      </c>
      <c r="G1199" s="20">
        <v>67</v>
      </c>
      <c r="H1199" s="11">
        <v>21221.762909911398</v>
      </c>
      <c r="I1199" s="10">
        <v>2069499.1329892999</v>
      </c>
      <c r="J1199" s="34">
        <f t="shared" si="72"/>
        <v>1.0254540614016832E-2</v>
      </c>
      <c r="K1199" s="34">
        <f t="shared" si="73"/>
        <v>1.0202142073020948E-2</v>
      </c>
      <c r="L1199" s="34">
        <f t="shared" si="74"/>
        <v>0.90375526100541514</v>
      </c>
      <c r="M1199" s="34">
        <f t="shared" si="75"/>
        <v>0.8945350214333978</v>
      </c>
    </row>
    <row r="1200" spans="1:13" ht="27.6">
      <c r="A1200" t="s">
        <v>164</v>
      </c>
      <c r="B1200" t="s">
        <v>112</v>
      </c>
      <c r="C1200" s="14" t="s">
        <v>294</v>
      </c>
      <c r="D1200" t="s">
        <v>112</v>
      </c>
      <c r="E1200" t="s">
        <v>383</v>
      </c>
      <c r="F1200" s="20">
        <v>2028</v>
      </c>
      <c r="G1200" s="20">
        <v>68</v>
      </c>
      <c r="H1200" s="11">
        <v>21544.450380230901</v>
      </c>
      <c r="I1200" s="10">
        <v>1935805.9988158001</v>
      </c>
      <c r="J1200" s="34">
        <f t="shared" si="72"/>
        <v>1.1129447058956523E-2</v>
      </c>
      <c r="K1200" s="34">
        <f t="shared" si="73"/>
        <v>1.1067743882592462E-2</v>
      </c>
      <c r="L1200" s="34">
        <f t="shared" si="74"/>
        <v>0.8945350214333978</v>
      </c>
      <c r="M1200" s="34">
        <f t="shared" si="75"/>
        <v>0.88463453692216365</v>
      </c>
    </row>
    <row r="1201" spans="1:13" ht="27.6">
      <c r="A1201" t="s">
        <v>164</v>
      </c>
      <c r="B1201" t="s">
        <v>112</v>
      </c>
      <c r="C1201" s="14" t="s">
        <v>294</v>
      </c>
      <c r="D1201" t="s">
        <v>112</v>
      </c>
      <c r="E1201" t="s">
        <v>383</v>
      </c>
      <c r="F1201" s="20">
        <v>2028</v>
      </c>
      <c r="G1201" s="20">
        <v>69</v>
      </c>
      <c r="H1201" s="11">
        <v>20998.3480635827</v>
      </c>
      <c r="I1201" s="10">
        <v>1798222.82267403</v>
      </c>
      <c r="J1201" s="34">
        <f t="shared" si="72"/>
        <v>1.1677278143070895E-2</v>
      </c>
      <c r="K1201" s="34">
        <f t="shared" si="73"/>
        <v>1.1609363341043566E-2</v>
      </c>
      <c r="L1201" s="34">
        <f t="shared" si="74"/>
        <v>0.88463453692216365</v>
      </c>
      <c r="M1201" s="34">
        <f t="shared" si="75"/>
        <v>0.87436449315899845</v>
      </c>
    </row>
    <row r="1202" spans="1:13" ht="27.6">
      <c r="A1202" t="s">
        <v>164</v>
      </c>
      <c r="B1202" t="s">
        <v>112</v>
      </c>
      <c r="C1202" s="14" t="s">
        <v>294</v>
      </c>
      <c r="D1202" t="s">
        <v>112</v>
      </c>
      <c r="E1202" t="s">
        <v>383</v>
      </c>
      <c r="F1202" s="20">
        <v>2029</v>
      </c>
      <c r="G1202" s="20">
        <v>30</v>
      </c>
      <c r="H1202" s="11">
        <v>867.22875025551502</v>
      </c>
      <c r="I1202" s="10">
        <v>4383726.8103154004</v>
      </c>
      <c r="J1202" s="34">
        <f t="shared" si="72"/>
        <v>1.9782910472770077E-4</v>
      </c>
      <c r="K1202" s="34">
        <f t="shared" si="73"/>
        <v>1.9780953784065414E-4</v>
      </c>
      <c r="L1202" s="34">
        <f t="shared" si="74"/>
        <v>1</v>
      </c>
      <c r="M1202" s="34">
        <f t="shared" si="75"/>
        <v>0.99980219046215935</v>
      </c>
    </row>
    <row r="1203" spans="1:13" ht="27.6">
      <c r="A1203" t="s">
        <v>164</v>
      </c>
      <c r="B1203" t="s">
        <v>112</v>
      </c>
      <c r="C1203" s="14" t="s">
        <v>294</v>
      </c>
      <c r="D1203" t="s">
        <v>112</v>
      </c>
      <c r="E1203" t="s">
        <v>383</v>
      </c>
      <c r="F1203" s="20">
        <v>2029</v>
      </c>
      <c r="G1203" s="20">
        <v>31</v>
      </c>
      <c r="H1203" s="11">
        <v>1270.66569861415</v>
      </c>
      <c r="I1203" s="10">
        <v>4427570.6773077799</v>
      </c>
      <c r="J1203" s="34">
        <f t="shared" si="72"/>
        <v>2.8698936532545394E-4</v>
      </c>
      <c r="K1203" s="34">
        <f t="shared" si="73"/>
        <v>2.8694818781682674E-4</v>
      </c>
      <c r="L1203" s="34">
        <f t="shared" si="74"/>
        <v>0.99980219046215935</v>
      </c>
      <c r="M1203" s="34">
        <f t="shared" si="75"/>
        <v>0.9995152990354309</v>
      </c>
    </row>
    <row r="1204" spans="1:13" ht="27.6">
      <c r="A1204" t="s">
        <v>164</v>
      </c>
      <c r="B1204" t="s">
        <v>112</v>
      </c>
      <c r="C1204" s="14" t="s">
        <v>294</v>
      </c>
      <c r="D1204" t="s">
        <v>112</v>
      </c>
      <c r="E1204" t="s">
        <v>383</v>
      </c>
      <c r="F1204" s="20">
        <v>2029</v>
      </c>
      <c r="G1204" s="20">
        <v>32</v>
      </c>
      <c r="H1204" s="11">
        <v>1318.61033978931</v>
      </c>
      <c r="I1204" s="10">
        <v>4425180.2265840601</v>
      </c>
      <c r="J1204" s="34">
        <f t="shared" si="72"/>
        <v>2.9797890080675608E-4</v>
      </c>
      <c r="K1204" s="34">
        <f t="shared" si="73"/>
        <v>2.9793450950343914E-4</v>
      </c>
      <c r="L1204" s="34">
        <f t="shared" si="74"/>
        <v>0.9995152990354309</v>
      </c>
      <c r="M1204" s="34">
        <f t="shared" si="75"/>
        <v>0.99921750893507155</v>
      </c>
    </row>
    <row r="1205" spans="1:13" ht="27.6">
      <c r="A1205" t="s">
        <v>164</v>
      </c>
      <c r="B1205" t="s">
        <v>112</v>
      </c>
      <c r="C1205" s="14" t="s">
        <v>294</v>
      </c>
      <c r="D1205" t="s">
        <v>112</v>
      </c>
      <c r="E1205" t="s">
        <v>383</v>
      </c>
      <c r="F1205" s="20">
        <v>2029</v>
      </c>
      <c r="G1205" s="20">
        <v>33</v>
      </c>
      <c r="H1205" s="11">
        <v>1356.3338714049601</v>
      </c>
      <c r="I1205" s="10">
        <v>4363598.13996791</v>
      </c>
      <c r="J1205" s="34">
        <f t="shared" si="72"/>
        <v>3.1082923493384168E-4</v>
      </c>
      <c r="K1205" s="34">
        <f t="shared" si="73"/>
        <v>3.1078093253189554E-4</v>
      </c>
      <c r="L1205" s="34">
        <f t="shared" si="74"/>
        <v>0.99921750893507155</v>
      </c>
      <c r="M1205" s="34">
        <f t="shared" si="75"/>
        <v>0.99890697118584248</v>
      </c>
    </row>
    <row r="1206" spans="1:13" ht="27.6">
      <c r="A1206" t="s">
        <v>164</v>
      </c>
      <c r="B1206" t="s">
        <v>112</v>
      </c>
      <c r="C1206" s="14" t="s">
        <v>294</v>
      </c>
      <c r="D1206" t="s">
        <v>112</v>
      </c>
      <c r="E1206" t="s">
        <v>383</v>
      </c>
      <c r="F1206" s="20">
        <v>2029</v>
      </c>
      <c r="G1206" s="20">
        <v>34</v>
      </c>
      <c r="H1206" s="11">
        <v>1399.62306879684</v>
      </c>
      <c r="I1206" s="10">
        <v>4300103.9739494799</v>
      </c>
      <c r="J1206" s="34">
        <f t="shared" si="72"/>
        <v>3.2548586668506533E-4</v>
      </c>
      <c r="K1206" s="34">
        <f t="shared" si="73"/>
        <v>3.2543290190689689E-4</v>
      </c>
      <c r="L1206" s="34">
        <f t="shared" si="74"/>
        <v>0.99890697118584248</v>
      </c>
      <c r="M1206" s="34">
        <f t="shared" si="75"/>
        <v>0.99858189399147446</v>
      </c>
    </row>
    <row r="1207" spans="1:13" ht="27.6">
      <c r="A1207" t="s">
        <v>164</v>
      </c>
      <c r="B1207" t="s">
        <v>112</v>
      </c>
      <c r="C1207" s="14" t="s">
        <v>294</v>
      </c>
      <c r="D1207" t="s">
        <v>112</v>
      </c>
      <c r="E1207" t="s">
        <v>383</v>
      </c>
      <c r="F1207" s="20">
        <v>2029</v>
      </c>
      <c r="G1207" s="20">
        <v>35</v>
      </c>
      <c r="H1207" s="11">
        <v>1479.08477391427</v>
      </c>
      <c r="I1207" s="10">
        <v>4246300.4731892804</v>
      </c>
      <c r="J1207" s="34">
        <f t="shared" si="72"/>
        <v>3.4832315406153295E-4</v>
      </c>
      <c r="K1207" s="34">
        <f t="shared" si="73"/>
        <v>3.4826249659469788E-4</v>
      </c>
      <c r="L1207" s="34">
        <f t="shared" si="74"/>
        <v>0.99858189399147446</v>
      </c>
      <c r="M1207" s="34">
        <f t="shared" si="75"/>
        <v>0.9982341253680187</v>
      </c>
    </row>
    <row r="1208" spans="1:13" ht="27.6">
      <c r="A1208" t="s">
        <v>164</v>
      </c>
      <c r="B1208" t="s">
        <v>112</v>
      </c>
      <c r="C1208" s="14" t="s">
        <v>294</v>
      </c>
      <c r="D1208" t="s">
        <v>112</v>
      </c>
      <c r="E1208" t="s">
        <v>383</v>
      </c>
      <c r="F1208" s="20">
        <v>2029</v>
      </c>
      <c r="G1208" s="20">
        <v>36</v>
      </c>
      <c r="H1208" s="11">
        <v>1941.3971244253801</v>
      </c>
      <c r="I1208" s="10">
        <v>4195143.4565605596</v>
      </c>
      <c r="J1208" s="34">
        <f t="shared" si="72"/>
        <v>4.6277252364024246E-4</v>
      </c>
      <c r="K1208" s="34">
        <f t="shared" si="73"/>
        <v>4.6266546095174998E-4</v>
      </c>
      <c r="L1208" s="34">
        <f t="shared" si="74"/>
        <v>0.9982341253680187</v>
      </c>
      <c r="M1208" s="34">
        <f t="shared" si="75"/>
        <v>0.99777227691626758</v>
      </c>
    </row>
    <row r="1209" spans="1:13" ht="27.6">
      <c r="A1209" t="s">
        <v>164</v>
      </c>
      <c r="B1209" t="s">
        <v>112</v>
      </c>
      <c r="C1209" s="14" t="s">
        <v>294</v>
      </c>
      <c r="D1209" t="s">
        <v>112</v>
      </c>
      <c r="E1209" t="s">
        <v>383</v>
      </c>
      <c r="F1209" s="20">
        <v>2029</v>
      </c>
      <c r="G1209" s="20">
        <v>37</v>
      </c>
      <c r="H1209" s="11">
        <v>2102.4822971651602</v>
      </c>
      <c r="I1209" s="10">
        <v>4179193.2466696799</v>
      </c>
      <c r="J1209" s="34">
        <f t="shared" si="72"/>
        <v>5.0308329217381572E-4</v>
      </c>
      <c r="K1209" s="34">
        <f t="shared" si="73"/>
        <v>5.0295676699285696E-4</v>
      </c>
      <c r="L1209" s="34">
        <f t="shared" si="74"/>
        <v>0.99777227691626758</v>
      </c>
      <c r="M1209" s="34">
        <f t="shared" si="75"/>
        <v>0.99727044059767467</v>
      </c>
    </row>
    <row r="1210" spans="1:13" ht="27.6">
      <c r="A1210" t="s">
        <v>164</v>
      </c>
      <c r="B1210" t="s">
        <v>112</v>
      </c>
      <c r="C1210" s="14" t="s">
        <v>294</v>
      </c>
      <c r="D1210" t="s">
        <v>112</v>
      </c>
      <c r="E1210" t="s">
        <v>383</v>
      </c>
      <c r="F1210" s="20">
        <v>2029</v>
      </c>
      <c r="G1210" s="20">
        <v>38</v>
      </c>
      <c r="H1210" s="11">
        <v>2301.0491926363202</v>
      </c>
      <c r="I1210" s="10">
        <v>4157527.71385918</v>
      </c>
      <c r="J1210" s="34">
        <f t="shared" si="72"/>
        <v>5.534657496005953E-4</v>
      </c>
      <c r="K1210" s="34">
        <f t="shared" si="73"/>
        <v>5.5331261568536405E-4</v>
      </c>
      <c r="L1210" s="34">
        <f t="shared" si="74"/>
        <v>0.99727044059767467</v>
      </c>
      <c r="M1210" s="34">
        <f t="shared" si="75"/>
        <v>0.99671863828164187</v>
      </c>
    </row>
    <row r="1211" spans="1:13" ht="27.6">
      <c r="A1211" t="s">
        <v>164</v>
      </c>
      <c r="B1211" t="s">
        <v>112</v>
      </c>
      <c r="C1211" s="14" t="s">
        <v>294</v>
      </c>
      <c r="D1211" t="s">
        <v>112</v>
      </c>
      <c r="E1211" t="s">
        <v>383</v>
      </c>
      <c r="F1211" s="20">
        <v>2029</v>
      </c>
      <c r="G1211" s="20">
        <v>39</v>
      </c>
      <c r="H1211" s="11">
        <v>2430.6697021949199</v>
      </c>
      <c r="I1211" s="10">
        <v>4139369.9422984999</v>
      </c>
      <c r="J1211" s="34">
        <f t="shared" si="72"/>
        <v>5.8720765142465691E-4</v>
      </c>
      <c r="K1211" s="34">
        <f t="shared" si="73"/>
        <v>5.8703527875292316E-4</v>
      </c>
      <c r="L1211" s="34">
        <f t="shared" si="74"/>
        <v>0.99671863828164187</v>
      </c>
      <c r="M1211" s="34">
        <f t="shared" si="75"/>
        <v>0.99613352927797993</v>
      </c>
    </row>
    <row r="1212" spans="1:13" ht="27.6">
      <c r="A1212" t="s">
        <v>164</v>
      </c>
      <c r="B1212" t="s">
        <v>112</v>
      </c>
      <c r="C1212" s="14" t="s">
        <v>294</v>
      </c>
      <c r="D1212" t="s">
        <v>112</v>
      </c>
      <c r="E1212" t="s">
        <v>383</v>
      </c>
      <c r="F1212" s="20">
        <v>2029</v>
      </c>
      <c r="G1212" s="20">
        <v>40</v>
      </c>
      <c r="H1212" s="11">
        <v>2658.3202660335</v>
      </c>
      <c r="I1212" s="10">
        <v>4144436.9976079701</v>
      </c>
      <c r="J1212" s="34">
        <f t="shared" si="72"/>
        <v>6.414189110771362E-4</v>
      </c>
      <c r="K1212" s="34">
        <f t="shared" si="73"/>
        <v>6.4121324594224038E-4</v>
      </c>
      <c r="L1212" s="34">
        <f t="shared" si="74"/>
        <v>0.99613352927797993</v>
      </c>
      <c r="M1212" s="34">
        <f t="shared" si="75"/>
        <v>0.99549479526427975</v>
      </c>
    </row>
    <row r="1213" spans="1:13" ht="27.6">
      <c r="A1213" t="s">
        <v>164</v>
      </c>
      <c r="B1213" t="s">
        <v>112</v>
      </c>
      <c r="C1213" s="14" t="s">
        <v>294</v>
      </c>
      <c r="D1213" t="s">
        <v>112</v>
      </c>
      <c r="E1213" t="s">
        <v>383</v>
      </c>
      <c r="F1213" s="20">
        <v>2029</v>
      </c>
      <c r="G1213" s="20">
        <v>41</v>
      </c>
      <c r="H1213" s="11">
        <v>3555.8013515956</v>
      </c>
      <c r="I1213" s="10">
        <v>4103756.8820987698</v>
      </c>
      <c r="J1213" s="34">
        <f t="shared" si="72"/>
        <v>8.6647466059857551E-4</v>
      </c>
      <c r="K1213" s="34">
        <f t="shared" si="73"/>
        <v>8.6609937982806695E-4</v>
      </c>
      <c r="L1213" s="34">
        <f t="shared" si="74"/>
        <v>0.99549479526427975</v>
      </c>
      <c r="M1213" s="34">
        <f t="shared" si="75"/>
        <v>0.99463259783947933</v>
      </c>
    </row>
    <row r="1214" spans="1:13" ht="27.6">
      <c r="A1214" t="s">
        <v>164</v>
      </c>
      <c r="B1214" t="s">
        <v>112</v>
      </c>
      <c r="C1214" s="14" t="s">
        <v>294</v>
      </c>
      <c r="D1214" t="s">
        <v>112</v>
      </c>
      <c r="E1214" t="s">
        <v>383</v>
      </c>
      <c r="F1214" s="20">
        <v>2029</v>
      </c>
      <c r="G1214" s="20">
        <v>42</v>
      </c>
      <c r="H1214" s="11">
        <v>3970.0502597899699</v>
      </c>
      <c r="I1214" s="10">
        <v>4054481.6128531699</v>
      </c>
      <c r="J1214" s="34">
        <f t="shared" si="72"/>
        <v>9.7917579579210744E-4</v>
      </c>
      <c r="K1214" s="34">
        <f t="shared" si="73"/>
        <v>9.7869655960414192E-4</v>
      </c>
      <c r="L1214" s="34">
        <f t="shared" si="74"/>
        <v>0.99463259783947933</v>
      </c>
      <c r="M1214" s="34">
        <f t="shared" si="75"/>
        <v>0.99365915433790375</v>
      </c>
    </row>
    <row r="1215" spans="1:13" ht="27.6">
      <c r="A1215" t="s">
        <v>164</v>
      </c>
      <c r="B1215" t="s">
        <v>112</v>
      </c>
      <c r="C1215" s="14" t="s">
        <v>294</v>
      </c>
      <c r="D1215" t="s">
        <v>112</v>
      </c>
      <c r="E1215" t="s">
        <v>383</v>
      </c>
      <c r="F1215" s="20">
        <v>2029</v>
      </c>
      <c r="G1215" s="20">
        <v>43</v>
      </c>
      <c r="H1215" s="11">
        <v>4513.6097258126001</v>
      </c>
      <c r="I1215" s="10">
        <v>4067119.7306641601</v>
      </c>
      <c r="J1215" s="34">
        <f t="shared" si="72"/>
        <v>1.1097803912144795E-3</v>
      </c>
      <c r="K1215" s="34">
        <f t="shared" si="73"/>
        <v>1.1091648126961839E-3</v>
      </c>
      <c r="L1215" s="34">
        <f t="shared" si="74"/>
        <v>0.99365915433790375</v>
      </c>
      <c r="M1215" s="34">
        <f t="shared" si="75"/>
        <v>0.99255702256809875</v>
      </c>
    </row>
    <row r="1216" spans="1:13" ht="27.6">
      <c r="A1216" t="s">
        <v>164</v>
      </c>
      <c r="B1216" t="s">
        <v>112</v>
      </c>
      <c r="C1216" s="14" t="s">
        <v>294</v>
      </c>
      <c r="D1216" t="s">
        <v>112</v>
      </c>
      <c r="E1216" t="s">
        <v>383</v>
      </c>
      <c r="F1216" s="20">
        <v>2029</v>
      </c>
      <c r="G1216" s="20">
        <v>44</v>
      </c>
      <c r="H1216" s="11">
        <v>4900.5234190954798</v>
      </c>
      <c r="I1216" s="10">
        <v>4136611.97912869</v>
      </c>
      <c r="J1216" s="34">
        <f t="shared" si="72"/>
        <v>1.1846707991518448E-3</v>
      </c>
      <c r="K1216" s="34">
        <f t="shared" si="73"/>
        <v>1.1839693537220031E-3</v>
      </c>
      <c r="L1216" s="34">
        <f t="shared" si="74"/>
        <v>0.99255702256809875</v>
      </c>
      <c r="M1216" s="34">
        <f t="shared" si="75"/>
        <v>0.9913818654715566</v>
      </c>
    </row>
    <row r="1217" spans="1:13" ht="27.6">
      <c r="A1217" t="s">
        <v>164</v>
      </c>
      <c r="B1217" t="s">
        <v>112</v>
      </c>
      <c r="C1217" s="14" t="s">
        <v>294</v>
      </c>
      <c r="D1217" t="s">
        <v>112</v>
      </c>
      <c r="E1217" t="s">
        <v>383</v>
      </c>
      <c r="F1217" s="20">
        <v>2029</v>
      </c>
      <c r="G1217" s="20">
        <v>45</v>
      </c>
      <c r="H1217" s="11">
        <v>5423.3909359256304</v>
      </c>
      <c r="I1217" s="10">
        <v>4164543.9581750501</v>
      </c>
      <c r="J1217" s="34">
        <f t="shared" si="72"/>
        <v>1.3022772698267355E-3</v>
      </c>
      <c r="K1217" s="34">
        <f t="shared" si="73"/>
        <v>1.3014296747575482E-3</v>
      </c>
      <c r="L1217" s="34">
        <f t="shared" si="74"/>
        <v>0.9913818654715566</v>
      </c>
      <c r="M1217" s="34">
        <f t="shared" si="75"/>
        <v>0.99009165169281543</v>
      </c>
    </row>
    <row r="1218" spans="1:13" ht="27.6">
      <c r="A1218" t="s">
        <v>164</v>
      </c>
      <c r="B1218" t="s">
        <v>112</v>
      </c>
      <c r="C1218" s="14" t="s">
        <v>294</v>
      </c>
      <c r="D1218" t="s">
        <v>112</v>
      </c>
      <c r="E1218" t="s">
        <v>383</v>
      </c>
      <c r="F1218" s="20">
        <v>2029</v>
      </c>
      <c r="G1218" s="20">
        <v>46</v>
      </c>
      <c r="H1218" s="11">
        <v>6634.4089494867203</v>
      </c>
      <c r="I1218" s="10">
        <v>4133146.9143397901</v>
      </c>
      <c r="J1218" s="34">
        <f t="shared" ref="J1218:J1281" si="76">IF(I1218&gt;0,H1218/I1218,0)</f>
        <v>1.6051713348172794E-3</v>
      </c>
      <c r="K1218" s="34">
        <f t="shared" ref="K1218:K1281" si="77">1-EXP(-J1218)</f>
        <v>1.6038837363411274E-3</v>
      </c>
      <c r="L1218" s="34">
        <f t="shared" ref="L1218:L1281" si="78">IF(G1218=30,1,M1217)</f>
        <v>0.99009165169281543</v>
      </c>
      <c r="M1218" s="34">
        <f t="shared" ref="M1218:M1281" si="79">L1218*(1-K1218)</f>
        <v>0.98850365979517818</v>
      </c>
    </row>
    <row r="1219" spans="1:13" ht="27.6">
      <c r="A1219" t="s">
        <v>164</v>
      </c>
      <c r="B1219" t="s">
        <v>112</v>
      </c>
      <c r="C1219" s="14" t="s">
        <v>294</v>
      </c>
      <c r="D1219" t="s">
        <v>112</v>
      </c>
      <c r="E1219" t="s">
        <v>383</v>
      </c>
      <c r="F1219" s="20">
        <v>2029</v>
      </c>
      <c r="G1219" s="20">
        <v>47</v>
      </c>
      <c r="H1219" s="11">
        <v>7070.6162705018196</v>
      </c>
      <c r="I1219" s="10">
        <v>4077208.49515823</v>
      </c>
      <c r="J1219" s="34">
        <f t="shared" si="76"/>
        <v>1.7341806971358771E-3</v>
      </c>
      <c r="K1219" s="34">
        <f t="shared" si="77"/>
        <v>1.7326778746381555E-3</v>
      </c>
      <c r="L1219" s="34">
        <f t="shared" si="78"/>
        <v>0.98850365979517818</v>
      </c>
      <c r="M1219" s="34">
        <f t="shared" si="79"/>
        <v>0.98679090137485226</v>
      </c>
    </row>
    <row r="1220" spans="1:13" ht="27.6">
      <c r="A1220" t="s">
        <v>164</v>
      </c>
      <c r="B1220" t="s">
        <v>112</v>
      </c>
      <c r="C1220" s="14" t="s">
        <v>294</v>
      </c>
      <c r="D1220" t="s">
        <v>112</v>
      </c>
      <c r="E1220" t="s">
        <v>383</v>
      </c>
      <c r="F1220" s="20">
        <v>2029</v>
      </c>
      <c r="G1220" s="20">
        <v>48</v>
      </c>
      <c r="H1220" s="11">
        <v>7496.8957469553798</v>
      </c>
      <c r="I1220" s="10">
        <v>4013872.2283223001</v>
      </c>
      <c r="J1220" s="34">
        <f t="shared" si="76"/>
        <v>1.8677464853157266E-3</v>
      </c>
      <c r="K1220" s="34">
        <f t="shared" si="77"/>
        <v>1.8660033322739356E-3</v>
      </c>
      <c r="L1220" s="34">
        <f t="shared" si="78"/>
        <v>0.98679090137485226</v>
      </c>
      <c r="M1220" s="34">
        <f t="shared" si="79"/>
        <v>0.98494954626462916</v>
      </c>
    </row>
    <row r="1221" spans="1:13" ht="27.6">
      <c r="A1221" t="s">
        <v>164</v>
      </c>
      <c r="B1221" t="s">
        <v>112</v>
      </c>
      <c r="C1221" s="14" t="s">
        <v>294</v>
      </c>
      <c r="D1221" t="s">
        <v>112</v>
      </c>
      <c r="E1221" t="s">
        <v>383</v>
      </c>
      <c r="F1221" s="20">
        <v>2029</v>
      </c>
      <c r="G1221" s="20">
        <v>49</v>
      </c>
      <c r="H1221" s="11">
        <v>7741.5641403571599</v>
      </c>
      <c r="I1221" s="10">
        <v>3955731.46209556</v>
      </c>
      <c r="J1221" s="34">
        <f t="shared" si="76"/>
        <v>1.9570499702869222E-3</v>
      </c>
      <c r="K1221" s="34">
        <f t="shared" si="77"/>
        <v>1.9551361966476666E-3</v>
      </c>
      <c r="L1221" s="34">
        <f t="shared" si="78"/>
        <v>0.98494954626462916</v>
      </c>
      <c r="M1221" s="34">
        <f t="shared" si="79"/>
        <v>0.98302383575485552</v>
      </c>
    </row>
    <row r="1222" spans="1:13" ht="27.6">
      <c r="A1222" t="s">
        <v>164</v>
      </c>
      <c r="B1222" t="s">
        <v>112</v>
      </c>
      <c r="C1222" s="14" t="s">
        <v>294</v>
      </c>
      <c r="D1222" t="s">
        <v>112</v>
      </c>
      <c r="E1222" t="s">
        <v>383</v>
      </c>
      <c r="F1222" s="20">
        <v>2029</v>
      </c>
      <c r="G1222" s="20">
        <v>50</v>
      </c>
      <c r="H1222" s="11">
        <v>8064.3790541680901</v>
      </c>
      <c r="I1222" s="10">
        <v>3884186.3911971501</v>
      </c>
      <c r="J1222" s="34">
        <f t="shared" si="76"/>
        <v>2.0762080502739616E-3</v>
      </c>
      <c r="K1222" s="34">
        <f t="shared" si="77"/>
        <v>2.074054221196886E-3</v>
      </c>
      <c r="L1222" s="34">
        <f t="shared" si="78"/>
        <v>0.98302383575485552</v>
      </c>
      <c r="M1222" s="34">
        <f t="shared" si="79"/>
        <v>0.98098499101877101</v>
      </c>
    </row>
    <row r="1223" spans="1:13" ht="27.6">
      <c r="A1223" t="s">
        <v>164</v>
      </c>
      <c r="B1223" t="s">
        <v>112</v>
      </c>
      <c r="C1223" s="14" t="s">
        <v>294</v>
      </c>
      <c r="D1223" t="s">
        <v>112</v>
      </c>
      <c r="E1223" t="s">
        <v>383</v>
      </c>
      <c r="F1223" s="20">
        <v>2029</v>
      </c>
      <c r="G1223" s="20">
        <v>51</v>
      </c>
      <c r="H1223" s="11">
        <v>8842.12172404997</v>
      </c>
      <c r="I1223" s="10">
        <v>3788343.5099490699</v>
      </c>
      <c r="J1223" s="34">
        <f t="shared" si="76"/>
        <v>2.3340337804184084E-3</v>
      </c>
      <c r="K1223" s="34">
        <f t="shared" si="77"/>
        <v>2.3313120415296984E-3</v>
      </c>
      <c r="L1223" s="34">
        <f t="shared" si="78"/>
        <v>0.98098499101877101</v>
      </c>
      <c r="M1223" s="34">
        <f t="shared" si="79"/>
        <v>0.97869800889664904</v>
      </c>
    </row>
    <row r="1224" spans="1:13" ht="27.6">
      <c r="A1224" t="s">
        <v>164</v>
      </c>
      <c r="B1224" t="s">
        <v>112</v>
      </c>
      <c r="C1224" s="14" t="s">
        <v>294</v>
      </c>
      <c r="D1224" t="s">
        <v>112</v>
      </c>
      <c r="E1224" t="s">
        <v>383</v>
      </c>
      <c r="F1224" s="20">
        <v>2029</v>
      </c>
      <c r="G1224" s="20">
        <v>52</v>
      </c>
      <c r="H1224" s="11">
        <v>9198.1257760915705</v>
      </c>
      <c r="I1224" s="10">
        <v>3696773.89548581</v>
      </c>
      <c r="J1224" s="34">
        <f t="shared" si="76"/>
        <v>2.4881494070609915E-3</v>
      </c>
      <c r="K1224" s="34">
        <f t="shared" si="77"/>
        <v>2.4850565290377435E-3</v>
      </c>
      <c r="L1224" s="34">
        <f t="shared" si="78"/>
        <v>0.97869800889664904</v>
      </c>
      <c r="M1224" s="34">
        <f t="shared" si="79"/>
        <v>0.97626588901968414</v>
      </c>
    </row>
    <row r="1225" spans="1:13" ht="27.6">
      <c r="A1225" t="s">
        <v>164</v>
      </c>
      <c r="B1225" t="s">
        <v>112</v>
      </c>
      <c r="C1225" s="14" t="s">
        <v>294</v>
      </c>
      <c r="D1225" t="s">
        <v>112</v>
      </c>
      <c r="E1225" t="s">
        <v>383</v>
      </c>
      <c r="F1225" s="20">
        <v>2029</v>
      </c>
      <c r="G1225" s="20">
        <v>53</v>
      </c>
      <c r="H1225" s="11">
        <v>9740.0431347905705</v>
      </c>
      <c r="I1225" s="10">
        <v>3620398.2484190399</v>
      </c>
      <c r="J1225" s="34">
        <f t="shared" si="76"/>
        <v>2.6903236789057295E-3</v>
      </c>
      <c r="K1225" s="34">
        <f t="shared" si="77"/>
        <v>2.6867080013315281E-3</v>
      </c>
      <c r="L1225" s="34">
        <f t="shared" si="78"/>
        <v>0.97626588901968414</v>
      </c>
      <c r="M1225" s="34">
        <f t="shared" si="79"/>
        <v>0.97364294764422787</v>
      </c>
    </row>
    <row r="1226" spans="1:13" ht="27.6">
      <c r="A1226" t="s">
        <v>164</v>
      </c>
      <c r="B1226" t="s">
        <v>112</v>
      </c>
      <c r="C1226" s="14" t="s">
        <v>294</v>
      </c>
      <c r="D1226" t="s">
        <v>112</v>
      </c>
      <c r="E1226" t="s">
        <v>383</v>
      </c>
      <c r="F1226" s="20">
        <v>2029</v>
      </c>
      <c r="G1226" s="20">
        <v>54</v>
      </c>
      <c r="H1226" s="11">
        <v>10361.9593824002</v>
      </c>
      <c r="I1226" s="10">
        <v>3531361.5102366102</v>
      </c>
      <c r="J1226" s="34">
        <f t="shared" si="76"/>
        <v>2.9342675204346107E-3</v>
      </c>
      <c r="K1226" s="34">
        <f t="shared" si="77"/>
        <v>2.9299667650445338E-3</v>
      </c>
      <c r="L1226" s="34">
        <f t="shared" si="78"/>
        <v>0.97364294764422787</v>
      </c>
      <c r="M1226" s="34">
        <f t="shared" si="79"/>
        <v>0.97079020616661027</v>
      </c>
    </row>
    <row r="1227" spans="1:13" ht="27.6">
      <c r="A1227" t="s">
        <v>164</v>
      </c>
      <c r="B1227" t="s">
        <v>112</v>
      </c>
      <c r="C1227" s="14" t="s">
        <v>294</v>
      </c>
      <c r="D1227" t="s">
        <v>112</v>
      </c>
      <c r="E1227" t="s">
        <v>383</v>
      </c>
      <c r="F1227" s="20">
        <v>2029</v>
      </c>
      <c r="G1227" s="20">
        <v>55</v>
      </c>
      <c r="H1227" s="11">
        <v>11168.1395026094</v>
      </c>
      <c r="I1227" s="10">
        <v>3457538.87369694</v>
      </c>
      <c r="J1227" s="34">
        <f t="shared" si="76"/>
        <v>3.2300835682775634E-3</v>
      </c>
      <c r="K1227" s="34">
        <f t="shared" si="77"/>
        <v>3.2248724606295243E-3</v>
      </c>
      <c r="L1227" s="34">
        <f t="shared" si="78"/>
        <v>0.97079020616661027</v>
      </c>
      <c r="M1227" s="34">
        <f t="shared" si="79"/>
        <v>0.96765953156569473</v>
      </c>
    </row>
    <row r="1228" spans="1:13" ht="27.6">
      <c r="A1228" t="s">
        <v>164</v>
      </c>
      <c r="B1228" t="s">
        <v>112</v>
      </c>
      <c r="C1228" s="14" t="s">
        <v>294</v>
      </c>
      <c r="D1228" t="s">
        <v>112</v>
      </c>
      <c r="E1228" t="s">
        <v>383</v>
      </c>
      <c r="F1228" s="20">
        <v>2029</v>
      </c>
      <c r="G1228" s="20">
        <v>56</v>
      </c>
      <c r="H1228" s="11">
        <v>12319.7849567429</v>
      </c>
      <c r="I1228" s="10">
        <v>3383751.1177769299</v>
      </c>
      <c r="J1228" s="34">
        <f t="shared" si="76"/>
        <v>3.6408661653688054E-3</v>
      </c>
      <c r="K1228" s="34">
        <f t="shared" si="77"/>
        <v>3.6342462486655958E-3</v>
      </c>
      <c r="L1228" s="34">
        <f t="shared" si="78"/>
        <v>0.96765953156569473</v>
      </c>
      <c r="M1228" s="34">
        <f t="shared" si="79"/>
        <v>0.96414281854311656</v>
      </c>
    </row>
    <row r="1229" spans="1:13" ht="27.6">
      <c r="A1229" t="s">
        <v>164</v>
      </c>
      <c r="B1229" t="s">
        <v>112</v>
      </c>
      <c r="C1229" s="14" t="s">
        <v>294</v>
      </c>
      <c r="D1229" t="s">
        <v>112</v>
      </c>
      <c r="E1229" t="s">
        <v>383</v>
      </c>
      <c r="F1229" s="20">
        <v>2029</v>
      </c>
      <c r="G1229" s="20">
        <v>57</v>
      </c>
      <c r="H1229" s="11">
        <v>13237.1377145806</v>
      </c>
      <c r="I1229" s="10">
        <v>3288337.2546391799</v>
      </c>
      <c r="J1229" s="34">
        <f t="shared" si="76"/>
        <v>4.0254805664795088E-3</v>
      </c>
      <c r="K1229" s="34">
        <f t="shared" si="77"/>
        <v>4.017389180464126E-3</v>
      </c>
      <c r="L1229" s="34">
        <f t="shared" si="78"/>
        <v>0.96414281854311656</v>
      </c>
      <c r="M1229" s="34">
        <f t="shared" si="79"/>
        <v>0.96026948161547931</v>
      </c>
    </row>
    <row r="1230" spans="1:13" ht="27.6">
      <c r="A1230" t="s">
        <v>164</v>
      </c>
      <c r="B1230" t="s">
        <v>112</v>
      </c>
      <c r="C1230" s="14" t="s">
        <v>294</v>
      </c>
      <c r="D1230" t="s">
        <v>112</v>
      </c>
      <c r="E1230" t="s">
        <v>383</v>
      </c>
      <c r="F1230" s="20">
        <v>2029</v>
      </c>
      <c r="G1230" s="20">
        <v>58</v>
      </c>
      <c r="H1230" s="11">
        <v>14155.538550261001</v>
      </c>
      <c r="I1230" s="10">
        <v>3203210.4456318198</v>
      </c>
      <c r="J1230" s="34">
        <f t="shared" si="76"/>
        <v>4.4191721994303376E-3</v>
      </c>
      <c r="K1230" s="34">
        <f t="shared" si="77"/>
        <v>4.4094220258192873E-3</v>
      </c>
      <c r="L1230" s="34">
        <f t="shared" si="78"/>
        <v>0.96026948161547931</v>
      </c>
      <c r="M1230" s="34">
        <f t="shared" si="79"/>
        <v>0.95603524821252195</v>
      </c>
    </row>
    <row r="1231" spans="1:13" ht="27.6">
      <c r="A1231" t="s">
        <v>164</v>
      </c>
      <c r="B1231" t="s">
        <v>112</v>
      </c>
      <c r="C1231" s="14" t="s">
        <v>294</v>
      </c>
      <c r="D1231" t="s">
        <v>112</v>
      </c>
      <c r="E1231" t="s">
        <v>383</v>
      </c>
      <c r="F1231" s="20">
        <v>2029</v>
      </c>
      <c r="G1231" s="20">
        <v>59</v>
      </c>
      <c r="H1231" s="11">
        <v>14408.894699221901</v>
      </c>
      <c r="I1231" s="10">
        <v>3115546.36231951</v>
      </c>
      <c r="J1231" s="34">
        <f t="shared" si="76"/>
        <v>4.6248371950063181E-3</v>
      </c>
      <c r="K1231" s="34">
        <f t="shared" si="77"/>
        <v>4.6141591032871077E-3</v>
      </c>
      <c r="L1231" s="34">
        <f t="shared" si="78"/>
        <v>0.95603524821252195</v>
      </c>
      <c r="M1231" s="34">
        <f t="shared" si="79"/>
        <v>0.95162394946891882</v>
      </c>
    </row>
    <row r="1232" spans="1:13" ht="27.6">
      <c r="A1232" t="s">
        <v>164</v>
      </c>
      <c r="B1232" t="s">
        <v>112</v>
      </c>
      <c r="C1232" s="14" t="s">
        <v>294</v>
      </c>
      <c r="D1232" t="s">
        <v>112</v>
      </c>
      <c r="E1232" t="s">
        <v>383</v>
      </c>
      <c r="F1232" s="20">
        <v>2029</v>
      </c>
      <c r="G1232" s="20">
        <v>60</v>
      </c>
      <c r="H1232" s="11">
        <v>14853.452942395001</v>
      </c>
      <c r="I1232" s="10">
        <v>3012562.3067651498</v>
      </c>
      <c r="J1232" s="34">
        <f t="shared" si="76"/>
        <v>4.9305048094903789E-3</v>
      </c>
      <c r="K1232" s="34">
        <f t="shared" si="77"/>
        <v>4.9183698227140971E-3</v>
      </c>
      <c r="L1232" s="34">
        <f t="shared" si="78"/>
        <v>0.95162394946891882</v>
      </c>
      <c r="M1232" s="34">
        <f t="shared" si="79"/>
        <v>0.94694351095327889</v>
      </c>
    </row>
    <row r="1233" spans="1:13" ht="27.6">
      <c r="A1233" t="s">
        <v>164</v>
      </c>
      <c r="B1233" t="s">
        <v>112</v>
      </c>
      <c r="C1233" s="14" t="s">
        <v>294</v>
      </c>
      <c r="D1233" t="s">
        <v>112</v>
      </c>
      <c r="E1233" t="s">
        <v>383</v>
      </c>
      <c r="F1233" s="20">
        <v>2029</v>
      </c>
      <c r="G1233" s="20">
        <v>61</v>
      </c>
      <c r="H1233" s="11">
        <v>16021.2757903603</v>
      </c>
      <c r="I1233" s="10">
        <v>2902827.09311658</v>
      </c>
      <c r="J1233" s="34">
        <f t="shared" si="76"/>
        <v>5.5191974156336256E-3</v>
      </c>
      <c r="K1233" s="34">
        <f t="shared" si="77"/>
        <v>5.5039946274993978E-3</v>
      </c>
      <c r="L1233" s="34">
        <f t="shared" si="78"/>
        <v>0.94694351095327889</v>
      </c>
      <c r="M1233" s="34">
        <f t="shared" si="79"/>
        <v>0.94173153895644668</v>
      </c>
    </row>
    <row r="1234" spans="1:13" ht="27.6">
      <c r="A1234" t="s">
        <v>164</v>
      </c>
      <c r="B1234" t="s">
        <v>112</v>
      </c>
      <c r="C1234" s="14" t="s">
        <v>294</v>
      </c>
      <c r="D1234" t="s">
        <v>112</v>
      </c>
      <c r="E1234" t="s">
        <v>383</v>
      </c>
      <c r="F1234" s="20">
        <v>2029</v>
      </c>
      <c r="G1234" s="20">
        <v>62</v>
      </c>
      <c r="H1234" s="11">
        <v>16963.820427299099</v>
      </c>
      <c r="I1234" s="10">
        <v>2795065.6850962001</v>
      </c>
      <c r="J1234" s="34">
        <f t="shared" si="76"/>
        <v>6.0692027803687341E-3</v>
      </c>
      <c r="K1234" s="34">
        <f t="shared" si="77"/>
        <v>6.0508223727803179E-3</v>
      </c>
      <c r="L1234" s="34">
        <f t="shared" si="78"/>
        <v>0.94173153895644668</v>
      </c>
      <c r="M1234" s="34">
        <f t="shared" si="79"/>
        <v>0.93603328869137614</v>
      </c>
    </row>
    <row r="1235" spans="1:13" ht="27.6">
      <c r="A1235" t="s">
        <v>164</v>
      </c>
      <c r="B1235" t="s">
        <v>112</v>
      </c>
      <c r="C1235" s="14" t="s">
        <v>294</v>
      </c>
      <c r="D1235" t="s">
        <v>112</v>
      </c>
      <c r="E1235" t="s">
        <v>383</v>
      </c>
      <c r="F1235" s="20">
        <v>2029</v>
      </c>
      <c r="G1235" s="20">
        <v>63</v>
      </c>
      <c r="H1235" s="11">
        <v>17870.927850603399</v>
      </c>
      <c r="I1235" s="10">
        <v>2674537.1174396402</v>
      </c>
      <c r="J1235" s="34">
        <f t="shared" si="76"/>
        <v>6.681876925197212E-3</v>
      </c>
      <c r="K1235" s="34">
        <f t="shared" si="77"/>
        <v>6.659602824121702E-3</v>
      </c>
      <c r="L1235" s="34">
        <f t="shared" si="78"/>
        <v>0.93603328869137614</v>
      </c>
      <c r="M1235" s="34">
        <f t="shared" si="79"/>
        <v>0.92979967875853509</v>
      </c>
    </row>
    <row r="1236" spans="1:13" ht="27.6">
      <c r="A1236" t="s">
        <v>164</v>
      </c>
      <c r="B1236" t="s">
        <v>112</v>
      </c>
      <c r="C1236" s="14" t="s">
        <v>294</v>
      </c>
      <c r="D1236" t="s">
        <v>112</v>
      </c>
      <c r="E1236" t="s">
        <v>383</v>
      </c>
      <c r="F1236" s="20">
        <v>2029</v>
      </c>
      <c r="G1236" s="20">
        <v>64</v>
      </c>
      <c r="H1236" s="11">
        <v>18980.876536657801</v>
      </c>
      <c r="I1236" s="10">
        <v>2541876.6970470501</v>
      </c>
      <c r="J1236" s="34">
        <f t="shared" si="76"/>
        <v>7.4672687934502378E-3</v>
      </c>
      <c r="K1236" s="34">
        <f t="shared" si="77"/>
        <v>7.4394580084236051E-3</v>
      </c>
      <c r="L1236" s="34">
        <f t="shared" si="78"/>
        <v>0.92979967875853509</v>
      </c>
      <c r="M1236" s="34">
        <f t="shared" si="79"/>
        <v>0.9228824730921652</v>
      </c>
    </row>
    <row r="1237" spans="1:13" ht="27.6">
      <c r="A1237" t="s">
        <v>164</v>
      </c>
      <c r="B1237" t="s">
        <v>112</v>
      </c>
      <c r="C1237" s="14" t="s">
        <v>294</v>
      </c>
      <c r="D1237" t="s">
        <v>112</v>
      </c>
      <c r="E1237" t="s">
        <v>383</v>
      </c>
      <c r="F1237" s="20">
        <v>2029</v>
      </c>
      <c r="G1237" s="20">
        <v>65</v>
      </c>
      <c r="H1237" s="11">
        <v>20041.148972017301</v>
      </c>
      <c r="I1237" s="10">
        <v>2410336.7057836298</v>
      </c>
      <c r="J1237" s="34">
        <f t="shared" si="76"/>
        <v>8.3146677905739652E-3</v>
      </c>
      <c r="K1237" s="34">
        <f t="shared" si="77"/>
        <v>8.2801965454850635E-3</v>
      </c>
      <c r="L1237" s="34">
        <f t="shared" si="78"/>
        <v>0.9228824730921652</v>
      </c>
      <c r="M1237" s="34">
        <f t="shared" si="79"/>
        <v>0.91524082482657876</v>
      </c>
    </row>
    <row r="1238" spans="1:13" ht="27.6">
      <c r="A1238" t="s">
        <v>164</v>
      </c>
      <c r="B1238" t="s">
        <v>112</v>
      </c>
      <c r="C1238" s="14" t="s">
        <v>294</v>
      </c>
      <c r="D1238" t="s">
        <v>112</v>
      </c>
      <c r="E1238" t="s">
        <v>383</v>
      </c>
      <c r="F1238" s="20">
        <v>2029</v>
      </c>
      <c r="G1238" s="20">
        <v>66</v>
      </c>
      <c r="H1238" s="11">
        <v>20422.982765061599</v>
      </c>
      <c r="I1238" s="10">
        <v>2279326.0211884002</v>
      </c>
      <c r="J1238" s="34">
        <f t="shared" si="76"/>
        <v>8.9600972283962327E-3</v>
      </c>
      <c r="K1238" s="34">
        <f t="shared" si="77"/>
        <v>8.9200751802388512E-3</v>
      </c>
      <c r="L1238" s="34">
        <f t="shared" si="78"/>
        <v>0.91524082482657876</v>
      </c>
      <c r="M1238" s="34">
        <f t="shared" si="79"/>
        <v>0.9070768078611019</v>
      </c>
    </row>
    <row r="1239" spans="1:13" ht="27.6">
      <c r="A1239" t="s">
        <v>164</v>
      </c>
      <c r="B1239" t="s">
        <v>112</v>
      </c>
      <c r="C1239" s="14" t="s">
        <v>294</v>
      </c>
      <c r="D1239" t="s">
        <v>112</v>
      </c>
      <c r="E1239" t="s">
        <v>383</v>
      </c>
      <c r="F1239" s="20">
        <v>2029</v>
      </c>
      <c r="G1239" s="20">
        <v>67</v>
      </c>
      <c r="H1239" s="11">
        <v>21134.4066738047</v>
      </c>
      <c r="I1239" s="10">
        <v>2148045.81156549</v>
      </c>
      <c r="J1239" s="34">
        <f t="shared" si="76"/>
        <v>9.8388994126722105E-3</v>
      </c>
      <c r="K1239" s="34">
        <f t="shared" si="77"/>
        <v>9.7906557928619797E-3</v>
      </c>
      <c r="L1239" s="34">
        <f t="shared" si="78"/>
        <v>0.9070768078611019</v>
      </c>
      <c r="M1239" s="34">
        <f t="shared" si="79"/>
        <v>0.89819593105764584</v>
      </c>
    </row>
    <row r="1240" spans="1:13" ht="27.6">
      <c r="A1240" t="s">
        <v>164</v>
      </c>
      <c r="B1240" t="s">
        <v>112</v>
      </c>
      <c r="C1240" s="14" t="s">
        <v>294</v>
      </c>
      <c r="D1240" t="s">
        <v>112</v>
      </c>
      <c r="E1240" t="s">
        <v>383</v>
      </c>
      <c r="F1240" s="20">
        <v>2029</v>
      </c>
      <c r="G1240" s="20">
        <v>68</v>
      </c>
      <c r="H1240" s="11">
        <v>21502.713743618398</v>
      </c>
      <c r="I1240" s="10">
        <v>2016665.79068925</v>
      </c>
      <c r="J1240" s="34">
        <f t="shared" si="76"/>
        <v>1.066250731424827E-2</v>
      </c>
      <c r="K1240" s="34">
        <f t="shared" si="77"/>
        <v>1.0605864280807675E-2</v>
      </c>
      <c r="L1240" s="34">
        <f t="shared" si="78"/>
        <v>0.89819593105764584</v>
      </c>
      <c r="M1240" s="34">
        <f t="shared" si="79"/>
        <v>0.88866978691527476</v>
      </c>
    </row>
    <row r="1241" spans="1:13" ht="27.6">
      <c r="A1241" t="s">
        <v>164</v>
      </c>
      <c r="B1241" t="s">
        <v>112</v>
      </c>
      <c r="C1241" s="14" t="s">
        <v>294</v>
      </c>
      <c r="D1241" t="s">
        <v>112</v>
      </c>
      <c r="E1241" t="s">
        <v>383</v>
      </c>
      <c r="F1241" s="20">
        <v>2029</v>
      </c>
      <c r="G1241" s="20">
        <v>69</v>
      </c>
      <c r="H1241" s="11">
        <v>20968.852191492599</v>
      </c>
      <c r="I1241" s="10">
        <v>1881832.38075035</v>
      </c>
      <c r="J1241" s="34">
        <f t="shared" si="76"/>
        <v>1.1142784238377071E-2</v>
      </c>
      <c r="K1241" s="34">
        <f t="shared" si="77"/>
        <v>1.1080933361571677E-2</v>
      </c>
      <c r="L1241" s="34">
        <f t="shared" si="78"/>
        <v>0.88866978691527476</v>
      </c>
      <c r="M1241" s="34">
        <f t="shared" si="79"/>
        <v>0.87882249622602449</v>
      </c>
    </row>
    <row r="1242" spans="1:13" ht="27.6">
      <c r="A1242" t="s">
        <v>164</v>
      </c>
      <c r="B1242" t="s">
        <v>112</v>
      </c>
      <c r="C1242" s="14" t="s">
        <v>294</v>
      </c>
      <c r="D1242" t="s">
        <v>112</v>
      </c>
      <c r="E1242" t="s">
        <v>383</v>
      </c>
      <c r="F1242" s="20">
        <v>2030</v>
      </c>
      <c r="G1242" s="20">
        <v>30</v>
      </c>
      <c r="H1242" s="11">
        <v>815.83747386191601</v>
      </c>
      <c r="I1242" s="10">
        <v>4336861.2736721197</v>
      </c>
      <c r="J1242" s="34">
        <f t="shared" si="76"/>
        <v>1.8811703266014958E-4</v>
      </c>
      <c r="K1242" s="34">
        <f t="shared" si="77"/>
        <v>1.8809933976060567E-4</v>
      </c>
      <c r="L1242" s="34">
        <f t="shared" si="78"/>
        <v>1</v>
      </c>
      <c r="M1242" s="34">
        <f t="shared" si="79"/>
        <v>0.99981190066023939</v>
      </c>
    </row>
    <row r="1243" spans="1:13" ht="27.6">
      <c r="A1243" t="s">
        <v>164</v>
      </c>
      <c r="B1243" t="s">
        <v>112</v>
      </c>
      <c r="C1243" s="14" t="s">
        <v>294</v>
      </c>
      <c r="D1243" t="s">
        <v>112</v>
      </c>
      <c r="E1243" t="s">
        <v>383</v>
      </c>
      <c r="F1243" s="20">
        <v>2030</v>
      </c>
      <c r="G1243" s="20">
        <v>31</v>
      </c>
      <c r="H1243" s="11">
        <v>1223.20818470619</v>
      </c>
      <c r="I1243" s="10">
        <v>4377756.20607155</v>
      </c>
      <c r="J1243" s="34">
        <f t="shared" si="76"/>
        <v>2.7941441394331449E-4</v>
      </c>
      <c r="K1243" s="34">
        <f t="shared" si="77"/>
        <v>2.7937538137146056E-4</v>
      </c>
      <c r="L1243" s="34">
        <f t="shared" si="78"/>
        <v>0.99981190066023939</v>
      </c>
      <c r="M1243" s="34">
        <f t="shared" si="79"/>
        <v>0.99953257782919269</v>
      </c>
    </row>
    <row r="1244" spans="1:13" ht="27.6">
      <c r="A1244" t="s">
        <v>164</v>
      </c>
      <c r="B1244" t="s">
        <v>112</v>
      </c>
      <c r="C1244" s="14" t="s">
        <v>294</v>
      </c>
      <c r="D1244" t="s">
        <v>112</v>
      </c>
      <c r="E1244" t="s">
        <v>383</v>
      </c>
      <c r="F1244" s="20">
        <v>2030</v>
      </c>
      <c r="G1244" s="20">
        <v>32</v>
      </c>
      <c r="H1244" s="11">
        <v>1286.98135579256</v>
      </c>
      <c r="I1244" s="10">
        <v>4421416.4718922405</v>
      </c>
      <c r="J1244" s="34">
        <f t="shared" si="76"/>
        <v>2.9107897072672021E-4</v>
      </c>
      <c r="K1244" s="34">
        <f t="shared" si="77"/>
        <v>2.9103661135321257E-4</v>
      </c>
      <c r="L1244" s="34">
        <f t="shared" si="78"/>
        <v>0.99953257782919269</v>
      </c>
      <c r="M1244" s="34">
        <f t="shared" si="79"/>
        <v>0.99924167725480417</v>
      </c>
    </row>
    <row r="1245" spans="1:13" ht="27.6">
      <c r="A1245" t="s">
        <v>164</v>
      </c>
      <c r="B1245" t="s">
        <v>112</v>
      </c>
      <c r="C1245" s="14" t="s">
        <v>294</v>
      </c>
      <c r="D1245" t="s">
        <v>112</v>
      </c>
      <c r="E1245" t="s">
        <v>383</v>
      </c>
      <c r="F1245" s="20">
        <v>2030</v>
      </c>
      <c r="G1245" s="20">
        <v>33</v>
      </c>
      <c r="H1245" s="11">
        <v>1355.5731469699699</v>
      </c>
      <c r="I1245" s="10">
        <v>4418781.4608025001</v>
      </c>
      <c r="J1245" s="34">
        <f t="shared" si="76"/>
        <v>3.0677533138825621E-4</v>
      </c>
      <c r="K1245" s="34">
        <f t="shared" si="77"/>
        <v>3.0672828064770563E-4</v>
      </c>
      <c r="L1245" s="34">
        <f t="shared" si="78"/>
        <v>0.99924167725480417</v>
      </c>
      <c r="M1245" s="34">
        <f t="shared" si="79"/>
        <v>0.99893518157318828</v>
      </c>
    </row>
    <row r="1246" spans="1:13" ht="27.6">
      <c r="A1246" t="s">
        <v>164</v>
      </c>
      <c r="B1246" t="s">
        <v>112</v>
      </c>
      <c r="C1246" s="14" t="s">
        <v>294</v>
      </c>
      <c r="D1246" t="s">
        <v>112</v>
      </c>
      <c r="E1246" t="s">
        <v>383</v>
      </c>
      <c r="F1246" s="20">
        <v>2030</v>
      </c>
      <c r="G1246" s="20">
        <v>34</v>
      </c>
      <c r="H1246" s="11">
        <v>1402.8339424911501</v>
      </c>
      <c r="I1246" s="10">
        <v>4356996.541468</v>
      </c>
      <c r="J1246" s="34">
        <f t="shared" si="76"/>
        <v>3.219727004920904E-4</v>
      </c>
      <c r="K1246" s="34">
        <f t="shared" si="77"/>
        <v>3.2192087284466098E-4</v>
      </c>
      <c r="L1246" s="34">
        <f t="shared" si="78"/>
        <v>0.99893518157318828</v>
      </c>
      <c r="M1246" s="34">
        <f t="shared" si="79"/>
        <v>0.99861360348762096</v>
      </c>
    </row>
    <row r="1247" spans="1:13" ht="27.6">
      <c r="A1247" t="s">
        <v>164</v>
      </c>
      <c r="B1247" t="s">
        <v>112</v>
      </c>
      <c r="C1247" s="14" t="s">
        <v>294</v>
      </c>
      <c r="D1247" t="s">
        <v>112</v>
      </c>
      <c r="E1247" t="s">
        <v>383</v>
      </c>
      <c r="F1247" s="20">
        <v>2030</v>
      </c>
      <c r="G1247" s="20">
        <v>35</v>
      </c>
      <c r="H1247" s="11">
        <v>1472.08939612685</v>
      </c>
      <c r="I1247" s="10">
        <v>4293256.9985283902</v>
      </c>
      <c r="J1247" s="34">
        <f t="shared" si="76"/>
        <v>3.4288406136214107E-4</v>
      </c>
      <c r="K1247" s="34">
        <f t="shared" si="77"/>
        <v>3.4282528334061979E-4</v>
      </c>
      <c r="L1247" s="34">
        <f t="shared" si="78"/>
        <v>0.99861360348762096</v>
      </c>
      <c r="M1247" s="34">
        <f t="shared" si="79"/>
        <v>0.9982712534960575</v>
      </c>
    </row>
    <row r="1248" spans="1:13" ht="27.6">
      <c r="A1248" t="s">
        <v>164</v>
      </c>
      <c r="B1248" t="s">
        <v>112</v>
      </c>
      <c r="C1248" s="14" t="s">
        <v>294</v>
      </c>
      <c r="D1248" t="s">
        <v>112</v>
      </c>
      <c r="E1248" t="s">
        <v>383</v>
      </c>
      <c r="F1248" s="20">
        <v>2030</v>
      </c>
      <c r="G1248" s="20">
        <v>36</v>
      </c>
      <c r="H1248" s="11">
        <v>1909.1914790595999</v>
      </c>
      <c r="I1248" s="10">
        <v>4239115.4263329701</v>
      </c>
      <c r="J1248" s="34">
        <f t="shared" si="76"/>
        <v>4.5037496907960781E-4</v>
      </c>
      <c r="K1248" s="34">
        <f t="shared" si="77"/>
        <v>4.5027356549698361E-4</v>
      </c>
      <c r="L1248" s="34">
        <f t="shared" si="78"/>
        <v>0.9982712534960575</v>
      </c>
      <c r="M1248" s="34">
        <f t="shared" si="79"/>
        <v>0.99782175833941267</v>
      </c>
    </row>
    <row r="1249" spans="1:13" ht="27.6">
      <c r="A1249" t="s">
        <v>164</v>
      </c>
      <c r="B1249" t="s">
        <v>112</v>
      </c>
      <c r="C1249" s="14" t="s">
        <v>294</v>
      </c>
      <c r="D1249" t="s">
        <v>112</v>
      </c>
      <c r="E1249" t="s">
        <v>383</v>
      </c>
      <c r="F1249" s="20">
        <v>2030</v>
      </c>
      <c r="G1249" s="20">
        <v>37</v>
      </c>
      <c r="H1249" s="11">
        <v>2055.82456112009</v>
      </c>
      <c r="I1249" s="10">
        <v>4187631.1704435698</v>
      </c>
      <c r="J1249" s="34">
        <f t="shared" si="76"/>
        <v>4.9092780081258427E-4</v>
      </c>
      <c r="K1249" s="34">
        <f t="shared" si="77"/>
        <v>4.9080731547712642E-4</v>
      </c>
      <c r="L1249" s="34">
        <f t="shared" si="78"/>
        <v>0.99782175833941267</v>
      </c>
      <c r="M1249" s="34">
        <f t="shared" si="79"/>
        <v>0.9973320201208774</v>
      </c>
    </row>
    <row r="1250" spans="1:13" ht="27.6">
      <c r="A1250" t="s">
        <v>164</v>
      </c>
      <c r="B1250" t="s">
        <v>112</v>
      </c>
      <c r="C1250" s="14" t="s">
        <v>294</v>
      </c>
      <c r="D1250" t="s">
        <v>112</v>
      </c>
      <c r="E1250" t="s">
        <v>383</v>
      </c>
      <c r="F1250" s="20">
        <v>2030</v>
      </c>
      <c r="G1250" s="20">
        <v>38</v>
      </c>
      <c r="H1250" s="11">
        <v>2239.90762175909</v>
      </c>
      <c r="I1250" s="10">
        <v>4171146.2311496101</v>
      </c>
      <c r="J1250" s="34">
        <f t="shared" si="76"/>
        <v>5.3700050241147954E-4</v>
      </c>
      <c r="K1250" s="34">
        <f t="shared" si="77"/>
        <v>5.3685634344735611E-4</v>
      </c>
      <c r="L1250" s="34">
        <f t="shared" si="78"/>
        <v>0.9973320201208774</v>
      </c>
      <c r="M1250" s="34">
        <f t="shared" si="79"/>
        <v>0.99679659609935234</v>
      </c>
    </row>
    <row r="1251" spans="1:13" ht="27.6">
      <c r="A1251" t="s">
        <v>164</v>
      </c>
      <c r="B1251" t="s">
        <v>112</v>
      </c>
      <c r="C1251" s="14" t="s">
        <v>294</v>
      </c>
      <c r="D1251" t="s">
        <v>112</v>
      </c>
      <c r="E1251" t="s">
        <v>383</v>
      </c>
      <c r="F1251" s="20">
        <v>2030</v>
      </c>
      <c r="G1251" s="20">
        <v>39</v>
      </c>
      <c r="H1251" s="11">
        <v>2368.1309667066798</v>
      </c>
      <c r="I1251" s="10">
        <v>4148879.1264448501</v>
      </c>
      <c r="J1251" s="34">
        <f t="shared" si="76"/>
        <v>5.7078813205529977E-4</v>
      </c>
      <c r="K1251" s="34">
        <f t="shared" si="77"/>
        <v>5.7062526349871412E-4</v>
      </c>
      <c r="L1251" s="34">
        <f t="shared" si="78"/>
        <v>0.99679659609935234</v>
      </c>
      <c r="M1251" s="34">
        <f t="shared" si="79"/>
        <v>0.99622779877904855</v>
      </c>
    </row>
    <row r="1252" spans="1:13" ht="27.6">
      <c r="A1252" t="s">
        <v>164</v>
      </c>
      <c r="B1252" t="s">
        <v>112</v>
      </c>
      <c r="C1252" s="14" t="s">
        <v>294</v>
      </c>
      <c r="D1252" t="s">
        <v>112</v>
      </c>
      <c r="E1252" t="s">
        <v>383</v>
      </c>
      <c r="F1252" s="20">
        <v>2030</v>
      </c>
      <c r="G1252" s="20">
        <v>40</v>
      </c>
      <c r="H1252" s="11">
        <v>2563.4597785358701</v>
      </c>
      <c r="I1252" s="10">
        <v>4130156.71919809</v>
      </c>
      <c r="J1252" s="34">
        <f t="shared" si="76"/>
        <v>6.2066888808848654E-4</v>
      </c>
      <c r="K1252" s="34">
        <f t="shared" si="77"/>
        <v>6.2047631299799733E-4</v>
      </c>
      <c r="L1252" s="34">
        <f t="shared" si="78"/>
        <v>0.99622779877904855</v>
      </c>
      <c r="M1252" s="34">
        <f t="shared" si="79"/>
        <v>0.99560966302755605</v>
      </c>
    </row>
    <row r="1253" spans="1:13" ht="27.6">
      <c r="A1253" t="s">
        <v>164</v>
      </c>
      <c r="B1253" t="s">
        <v>112</v>
      </c>
      <c r="C1253" s="14" t="s">
        <v>294</v>
      </c>
      <c r="D1253" t="s">
        <v>112</v>
      </c>
      <c r="E1253" t="s">
        <v>383</v>
      </c>
      <c r="F1253" s="20">
        <v>2030</v>
      </c>
      <c r="G1253" s="20">
        <v>41</v>
      </c>
      <c r="H1253" s="11">
        <v>3375.0893594834602</v>
      </c>
      <c r="I1253" s="10">
        <v>4134472.8512057099</v>
      </c>
      <c r="J1253" s="34">
        <f t="shared" si="76"/>
        <v>8.1632882375783512E-4</v>
      </c>
      <c r="K1253" s="34">
        <f t="shared" si="77"/>
        <v>8.1599571803103732E-4</v>
      </c>
      <c r="L1253" s="34">
        <f t="shared" si="78"/>
        <v>0.99560966302755605</v>
      </c>
      <c r="M1253" s="34">
        <f t="shared" si="79"/>
        <v>0.99479724980569528</v>
      </c>
    </row>
    <row r="1254" spans="1:13" ht="27.6">
      <c r="A1254" t="s">
        <v>164</v>
      </c>
      <c r="B1254" t="s">
        <v>112</v>
      </c>
      <c r="C1254" s="14" t="s">
        <v>294</v>
      </c>
      <c r="D1254" t="s">
        <v>112</v>
      </c>
      <c r="E1254" t="s">
        <v>383</v>
      </c>
      <c r="F1254" s="20">
        <v>2030</v>
      </c>
      <c r="G1254" s="20">
        <v>42</v>
      </c>
      <c r="H1254" s="11">
        <v>3794.3767932462301</v>
      </c>
      <c r="I1254" s="10">
        <v>4093099.1389481998</v>
      </c>
      <c r="J1254" s="34">
        <f t="shared" si="76"/>
        <v>9.2701805268788774E-4</v>
      </c>
      <c r="K1254" s="34">
        <f t="shared" si="77"/>
        <v>9.2658850419624628E-4</v>
      </c>
      <c r="L1254" s="34">
        <f t="shared" si="78"/>
        <v>0.99479724980569528</v>
      </c>
      <c r="M1254" s="34">
        <f t="shared" si="79"/>
        <v>0.9938754821100193</v>
      </c>
    </row>
    <row r="1255" spans="1:13" ht="27.6">
      <c r="A1255" t="s">
        <v>164</v>
      </c>
      <c r="B1255" t="s">
        <v>112</v>
      </c>
      <c r="C1255" s="14" t="s">
        <v>294</v>
      </c>
      <c r="D1255" t="s">
        <v>112</v>
      </c>
      <c r="E1255" t="s">
        <v>383</v>
      </c>
      <c r="F1255" s="20">
        <v>2030</v>
      </c>
      <c r="G1255" s="20">
        <v>43</v>
      </c>
      <c r="H1255" s="11">
        <v>4265.3994658055799</v>
      </c>
      <c r="I1255" s="10">
        <v>4042924.4273316399</v>
      </c>
      <c r="J1255" s="34">
        <f t="shared" si="76"/>
        <v>1.0550282456357402E-3</v>
      </c>
      <c r="K1255" s="34">
        <f t="shared" si="77"/>
        <v>1.0544718990072033E-3</v>
      </c>
      <c r="L1255" s="34">
        <f t="shared" si="78"/>
        <v>0.9938754821100193</v>
      </c>
      <c r="M1255" s="34">
        <f t="shared" si="79"/>
        <v>0.99282746834302205</v>
      </c>
    </row>
    <row r="1256" spans="1:13" ht="27.6">
      <c r="A1256" t="s">
        <v>164</v>
      </c>
      <c r="B1256" t="s">
        <v>112</v>
      </c>
      <c r="C1256" s="14" t="s">
        <v>294</v>
      </c>
      <c r="D1256" t="s">
        <v>112</v>
      </c>
      <c r="E1256" t="s">
        <v>383</v>
      </c>
      <c r="F1256" s="20">
        <v>2030</v>
      </c>
      <c r="G1256" s="20">
        <v>44</v>
      </c>
      <c r="H1256" s="11">
        <v>4578.8364445741499</v>
      </c>
      <c r="I1256" s="10">
        <v>4054344.9611101002</v>
      </c>
      <c r="J1256" s="34">
        <f t="shared" si="76"/>
        <v>1.1293652830469663E-3</v>
      </c>
      <c r="K1256" s="34">
        <f t="shared" si="77"/>
        <v>1.1287277900857706E-3</v>
      </c>
      <c r="L1256" s="34">
        <f t="shared" si="78"/>
        <v>0.99282746834302205</v>
      </c>
      <c r="M1256" s="34">
        <f t="shared" si="79"/>
        <v>0.9917068363887428</v>
      </c>
    </row>
    <row r="1257" spans="1:13" ht="27.6">
      <c r="A1257" t="s">
        <v>164</v>
      </c>
      <c r="B1257" t="s">
        <v>112</v>
      </c>
      <c r="C1257" s="14" t="s">
        <v>294</v>
      </c>
      <c r="D1257" t="s">
        <v>112</v>
      </c>
      <c r="E1257" t="s">
        <v>383</v>
      </c>
      <c r="F1257" s="20">
        <v>2030</v>
      </c>
      <c r="G1257" s="20">
        <v>45</v>
      </c>
      <c r="H1257" s="11">
        <v>5104.1614355146303</v>
      </c>
      <c r="I1257" s="10">
        <v>4122567.4291574</v>
      </c>
      <c r="J1257" s="34">
        <f t="shared" si="76"/>
        <v>1.2381025958277305E-3</v>
      </c>
      <c r="K1257" s="34">
        <f t="shared" si="77"/>
        <v>1.2373364630251515E-3</v>
      </c>
      <c r="L1257" s="34">
        <f t="shared" si="78"/>
        <v>0.9917068363887428</v>
      </c>
      <c r="M1257" s="34">
        <f t="shared" si="79"/>
        <v>0.99047976135944771</v>
      </c>
    </row>
    <row r="1258" spans="1:13" ht="27.6">
      <c r="A1258" t="s">
        <v>164</v>
      </c>
      <c r="B1258" t="s">
        <v>112</v>
      </c>
      <c r="C1258" s="14" t="s">
        <v>294</v>
      </c>
      <c r="D1258" t="s">
        <v>112</v>
      </c>
      <c r="E1258" t="s">
        <v>383</v>
      </c>
      <c r="F1258" s="20">
        <v>2030</v>
      </c>
      <c r="G1258" s="20">
        <v>46</v>
      </c>
      <c r="H1258" s="11">
        <v>6531.0855394135697</v>
      </c>
      <c r="I1258" s="10">
        <v>4149063.7567598899</v>
      </c>
      <c r="J1258" s="34">
        <f t="shared" si="76"/>
        <v>1.5741106722625688E-3</v>
      </c>
      <c r="K1258" s="34">
        <f t="shared" si="77"/>
        <v>1.5728724098642566E-3</v>
      </c>
      <c r="L1258" s="34">
        <f t="shared" si="78"/>
        <v>0.99047976135944771</v>
      </c>
      <c r="M1258" s="34">
        <f t="shared" si="79"/>
        <v>0.98892186307027652</v>
      </c>
    </row>
    <row r="1259" spans="1:13" ht="27.6">
      <c r="A1259" t="s">
        <v>164</v>
      </c>
      <c r="B1259" t="s">
        <v>112</v>
      </c>
      <c r="C1259" s="14" t="s">
        <v>294</v>
      </c>
      <c r="D1259" t="s">
        <v>112</v>
      </c>
      <c r="E1259" t="s">
        <v>383</v>
      </c>
      <c r="F1259" s="20">
        <v>2030</v>
      </c>
      <c r="G1259" s="20">
        <v>47</v>
      </c>
      <c r="H1259" s="11">
        <v>7011.2555000960001</v>
      </c>
      <c r="I1259" s="10">
        <v>4116539.9850863498</v>
      </c>
      <c r="J1259" s="34">
        <f t="shared" si="76"/>
        <v>1.7031913999370348E-3</v>
      </c>
      <c r="K1259" s="34">
        <f t="shared" si="77"/>
        <v>1.701741792567657E-3</v>
      </c>
      <c r="L1259" s="34">
        <f t="shared" si="78"/>
        <v>0.98892186307027652</v>
      </c>
      <c r="M1259" s="34">
        <f t="shared" si="79"/>
        <v>0.98723897340630595</v>
      </c>
    </row>
    <row r="1260" spans="1:13" ht="27.6">
      <c r="A1260" t="s">
        <v>164</v>
      </c>
      <c r="B1260" t="s">
        <v>112</v>
      </c>
      <c r="C1260" s="14" t="s">
        <v>294</v>
      </c>
      <c r="D1260" t="s">
        <v>112</v>
      </c>
      <c r="E1260" t="s">
        <v>383</v>
      </c>
      <c r="F1260" s="20">
        <v>2030</v>
      </c>
      <c r="G1260" s="20">
        <v>48</v>
      </c>
      <c r="H1260" s="11">
        <v>7536.9994111046899</v>
      </c>
      <c r="I1260" s="10">
        <v>4059333.70745504</v>
      </c>
      <c r="J1260" s="34">
        <f t="shared" si="76"/>
        <v>1.8567085029897526E-3</v>
      </c>
      <c r="K1260" s="34">
        <f t="shared" si="77"/>
        <v>1.8549858860547053E-3</v>
      </c>
      <c r="L1260" s="34">
        <f t="shared" si="78"/>
        <v>0.98723897340630595</v>
      </c>
      <c r="M1260" s="34">
        <f t="shared" si="79"/>
        <v>0.98540765904447414</v>
      </c>
    </row>
    <row r="1261" spans="1:13" ht="27.6">
      <c r="A1261" t="s">
        <v>164</v>
      </c>
      <c r="B1261" t="s">
        <v>112</v>
      </c>
      <c r="C1261" s="14" t="s">
        <v>294</v>
      </c>
      <c r="D1261" t="s">
        <v>112</v>
      </c>
      <c r="E1261" t="s">
        <v>383</v>
      </c>
      <c r="F1261" s="20">
        <v>2030</v>
      </c>
      <c r="G1261" s="20">
        <v>49</v>
      </c>
      <c r="H1261" s="11">
        <v>7802.7027062592097</v>
      </c>
      <c r="I1261" s="10">
        <v>3994690.26681002</v>
      </c>
      <c r="J1261" s="34">
        <f t="shared" si="76"/>
        <v>1.9532685102242224E-3</v>
      </c>
      <c r="K1261" s="34">
        <f t="shared" si="77"/>
        <v>1.9513621227186251E-3</v>
      </c>
      <c r="L1261" s="34">
        <f t="shared" si="78"/>
        <v>0.98540765904447414</v>
      </c>
      <c r="M1261" s="34">
        <f t="shared" si="79"/>
        <v>0.98348477186317795</v>
      </c>
    </row>
    <row r="1262" spans="1:13" ht="27.6">
      <c r="A1262" t="s">
        <v>164</v>
      </c>
      <c r="B1262" t="s">
        <v>112</v>
      </c>
      <c r="C1262" s="14" t="s">
        <v>294</v>
      </c>
      <c r="D1262" t="s">
        <v>112</v>
      </c>
      <c r="E1262" t="s">
        <v>383</v>
      </c>
      <c r="F1262" s="20">
        <v>2030</v>
      </c>
      <c r="G1262" s="20">
        <v>50</v>
      </c>
      <c r="H1262" s="11">
        <v>8137.42373655969</v>
      </c>
      <c r="I1262" s="10">
        <v>3935384.1126256702</v>
      </c>
      <c r="J1262" s="34">
        <f t="shared" si="76"/>
        <v>2.0677584458535709E-3</v>
      </c>
      <c r="K1262" s="34">
        <f t="shared" si="77"/>
        <v>2.0656221060902924E-3</v>
      </c>
      <c r="L1262" s="34">
        <f t="shared" si="78"/>
        <v>0.98348477186317795</v>
      </c>
      <c r="M1262" s="34">
        <f t="shared" si="79"/>
        <v>0.98145326397741417</v>
      </c>
    </row>
    <row r="1263" spans="1:13" ht="27.6">
      <c r="A1263" t="s">
        <v>164</v>
      </c>
      <c r="B1263" t="s">
        <v>112</v>
      </c>
      <c r="C1263" s="14" t="s">
        <v>294</v>
      </c>
      <c r="D1263" t="s">
        <v>112</v>
      </c>
      <c r="E1263" t="s">
        <v>383</v>
      </c>
      <c r="F1263" s="20">
        <v>2030</v>
      </c>
      <c r="G1263" s="20">
        <v>51</v>
      </c>
      <c r="H1263" s="11">
        <v>8944.2915339130395</v>
      </c>
      <c r="I1263" s="10">
        <v>3862568.74904243</v>
      </c>
      <c r="J1263" s="34">
        <f t="shared" si="76"/>
        <v>2.3156329673434087E-3</v>
      </c>
      <c r="K1263" s="34">
        <f t="shared" si="77"/>
        <v>2.3129539575904579E-3</v>
      </c>
      <c r="L1263" s="34">
        <f t="shared" si="78"/>
        <v>0.98145326397741417</v>
      </c>
      <c r="M1263" s="34">
        <f t="shared" si="79"/>
        <v>0.97918320776630752</v>
      </c>
    </row>
    <row r="1264" spans="1:13" ht="27.6">
      <c r="A1264" t="s">
        <v>164</v>
      </c>
      <c r="B1264" t="s">
        <v>112</v>
      </c>
      <c r="C1264" s="14" t="s">
        <v>294</v>
      </c>
      <c r="D1264" t="s">
        <v>112</v>
      </c>
      <c r="E1264" t="s">
        <v>383</v>
      </c>
      <c r="F1264" s="20">
        <v>2030</v>
      </c>
      <c r="G1264" s="20">
        <v>52</v>
      </c>
      <c r="H1264" s="11">
        <v>9329.3112935659501</v>
      </c>
      <c r="I1264" s="10">
        <v>3765639.2576837302</v>
      </c>
      <c r="J1264" s="34">
        <f t="shared" si="76"/>
        <v>2.4774840751220742E-3</v>
      </c>
      <c r="K1264" s="34">
        <f t="shared" si="77"/>
        <v>2.4744176443181054E-3</v>
      </c>
      <c r="L1264" s="34">
        <f t="shared" si="78"/>
        <v>0.97918320776630752</v>
      </c>
      <c r="M1264" s="34">
        <f t="shared" si="79"/>
        <v>0.97676029955999055</v>
      </c>
    </row>
    <row r="1265" spans="1:13" ht="27.6">
      <c r="A1265" t="s">
        <v>164</v>
      </c>
      <c r="B1265" t="s">
        <v>112</v>
      </c>
      <c r="C1265" s="14" t="s">
        <v>294</v>
      </c>
      <c r="D1265" t="s">
        <v>112</v>
      </c>
      <c r="E1265" t="s">
        <v>383</v>
      </c>
      <c r="F1265" s="20">
        <v>2030</v>
      </c>
      <c r="G1265" s="20">
        <v>53</v>
      </c>
      <c r="H1265" s="11">
        <v>9736.7015139911891</v>
      </c>
      <c r="I1265" s="10">
        <v>3672792.0568342102</v>
      </c>
      <c r="J1265" s="34">
        <f t="shared" si="76"/>
        <v>2.6510353331530047E-3</v>
      </c>
      <c r="K1265" s="34">
        <f t="shared" si="77"/>
        <v>2.6475244421682032E-3</v>
      </c>
      <c r="L1265" s="34">
        <f t="shared" si="78"/>
        <v>0.97676029955999055</v>
      </c>
      <c r="M1265" s="34">
        <f t="shared" si="79"/>
        <v>0.97417430279276596</v>
      </c>
    </row>
    <row r="1266" spans="1:13" ht="27.6">
      <c r="A1266" t="s">
        <v>164</v>
      </c>
      <c r="B1266" t="s">
        <v>112</v>
      </c>
      <c r="C1266" s="14" t="s">
        <v>294</v>
      </c>
      <c r="D1266" t="s">
        <v>112</v>
      </c>
      <c r="E1266" t="s">
        <v>383</v>
      </c>
      <c r="F1266" s="20">
        <v>2030</v>
      </c>
      <c r="G1266" s="20">
        <v>54</v>
      </c>
      <c r="H1266" s="11">
        <v>10399.488014869999</v>
      </c>
      <c r="I1266" s="10">
        <v>3594854.5730069201</v>
      </c>
      <c r="J1266" s="34">
        <f t="shared" si="76"/>
        <v>2.8928814236207994E-3</v>
      </c>
      <c r="K1266" s="34">
        <f t="shared" si="77"/>
        <v>2.8887010742119079E-3</v>
      </c>
      <c r="L1266" s="34">
        <f t="shared" si="78"/>
        <v>0.97417430279276596</v>
      </c>
      <c r="M1266" s="34">
        <f t="shared" si="79"/>
        <v>0.9713602044378189</v>
      </c>
    </row>
    <row r="1267" spans="1:13" ht="27.6">
      <c r="A1267" t="s">
        <v>164</v>
      </c>
      <c r="B1267" t="s">
        <v>112</v>
      </c>
      <c r="C1267" s="14" t="s">
        <v>294</v>
      </c>
      <c r="D1267" t="s">
        <v>112</v>
      </c>
      <c r="E1267" t="s">
        <v>383</v>
      </c>
      <c r="F1267" s="20">
        <v>2030</v>
      </c>
      <c r="G1267" s="20">
        <v>55</v>
      </c>
      <c r="H1267" s="11">
        <v>11098.065931827499</v>
      </c>
      <c r="I1267" s="10">
        <v>3504181.5333794602</v>
      </c>
      <c r="J1267" s="34">
        <f t="shared" si="76"/>
        <v>3.1670921800459454E-3</v>
      </c>
      <c r="K1267" s="34">
        <f t="shared" si="77"/>
        <v>3.1620822339900601E-3</v>
      </c>
      <c r="L1267" s="34">
        <f t="shared" si="78"/>
        <v>0.9713602044378189</v>
      </c>
      <c r="M1267" s="34">
        <f t="shared" si="79"/>
        <v>0.96828868359256115</v>
      </c>
    </row>
    <row r="1268" spans="1:13" ht="27.6">
      <c r="A1268" t="s">
        <v>164</v>
      </c>
      <c r="B1268" t="s">
        <v>112</v>
      </c>
      <c r="C1268" s="14" t="s">
        <v>294</v>
      </c>
      <c r="D1268" t="s">
        <v>112</v>
      </c>
      <c r="E1268" t="s">
        <v>383</v>
      </c>
      <c r="F1268" s="20">
        <v>2030</v>
      </c>
      <c r="G1268" s="20">
        <v>56</v>
      </c>
      <c r="H1268" s="11">
        <v>12079.647971320501</v>
      </c>
      <c r="I1268" s="10">
        <v>3428392.00654575</v>
      </c>
      <c r="J1268" s="34">
        <f t="shared" si="76"/>
        <v>3.5234150436289392E-3</v>
      </c>
      <c r="K1268" s="34">
        <f t="shared" si="77"/>
        <v>3.5172151006390706E-3</v>
      </c>
      <c r="L1268" s="34">
        <f t="shared" si="78"/>
        <v>0.96828868359256115</v>
      </c>
      <c r="M1268" s="34">
        <f t="shared" si="79"/>
        <v>0.96488300401285143</v>
      </c>
    </row>
    <row r="1269" spans="1:13" ht="27.6">
      <c r="A1269" t="s">
        <v>164</v>
      </c>
      <c r="B1269" t="s">
        <v>112</v>
      </c>
      <c r="C1269" s="14" t="s">
        <v>294</v>
      </c>
      <c r="D1269" t="s">
        <v>112</v>
      </c>
      <c r="E1269" t="s">
        <v>383</v>
      </c>
      <c r="F1269" s="20">
        <v>2030</v>
      </c>
      <c r="G1269" s="20">
        <v>57</v>
      </c>
      <c r="H1269" s="11">
        <v>13124.4424900581</v>
      </c>
      <c r="I1269" s="10">
        <v>3352392.7093804302</v>
      </c>
      <c r="J1269" s="34">
        <f t="shared" si="76"/>
        <v>3.9149478082726426E-3</v>
      </c>
      <c r="K1269" s="34">
        <f t="shared" si="77"/>
        <v>3.9072943909359559E-3</v>
      </c>
      <c r="L1269" s="34">
        <f t="shared" si="78"/>
        <v>0.96488300401285143</v>
      </c>
      <c r="M1269" s="34">
        <f t="shared" si="79"/>
        <v>0.96111292206336263</v>
      </c>
    </row>
    <row r="1270" spans="1:13" ht="27.6">
      <c r="A1270" t="s">
        <v>164</v>
      </c>
      <c r="B1270" t="s">
        <v>112</v>
      </c>
      <c r="C1270" s="14" t="s">
        <v>294</v>
      </c>
      <c r="D1270" t="s">
        <v>112</v>
      </c>
      <c r="E1270" t="s">
        <v>383</v>
      </c>
      <c r="F1270" s="20">
        <v>2030</v>
      </c>
      <c r="G1270" s="20">
        <v>58</v>
      </c>
      <c r="H1270" s="11">
        <v>14055.303704924299</v>
      </c>
      <c r="I1270" s="10">
        <v>3254903.6476048301</v>
      </c>
      <c r="J1270" s="34">
        <f t="shared" si="76"/>
        <v>4.318193478712375E-3</v>
      </c>
      <c r="K1270" s="34">
        <f t="shared" si="77"/>
        <v>4.3088834868555415E-3</v>
      </c>
      <c r="L1270" s="34">
        <f t="shared" si="78"/>
        <v>0.96111292206336263</v>
      </c>
      <c r="M1270" s="34">
        <f t="shared" si="79"/>
        <v>0.95697159846448032</v>
      </c>
    </row>
    <row r="1271" spans="1:13" ht="27.6">
      <c r="A1271" t="s">
        <v>164</v>
      </c>
      <c r="B1271" t="s">
        <v>112</v>
      </c>
      <c r="C1271" s="14" t="s">
        <v>294</v>
      </c>
      <c r="D1271" t="s">
        <v>112</v>
      </c>
      <c r="E1271" t="s">
        <v>383</v>
      </c>
      <c r="F1271" s="20">
        <v>2030</v>
      </c>
      <c r="G1271" s="20">
        <v>59</v>
      </c>
      <c r="H1271" s="11">
        <v>14326.968015430401</v>
      </c>
      <c r="I1271" s="10">
        <v>3167556.2746932302</v>
      </c>
      <c r="J1271" s="34">
        <f t="shared" si="76"/>
        <v>4.5230350380493023E-3</v>
      </c>
      <c r="K1271" s="34">
        <f t="shared" si="77"/>
        <v>4.5128215195745502E-3</v>
      </c>
      <c r="L1271" s="34">
        <f t="shared" si="78"/>
        <v>0.95697159846448032</v>
      </c>
      <c r="M1271" s="34">
        <f t="shared" si="79"/>
        <v>0.95265295644130821</v>
      </c>
    </row>
    <row r="1272" spans="1:13" ht="27.6">
      <c r="A1272" t="s">
        <v>164</v>
      </c>
      <c r="B1272" t="s">
        <v>112</v>
      </c>
      <c r="C1272" s="14" t="s">
        <v>294</v>
      </c>
      <c r="D1272" t="s">
        <v>112</v>
      </c>
      <c r="E1272" t="s">
        <v>383</v>
      </c>
      <c r="F1272" s="20">
        <v>2030</v>
      </c>
      <c r="G1272" s="20">
        <v>60</v>
      </c>
      <c r="H1272" s="11">
        <v>14788.357092399199</v>
      </c>
      <c r="I1272" s="10">
        <v>3078322.5709239901</v>
      </c>
      <c r="J1272" s="34">
        <f t="shared" si="76"/>
        <v>4.8040310109412352E-3</v>
      </c>
      <c r="K1272" s="34">
        <f t="shared" si="77"/>
        <v>4.7925101102689327E-3</v>
      </c>
      <c r="L1272" s="34">
        <f t="shared" si="78"/>
        <v>0.95265295644130821</v>
      </c>
      <c r="M1272" s="34">
        <f t="shared" si="79"/>
        <v>0.94808735751598561</v>
      </c>
    </row>
    <row r="1273" spans="1:13" ht="27.6">
      <c r="A1273" t="s">
        <v>164</v>
      </c>
      <c r="B1273" t="s">
        <v>112</v>
      </c>
      <c r="C1273" s="14" t="s">
        <v>294</v>
      </c>
      <c r="D1273" t="s">
        <v>112</v>
      </c>
      <c r="E1273" t="s">
        <v>383</v>
      </c>
      <c r="F1273" s="20">
        <v>2030</v>
      </c>
      <c r="G1273" s="20">
        <v>61</v>
      </c>
      <c r="H1273" s="11">
        <v>15669.8024763789</v>
      </c>
      <c r="I1273" s="10">
        <v>2973616.9064005902</v>
      </c>
      <c r="J1273" s="34">
        <f t="shared" si="76"/>
        <v>5.2696103666381115E-3</v>
      </c>
      <c r="K1273" s="34">
        <f t="shared" si="77"/>
        <v>5.2557503262880001E-3</v>
      </c>
      <c r="L1273" s="34">
        <f t="shared" si="78"/>
        <v>0.94808735751598561</v>
      </c>
      <c r="M1273" s="34">
        <f t="shared" si="79"/>
        <v>0.9431044470773714</v>
      </c>
    </row>
    <row r="1274" spans="1:13" ht="27.6">
      <c r="A1274" t="s">
        <v>164</v>
      </c>
      <c r="B1274" t="s">
        <v>112</v>
      </c>
      <c r="C1274" s="14" t="s">
        <v>294</v>
      </c>
      <c r="D1274" t="s">
        <v>112</v>
      </c>
      <c r="E1274" t="s">
        <v>383</v>
      </c>
      <c r="F1274" s="20">
        <v>2030</v>
      </c>
      <c r="G1274" s="20">
        <v>62</v>
      </c>
      <c r="H1274" s="11">
        <v>16587.207354824801</v>
      </c>
      <c r="I1274" s="10">
        <v>2861832.7930922499</v>
      </c>
      <c r="J1274" s="34">
        <f t="shared" si="76"/>
        <v>5.7960085560771332E-3</v>
      </c>
      <c r="K1274" s="34">
        <f t="shared" si="77"/>
        <v>5.7792441030949382E-3</v>
      </c>
      <c r="L1274" s="34">
        <f t="shared" si="78"/>
        <v>0.9431044470773714</v>
      </c>
      <c r="M1274" s="34">
        <f t="shared" si="79"/>
        <v>0.93765401626299694</v>
      </c>
    </row>
    <row r="1275" spans="1:13" ht="27.6">
      <c r="A1275" t="s">
        <v>164</v>
      </c>
      <c r="B1275" t="s">
        <v>112</v>
      </c>
      <c r="C1275" s="14" t="s">
        <v>294</v>
      </c>
      <c r="D1275" t="s">
        <v>112</v>
      </c>
      <c r="E1275" t="s">
        <v>383</v>
      </c>
      <c r="F1275" s="20">
        <v>2030</v>
      </c>
      <c r="G1275" s="20">
        <v>63</v>
      </c>
      <c r="H1275" s="11">
        <v>17543.2929328719</v>
      </c>
      <c r="I1275" s="10">
        <v>2751828.8167446801</v>
      </c>
      <c r="J1275" s="34">
        <f t="shared" si="76"/>
        <v>6.3751396257362477E-3</v>
      </c>
      <c r="K1275" s="34">
        <f t="shared" si="77"/>
        <v>6.354861537876233E-3</v>
      </c>
      <c r="L1275" s="34">
        <f t="shared" si="78"/>
        <v>0.93765401626299694</v>
      </c>
      <c r="M1275" s="34">
        <f t="shared" si="79"/>
        <v>0.93169535481921206</v>
      </c>
    </row>
    <row r="1276" spans="1:13" ht="27.6">
      <c r="A1276" t="s">
        <v>164</v>
      </c>
      <c r="B1276" t="s">
        <v>112</v>
      </c>
      <c r="C1276" s="14" t="s">
        <v>294</v>
      </c>
      <c r="D1276" t="s">
        <v>112</v>
      </c>
      <c r="E1276" t="s">
        <v>383</v>
      </c>
      <c r="F1276" s="20">
        <v>2030</v>
      </c>
      <c r="G1276" s="20">
        <v>64</v>
      </c>
      <c r="H1276" s="11">
        <v>18760.888650564098</v>
      </c>
      <c r="I1276" s="10">
        <v>2629163.6223353101</v>
      </c>
      <c r="J1276" s="34">
        <f t="shared" si="76"/>
        <v>7.1356869885108396E-3</v>
      </c>
      <c r="K1276" s="34">
        <f t="shared" si="77"/>
        <v>7.110288422091493E-3</v>
      </c>
      <c r="L1276" s="34">
        <f t="shared" si="78"/>
        <v>0.93169535481921206</v>
      </c>
      <c r="M1276" s="34">
        <f t="shared" si="79"/>
        <v>0.92507073212492463</v>
      </c>
    </row>
    <row r="1277" spans="1:13" ht="27.6">
      <c r="A1277" t="s">
        <v>164</v>
      </c>
      <c r="B1277" t="s">
        <v>112</v>
      </c>
      <c r="C1277" s="14" t="s">
        <v>294</v>
      </c>
      <c r="D1277" t="s">
        <v>112</v>
      </c>
      <c r="E1277" t="s">
        <v>383</v>
      </c>
      <c r="F1277" s="20">
        <v>2030</v>
      </c>
      <c r="G1277" s="20">
        <v>65</v>
      </c>
      <c r="H1277" s="11">
        <v>19767.766256126699</v>
      </c>
      <c r="I1277" s="10">
        <v>2494282.1015192601</v>
      </c>
      <c r="J1277" s="34">
        <f t="shared" si="76"/>
        <v>7.925232773023632E-3</v>
      </c>
      <c r="K1277" s="34">
        <f t="shared" si="77"/>
        <v>7.8939109147280195E-3</v>
      </c>
      <c r="L1277" s="34">
        <f t="shared" si="78"/>
        <v>0.92507073212492463</v>
      </c>
      <c r="M1277" s="34">
        <f t="shared" si="79"/>
        <v>0.91776830617570826</v>
      </c>
    </row>
    <row r="1278" spans="1:13" ht="27.6">
      <c r="A1278" t="s">
        <v>164</v>
      </c>
      <c r="B1278" t="s">
        <v>112</v>
      </c>
      <c r="C1278" s="14" t="s">
        <v>294</v>
      </c>
      <c r="D1278" t="s">
        <v>112</v>
      </c>
      <c r="E1278" t="s">
        <v>383</v>
      </c>
      <c r="F1278" s="20">
        <v>2030</v>
      </c>
      <c r="G1278" s="20">
        <v>66</v>
      </c>
      <c r="H1278" s="11">
        <v>20342.462950832702</v>
      </c>
      <c r="I1278" s="10">
        <v>2360575.6951822499</v>
      </c>
      <c r="J1278" s="34">
        <f t="shared" si="76"/>
        <v>8.6175855289665464E-3</v>
      </c>
      <c r="K1278" s="34">
        <f t="shared" si="77"/>
        <v>8.5805605703743737E-3</v>
      </c>
      <c r="L1278" s="34">
        <f t="shared" si="78"/>
        <v>0.91776830617570826</v>
      </c>
      <c r="M1278" s="34">
        <f t="shared" si="79"/>
        <v>0.90989333963499774</v>
      </c>
    </row>
    <row r="1279" spans="1:13" ht="27.6">
      <c r="A1279" t="s">
        <v>164</v>
      </c>
      <c r="B1279" t="s">
        <v>112</v>
      </c>
      <c r="C1279" s="14" t="s">
        <v>294</v>
      </c>
      <c r="D1279" t="s">
        <v>112</v>
      </c>
      <c r="E1279" t="s">
        <v>383</v>
      </c>
      <c r="F1279" s="20">
        <v>2030</v>
      </c>
      <c r="G1279" s="20">
        <v>67</v>
      </c>
      <c r="H1279" s="11">
        <v>21022.152227474799</v>
      </c>
      <c r="I1279" s="10">
        <v>2227471.3613346401</v>
      </c>
      <c r="J1279" s="34">
        <f t="shared" si="76"/>
        <v>9.4376756497910243E-3</v>
      </c>
      <c r="K1279" s="34">
        <f t="shared" si="77"/>
        <v>9.3932805608769598E-3</v>
      </c>
      <c r="L1279" s="34">
        <f t="shared" si="78"/>
        <v>0.90989333963499774</v>
      </c>
      <c r="M1279" s="34">
        <f t="shared" si="79"/>
        <v>0.90134645621533294</v>
      </c>
    </row>
    <row r="1280" spans="1:13" ht="27.6">
      <c r="A1280" t="s">
        <v>164</v>
      </c>
      <c r="B1280" t="s">
        <v>112</v>
      </c>
      <c r="C1280" s="14" t="s">
        <v>294</v>
      </c>
      <c r="D1280" t="s">
        <v>112</v>
      </c>
      <c r="E1280" t="s">
        <v>383</v>
      </c>
      <c r="F1280" s="20">
        <v>2030</v>
      </c>
      <c r="G1280" s="20">
        <v>68</v>
      </c>
      <c r="H1280" s="11">
        <v>21607.120897392299</v>
      </c>
      <c r="I1280" s="10">
        <v>2094422.99675745</v>
      </c>
      <c r="J1280" s="34">
        <f t="shared" si="76"/>
        <v>1.0316502889265481E-2</v>
      </c>
      <c r="K1280" s="34">
        <f t="shared" si="77"/>
        <v>1.0263470300296507E-2</v>
      </c>
      <c r="L1280" s="34">
        <f t="shared" si="78"/>
        <v>0.90134645621533294</v>
      </c>
      <c r="M1280" s="34">
        <f t="shared" si="79"/>
        <v>0.89209551363168937</v>
      </c>
    </row>
    <row r="1281" spans="1:13" ht="27.6">
      <c r="A1281" t="s">
        <v>164</v>
      </c>
      <c r="B1281" t="s">
        <v>112</v>
      </c>
      <c r="C1281" s="14" t="s">
        <v>294</v>
      </c>
      <c r="D1281" t="s">
        <v>112</v>
      </c>
      <c r="E1281" t="s">
        <v>383</v>
      </c>
      <c r="F1281" s="20">
        <v>2030</v>
      </c>
      <c r="G1281" s="20">
        <v>69</v>
      </c>
      <c r="H1281" s="11">
        <v>21146.4391130125</v>
      </c>
      <c r="I1281" s="10">
        <v>1961703.17434707</v>
      </c>
      <c r="J1281" s="34">
        <f t="shared" si="76"/>
        <v>1.0779632407971631E-2</v>
      </c>
      <c r="K1281" s="34">
        <f t="shared" si="77"/>
        <v>1.0721740375551403E-2</v>
      </c>
      <c r="L1281" s="34">
        <f t="shared" si="78"/>
        <v>0.89209551363168937</v>
      </c>
      <c r="M1281" s="34">
        <f t="shared" si="79"/>
        <v>0.88253069714433618</v>
      </c>
    </row>
    <row r="1282" spans="1:13" ht="27.6">
      <c r="A1282" t="s">
        <v>164</v>
      </c>
      <c r="B1282" t="s">
        <v>112</v>
      </c>
      <c r="C1282" s="14" t="s">
        <v>294</v>
      </c>
      <c r="D1282" t="s">
        <v>112</v>
      </c>
      <c r="E1282" t="s">
        <v>383</v>
      </c>
      <c r="F1282" s="20">
        <v>2031</v>
      </c>
      <c r="G1282" s="20">
        <v>30</v>
      </c>
      <c r="H1282" s="11">
        <v>782.20042416187903</v>
      </c>
      <c r="I1282" s="10">
        <v>4329566.5655509904</v>
      </c>
      <c r="J1282" s="34">
        <f t="shared" ref="J1282:J1345" si="80">IF(I1282&gt;0,H1282/I1282,0)</f>
        <v>1.8066483383939714E-4</v>
      </c>
      <c r="K1282" s="34">
        <f t="shared" ref="K1282:K1345" si="81">1-EXP(-J1282)</f>
        <v>1.8064851493104772E-4</v>
      </c>
      <c r="L1282" s="34">
        <f t="shared" ref="L1282:L1345" si="82">IF(G1282=30,1,M1281)</f>
        <v>1</v>
      </c>
      <c r="M1282" s="34">
        <f t="shared" ref="M1282:M1345" si="83">L1282*(1-K1282)</f>
        <v>0.99981935148506895</v>
      </c>
    </row>
    <row r="1283" spans="1:13" ht="27.6">
      <c r="A1283" t="s">
        <v>164</v>
      </c>
      <c r="B1283" t="s">
        <v>112</v>
      </c>
      <c r="C1283" s="14" t="s">
        <v>294</v>
      </c>
      <c r="D1283" t="s">
        <v>112</v>
      </c>
      <c r="E1283" t="s">
        <v>383</v>
      </c>
      <c r="F1283" s="20">
        <v>2031</v>
      </c>
      <c r="G1283" s="20">
        <v>31</v>
      </c>
      <c r="H1283" s="11">
        <v>1158.21254517283</v>
      </c>
      <c r="I1283" s="10">
        <v>4331097.04433724</v>
      </c>
      <c r="J1283" s="34">
        <f t="shared" si="80"/>
        <v>2.6741782354822846E-4</v>
      </c>
      <c r="K1283" s="34">
        <f t="shared" si="81"/>
        <v>2.6738207058907282E-4</v>
      </c>
      <c r="L1283" s="34">
        <f t="shared" si="82"/>
        <v>0.99981935148506895</v>
      </c>
      <c r="M1283" s="34">
        <f t="shared" si="83"/>
        <v>0.99955201771665381</v>
      </c>
    </row>
    <row r="1284" spans="1:13" ht="27.6">
      <c r="A1284" t="s">
        <v>164</v>
      </c>
      <c r="B1284" t="s">
        <v>112</v>
      </c>
      <c r="C1284" s="14" t="s">
        <v>294</v>
      </c>
      <c r="D1284" t="s">
        <v>112</v>
      </c>
      <c r="E1284" t="s">
        <v>383</v>
      </c>
      <c r="F1284" s="20">
        <v>2031</v>
      </c>
      <c r="G1284" s="20">
        <v>32</v>
      </c>
      <c r="H1284" s="11">
        <v>1246.6441249684599</v>
      </c>
      <c r="I1284" s="10">
        <v>4371807.7290942697</v>
      </c>
      <c r="J1284" s="34">
        <f t="shared" si="80"/>
        <v>2.8515529552502388E-4</v>
      </c>
      <c r="K1284" s="34">
        <f t="shared" si="81"/>
        <v>2.8511464261793407E-4</v>
      </c>
      <c r="L1284" s="34">
        <f t="shared" si="82"/>
        <v>0.99955201771665381</v>
      </c>
      <c r="M1284" s="34">
        <f t="shared" si="83"/>
        <v>0.99926703080034451</v>
      </c>
    </row>
    <row r="1285" spans="1:13" ht="27.6">
      <c r="A1285" t="s">
        <v>164</v>
      </c>
      <c r="B1285" t="s">
        <v>112</v>
      </c>
      <c r="C1285" s="14" t="s">
        <v>294</v>
      </c>
      <c r="D1285" t="s">
        <v>112</v>
      </c>
      <c r="E1285" t="s">
        <v>383</v>
      </c>
      <c r="F1285" s="20">
        <v>2031</v>
      </c>
      <c r="G1285" s="20">
        <v>33</v>
      </c>
      <c r="H1285" s="11">
        <v>1330.7080057790499</v>
      </c>
      <c r="I1285" s="10">
        <v>4415160.9100435004</v>
      </c>
      <c r="J1285" s="34">
        <f t="shared" si="80"/>
        <v>3.0139513211217009E-4</v>
      </c>
      <c r="K1285" s="34">
        <f t="shared" si="81"/>
        <v>3.0134971716211378E-4</v>
      </c>
      <c r="L1285" s="34">
        <f t="shared" si="82"/>
        <v>0.99926703080034451</v>
      </c>
      <c r="M1285" s="34">
        <f t="shared" si="83"/>
        <v>0.99896590196324342</v>
      </c>
    </row>
    <row r="1286" spans="1:13" ht="27.6">
      <c r="A1286" t="s">
        <v>164</v>
      </c>
      <c r="B1286" t="s">
        <v>112</v>
      </c>
      <c r="C1286" s="14" t="s">
        <v>294</v>
      </c>
      <c r="D1286" t="s">
        <v>112</v>
      </c>
      <c r="E1286" t="s">
        <v>383</v>
      </c>
      <c r="F1286" s="20">
        <v>2031</v>
      </c>
      <c r="G1286" s="20">
        <v>34</v>
      </c>
      <c r="H1286" s="11">
        <v>1408.7550159907</v>
      </c>
      <c r="I1286" s="10">
        <v>4412226.9210465997</v>
      </c>
      <c r="J1286" s="34">
        <f t="shared" si="80"/>
        <v>3.1928435259547737E-4</v>
      </c>
      <c r="K1286" s="34">
        <f t="shared" si="81"/>
        <v>3.1923338677086743E-4</v>
      </c>
      <c r="L1286" s="34">
        <f t="shared" si="82"/>
        <v>0.99896590196324342</v>
      </c>
      <c r="M1286" s="34">
        <f t="shared" si="83"/>
        <v>0.9986469986950911</v>
      </c>
    </row>
    <row r="1287" spans="1:13" ht="27.6">
      <c r="A1287" t="s">
        <v>164</v>
      </c>
      <c r="B1287" t="s">
        <v>112</v>
      </c>
      <c r="C1287" s="14" t="s">
        <v>294</v>
      </c>
      <c r="D1287" t="s">
        <v>112</v>
      </c>
      <c r="E1287" t="s">
        <v>383</v>
      </c>
      <c r="F1287" s="20">
        <v>2031</v>
      </c>
      <c r="G1287" s="20">
        <v>35</v>
      </c>
      <c r="H1287" s="11">
        <v>1481.92095711977</v>
      </c>
      <c r="I1287" s="10">
        <v>4350190.5940568298</v>
      </c>
      <c r="J1287" s="34">
        <f t="shared" si="80"/>
        <v>3.4065655862167279E-4</v>
      </c>
      <c r="K1287" s="34">
        <f t="shared" si="81"/>
        <v>3.4059854176438087E-4</v>
      </c>
      <c r="L1287" s="34">
        <f t="shared" si="82"/>
        <v>0.9986469986950911</v>
      </c>
      <c r="M1287" s="34">
        <f t="shared" si="83"/>
        <v>0.99830686098359822</v>
      </c>
    </row>
    <row r="1288" spans="1:13" ht="27.6">
      <c r="A1288" t="s">
        <v>164</v>
      </c>
      <c r="B1288" t="s">
        <v>112</v>
      </c>
      <c r="C1288" s="14" t="s">
        <v>294</v>
      </c>
      <c r="D1288" t="s">
        <v>112</v>
      </c>
      <c r="E1288" t="s">
        <v>383</v>
      </c>
      <c r="F1288" s="20">
        <v>2031</v>
      </c>
      <c r="G1288" s="20">
        <v>36</v>
      </c>
      <c r="H1288" s="11">
        <v>1901.1150091685599</v>
      </c>
      <c r="I1288" s="10">
        <v>4286138.0099815698</v>
      </c>
      <c r="J1288" s="34">
        <f t="shared" si="80"/>
        <v>4.4354964883100781E-4</v>
      </c>
      <c r="K1288" s="34">
        <f t="shared" si="81"/>
        <v>4.4345129522760374E-4</v>
      </c>
      <c r="L1288" s="34">
        <f t="shared" si="82"/>
        <v>0.99830686098359822</v>
      </c>
      <c r="M1288" s="34">
        <f t="shared" si="83"/>
        <v>0.99786416051306048</v>
      </c>
    </row>
    <row r="1289" spans="1:13" ht="27.6">
      <c r="A1289" t="s">
        <v>164</v>
      </c>
      <c r="B1289" t="s">
        <v>112</v>
      </c>
      <c r="C1289" s="14" t="s">
        <v>294</v>
      </c>
      <c r="D1289" t="s">
        <v>112</v>
      </c>
      <c r="E1289" t="s">
        <v>383</v>
      </c>
      <c r="F1289" s="20">
        <v>2031</v>
      </c>
      <c r="G1289" s="20">
        <v>37</v>
      </c>
      <c r="H1289" s="11">
        <v>2033.7885747062101</v>
      </c>
      <c r="I1289" s="10">
        <v>4231694.9362743702</v>
      </c>
      <c r="J1289" s="34">
        <f t="shared" si="80"/>
        <v>4.8060850447238985E-4</v>
      </c>
      <c r="K1289" s="34">
        <f t="shared" si="81"/>
        <v>4.8049303070507587E-4</v>
      </c>
      <c r="L1289" s="34">
        <f t="shared" si="82"/>
        <v>0.99786416051306048</v>
      </c>
      <c r="M1289" s="34">
        <f t="shared" si="83"/>
        <v>0.9973846937383436</v>
      </c>
    </row>
    <row r="1290" spans="1:13" ht="27.6">
      <c r="A1290" t="s">
        <v>164</v>
      </c>
      <c r="B1290" t="s">
        <v>112</v>
      </c>
      <c r="C1290" s="14" t="s">
        <v>294</v>
      </c>
      <c r="D1290" t="s">
        <v>112</v>
      </c>
      <c r="E1290" t="s">
        <v>383</v>
      </c>
      <c r="F1290" s="20">
        <v>2031</v>
      </c>
      <c r="G1290" s="20">
        <v>38</v>
      </c>
      <c r="H1290" s="11">
        <v>2202.4220677565499</v>
      </c>
      <c r="I1290" s="10">
        <v>4179741.6732046301</v>
      </c>
      <c r="J1290" s="34">
        <f t="shared" si="80"/>
        <v>5.2692779601088151E-4</v>
      </c>
      <c r="K1290" s="34">
        <f t="shared" si="81"/>
        <v>5.2678899394043022E-4</v>
      </c>
      <c r="L1290" s="34">
        <f t="shared" si="82"/>
        <v>0.9973846937383436</v>
      </c>
      <c r="M1290" s="34">
        <f t="shared" si="83"/>
        <v>0.99685928245895761</v>
      </c>
    </row>
    <row r="1291" spans="1:13" ht="27.6">
      <c r="A1291" t="s">
        <v>164</v>
      </c>
      <c r="B1291" t="s">
        <v>112</v>
      </c>
      <c r="C1291" s="14" t="s">
        <v>294</v>
      </c>
      <c r="D1291" t="s">
        <v>112</v>
      </c>
      <c r="E1291" t="s">
        <v>383</v>
      </c>
      <c r="F1291" s="20">
        <v>2031</v>
      </c>
      <c r="G1291" s="20">
        <v>39</v>
      </c>
      <c r="H1291" s="11">
        <v>2318.0622194706998</v>
      </c>
      <c r="I1291" s="10">
        <v>4162663.5137033202</v>
      </c>
      <c r="J1291" s="34">
        <f t="shared" si="80"/>
        <v>5.5686994921394257E-4</v>
      </c>
      <c r="K1291" s="34">
        <f t="shared" si="81"/>
        <v>5.5671492592102023E-4</v>
      </c>
      <c r="L1291" s="34">
        <f t="shared" si="82"/>
        <v>0.99685928245895761</v>
      </c>
      <c r="M1291" s="34">
        <f t="shared" si="83"/>
        <v>0.9963043160173698</v>
      </c>
    </row>
    <row r="1292" spans="1:13" ht="27.6">
      <c r="A1292" t="s">
        <v>164</v>
      </c>
      <c r="B1292" t="s">
        <v>112</v>
      </c>
      <c r="C1292" s="14" t="s">
        <v>294</v>
      </c>
      <c r="D1292" t="s">
        <v>112</v>
      </c>
      <c r="E1292" t="s">
        <v>383</v>
      </c>
      <c r="F1292" s="20">
        <v>2031</v>
      </c>
      <c r="G1292" s="20">
        <v>40</v>
      </c>
      <c r="H1292" s="11">
        <v>2510.7713374444102</v>
      </c>
      <c r="I1292" s="10">
        <v>4139843.7312326599</v>
      </c>
      <c r="J1292" s="34">
        <f t="shared" si="80"/>
        <v>6.0648939922590146E-4</v>
      </c>
      <c r="K1292" s="34">
        <f t="shared" si="81"/>
        <v>6.0630552170537477E-4</v>
      </c>
      <c r="L1292" s="34">
        <f t="shared" si="82"/>
        <v>0.9963043160173698</v>
      </c>
      <c r="M1292" s="34">
        <f t="shared" si="83"/>
        <v>0.99570025120926953</v>
      </c>
    </row>
    <row r="1293" spans="1:13" ht="27.6">
      <c r="A1293" t="s">
        <v>164</v>
      </c>
      <c r="B1293" t="s">
        <v>112</v>
      </c>
      <c r="C1293" s="14" t="s">
        <v>294</v>
      </c>
      <c r="D1293" t="s">
        <v>112</v>
      </c>
      <c r="E1293" t="s">
        <v>383</v>
      </c>
      <c r="F1293" s="20">
        <v>2031</v>
      </c>
      <c r="G1293" s="20">
        <v>41</v>
      </c>
      <c r="H1293" s="11">
        <v>3271.0667626373202</v>
      </c>
      <c r="I1293" s="10">
        <v>4120450.3616569601</v>
      </c>
      <c r="J1293" s="34">
        <f t="shared" si="80"/>
        <v>7.9386146550299019E-4</v>
      </c>
      <c r="K1293" s="34">
        <f t="shared" si="81"/>
        <v>7.9354644085727344E-4</v>
      </c>
      <c r="L1293" s="34">
        <f t="shared" si="82"/>
        <v>0.99570025120926953</v>
      </c>
      <c r="M1293" s="34">
        <f t="shared" si="83"/>
        <v>0.99491011681876174</v>
      </c>
    </row>
    <row r="1294" spans="1:13" ht="27.6">
      <c r="A1294" t="s">
        <v>164</v>
      </c>
      <c r="B1294" t="s">
        <v>112</v>
      </c>
      <c r="C1294" s="14" t="s">
        <v>294</v>
      </c>
      <c r="D1294" t="s">
        <v>112</v>
      </c>
      <c r="E1294" t="s">
        <v>383</v>
      </c>
      <c r="F1294" s="20">
        <v>2031</v>
      </c>
      <c r="G1294" s="20">
        <v>42</v>
      </c>
      <c r="H1294" s="11">
        <v>3629.1466938344902</v>
      </c>
      <c r="I1294" s="10">
        <v>4124081.32080688</v>
      </c>
      <c r="J1294" s="34">
        <f t="shared" si="80"/>
        <v>8.7998912037079923E-4</v>
      </c>
      <c r="K1294" s="34">
        <f t="shared" si="81"/>
        <v>8.7960204349424309E-4</v>
      </c>
      <c r="L1294" s="34">
        <f t="shared" si="82"/>
        <v>0.99491011681876174</v>
      </c>
      <c r="M1294" s="34">
        <f t="shared" si="83"/>
        <v>0.99403499184691491</v>
      </c>
    </row>
    <row r="1295" spans="1:13" ht="27.6">
      <c r="A1295" t="s">
        <v>164</v>
      </c>
      <c r="B1295" t="s">
        <v>112</v>
      </c>
      <c r="C1295" s="14" t="s">
        <v>294</v>
      </c>
      <c r="D1295" t="s">
        <v>112</v>
      </c>
      <c r="E1295" t="s">
        <v>383</v>
      </c>
      <c r="F1295" s="20">
        <v>2031</v>
      </c>
      <c r="G1295" s="20">
        <v>43</v>
      </c>
      <c r="H1295" s="11">
        <v>4104.7497936196396</v>
      </c>
      <c r="I1295" s="10">
        <v>4081789.6970867598</v>
      </c>
      <c r="J1295" s="34">
        <f t="shared" si="80"/>
        <v>1.0056250072239799E-3</v>
      </c>
      <c r="K1295" s="34">
        <f t="shared" si="81"/>
        <v>1.0051195358488085E-3</v>
      </c>
      <c r="L1295" s="34">
        <f t="shared" si="82"/>
        <v>0.99403499184691491</v>
      </c>
      <c r="M1295" s="34">
        <f t="shared" si="83"/>
        <v>0.99303586785729225</v>
      </c>
    </row>
    <row r="1296" spans="1:13" ht="27.6">
      <c r="A1296" t="s">
        <v>164</v>
      </c>
      <c r="B1296" t="s">
        <v>112</v>
      </c>
      <c r="C1296" s="14" t="s">
        <v>294</v>
      </c>
      <c r="D1296" t="s">
        <v>112</v>
      </c>
      <c r="E1296" t="s">
        <v>383</v>
      </c>
      <c r="F1296" s="20">
        <v>2031</v>
      </c>
      <c r="G1296" s="20">
        <v>44</v>
      </c>
      <c r="H1296" s="11">
        <v>4354.4546883004496</v>
      </c>
      <c r="I1296" s="10">
        <v>4030602.5486333799</v>
      </c>
      <c r="J1296" s="34">
        <f t="shared" si="80"/>
        <v>1.0803483190811943E-3</v>
      </c>
      <c r="K1296" s="34">
        <f t="shared" si="81"/>
        <v>1.0797649529343811E-3</v>
      </c>
      <c r="L1296" s="34">
        <f t="shared" si="82"/>
        <v>0.99303586785729225</v>
      </c>
      <c r="M1296" s="34">
        <f t="shared" si="83"/>
        <v>0.99196362253017312</v>
      </c>
    </row>
    <row r="1297" spans="1:13" ht="27.6">
      <c r="A1297" t="s">
        <v>164</v>
      </c>
      <c r="B1297" t="s">
        <v>112</v>
      </c>
      <c r="C1297" s="14" t="s">
        <v>294</v>
      </c>
      <c r="D1297" t="s">
        <v>112</v>
      </c>
      <c r="E1297" t="s">
        <v>383</v>
      </c>
      <c r="F1297" s="20">
        <v>2031</v>
      </c>
      <c r="G1297" s="20">
        <v>45</v>
      </c>
      <c r="H1297" s="11">
        <v>4796.7054685071898</v>
      </c>
      <c r="I1297" s="10">
        <v>4040970.42153143</v>
      </c>
      <c r="J1297" s="34">
        <f t="shared" si="80"/>
        <v>1.1870182080395814E-3</v>
      </c>
      <c r="K1297" s="34">
        <f t="shared" si="81"/>
        <v>1.186313980597653E-3</v>
      </c>
      <c r="L1297" s="34">
        <f t="shared" si="82"/>
        <v>0.99196362253017312</v>
      </c>
      <c r="M1297" s="34">
        <f t="shared" si="83"/>
        <v>0.99078684221652125</v>
      </c>
    </row>
    <row r="1298" spans="1:13" ht="27.6">
      <c r="A1298" t="s">
        <v>164</v>
      </c>
      <c r="B1298" t="s">
        <v>112</v>
      </c>
      <c r="C1298" s="14" t="s">
        <v>294</v>
      </c>
      <c r="D1298" t="s">
        <v>112</v>
      </c>
      <c r="E1298" t="s">
        <v>383</v>
      </c>
      <c r="F1298" s="20">
        <v>2031</v>
      </c>
      <c r="G1298" s="20">
        <v>46</v>
      </c>
      <c r="H1298" s="11">
        <v>6178.0179467009302</v>
      </c>
      <c r="I1298" s="10">
        <v>4107692.6270641801</v>
      </c>
      <c r="J1298" s="34">
        <f t="shared" si="80"/>
        <v>1.5040117427472751E-3</v>
      </c>
      <c r="K1298" s="34">
        <f t="shared" si="81"/>
        <v>1.5028812838983052E-3</v>
      </c>
      <c r="L1298" s="34">
        <f t="shared" si="82"/>
        <v>0.99078684221652125</v>
      </c>
      <c r="M1298" s="34">
        <f t="shared" si="83"/>
        <v>0.98929780721502136</v>
      </c>
    </row>
    <row r="1299" spans="1:13" ht="27.6">
      <c r="A1299" t="s">
        <v>164</v>
      </c>
      <c r="B1299" t="s">
        <v>112</v>
      </c>
      <c r="C1299" s="14" t="s">
        <v>294</v>
      </c>
      <c r="D1299" t="s">
        <v>112</v>
      </c>
      <c r="E1299" t="s">
        <v>383</v>
      </c>
      <c r="F1299" s="20">
        <v>2031</v>
      </c>
      <c r="G1299" s="20">
        <v>47</v>
      </c>
      <c r="H1299" s="11">
        <v>6919.7133617960499</v>
      </c>
      <c r="I1299" s="10">
        <v>4132728.3575292798</v>
      </c>
      <c r="J1299" s="34">
        <f t="shared" si="80"/>
        <v>1.6743692696833692E-3</v>
      </c>
      <c r="K1299" s="34">
        <f t="shared" si="81"/>
        <v>1.6729682954829128E-3</v>
      </c>
      <c r="L1299" s="34">
        <f t="shared" si="82"/>
        <v>0.98929780721502136</v>
      </c>
      <c r="M1299" s="34">
        <f t="shared" si="83"/>
        <v>0.9876427433487599</v>
      </c>
    </row>
    <row r="1300" spans="1:13" ht="27.6">
      <c r="A1300" t="s">
        <v>164</v>
      </c>
      <c r="B1300" t="s">
        <v>112</v>
      </c>
      <c r="C1300" s="14" t="s">
        <v>294</v>
      </c>
      <c r="D1300" t="s">
        <v>112</v>
      </c>
      <c r="E1300" t="s">
        <v>383</v>
      </c>
      <c r="F1300" s="20">
        <v>2031</v>
      </c>
      <c r="G1300" s="20">
        <v>48</v>
      </c>
      <c r="H1300" s="11">
        <v>7489.7351951041701</v>
      </c>
      <c r="I1300" s="10">
        <v>4098841.4465284701</v>
      </c>
      <c r="J1300" s="34">
        <f t="shared" si="80"/>
        <v>1.8272810238726435E-3</v>
      </c>
      <c r="K1300" s="34">
        <f t="shared" si="81"/>
        <v>1.8256125623066222E-3</v>
      </c>
      <c r="L1300" s="34">
        <f t="shared" si="82"/>
        <v>0.9876427433487599</v>
      </c>
      <c r="M1300" s="34">
        <f t="shared" si="83"/>
        <v>0.98583969034943142</v>
      </c>
    </row>
    <row r="1301" spans="1:13" ht="27.6">
      <c r="A1301" t="s">
        <v>164</v>
      </c>
      <c r="B1301" t="s">
        <v>112</v>
      </c>
      <c r="C1301" s="14" t="s">
        <v>294</v>
      </c>
      <c r="D1301" t="s">
        <v>112</v>
      </c>
      <c r="E1301" t="s">
        <v>383</v>
      </c>
      <c r="F1301" s="20">
        <v>2031</v>
      </c>
      <c r="G1301" s="20">
        <v>49</v>
      </c>
      <c r="H1301" s="11">
        <v>7851.92125383233</v>
      </c>
      <c r="I1301" s="10">
        <v>4040213.6501261201</v>
      </c>
      <c r="J1301" s="34">
        <f t="shared" si="80"/>
        <v>1.9434420884121371E-3</v>
      </c>
      <c r="K1301" s="34">
        <f t="shared" si="81"/>
        <v>1.9415548276285888E-3</v>
      </c>
      <c r="L1301" s="34">
        <f t="shared" si="82"/>
        <v>0.98583969034943142</v>
      </c>
      <c r="M1301" s="34">
        <f t="shared" si="83"/>
        <v>0.9839256285393656</v>
      </c>
    </row>
    <row r="1302" spans="1:13" ht="27.6">
      <c r="A1302" t="s">
        <v>164</v>
      </c>
      <c r="B1302" t="s">
        <v>112</v>
      </c>
      <c r="C1302" s="14" t="s">
        <v>294</v>
      </c>
      <c r="D1302" t="s">
        <v>112</v>
      </c>
      <c r="E1302" t="s">
        <v>383</v>
      </c>
      <c r="F1302" s="20">
        <v>2031</v>
      </c>
      <c r="G1302" s="20">
        <v>50</v>
      </c>
      <c r="H1302" s="11">
        <v>8203.1658971281304</v>
      </c>
      <c r="I1302" s="10">
        <v>3974402.5156477001</v>
      </c>
      <c r="J1302" s="34">
        <f t="shared" si="80"/>
        <v>2.0639997747664662E-3</v>
      </c>
      <c r="K1302" s="34">
        <f t="shared" si="81"/>
        <v>2.0618711919480059E-3</v>
      </c>
      <c r="L1302" s="34">
        <f t="shared" si="82"/>
        <v>0.9839256285393656</v>
      </c>
      <c r="M1302" s="34">
        <f t="shared" si="83"/>
        <v>0.98189690063086099</v>
      </c>
    </row>
    <row r="1303" spans="1:13" ht="27.6">
      <c r="A1303" t="s">
        <v>164</v>
      </c>
      <c r="B1303" t="s">
        <v>112</v>
      </c>
      <c r="C1303" s="14" t="s">
        <v>294</v>
      </c>
      <c r="D1303" t="s">
        <v>112</v>
      </c>
      <c r="E1303" t="s">
        <v>383</v>
      </c>
      <c r="F1303" s="20">
        <v>2031</v>
      </c>
      <c r="G1303" s="20">
        <v>51</v>
      </c>
      <c r="H1303" s="11">
        <v>9019.3743133114294</v>
      </c>
      <c r="I1303" s="10">
        <v>3913775.1207232601</v>
      </c>
      <c r="J1303" s="34">
        <f t="shared" si="80"/>
        <v>2.3045203250320273E-3</v>
      </c>
      <c r="K1303" s="34">
        <f t="shared" si="81"/>
        <v>2.3018669567062E-3</v>
      </c>
      <c r="L1303" s="34">
        <f t="shared" si="82"/>
        <v>0.98189690063086099</v>
      </c>
      <c r="M1303" s="34">
        <f t="shared" si="83"/>
        <v>0.97963670460040653</v>
      </c>
    </row>
    <row r="1304" spans="1:13" ht="27.6">
      <c r="A1304" t="s">
        <v>164</v>
      </c>
      <c r="B1304" t="s">
        <v>112</v>
      </c>
      <c r="C1304" s="14" t="s">
        <v>294</v>
      </c>
      <c r="D1304" t="s">
        <v>112</v>
      </c>
      <c r="E1304" t="s">
        <v>383</v>
      </c>
      <c r="F1304" s="20">
        <v>2031</v>
      </c>
      <c r="G1304" s="20">
        <v>52</v>
      </c>
      <c r="H1304" s="11">
        <v>9443.7606548512595</v>
      </c>
      <c r="I1304" s="10">
        <v>3839739.2833168702</v>
      </c>
      <c r="J1304" s="34">
        <f t="shared" si="80"/>
        <v>2.4594796568306286E-3</v>
      </c>
      <c r="K1304" s="34">
        <f t="shared" si="81"/>
        <v>2.4564576147974027E-3</v>
      </c>
      <c r="L1304" s="34">
        <f t="shared" si="82"/>
        <v>0.97963670460040653</v>
      </c>
      <c r="M1304" s="34">
        <f t="shared" si="83"/>
        <v>0.97723026855765582</v>
      </c>
    </row>
    <row r="1305" spans="1:13" ht="27.6">
      <c r="A1305" t="s">
        <v>164</v>
      </c>
      <c r="B1305" t="s">
        <v>112</v>
      </c>
      <c r="C1305" s="14" t="s">
        <v>294</v>
      </c>
      <c r="D1305" t="s">
        <v>112</v>
      </c>
      <c r="E1305" t="s">
        <v>383</v>
      </c>
      <c r="F1305" s="20">
        <v>2031</v>
      </c>
      <c r="G1305" s="20">
        <v>53</v>
      </c>
      <c r="H1305" s="11">
        <v>9875.5604518945602</v>
      </c>
      <c r="I1305" s="10">
        <v>3741504.04221923</v>
      </c>
      <c r="J1305" s="34">
        <f t="shared" si="80"/>
        <v>2.6394627242035491E-3</v>
      </c>
      <c r="K1305" s="34">
        <f t="shared" si="81"/>
        <v>2.635982405198134E-3</v>
      </c>
      <c r="L1305" s="34">
        <f t="shared" si="82"/>
        <v>0.97723026855765582</v>
      </c>
      <c r="M1305" s="34">
        <f t="shared" si="83"/>
        <v>0.97465430676391085</v>
      </c>
    </row>
    <row r="1306" spans="1:13" ht="27.6">
      <c r="A1306" t="s">
        <v>164</v>
      </c>
      <c r="B1306" t="s">
        <v>112</v>
      </c>
      <c r="C1306" s="14" t="s">
        <v>294</v>
      </c>
      <c r="D1306" t="s">
        <v>112</v>
      </c>
      <c r="E1306" t="s">
        <v>383</v>
      </c>
      <c r="F1306" s="20">
        <v>2031</v>
      </c>
      <c r="G1306" s="20">
        <v>54</v>
      </c>
      <c r="H1306" s="11">
        <v>10403.3421472441</v>
      </c>
      <c r="I1306" s="10">
        <v>3647265.7286473</v>
      </c>
      <c r="J1306" s="34">
        <f t="shared" si="80"/>
        <v>2.8523674777879422E-3</v>
      </c>
      <c r="K1306" s="34">
        <f t="shared" si="81"/>
        <v>2.848303342727676E-3</v>
      </c>
      <c r="L1306" s="34">
        <f t="shared" si="82"/>
        <v>0.97465430676391085</v>
      </c>
      <c r="M1306" s="34">
        <f t="shared" si="83"/>
        <v>0.97187819564395128</v>
      </c>
    </row>
    <row r="1307" spans="1:13" ht="27.6">
      <c r="A1307" t="s">
        <v>164</v>
      </c>
      <c r="B1307" t="s">
        <v>112</v>
      </c>
      <c r="C1307" s="14" t="s">
        <v>294</v>
      </c>
      <c r="D1307" t="s">
        <v>112</v>
      </c>
      <c r="E1307" t="s">
        <v>383</v>
      </c>
      <c r="F1307" s="20">
        <v>2031</v>
      </c>
      <c r="G1307" s="20">
        <v>55</v>
      </c>
      <c r="H1307" s="11">
        <v>11142.4393800038</v>
      </c>
      <c r="I1307" s="10">
        <v>3567587.4240747602</v>
      </c>
      <c r="J1307" s="34">
        <f t="shared" si="80"/>
        <v>3.1232421397195467E-3</v>
      </c>
      <c r="K1307" s="34">
        <f t="shared" si="81"/>
        <v>3.1183698927101933E-3</v>
      </c>
      <c r="L1307" s="34">
        <f t="shared" si="82"/>
        <v>0.97187819564395128</v>
      </c>
      <c r="M1307" s="34">
        <f t="shared" si="83"/>
        <v>0.96884751993927365</v>
      </c>
    </row>
    <row r="1308" spans="1:13" ht="27.6">
      <c r="A1308" t="s">
        <v>164</v>
      </c>
      <c r="B1308" t="s">
        <v>112</v>
      </c>
      <c r="C1308" s="14" t="s">
        <v>294</v>
      </c>
      <c r="D1308" t="s">
        <v>112</v>
      </c>
      <c r="E1308" t="s">
        <v>383</v>
      </c>
      <c r="F1308" s="20">
        <v>2031</v>
      </c>
      <c r="G1308" s="20">
        <v>56</v>
      </c>
      <c r="H1308" s="11">
        <v>11988.204120774801</v>
      </c>
      <c r="I1308" s="10">
        <v>3475130.2945151501</v>
      </c>
      <c r="J1308" s="34">
        <f t="shared" si="80"/>
        <v>3.4497135660484335E-3</v>
      </c>
      <c r="K1308" s="34">
        <f t="shared" si="81"/>
        <v>3.4437701405406473E-3</v>
      </c>
      <c r="L1308" s="34">
        <f t="shared" si="82"/>
        <v>0.96884751993927365</v>
      </c>
      <c r="M1308" s="34">
        <f t="shared" si="83"/>
        <v>0.96551103177936992</v>
      </c>
    </row>
    <row r="1309" spans="1:13" ht="27.6">
      <c r="A1309" t="s">
        <v>164</v>
      </c>
      <c r="B1309" t="s">
        <v>112</v>
      </c>
      <c r="C1309" s="14" t="s">
        <v>294</v>
      </c>
      <c r="D1309" t="s">
        <v>112</v>
      </c>
      <c r="E1309" t="s">
        <v>383</v>
      </c>
      <c r="F1309" s="20">
        <v>2031</v>
      </c>
      <c r="G1309" s="20">
        <v>57</v>
      </c>
      <c r="H1309" s="11">
        <v>12919.8926685596</v>
      </c>
      <c r="I1309" s="10">
        <v>3397264.1277105901</v>
      </c>
      <c r="J1309" s="34">
        <f t="shared" si="80"/>
        <v>3.8030286085722429E-3</v>
      </c>
      <c r="K1309" s="34">
        <f t="shared" si="81"/>
        <v>3.7958062537816195E-3</v>
      </c>
      <c r="L1309" s="34">
        <f t="shared" si="82"/>
        <v>0.96551103177936992</v>
      </c>
      <c r="M1309" s="34">
        <f t="shared" si="83"/>
        <v>0.96184613896684668</v>
      </c>
    </row>
    <row r="1310" spans="1:13" ht="27.6">
      <c r="A1310" t="s">
        <v>164</v>
      </c>
      <c r="B1310" t="s">
        <v>112</v>
      </c>
      <c r="C1310" s="14" t="s">
        <v>294</v>
      </c>
      <c r="D1310" t="s">
        <v>112</v>
      </c>
      <c r="E1310" t="s">
        <v>383</v>
      </c>
      <c r="F1310" s="20">
        <v>2031</v>
      </c>
      <c r="G1310" s="20">
        <v>58</v>
      </c>
      <c r="H1310" s="11">
        <v>13977.219579689699</v>
      </c>
      <c r="I1310" s="10">
        <v>3318934.8879462699</v>
      </c>
      <c r="J1310" s="34">
        <f t="shared" si="80"/>
        <v>4.2113569719165805E-3</v>
      </c>
      <c r="K1310" s="34">
        <f t="shared" si="81"/>
        <v>4.2025016434885654E-3</v>
      </c>
      <c r="L1310" s="34">
        <f t="shared" si="82"/>
        <v>0.96184613896684668</v>
      </c>
      <c r="M1310" s="34">
        <f t="shared" si="83"/>
        <v>0.95780397898705538</v>
      </c>
    </row>
    <row r="1311" spans="1:13" ht="27.6">
      <c r="A1311" t="s">
        <v>164</v>
      </c>
      <c r="B1311" t="s">
        <v>112</v>
      </c>
      <c r="C1311" s="14" t="s">
        <v>294</v>
      </c>
      <c r="D1311" t="s">
        <v>112</v>
      </c>
      <c r="E1311" t="s">
        <v>383</v>
      </c>
      <c r="F1311" s="20">
        <v>2031</v>
      </c>
      <c r="G1311" s="20">
        <v>59</v>
      </c>
      <c r="H1311" s="11">
        <v>14254.1242419189</v>
      </c>
      <c r="I1311" s="10">
        <v>3219284.7967833998</v>
      </c>
      <c r="J1311" s="34">
        <f t="shared" si="80"/>
        <v>4.4277301145152293E-3</v>
      </c>
      <c r="K1311" s="34">
        <f t="shared" si="81"/>
        <v>4.4179421689874987E-3</v>
      </c>
      <c r="L1311" s="34">
        <f t="shared" si="82"/>
        <v>0.95780397898705538</v>
      </c>
      <c r="M1311" s="34">
        <f t="shared" si="83"/>
        <v>0.9535724563986645</v>
      </c>
    </row>
    <row r="1312" spans="1:13" ht="27.6">
      <c r="A1312" t="s">
        <v>164</v>
      </c>
      <c r="B1312" t="s">
        <v>112</v>
      </c>
      <c r="C1312" s="14" t="s">
        <v>294</v>
      </c>
      <c r="D1312" t="s">
        <v>112</v>
      </c>
      <c r="E1312" t="s">
        <v>383</v>
      </c>
      <c r="F1312" s="20">
        <v>2031</v>
      </c>
      <c r="G1312" s="20">
        <v>60</v>
      </c>
      <c r="H1312" s="11">
        <v>14733.3867090696</v>
      </c>
      <c r="I1312" s="10">
        <v>3130327.82825909</v>
      </c>
      <c r="J1312" s="34">
        <f t="shared" si="80"/>
        <v>4.7066593396588342E-3</v>
      </c>
      <c r="K1312" s="34">
        <f t="shared" si="81"/>
        <v>4.6956003756507547E-3</v>
      </c>
      <c r="L1312" s="34">
        <f t="shared" si="82"/>
        <v>0.9535724563986645</v>
      </c>
      <c r="M1312" s="34">
        <f t="shared" si="83"/>
        <v>0.94909486121418873</v>
      </c>
    </row>
    <row r="1313" spans="1:13" ht="27.6">
      <c r="A1313" t="s">
        <v>164</v>
      </c>
      <c r="B1313" t="s">
        <v>112</v>
      </c>
      <c r="C1313" s="14" t="s">
        <v>294</v>
      </c>
      <c r="D1313" t="s">
        <v>112</v>
      </c>
      <c r="E1313" t="s">
        <v>383</v>
      </c>
      <c r="F1313" s="20">
        <v>2031</v>
      </c>
      <c r="G1313" s="20">
        <v>61</v>
      </c>
      <c r="H1313" s="11">
        <v>15607.460477054599</v>
      </c>
      <c r="I1313" s="10">
        <v>3039225.9915789999</v>
      </c>
      <c r="J1313" s="34">
        <f t="shared" si="80"/>
        <v>5.1353405506202243E-3</v>
      </c>
      <c r="K1313" s="34">
        <f t="shared" si="81"/>
        <v>5.1221772316827341E-3</v>
      </c>
      <c r="L1313" s="34">
        <f t="shared" si="82"/>
        <v>0.94909486121418873</v>
      </c>
      <c r="M1313" s="34">
        <f t="shared" si="83"/>
        <v>0.94423342912537034</v>
      </c>
    </row>
    <row r="1314" spans="1:13" ht="27.6">
      <c r="A1314" t="s">
        <v>164</v>
      </c>
      <c r="B1314" t="s">
        <v>112</v>
      </c>
      <c r="C1314" s="14" t="s">
        <v>294</v>
      </c>
      <c r="D1314" t="s">
        <v>112</v>
      </c>
      <c r="E1314" t="s">
        <v>383</v>
      </c>
      <c r="F1314" s="20">
        <v>2031</v>
      </c>
      <c r="G1314" s="20">
        <v>62</v>
      </c>
      <c r="H1314" s="11">
        <v>16272.0872295053</v>
      </c>
      <c r="I1314" s="10">
        <v>2932631.7882253402</v>
      </c>
      <c r="J1314" s="34">
        <f t="shared" si="80"/>
        <v>5.5486294920618828E-3</v>
      </c>
      <c r="K1314" s="34">
        <f t="shared" si="81"/>
        <v>5.533264279201755E-3</v>
      </c>
      <c r="L1314" s="34">
        <f t="shared" si="82"/>
        <v>0.94423342912537034</v>
      </c>
      <c r="M1314" s="34">
        <f t="shared" si="83"/>
        <v>0.93900873602076274</v>
      </c>
    </row>
    <row r="1315" spans="1:13" ht="27.6">
      <c r="A1315" t="s">
        <v>164</v>
      </c>
      <c r="B1315" t="s">
        <v>112</v>
      </c>
      <c r="C1315" s="14" t="s">
        <v>294</v>
      </c>
      <c r="D1315" t="s">
        <v>112</v>
      </c>
      <c r="E1315" t="s">
        <v>383</v>
      </c>
      <c r="F1315" s="20">
        <v>2031</v>
      </c>
      <c r="G1315" s="20">
        <v>63</v>
      </c>
      <c r="H1315" s="11">
        <v>17211.609340659601</v>
      </c>
      <c r="I1315" s="10">
        <v>2818622.3382027</v>
      </c>
      <c r="J1315" s="34">
        <f t="shared" si="80"/>
        <v>6.1063907382620892E-3</v>
      </c>
      <c r="K1315" s="34">
        <f t="shared" si="81"/>
        <v>6.0877846256663926E-3</v>
      </c>
      <c r="L1315" s="34">
        <f t="shared" si="82"/>
        <v>0.93900873602076274</v>
      </c>
      <c r="M1315" s="34">
        <f t="shared" si="83"/>
        <v>0.93329225307424912</v>
      </c>
    </row>
    <row r="1316" spans="1:13" ht="27.6">
      <c r="A1316" t="s">
        <v>164</v>
      </c>
      <c r="B1316" t="s">
        <v>112</v>
      </c>
      <c r="C1316" s="14" t="s">
        <v>294</v>
      </c>
      <c r="D1316" t="s">
        <v>112</v>
      </c>
      <c r="E1316" t="s">
        <v>383</v>
      </c>
      <c r="F1316" s="20">
        <v>2031</v>
      </c>
      <c r="G1316" s="20">
        <v>64</v>
      </c>
      <c r="H1316" s="11">
        <v>18485.688321282501</v>
      </c>
      <c r="I1316" s="10">
        <v>2706290.4981796602</v>
      </c>
      <c r="J1316" s="34">
        <f t="shared" si="80"/>
        <v>6.8306371151643118E-3</v>
      </c>
      <c r="K1316" s="34">
        <f t="shared" si="81"/>
        <v>6.8073613397426902E-3</v>
      </c>
      <c r="L1316" s="34">
        <f t="shared" si="82"/>
        <v>0.93329225307424912</v>
      </c>
      <c r="M1316" s="34">
        <f t="shared" si="83"/>
        <v>0.9269389954719901</v>
      </c>
    </row>
    <row r="1317" spans="1:13" ht="27.6">
      <c r="A1317" t="s">
        <v>164</v>
      </c>
      <c r="B1317" t="s">
        <v>112</v>
      </c>
      <c r="C1317" s="14" t="s">
        <v>294</v>
      </c>
      <c r="D1317" t="s">
        <v>112</v>
      </c>
      <c r="E1317" t="s">
        <v>383</v>
      </c>
      <c r="F1317" s="20">
        <v>2031</v>
      </c>
      <c r="G1317" s="20">
        <v>65</v>
      </c>
      <c r="H1317" s="11">
        <v>19608.0188103687</v>
      </c>
      <c r="I1317" s="10">
        <v>2581113.6829656698</v>
      </c>
      <c r="J1317" s="34">
        <f t="shared" si="80"/>
        <v>7.5967280867068636E-3</v>
      </c>
      <c r="K1317" s="34">
        <f t="shared" si="81"/>
        <v>7.5679458775503861E-3</v>
      </c>
      <c r="L1317" s="34">
        <f t="shared" si="82"/>
        <v>0.9269389954719901</v>
      </c>
      <c r="M1317" s="34">
        <f t="shared" si="83"/>
        <v>0.91992397132246717</v>
      </c>
    </row>
    <row r="1318" spans="1:13" ht="27.6">
      <c r="A1318" t="s">
        <v>164</v>
      </c>
      <c r="B1318" t="s">
        <v>112</v>
      </c>
      <c r="C1318" s="14" t="s">
        <v>294</v>
      </c>
      <c r="D1318" t="s">
        <v>112</v>
      </c>
      <c r="E1318" t="s">
        <v>383</v>
      </c>
      <c r="F1318" s="20">
        <v>2031</v>
      </c>
      <c r="G1318" s="20">
        <v>66</v>
      </c>
      <c r="H1318" s="11">
        <v>20112.054039205999</v>
      </c>
      <c r="I1318" s="10">
        <v>2444075.0153096998</v>
      </c>
      <c r="J1318" s="34">
        <f t="shared" si="80"/>
        <v>8.2289021053871016E-3</v>
      </c>
      <c r="K1318" s="34">
        <f t="shared" si="81"/>
        <v>8.1951373695012819E-3</v>
      </c>
      <c r="L1318" s="34">
        <f t="shared" si="82"/>
        <v>0.91992397132246717</v>
      </c>
      <c r="M1318" s="34">
        <f t="shared" si="83"/>
        <v>0.91238506800798236</v>
      </c>
    </row>
    <row r="1319" spans="1:13" ht="27.6">
      <c r="A1319" t="s">
        <v>164</v>
      </c>
      <c r="B1319" t="s">
        <v>112</v>
      </c>
      <c r="C1319" s="14" t="s">
        <v>294</v>
      </c>
      <c r="D1319" t="s">
        <v>112</v>
      </c>
      <c r="E1319" t="s">
        <v>383</v>
      </c>
      <c r="F1319" s="20">
        <v>2031</v>
      </c>
      <c r="G1319" s="20">
        <v>67</v>
      </c>
      <c r="H1319" s="11">
        <v>20994.699088596699</v>
      </c>
      <c r="I1319" s="10">
        <v>2308019.16088947</v>
      </c>
      <c r="J1319" s="34">
        <f t="shared" si="80"/>
        <v>9.0964145551138791E-3</v>
      </c>
      <c r="K1319" s="34">
        <f t="shared" si="81"/>
        <v>9.0551673382437414E-3</v>
      </c>
      <c r="L1319" s="34">
        <f t="shared" si="82"/>
        <v>0.91238506800798236</v>
      </c>
      <c r="M1319" s="34">
        <f t="shared" si="83"/>
        <v>0.90412326854025515</v>
      </c>
    </row>
    <row r="1320" spans="1:13" ht="27.6">
      <c r="A1320" t="s">
        <v>164</v>
      </c>
      <c r="B1320" t="s">
        <v>112</v>
      </c>
      <c r="C1320" s="14" t="s">
        <v>294</v>
      </c>
      <c r="D1320" t="s">
        <v>112</v>
      </c>
      <c r="E1320" t="s">
        <v>383</v>
      </c>
      <c r="F1320" s="20">
        <v>2031</v>
      </c>
      <c r="G1320" s="20">
        <v>68</v>
      </c>
      <c r="H1320" s="11">
        <v>21570.1945860212</v>
      </c>
      <c r="I1320" s="10">
        <v>2173105.2657116</v>
      </c>
      <c r="J1320" s="34">
        <f t="shared" si="80"/>
        <v>9.9259777822856068E-3</v>
      </c>
      <c r="K1320" s="34">
        <f t="shared" si="81"/>
        <v>9.8768778540386792E-3</v>
      </c>
      <c r="L1320" s="34">
        <f t="shared" si="82"/>
        <v>0.90412326854025515</v>
      </c>
      <c r="M1320" s="34">
        <f t="shared" si="83"/>
        <v>0.89519335345188888</v>
      </c>
    </row>
    <row r="1321" spans="1:13" ht="27.6">
      <c r="A1321" t="s">
        <v>164</v>
      </c>
      <c r="B1321" t="s">
        <v>112</v>
      </c>
      <c r="C1321" s="14" t="s">
        <v>294</v>
      </c>
      <c r="D1321" t="s">
        <v>112</v>
      </c>
      <c r="E1321" t="s">
        <v>383</v>
      </c>
      <c r="F1321" s="20">
        <v>2031</v>
      </c>
      <c r="G1321" s="20">
        <v>69</v>
      </c>
      <c r="H1321" s="11">
        <v>21343.452079325401</v>
      </c>
      <c r="I1321" s="10">
        <v>2038415.5926566001</v>
      </c>
      <c r="J1321" s="34">
        <f t="shared" si="80"/>
        <v>1.0470608719936832E-2</v>
      </c>
      <c r="K1321" s="34">
        <f t="shared" si="81"/>
        <v>1.0415982718523398E-2</v>
      </c>
      <c r="L1321" s="34">
        <f t="shared" si="82"/>
        <v>0.89519335345188888</v>
      </c>
      <c r="M1321" s="34">
        <f t="shared" si="83"/>
        <v>0.88586903495259706</v>
      </c>
    </row>
    <row r="1322" spans="1:13" ht="27.6">
      <c r="A1322" t="s">
        <v>164</v>
      </c>
      <c r="B1322" t="s">
        <v>112</v>
      </c>
      <c r="C1322" s="14" t="s">
        <v>294</v>
      </c>
      <c r="D1322" t="s">
        <v>112</v>
      </c>
      <c r="E1322" t="s">
        <v>383</v>
      </c>
      <c r="F1322" s="20">
        <v>2032</v>
      </c>
      <c r="G1322" s="20">
        <v>30</v>
      </c>
      <c r="H1322" s="11">
        <v>749.56172013130197</v>
      </c>
      <c r="I1322" s="10">
        <v>4342442.0680119703</v>
      </c>
      <c r="J1322" s="34">
        <f t="shared" si="80"/>
        <v>1.7261294644615988E-4</v>
      </c>
      <c r="K1322" s="34">
        <f t="shared" si="81"/>
        <v>1.7259804968861037E-4</v>
      </c>
      <c r="L1322" s="34">
        <f t="shared" si="82"/>
        <v>1</v>
      </c>
      <c r="M1322" s="34">
        <f t="shared" si="83"/>
        <v>0.99982740195031139</v>
      </c>
    </row>
    <row r="1323" spans="1:13" ht="27.6">
      <c r="A1323" t="s">
        <v>164</v>
      </c>
      <c r="B1323" t="s">
        <v>112</v>
      </c>
      <c r="C1323" s="14" t="s">
        <v>294</v>
      </c>
      <c r="D1323" t="s">
        <v>112</v>
      </c>
      <c r="E1323" t="s">
        <v>383</v>
      </c>
      <c r="F1323" s="20">
        <v>2032</v>
      </c>
      <c r="G1323" s="20">
        <v>31</v>
      </c>
      <c r="H1323" s="11">
        <v>1111.29345813037</v>
      </c>
      <c r="I1323" s="10">
        <v>4323911.0824279804</v>
      </c>
      <c r="J1323" s="34">
        <f t="shared" si="80"/>
        <v>2.5701117274279194E-4</v>
      </c>
      <c r="K1323" s="34">
        <f t="shared" si="81"/>
        <v>2.5697814820058174E-4</v>
      </c>
      <c r="L1323" s="34">
        <f t="shared" si="82"/>
        <v>0.99982740195031139</v>
      </c>
      <c r="M1323" s="34">
        <f t="shared" si="83"/>
        <v>0.99957046815603801</v>
      </c>
    </row>
    <row r="1324" spans="1:13" ht="27.6">
      <c r="A1324" t="s">
        <v>164</v>
      </c>
      <c r="B1324" t="s">
        <v>112</v>
      </c>
      <c r="C1324" s="14" t="s">
        <v>294</v>
      </c>
      <c r="D1324" t="s">
        <v>112</v>
      </c>
      <c r="E1324" t="s">
        <v>383</v>
      </c>
      <c r="F1324" s="20">
        <v>2032</v>
      </c>
      <c r="G1324" s="20">
        <v>32</v>
      </c>
      <c r="H1324" s="11">
        <v>1183.7056854366799</v>
      </c>
      <c r="I1324" s="10">
        <v>4325332.7084794501</v>
      </c>
      <c r="J1324" s="34">
        <f t="shared" si="80"/>
        <v>2.7366812340611966E-4</v>
      </c>
      <c r="K1324" s="34">
        <f t="shared" si="81"/>
        <v>2.7363067970098687E-4</v>
      </c>
      <c r="L1324" s="34">
        <f t="shared" si="82"/>
        <v>0.99957046815603801</v>
      </c>
      <c r="M1324" s="34">
        <f t="shared" si="83"/>
        <v>0.99929695500942739</v>
      </c>
    </row>
    <row r="1325" spans="1:13" ht="27.6">
      <c r="A1325" t="s">
        <v>164</v>
      </c>
      <c r="B1325" t="s">
        <v>112</v>
      </c>
      <c r="C1325" s="14" t="s">
        <v>294</v>
      </c>
      <c r="D1325" t="s">
        <v>112</v>
      </c>
      <c r="E1325" t="s">
        <v>383</v>
      </c>
      <c r="F1325" s="20">
        <v>2032</v>
      </c>
      <c r="G1325" s="20">
        <v>33</v>
      </c>
      <c r="H1325" s="11">
        <v>1289.3486262455101</v>
      </c>
      <c r="I1325" s="10">
        <v>4365722.4386895597</v>
      </c>
      <c r="J1325" s="34">
        <f t="shared" si="80"/>
        <v>2.953345395527546E-4</v>
      </c>
      <c r="K1325" s="34">
        <f t="shared" si="81"/>
        <v>2.9529093260061146E-4</v>
      </c>
      <c r="L1325" s="34">
        <f t="shared" si="82"/>
        <v>0.99929695500942739</v>
      </c>
      <c r="M1325" s="34">
        <f t="shared" si="83"/>
        <v>0.99900187167963772</v>
      </c>
    </row>
    <row r="1326" spans="1:13" ht="27.6">
      <c r="A1326" t="s">
        <v>164</v>
      </c>
      <c r="B1326" t="s">
        <v>112</v>
      </c>
      <c r="C1326" s="14" t="s">
        <v>294</v>
      </c>
      <c r="D1326" t="s">
        <v>112</v>
      </c>
      <c r="E1326" t="s">
        <v>383</v>
      </c>
      <c r="F1326" s="20">
        <v>2032</v>
      </c>
      <c r="G1326" s="20">
        <v>34</v>
      </c>
      <c r="H1326" s="11">
        <v>1383.2009703108799</v>
      </c>
      <c r="I1326" s="10">
        <v>4408714.0749630705</v>
      </c>
      <c r="J1326" s="34">
        <f t="shared" si="80"/>
        <v>3.1374249878576361E-4</v>
      </c>
      <c r="K1326" s="34">
        <f t="shared" si="81"/>
        <v>3.1369328675479036E-4</v>
      </c>
      <c r="L1326" s="34">
        <f t="shared" si="82"/>
        <v>0.99900187167963772</v>
      </c>
      <c r="M1326" s="34">
        <f t="shared" si="83"/>
        <v>0.99868849149903638</v>
      </c>
    </row>
    <row r="1327" spans="1:13" ht="27.6">
      <c r="A1327" t="s">
        <v>164</v>
      </c>
      <c r="B1327" t="s">
        <v>112</v>
      </c>
      <c r="C1327" s="14" t="s">
        <v>294</v>
      </c>
      <c r="D1327" t="s">
        <v>112</v>
      </c>
      <c r="E1327" t="s">
        <v>383</v>
      </c>
      <c r="F1327" s="20">
        <v>2032</v>
      </c>
      <c r="G1327" s="20">
        <v>35</v>
      </c>
      <c r="H1327" s="11">
        <v>1487.21852521602</v>
      </c>
      <c r="I1327" s="10">
        <v>4405431.3333222596</v>
      </c>
      <c r="J1327" s="34">
        <f t="shared" si="80"/>
        <v>3.3758749432021375E-4</v>
      </c>
      <c r="K1327" s="34">
        <f t="shared" si="81"/>
        <v>3.3753051807372536E-4</v>
      </c>
      <c r="L1327" s="34">
        <f t="shared" si="82"/>
        <v>0.99868849149903638</v>
      </c>
      <c r="M1327" s="34">
        <f t="shared" si="83"/>
        <v>0.99835140365510644</v>
      </c>
    </row>
    <row r="1328" spans="1:13" ht="27.6">
      <c r="A1328" t="s">
        <v>164</v>
      </c>
      <c r="B1328" t="s">
        <v>112</v>
      </c>
      <c r="C1328" s="14" t="s">
        <v>294</v>
      </c>
      <c r="D1328" t="s">
        <v>112</v>
      </c>
      <c r="E1328" t="s">
        <v>383</v>
      </c>
      <c r="F1328" s="20">
        <v>2032</v>
      </c>
      <c r="G1328" s="20">
        <v>36</v>
      </c>
      <c r="H1328" s="11">
        <v>1905.2683696307899</v>
      </c>
      <c r="I1328" s="10">
        <v>4343076.3986813398</v>
      </c>
      <c r="J1328" s="34">
        <f t="shared" si="80"/>
        <v>4.3869096343994186E-4</v>
      </c>
      <c r="K1328" s="34">
        <f t="shared" si="81"/>
        <v>4.3859475262864045E-4</v>
      </c>
      <c r="L1328" s="34">
        <f t="shared" si="82"/>
        <v>0.99835140365510644</v>
      </c>
      <c r="M1328" s="34">
        <f t="shared" si="83"/>
        <v>0.99791353196818389</v>
      </c>
    </row>
    <row r="1329" spans="1:13" ht="27.6">
      <c r="A1329" t="s">
        <v>164</v>
      </c>
      <c r="B1329" t="s">
        <v>112</v>
      </c>
      <c r="C1329" s="14" t="s">
        <v>294</v>
      </c>
      <c r="D1329" t="s">
        <v>112</v>
      </c>
      <c r="E1329" t="s">
        <v>383</v>
      </c>
      <c r="F1329" s="20">
        <v>2032</v>
      </c>
      <c r="G1329" s="20">
        <v>37</v>
      </c>
      <c r="H1329" s="11">
        <v>2025.45885919893</v>
      </c>
      <c r="I1329" s="10">
        <v>4278755.6869920902</v>
      </c>
      <c r="J1329" s="34">
        <f t="shared" si="80"/>
        <v>4.7337567446455474E-4</v>
      </c>
      <c r="K1329" s="34">
        <f t="shared" si="81"/>
        <v>4.7326364987720915E-4</v>
      </c>
      <c r="L1329" s="34">
        <f t="shared" si="82"/>
        <v>0.99791353196818389</v>
      </c>
      <c r="M1329" s="34">
        <f t="shared" si="83"/>
        <v>0.99744125576778275</v>
      </c>
    </row>
    <row r="1330" spans="1:13" ht="27.6">
      <c r="A1330" t="s">
        <v>164</v>
      </c>
      <c r="B1330" t="s">
        <v>112</v>
      </c>
      <c r="C1330" s="14" t="s">
        <v>294</v>
      </c>
      <c r="D1330" t="s">
        <v>112</v>
      </c>
      <c r="E1330" t="s">
        <v>383</v>
      </c>
      <c r="F1330" s="20">
        <v>2032</v>
      </c>
      <c r="G1330" s="20">
        <v>38</v>
      </c>
      <c r="H1330" s="11">
        <v>2180.9493231412198</v>
      </c>
      <c r="I1330" s="10">
        <v>4223860.2189490097</v>
      </c>
      <c r="J1330" s="34">
        <f t="shared" si="80"/>
        <v>5.1634031669823784E-4</v>
      </c>
      <c r="K1330" s="34">
        <f t="shared" si="81"/>
        <v>5.1620703597732298E-4</v>
      </c>
      <c r="L1330" s="34">
        <f t="shared" si="82"/>
        <v>0.99744125576778275</v>
      </c>
      <c r="M1330" s="34">
        <f t="shared" si="83"/>
        <v>0.99692636957358138</v>
      </c>
    </row>
    <row r="1331" spans="1:13" ht="27.6">
      <c r="A1331" t="s">
        <v>164</v>
      </c>
      <c r="B1331" t="s">
        <v>112</v>
      </c>
      <c r="C1331" s="14" t="s">
        <v>294</v>
      </c>
      <c r="D1331" t="s">
        <v>112</v>
      </c>
      <c r="E1331" t="s">
        <v>383</v>
      </c>
      <c r="F1331" s="20">
        <v>2032</v>
      </c>
      <c r="G1331" s="20">
        <v>39</v>
      </c>
      <c r="H1331" s="11">
        <v>2281.3250587960401</v>
      </c>
      <c r="I1331" s="10">
        <v>4171382.92009024</v>
      </c>
      <c r="J1331" s="34">
        <f t="shared" si="80"/>
        <v>5.4689897870768671E-4</v>
      </c>
      <c r="K1331" s="34">
        <f t="shared" si="81"/>
        <v>5.4674945672028574E-4</v>
      </c>
      <c r="L1331" s="34">
        <f t="shared" si="82"/>
        <v>0.99692636957358138</v>
      </c>
      <c r="M1331" s="34">
        <f t="shared" si="83"/>
        <v>0.99638130062262686</v>
      </c>
    </row>
    <row r="1332" spans="1:13" ht="27.6">
      <c r="A1332" t="s">
        <v>164</v>
      </c>
      <c r="B1332" t="s">
        <v>112</v>
      </c>
      <c r="C1332" s="14" t="s">
        <v>294</v>
      </c>
      <c r="D1332" t="s">
        <v>112</v>
      </c>
      <c r="E1332" t="s">
        <v>383</v>
      </c>
      <c r="F1332" s="20">
        <v>2032</v>
      </c>
      <c r="G1332" s="20">
        <v>40</v>
      </c>
      <c r="H1332" s="11">
        <v>2461.2334972642302</v>
      </c>
      <c r="I1332" s="10">
        <v>4153757.7049908699</v>
      </c>
      <c r="J1332" s="34">
        <f t="shared" si="80"/>
        <v>5.925317921907147E-4</v>
      </c>
      <c r="K1332" s="34">
        <f t="shared" si="81"/>
        <v>5.9235627989562278E-4</v>
      </c>
      <c r="L1332" s="34">
        <f t="shared" si="82"/>
        <v>0.99638130062262686</v>
      </c>
      <c r="M1332" s="34">
        <f t="shared" si="83"/>
        <v>0.99579108790203252</v>
      </c>
    </row>
    <row r="1333" spans="1:13" ht="27.6">
      <c r="A1333" t="s">
        <v>164</v>
      </c>
      <c r="B1333" t="s">
        <v>112</v>
      </c>
      <c r="C1333" s="14" t="s">
        <v>294</v>
      </c>
      <c r="D1333" t="s">
        <v>112</v>
      </c>
      <c r="E1333" t="s">
        <v>383</v>
      </c>
      <c r="F1333" s="20">
        <v>2032</v>
      </c>
      <c r="G1333" s="20">
        <v>41</v>
      </c>
      <c r="H1333" s="11">
        <v>3207.21366135067</v>
      </c>
      <c r="I1333" s="10">
        <v>4130280.8807178698</v>
      </c>
      <c r="J1333" s="34">
        <f t="shared" si="80"/>
        <v>7.7651224068645789E-4</v>
      </c>
      <c r="K1333" s="34">
        <f t="shared" si="81"/>
        <v>7.762108330771067E-4</v>
      </c>
      <c r="L1333" s="34">
        <f t="shared" si="82"/>
        <v>0.99579108790203252</v>
      </c>
      <c r="M1333" s="34">
        <f t="shared" si="83"/>
        <v>0.9950181440721213</v>
      </c>
    </row>
    <row r="1334" spans="1:13" ht="27.6">
      <c r="A1334" t="s">
        <v>164</v>
      </c>
      <c r="B1334" t="s">
        <v>112</v>
      </c>
      <c r="C1334" s="14" t="s">
        <v>294</v>
      </c>
      <c r="D1334" t="s">
        <v>112</v>
      </c>
      <c r="E1334" t="s">
        <v>383</v>
      </c>
      <c r="F1334" s="20">
        <v>2032</v>
      </c>
      <c r="G1334" s="20">
        <v>42</v>
      </c>
      <c r="H1334" s="11">
        <v>3524.3422706626002</v>
      </c>
      <c r="I1334" s="10">
        <v>4110298.4178762198</v>
      </c>
      <c r="J1334" s="34">
        <f t="shared" si="80"/>
        <v>8.5744194517234547E-4</v>
      </c>
      <c r="K1334" s="34">
        <f t="shared" si="81"/>
        <v>8.5707444687133094E-4</v>
      </c>
      <c r="L1334" s="34">
        <f t="shared" si="82"/>
        <v>0.9950181440721213</v>
      </c>
      <c r="M1334" s="34">
        <f t="shared" si="83"/>
        <v>0.99416533944666374</v>
      </c>
    </row>
    <row r="1335" spans="1:13" ht="27.6">
      <c r="A1335" t="s">
        <v>164</v>
      </c>
      <c r="B1335" t="s">
        <v>112</v>
      </c>
      <c r="C1335" s="14" t="s">
        <v>294</v>
      </c>
      <c r="D1335" t="s">
        <v>112</v>
      </c>
      <c r="E1335" t="s">
        <v>383</v>
      </c>
      <c r="F1335" s="20">
        <v>2032</v>
      </c>
      <c r="G1335" s="20">
        <v>43</v>
      </c>
      <c r="H1335" s="11">
        <v>3941.8048956829002</v>
      </c>
      <c r="I1335" s="10">
        <v>4113000.7010452198</v>
      </c>
      <c r="J1335" s="34">
        <f t="shared" si="80"/>
        <v>9.583769082950036E-4</v>
      </c>
      <c r="K1335" s="34">
        <f t="shared" si="81"/>
        <v>9.5791781181997493E-4</v>
      </c>
      <c r="L1335" s="34">
        <f t="shared" si="82"/>
        <v>0.99416533944666374</v>
      </c>
      <c r="M1335" s="34">
        <f t="shared" si="83"/>
        <v>0.9932130107601137</v>
      </c>
    </row>
    <row r="1336" spans="1:13" ht="27.6">
      <c r="A1336" t="s">
        <v>164</v>
      </c>
      <c r="B1336" t="s">
        <v>112</v>
      </c>
      <c r="C1336" s="14" t="s">
        <v>294</v>
      </c>
      <c r="D1336" t="s">
        <v>112</v>
      </c>
      <c r="E1336" t="s">
        <v>383</v>
      </c>
      <c r="F1336" s="20">
        <v>2032</v>
      </c>
      <c r="G1336" s="20">
        <v>44</v>
      </c>
      <c r="H1336" s="11">
        <v>4206.7278540078396</v>
      </c>
      <c r="I1336" s="10">
        <v>4069679.68681212</v>
      </c>
      <c r="J1336" s="34">
        <f t="shared" si="80"/>
        <v>1.0336754186428547E-3</v>
      </c>
      <c r="K1336" s="34">
        <f t="shared" si="81"/>
        <v>1.0331413602374662E-3</v>
      </c>
      <c r="L1336" s="34">
        <f t="shared" si="82"/>
        <v>0.9932130107601137</v>
      </c>
      <c r="M1336" s="34">
        <f t="shared" si="83"/>
        <v>0.99218688131917143</v>
      </c>
    </row>
    <row r="1337" spans="1:13" ht="27.6">
      <c r="A1337" t="s">
        <v>164</v>
      </c>
      <c r="B1337" t="s">
        <v>112</v>
      </c>
      <c r="C1337" s="14" t="s">
        <v>294</v>
      </c>
      <c r="D1337" t="s">
        <v>112</v>
      </c>
      <c r="E1337" t="s">
        <v>383</v>
      </c>
      <c r="F1337" s="20">
        <v>2032</v>
      </c>
      <c r="G1337" s="20">
        <v>45</v>
      </c>
      <c r="H1337" s="11">
        <v>4577.4056233908104</v>
      </c>
      <c r="I1337" s="10">
        <v>4017646.9377490999</v>
      </c>
      <c r="J1337" s="34">
        <f t="shared" si="80"/>
        <v>1.1393250064813602E-3</v>
      </c>
      <c r="K1337" s="34">
        <f t="shared" si="81"/>
        <v>1.138676222161572E-3</v>
      </c>
      <c r="L1337" s="34">
        <f t="shared" si="82"/>
        <v>0.99218688131917143</v>
      </c>
      <c r="M1337" s="34">
        <f t="shared" si="83"/>
        <v>0.9910571017094727</v>
      </c>
    </row>
    <row r="1338" spans="1:13" ht="27.6">
      <c r="A1338" t="s">
        <v>164</v>
      </c>
      <c r="B1338" t="s">
        <v>112</v>
      </c>
      <c r="C1338" s="14" t="s">
        <v>294</v>
      </c>
      <c r="D1338" t="s">
        <v>112</v>
      </c>
      <c r="E1338" t="s">
        <v>383</v>
      </c>
      <c r="F1338" s="20">
        <v>2032</v>
      </c>
      <c r="G1338" s="20">
        <v>46</v>
      </c>
      <c r="H1338" s="11">
        <v>5821.2898188894897</v>
      </c>
      <c r="I1338" s="10">
        <v>4026753.7772346698</v>
      </c>
      <c r="J1338" s="34">
        <f t="shared" si="80"/>
        <v>1.4456532832477277E-3</v>
      </c>
      <c r="K1338" s="34">
        <f t="shared" si="81"/>
        <v>1.4446088299064908E-3</v>
      </c>
      <c r="L1338" s="34">
        <f t="shared" si="82"/>
        <v>0.9910571017094727</v>
      </c>
      <c r="M1338" s="34">
        <f t="shared" si="83"/>
        <v>0.98962541186940167</v>
      </c>
    </row>
    <row r="1339" spans="1:13" ht="27.6">
      <c r="A1339" t="s">
        <v>164</v>
      </c>
      <c r="B1339" t="s">
        <v>112</v>
      </c>
      <c r="C1339" s="14" t="s">
        <v>294</v>
      </c>
      <c r="D1339" t="s">
        <v>112</v>
      </c>
      <c r="E1339" t="s">
        <v>383</v>
      </c>
      <c r="F1339" s="20">
        <v>2032</v>
      </c>
      <c r="G1339" s="20">
        <v>47</v>
      </c>
      <c r="H1339" s="11">
        <v>6569.4842127555403</v>
      </c>
      <c r="I1339" s="10">
        <v>4091980.3021752802</v>
      </c>
      <c r="J1339" s="34">
        <f t="shared" si="80"/>
        <v>1.6054535280297486E-3</v>
      </c>
      <c r="K1339" s="34">
        <f t="shared" si="81"/>
        <v>1.60416547690867E-3</v>
      </c>
      <c r="L1339" s="34">
        <f t="shared" si="82"/>
        <v>0.98962541186940167</v>
      </c>
      <c r="M1339" s="34">
        <f t="shared" si="83"/>
        <v>0.98803788894860922</v>
      </c>
    </row>
    <row r="1340" spans="1:13" ht="27.6">
      <c r="A1340" t="s">
        <v>164</v>
      </c>
      <c r="B1340" t="s">
        <v>112</v>
      </c>
      <c r="C1340" s="14" t="s">
        <v>294</v>
      </c>
      <c r="D1340" t="s">
        <v>112</v>
      </c>
      <c r="E1340" t="s">
        <v>383</v>
      </c>
      <c r="F1340" s="20">
        <v>2032</v>
      </c>
      <c r="G1340" s="20">
        <v>48</v>
      </c>
      <c r="H1340" s="11">
        <v>7397.1318401250801</v>
      </c>
      <c r="I1340" s="10">
        <v>4115284.9469216899</v>
      </c>
      <c r="J1340" s="34">
        <f t="shared" si="80"/>
        <v>1.7974774372934426E-3</v>
      </c>
      <c r="K1340" s="34">
        <f t="shared" si="81"/>
        <v>1.7958629422090144E-3</v>
      </c>
      <c r="L1340" s="34">
        <f t="shared" si="82"/>
        <v>0.98803788894860922</v>
      </c>
      <c r="M1340" s="34">
        <f t="shared" si="83"/>
        <v>0.98626350831834797</v>
      </c>
    </row>
    <row r="1341" spans="1:13" ht="27.6">
      <c r="A1341" t="s">
        <v>164</v>
      </c>
      <c r="B1341" t="s">
        <v>112</v>
      </c>
      <c r="C1341" s="14" t="s">
        <v>294</v>
      </c>
      <c r="D1341" t="s">
        <v>112</v>
      </c>
      <c r="E1341" t="s">
        <v>383</v>
      </c>
      <c r="F1341" s="20">
        <v>2032</v>
      </c>
      <c r="G1341" s="20">
        <v>49</v>
      </c>
      <c r="H1341" s="11">
        <v>7808.79167823236</v>
      </c>
      <c r="I1341" s="10">
        <v>4079878.6536807902</v>
      </c>
      <c r="J1341" s="34">
        <f t="shared" si="80"/>
        <v>1.9139764539779667E-3</v>
      </c>
      <c r="K1341" s="34">
        <f t="shared" si="81"/>
        <v>1.9121459690660814E-3</v>
      </c>
      <c r="L1341" s="34">
        <f t="shared" si="82"/>
        <v>0.98626350831834797</v>
      </c>
      <c r="M1341" s="34">
        <f t="shared" si="83"/>
        <v>0.98437762852648003</v>
      </c>
    </row>
    <row r="1342" spans="1:13" ht="27.6">
      <c r="A1342" t="s">
        <v>164</v>
      </c>
      <c r="B1342" t="s">
        <v>112</v>
      </c>
      <c r="C1342" s="14" t="s">
        <v>294</v>
      </c>
      <c r="D1342" t="s">
        <v>112</v>
      </c>
      <c r="E1342" t="s">
        <v>383</v>
      </c>
      <c r="F1342" s="20">
        <v>2032</v>
      </c>
      <c r="G1342" s="20">
        <v>50</v>
      </c>
      <c r="H1342" s="11">
        <v>8253.2703136823293</v>
      </c>
      <c r="I1342" s="10">
        <v>4019971.4611096499</v>
      </c>
      <c r="J1342" s="34">
        <f t="shared" si="80"/>
        <v>2.0530668920231946E-3</v>
      </c>
      <c r="K1342" s="34">
        <f t="shared" si="81"/>
        <v>2.0509607917598149E-3</v>
      </c>
      <c r="L1342" s="34">
        <f t="shared" si="82"/>
        <v>0.98437762852648003</v>
      </c>
      <c r="M1342" s="34">
        <f t="shared" si="83"/>
        <v>0.98235870860608676</v>
      </c>
    </row>
    <row r="1343" spans="1:13" ht="27.6">
      <c r="A1343" t="s">
        <v>164</v>
      </c>
      <c r="B1343" t="s">
        <v>112</v>
      </c>
      <c r="C1343" s="14" t="s">
        <v>294</v>
      </c>
      <c r="D1343" t="s">
        <v>112</v>
      </c>
      <c r="E1343" t="s">
        <v>383</v>
      </c>
      <c r="F1343" s="20">
        <v>2032</v>
      </c>
      <c r="G1343" s="20">
        <v>51</v>
      </c>
      <c r="H1343" s="11">
        <v>9080.1858936838107</v>
      </c>
      <c r="I1343" s="10">
        <v>3952845.3106193598</v>
      </c>
      <c r="J1343" s="34">
        <f t="shared" si="80"/>
        <v>2.2971265456024292E-3</v>
      </c>
      <c r="K1343" s="34">
        <f t="shared" si="81"/>
        <v>2.2944901695020059E-3</v>
      </c>
      <c r="L1343" s="34">
        <f t="shared" si="82"/>
        <v>0.98235870860608676</v>
      </c>
      <c r="M1343" s="34">
        <f t="shared" si="83"/>
        <v>0.98010469620626539</v>
      </c>
    </row>
    <row r="1344" spans="1:13" ht="27.6">
      <c r="A1344" t="s">
        <v>164</v>
      </c>
      <c r="B1344" t="s">
        <v>112</v>
      </c>
      <c r="C1344" s="14" t="s">
        <v>294</v>
      </c>
      <c r="D1344" t="s">
        <v>112</v>
      </c>
      <c r="E1344" t="s">
        <v>383</v>
      </c>
      <c r="F1344" s="20">
        <v>2032</v>
      </c>
      <c r="G1344" s="20">
        <v>52</v>
      </c>
      <c r="H1344" s="11">
        <v>9518.4710986732498</v>
      </c>
      <c r="I1344" s="10">
        <v>3890948.0876418101</v>
      </c>
      <c r="J1344" s="34">
        <f t="shared" si="80"/>
        <v>2.4463115118151363E-3</v>
      </c>
      <c r="K1344" s="34">
        <f t="shared" si="81"/>
        <v>2.4433217302846089E-3</v>
      </c>
      <c r="L1344" s="34">
        <f t="shared" si="82"/>
        <v>0.98010469620626539</v>
      </c>
      <c r="M1344" s="34">
        <f t="shared" si="83"/>
        <v>0.97770998510407059</v>
      </c>
    </row>
    <row r="1345" spans="1:13" ht="27.6">
      <c r="A1345" t="s">
        <v>164</v>
      </c>
      <c r="B1345" t="s">
        <v>112</v>
      </c>
      <c r="C1345" s="14" t="s">
        <v>294</v>
      </c>
      <c r="D1345" t="s">
        <v>112</v>
      </c>
      <c r="E1345" t="s">
        <v>383</v>
      </c>
      <c r="F1345" s="20">
        <v>2032</v>
      </c>
      <c r="G1345" s="20">
        <v>53</v>
      </c>
      <c r="H1345" s="11">
        <v>9998.8739324852595</v>
      </c>
      <c r="I1345" s="10">
        <v>3815462.0387007501</v>
      </c>
      <c r="J1345" s="34">
        <f t="shared" si="80"/>
        <v>2.6206194246110488E-3</v>
      </c>
      <c r="K1345" s="34">
        <f t="shared" si="81"/>
        <v>2.6171885991437271E-3</v>
      </c>
      <c r="L1345" s="34">
        <f t="shared" si="82"/>
        <v>0.97770998510407059</v>
      </c>
      <c r="M1345" s="34">
        <f t="shared" si="83"/>
        <v>0.97515113367778727</v>
      </c>
    </row>
    <row r="1346" spans="1:13" ht="27.6">
      <c r="A1346" t="s">
        <v>164</v>
      </c>
      <c r="B1346" t="s">
        <v>112</v>
      </c>
      <c r="C1346" s="14" t="s">
        <v>294</v>
      </c>
      <c r="D1346" t="s">
        <v>112</v>
      </c>
      <c r="E1346" t="s">
        <v>383</v>
      </c>
      <c r="F1346" s="20">
        <v>2032</v>
      </c>
      <c r="G1346" s="20">
        <v>54</v>
      </c>
      <c r="H1346" s="11">
        <v>10548.094782567699</v>
      </c>
      <c r="I1346" s="10">
        <v>3715817.6704053301</v>
      </c>
      <c r="J1346" s="34">
        <f t="shared" ref="J1346:J1409" si="84">IF(I1346&gt;0,H1346/I1346,0)</f>
        <v>2.8387008508458621E-3</v>
      </c>
      <c r="K1346" s="34">
        <f t="shared" ref="K1346:K1409" si="85">1-EXP(-J1346)</f>
        <v>2.8346755493620091E-3</v>
      </c>
      <c r="L1346" s="34">
        <f t="shared" ref="L1346:L1409" si="86">IF(G1346=30,1,M1345)</f>
        <v>0.97515113367778727</v>
      </c>
      <c r="M1346" s="34">
        <f t="shared" ref="M1346:M1409" si="87">L1346*(1-K1346)</f>
        <v>0.97238689660221822</v>
      </c>
    </row>
    <row r="1347" spans="1:13" ht="27.6">
      <c r="A1347" t="s">
        <v>164</v>
      </c>
      <c r="B1347" t="s">
        <v>112</v>
      </c>
      <c r="C1347" s="14" t="s">
        <v>294</v>
      </c>
      <c r="D1347" t="s">
        <v>112</v>
      </c>
      <c r="E1347" t="s">
        <v>383</v>
      </c>
      <c r="F1347" s="20">
        <v>2032</v>
      </c>
      <c r="G1347" s="20">
        <v>55</v>
      </c>
      <c r="H1347" s="11">
        <v>11154.5901554557</v>
      </c>
      <c r="I1347" s="10">
        <v>3620018.8044382702</v>
      </c>
      <c r="J1347" s="34">
        <f t="shared" si="84"/>
        <v>3.0813624895483366E-3</v>
      </c>
      <c r="K1347" s="34">
        <f t="shared" si="85"/>
        <v>3.0766199645491099E-3</v>
      </c>
      <c r="L1347" s="34">
        <f t="shared" si="86"/>
        <v>0.97238689660221822</v>
      </c>
      <c r="M1347" s="34">
        <f t="shared" si="87"/>
        <v>0.9693952316628659</v>
      </c>
    </row>
    <row r="1348" spans="1:13" ht="27.6">
      <c r="A1348" t="s">
        <v>164</v>
      </c>
      <c r="B1348" t="s">
        <v>112</v>
      </c>
      <c r="C1348" s="14" t="s">
        <v>294</v>
      </c>
      <c r="D1348" t="s">
        <v>112</v>
      </c>
      <c r="E1348" t="s">
        <v>383</v>
      </c>
      <c r="F1348" s="20">
        <v>2032</v>
      </c>
      <c r="G1348" s="20">
        <v>56</v>
      </c>
      <c r="H1348" s="11">
        <v>12021.819705489999</v>
      </c>
      <c r="I1348" s="10">
        <v>3538455.1061716098</v>
      </c>
      <c r="J1348" s="34">
        <f t="shared" si="84"/>
        <v>3.3974769623393263E-3</v>
      </c>
      <c r="K1348" s="34">
        <f t="shared" si="85"/>
        <v>3.3917120680310164E-3</v>
      </c>
      <c r="L1348" s="34">
        <f t="shared" si="86"/>
        <v>0.9693952316628659</v>
      </c>
      <c r="M1348" s="34">
        <f t="shared" si="87"/>
        <v>0.96610732215694328</v>
      </c>
    </row>
    <row r="1349" spans="1:13" ht="27.6">
      <c r="A1349" t="s">
        <v>164</v>
      </c>
      <c r="B1349" t="s">
        <v>112</v>
      </c>
      <c r="C1349" s="14" t="s">
        <v>294</v>
      </c>
      <c r="D1349" t="s">
        <v>112</v>
      </c>
      <c r="E1349" t="s">
        <v>383</v>
      </c>
      <c r="F1349" s="20">
        <v>2032</v>
      </c>
      <c r="G1349" s="20">
        <v>57</v>
      </c>
      <c r="H1349" s="11">
        <v>12841.3952585223</v>
      </c>
      <c r="I1349" s="10">
        <v>3444121.3374467199</v>
      </c>
      <c r="J1349" s="34">
        <f t="shared" si="84"/>
        <v>3.7284967631373281E-3</v>
      </c>
      <c r="K1349" s="34">
        <f t="shared" si="85"/>
        <v>3.7215545497677471E-3</v>
      </c>
      <c r="L1349" s="34">
        <f t="shared" si="86"/>
        <v>0.96610732215694328</v>
      </c>
      <c r="M1349" s="34">
        <f t="shared" si="87"/>
        <v>0.96251190105660622</v>
      </c>
    </row>
    <row r="1350" spans="1:13" ht="27.6">
      <c r="A1350" t="s">
        <v>164</v>
      </c>
      <c r="B1350" t="s">
        <v>112</v>
      </c>
      <c r="C1350" s="14" t="s">
        <v>294</v>
      </c>
      <c r="D1350" t="s">
        <v>112</v>
      </c>
      <c r="E1350" t="s">
        <v>383</v>
      </c>
      <c r="F1350" s="20">
        <v>2032</v>
      </c>
      <c r="G1350" s="20">
        <v>58</v>
      </c>
      <c r="H1350" s="11">
        <v>13815.8444376359</v>
      </c>
      <c r="I1350" s="10">
        <v>3364029.2251874399</v>
      </c>
      <c r="J1350" s="34">
        <f t="shared" si="84"/>
        <v>4.1069335349980789E-3</v>
      </c>
      <c r="K1350" s="34">
        <f t="shared" si="85"/>
        <v>4.0985116168318347E-3</v>
      </c>
      <c r="L1350" s="34">
        <f t="shared" si="86"/>
        <v>0.96251190105660622</v>
      </c>
      <c r="M1350" s="34">
        <f t="shared" si="87"/>
        <v>0.9585670348487868</v>
      </c>
    </row>
    <row r="1351" spans="1:13" ht="27.6">
      <c r="A1351" t="s">
        <v>164</v>
      </c>
      <c r="B1351" t="s">
        <v>112</v>
      </c>
      <c r="C1351" s="14" t="s">
        <v>294</v>
      </c>
      <c r="D1351" t="s">
        <v>112</v>
      </c>
      <c r="E1351" t="s">
        <v>383</v>
      </c>
      <c r="F1351" s="20">
        <v>2032</v>
      </c>
      <c r="G1351" s="20">
        <v>59</v>
      </c>
      <c r="H1351" s="11">
        <v>14224.2821345957</v>
      </c>
      <c r="I1351" s="10">
        <v>3283281.1265048599</v>
      </c>
      <c r="J1351" s="34">
        <f t="shared" si="84"/>
        <v>4.3323375570150542E-3</v>
      </c>
      <c r="K1351" s="34">
        <f t="shared" si="85"/>
        <v>4.3229665203767809E-3</v>
      </c>
      <c r="L1351" s="34">
        <f t="shared" si="86"/>
        <v>0.9585670348487868</v>
      </c>
      <c r="M1351" s="34">
        <f t="shared" si="87"/>
        <v>0.95442318164959861</v>
      </c>
    </row>
    <row r="1352" spans="1:13" ht="27.6">
      <c r="A1352" t="s">
        <v>164</v>
      </c>
      <c r="B1352" t="s">
        <v>112</v>
      </c>
      <c r="C1352" s="14" t="s">
        <v>294</v>
      </c>
      <c r="D1352" t="s">
        <v>112</v>
      </c>
      <c r="E1352" t="s">
        <v>383</v>
      </c>
      <c r="F1352" s="20">
        <v>2032</v>
      </c>
      <c r="G1352" s="20">
        <v>60</v>
      </c>
      <c r="H1352" s="11">
        <v>14700.218875029501</v>
      </c>
      <c r="I1352" s="10">
        <v>3182096.8976461398</v>
      </c>
      <c r="J1352" s="34">
        <f t="shared" si="84"/>
        <v>4.6196641233343791E-3</v>
      </c>
      <c r="K1352" s="34">
        <f t="shared" si="85"/>
        <v>4.6090098876723218E-3</v>
      </c>
      <c r="L1352" s="34">
        <f t="shared" si="86"/>
        <v>0.95442318164959861</v>
      </c>
      <c r="M1352" s="34">
        <f t="shared" si="87"/>
        <v>0.95002423576835193</v>
      </c>
    </row>
    <row r="1353" spans="1:13" ht="27.6">
      <c r="A1353" t="s">
        <v>164</v>
      </c>
      <c r="B1353" t="s">
        <v>112</v>
      </c>
      <c r="C1353" s="14" t="s">
        <v>294</v>
      </c>
      <c r="D1353" t="s">
        <v>112</v>
      </c>
      <c r="E1353" t="s">
        <v>383</v>
      </c>
      <c r="F1353" s="20">
        <v>2032</v>
      </c>
      <c r="G1353" s="20">
        <v>61</v>
      </c>
      <c r="H1353" s="11">
        <v>15569.1586345634</v>
      </c>
      <c r="I1353" s="10">
        <v>3091235.23383589</v>
      </c>
      <c r="J1353" s="34">
        <f t="shared" si="84"/>
        <v>5.0365492939997815E-3</v>
      </c>
      <c r="K1353" s="34">
        <f t="shared" si="85"/>
        <v>5.0238871463671453E-3</v>
      </c>
      <c r="L1353" s="34">
        <f t="shared" si="86"/>
        <v>0.95002423576835193</v>
      </c>
      <c r="M1353" s="34">
        <f t="shared" si="87"/>
        <v>0.94525142122153805</v>
      </c>
    </row>
    <row r="1354" spans="1:13" ht="27.6">
      <c r="A1354" t="s">
        <v>164</v>
      </c>
      <c r="B1354" t="s">
        <v>112</v>
      </c>
      <c r="C1354" s="14" t="s">
        <v>294</v>
      </c>
      <c r="D1354" t="s">
        <v>112</v>
      </c>
      <c r="E1354" t="s">
        <v>383</v>
      </c>
      <c r="F1354" s="20">
        <v>2032</v>
      </c>
      <c r="G1354" s="20">
        <v>62</v>
      </c>
      <c r="H1354" s="11">
        <v>16263.2311799334</v>
      </c>
      <c r="I1354" s="10">
        <v>2998082.8272522502</v>
      </c>
      <c r="J1354" s="34">
        <f t="shared" si="84"/>
        <v>5.4245436557330499E-3</v>
      </c>
      <c r="K1354" s="34">
        <f t="shared" si="85"/>
        <v>5.409857386233119E-3</v>
      </c>
      <c r="L1354" s="34">
        <f t="shared" si="86"/>
        <v>0.94525142122153805</v>
      </c>
      <c r="M1354" s="34">
        <f t="shared" si="87"/>
        <v>0.94013774583859533</v>
      </c>
    </row>
    <row r="1355" spans="1:13" ht="27.6">
      <c r="A1355" t="s">
        <v>164</v>
      </c>
      <c r="B1355" t="s">
        <v>112</v>
      </c>
      <c r="C1355" s="14" t="s">
        <v>294</v>
      </c>
      <c r="D1355" t="s">
        <v>112</v>
      </c>
      <c r="E1355" t="s">
        <v>383</v>
      </c>
      <c r="F1355" s="20">
        <v>2032</v>
      </c>
      <c r="G1355" s="20">
        <v>63</v>
      </c>
      <c r="H1355" s="11">
        <v>16959.468487952399</v>
      </c>
      <c r="I1355" s="10">
        <v>2889419.6607085299</v>
      </c>
      <c r="J1355" s="34">
        <f t="shared" si="84"/>
        <v>5.869506848926777E-3</v>
      </c>
      <c r="K1355" s="34">
        <f t="shared" si="85"/>
        <v>5.8523149460449897E-3</v>
      </c>
      <c r="L1355" s="34">
        <f t="shared" si="86"/>
        <v>0.94013774583859533</v>
      </c>
      <c r="M1355" s="34">
        <f t="shared" si="87"/>
        <v>0.93463576365728307</v>
      </c>
    </row>
    <row r="1356" spans="1:13" ht="27.6">
      <c r="A1356" t="s">
        <v>164</v>
      </c>
      <c r="B1356" t="s">
        <v>112</v>
      </c>
      <c r="C1356" s="14" t="s">
        <v>294</v>
      </c>
      <c r="D1356" t="s">
        <v>112</v>
      </c>
      <c r="E1356" t="s">
        <v>383</v>
      </c>
      <c r="F1356" s="20">
        <v>2032</v>
      </c>
      <c r="G1356" s="20">
        <v>64</v>
      </c>
      <c r="H1356" s="11">
        <v>18219.901534698602</v>
      </c>
      <c r="I1356" s="10">
        <v>2773094.53083611</v>
      </c>
      <c r="J1356" s="34">
        <f t="shared" si="84"/>
        <v>6.5702417757843821E-3</v>
      </c>
      <c r="K1356" s="34">
        <f t="shared" si="85"/>
        <v>6.548704930528837E-3</v>
      </c>
      <c r="L1356" s="34">
        <f t="shared" si="86"/>
        <v>0.93463576365728307</v>
      </c>
      <c r="M1356" s="34">
        <f t="shared" si="87"/>
        <v>0.92851510982357199</v>
      </c>
    </row>
    <row r="1357" spans="1:13" ht="27.6">
      <c r="A1357" t="s">
        <v>164</v>
      </c>
      <c r="B1357" t="s">
        <v>112</v>
      </c>
      <c r="C1357" s="14" t="s">
        <v>294</v>
      </c>
      <c r="D1357" t="s">
        <v>112</v>
      </c>
      <c r="E1357" t="s">
        <v>383</v>
      </c>
      <c r="F1357" s="20">
        <v>2032</v>
      </c>
      <c r="G1357" s="20">
        <v>65</v>
      </c>
      <c r="H1357" s="11">
        <v>19413.678930673901</v>
      </c>
      <c r="I1357" s="10">
        <v>2658047.75321513</v>
      </c>
      <c r="J1357" s="34">
        <f t="shared" si="84"/>
        <v>7.3037359495108549E-3</v>
      </c>
      <c r="K1357" s="34">
        <f t="shared" si="85"/>
        <v>7.2771284874673103E-3</v>
      </c>
      <c r="L1357" s="34">
        <f t="shared" si="86"/>
        <v>0.92851510982357199</v>
      </c>
      <c r="M1357" s="34">
        <f t="shared" si="87"/>
        <v>0.92175818606683102</v>
      </c>
    </row>
    <row r="1358" spans="1:13" ht="27.6">
      <c r="A1358" t="s">
        <v>164</v>
      </c>
      <c r="B1358" t="s">
        <v>112</v>
      </c>
      <c r="C1358" s="14" t="s">
        <v>294</v>
      </c>
      <c r="D1358" t="s">
        <v>112</v>
      </c>
      <c r="E1358" t="s">
        <v>383</v>
      </c>
      <c r="F1358" s="20">
        <v>2032</v>
      </c>
      <c r="G1358" s="20">
        <v>66</v>
      </c>
      <c r="H1358" s="11">
        <v>20022.708588850499</v>
      </c>
      <c r="I1358" s="10">
        <v>2530409.8348125098</v>
      </c>
      <c r="J1358" s="34">
        <f t="shared" si="84"/>
        <v>7.91283226668856E-3</v>
      </c>
      <c r="K1358" s="34">
        <f t="shared" si="85"/>
        <v>7.8816082206056848E-3</v>
      </c>
      <c r="L1358" s="34">
        <f t="shared" si="86"/>
        <v>0.92175818606683102</v>
      </c>
      <c r="M1358" s="34">
        <f t="shared" si="87"/>
        <v>0.9144932491701161</v>
      </c>
    </row>
    <row r="1359" spans="1:13" ht="27.6">
      <c r="A1359" t="s">
        <v>164</v>
      </c>
      <c r="B1359" t="s">
        <v>112</v>
      </c>
      <c r="C1359" s="14" t="s">
        <v>294</v>
      </c>
      <c r="D1359" t="s">
        <v>112</v>
      </c>
      <c r="E1359" t="s">
        <v>383</v>
      </c>
      <c r="F1359" s="20">
        <v>2032</v>
      </c>
      <c r="G1359" s="20">
        <v>67</v>
      </c>
      <c r="H1359" s="11">
        <v>20867.5922946889</v>
      </c>
      <c r="I1359" s="10">
        <v>2391004.4298125301</v>
      </c>
      <c r="J1359" s="34">
        <f t="shared" si="84"/>
        <v>8.7275422974958904E-3</v>
      </c>
      <c r="K1359" s="34">
        <f t="shared" si="85"/>
        <v>8.6895678550370503E-3</v>
      </c>
      <c r="L1359" s="34">
        <f t="shared" si="86"/>
        <v>0.9144932491701161</v>
      </c>
      <c r="M1359" s="34">
        <f t="shared" si="87"/>
        <v>0.90654669802847909</v>
      </c>
    </row>
    <row r="1360" spans="1:13" ht="27.6">
      <c r="A1360" t="s">
        <v>164</v>
      </c>
      <c r="B1360" t="s">
        <v>112</v>
      </c>
      <c r="C1360" s="14" t="s">
        <v>294</v>
      </c>
      <c r="D1360" t="s">
        <v>112</v>
      </c>
      <c r="E1360" t="s">
        <v>383</v>
      </c>
      <c r="F1360" s="20">
        <v>2032</v>
      </c>
      <c r="G1360" s="20">
        <v>68</v>
      </c>
      <c r="H1360" s="11">
        <v>21618.5411283988</v>
      </c>
      <c r="I1360" s="10">
        <v>2252920.4910942102</v>
      </c>
      <c r="J1360" s="34">
        <f t="shared" si="84"/>
        <v>9.5957852102889762E-3</v>
      </c>
      <c r="K1360" s="34">
        <f t="shared" si="85"/>
        <v>9.5498925726593686E-3</v>
      </c>
      <c r="L1360" s="34">
        <f t="shared" si="86"/>
        <v>0.90654669802847909</v>
      </c>
      <c r="M1360" s="34">
        <f t="shared" si="87"/>
        <v>0.89788927445020805</v>
      </c>
    </row>
    <row r="1361" spans="1:13" ht="27.6">
      <c r="A1361" t="s">
        <v>164</v>
      </c>
      <c r="B1361" t="s">
        <v>112</v>
      </c>
      <c r="C1361" s="14" t="s">
        <v>294</v>
      </c>
      <c r="D1361" t="s">
        <v>112</v>
      </c>
      <c r="E1361" t="s">
        <v>383</v>
      </c>
      <c r="F1361" s="20">
        <v>2032</v>
      </c>
      <c r="G1361" s="20">
        <v>69</v>
      </c>
      <c r="H1361" s="11">
        <v>21422.7682096803</v>
      </c>
      <c r="I1361" s="10">
        <v>2116299.4932775502</v>
      </c>
      <c r="J1361" s="34">
        <f t="shared" si="84"/>
        <v>1.0122748825357644E-2</v>
      </c>
      <c r="K1361" s="34">
        <f t="shared" si="85"/>
        <v>1.0071686246599265E-2</v>
      </c>
      <c r="L1361" s="34">
        <f t="shared" si="86"/>
        <v>0.89788927445020805</v>
      </c>
      <c r="M1361" s="34">
        <f t="shared" si="87"/>
        <v>0.88884601539375885</v>
      </c>
    </row>
    <row r="1362" spans="1:13" ht="27.6">
      <c r="A1362" t="s">
        <v>164</v>
      </c>
      <c r="B1362" t="s">
        <v>112</v>
      </c>
      <c r="C1362" s="14" t="s">
        <v>294</v>
      </c>
      <c r="D1362" t="s">
        <v>112</v>
      </c>
      <c r="E1362" t="s">
        <v>383</v>
      </c>
      <c r="F1362" s="20">
        <v>2033</v>
      </c>
      <c r="G1362" s="20">
        <v>30</v>
      </c>
      <c r="H1362" s="11">
        <v>716.47522517073605</v>
      </c>
      <c r="I1362" s="10">
        <v>4355772.6979215797</v>
      </c>
      <c r="J1362" s="34">
        <f t="shared" si="84"/>
        <v>1.6448866248521476E-4</v>
      </c>
      <c r="K1362" s="34">
        <f t="shared" si="85"/>
        <v>1.6447513496686827E-4</v>
      </c>
      <c r="L1362" s="34">
        <f t="shared" si="86"/>
        <v>1</v>
      </c>
      <c r="M1362" s="34">
        <f t="shared" si="87"/>
        <v>0.99983552486503313</v>
      </c>
    </row>
    <row r="1363" spans="1:13" ht="27.6">
      <c r="A1363" t="s">
        <v>164</v>
      </c>
      <c r="B1363" t="s">
        <v>112</v>
      </c>
      <c r="C1363" s="14" t="s">
        <v>294</v>
      </c>
      <c r="D1363" t="s">
        <v>112</v>
      </c>
      <c r="E1363" t="s">
        <v>383</v>
      </c>
      <c r="F1363" s="20">
        <v>2033</v>
      </c>
      <c r="G1363" s="20">
        <v>31</v>
      </c>
      <c r="H1363" s="11">
        <v>1066.1206714827599</v>
      </c>
      <c r="I1363" s="10">
        <v>4336876.30474276</v>
      </c>
      <c r="J1363" s="34">
        <f t="shared" si="84"/>
        <v>2.4582685706688522E-4</v>
      </c>
      <c r="K1363" s="34">
        <f t="shared" si="85"/>
        <v>2.4579664412083257E-4</v>
      </c>
      <c r="L1363" s="34">
        <f t="shared" si="86"/>
        <v>0.99983552486503313</v>
      </c>
      <c r="M1363" s="34">
        <f t="shared" si="87"/>
        <v>0.99958976864834848</v>
      </c>
    </row>
    <row r="1364" spans="1:13" ht="27.6">
      <c r="A1364" t="s">
        <v>164</v>
      </c>
      <c r="B1364" t="s">
        <v>112</v>
      </c>
      <c r="C1364" s="14" t="s">
        <v>294</v>
      </c>
      <c r="D1364" t="s">
        <v>112</v>
      </c>
      <c r="E1364" t="s">
        <v>383</v>
      </c>
      <c r="F1364" s="20">
        <v>2033</v>
      </c>
      <c r="G1364" s="20">
        <v>32</v>
      </c>
      <c r="H1364" s="11">
        <v>1138.3689995915199</v>
      </c>
      <c r="I1364" s="10">
        <v>4318273.0085472604</v>
      </c>
      <c r="J1364" s="34">
        <f t="shared" si="84"/>
        <v>2.6361672764513012E-4</v>
      </c>
      <c r="K1364" s="34">
        <f t="shared" si="85"/>
        <v>2.6358198380871389E-4</v>
      </c>
      <c r="L1364" s="34">
        <f t="shared" si="86"/>
        <v>0.99958976864834848</v>
      </c>
      <c r="M1364" s="34">
        <f t="shared" si="87"/>
        <v>0.99932629479413326</v>
      </c>
    </row>
    <row r="1365" spans="1:13" ht="27.6">
      <c r="A1365" t="s">
        <v>164</v>
      </c>
      <c r="B1365" t="s">
        <v>112</v>
      </c>
      <c r="C1365" s="14" t="s">
        <v>294</v>
      </c>
      <c r="D1365" t="s">
        <v>112</v>
      </c>
      <c r="E1365" t="s">
        <v>383</v>
      </c>
      <c r="F1365" s="20">
        <v>2033</v>
      </c>
      <c r="G1365" s="20">
        <v>33</v>
      </c>
      <c r="H1365" s="11">
        <v>1227.0711580699201</v>
      </c>
      <c r="I1365" s="10">
        <v>4319436.3160920404</v>
      </c>
      <c r="J1365" s="34">
        <f t="shared" si="84"/>
        <v>2.840813171613324E-4</v>
      </c>
      <c r="K1365" s="34">
        <f t="shared" si="85"/>
        <v>2.8404096988465799E-4</v>
      </c>
      <c r="L1365" s="34">
        <f t="shared" si="86"/>
        <v>0.99932629479413326</v>
      </c>
      <c r="M1365" s="34">
        <f t="shared" si="87"/>
        <v>0.99904244518412866</v>
      </c>
    </row>
    <row r="1366" spans="1:13" ht="27.6">
      <c r="A1366" t="s">
        <v>164</v>
      </c>
      <c r="B1366" t="s">
        <v>112</v>
      </c>
      <c r="C1366" s="14" t="s">
        <v>294</v>
      </c>
      <c r="D1366" t="s">
        <v>112</v>
      </c>
      <c r="E1366" t="s">
        <v>383</v>
      </c>
      <c r="F1366" s="20">
        <v>2033</v>
      </c>
      <c r="G1366" s="20">
        <v>34</v>
      </c>
      <c r="H1366" s="11">
        <v>1340.4646225855199</v>
      </c>
      <c r="I1366" s="10">
        <v>4359455.0996943796</v>
      </c>
      <c r="J1366" s="34">
        <f t="shared" si="84"/>
        <v>3.0748444287899499E-4</v>
      </c>
      <c r="K1366" s="34">
        <f t="shared" si="85"/>
        <v>3.0743717438264095E-4</v>
      </c>
      <c r="L1366" s="34">
        <f t="shared" si="86"/>
        <v>0.99904244518412866</v>
      </c>
      <c r="M1366" s="34">
        <f t="shared" si="87"/>
        <v>0.99873530239769293</v>
      </c>
    </row>
    <row r="1367" spans="1:13" ht="27.6">
      <c r="A1367" t="s">
        <v>164</v>
      </c>
      <c r="B1367" t="s">
        <v>112</v>
      </c>
      <c r="C1367" s="14" t="s">
        <v>294</v>
      </c>
      <c r="D1367" t="s">
        <v>112</v>
      </c>
      <c r="E1367" t="s">
        <v>383</v>
      </c>
      <c r="F1367" s="20">
        <v>2033</v>
      </c>
      <c r="G1367" s="20">
        <v>35</v>
      </c>
      <c r="H1367" s="11">
        <v>1460.25540708165</v>
      </c>
      <c r="I1367" s="10">
        <v>4402034.7503761202</v>
      </c>
      <c r="J1367" s="34">
        <f t="shared" si="84"/>
        <v>3.3172282589474843E-4</v>
      </c>
      <c r="K1367" s="34">
        <f t="shared" si="85"/>
        <v>3.3166781196147799E-4</v>
      </c>
      <c r="L1367" s="34">
        <f t="shared" si="86"/>
        <v>0.99873530239769293</v>
      </c>
      <c r="M1367" s="34">
        <f t="shared" si="87"/>
        <v>0.99840405404521804</v>
      </c>
    </row>
    <row r="1368" spans="1:13" ht="27.6">
      <c r="A1368" t="s">
        <v>164</v>
      </c>
      <c r="B1368" t="s">
        <v>112</v>
      </c>
      <c r="C1368" s="14" t="s">
        <v>294</v>
      </c>
      <c r="D1368" t="s">
        <v>112</v>
      </c>
      <c r="E1368" t="s">
        <v>383</v>
      </c>
      <c r="F1368" s="20">
        <v>2033</v>
      </c>
      <c r="G1368" s="20">
        <v>36</v>
      </c>
      <c r="H1368" s="11">
        <v>1903.7907188573599</v>
      </c>
      <c r="I1368" s="10">
        <v>4398334.02004488</v>
      </c>
      <c r="J1368" s="34">
        <f t="shared" si="84"/>
        <v>4.3284359718499365E-4</v>
      </c>
      <c r="K1368" s="34">
        <f t="shared" si="85"/>
        <v>4.3274993390951533E-4</v>
      </c>
      <c r="L1368" s="34">
        <f t="shared" si="86"/>
        <v>0.99840405404521804</v>
      </c>
      <c r="M1368" s="34">
        <f t="shared" si="87"/>
        <v>0.99797199475681497</v>
      </c>
    </row>
    <row r="1369" spans="1:13" ht="27.6">
      <c r="A1369" t="s">
        <v>164</v>
      </c>
      <c r="B1369" t="s">
        <v>112</v>
      </c>
      <c r="C1369" s="14" t="s">
        <v>294</v>
      </c>
      <c r="D1369" t="s">
        <v>112</v>
      </c>
      <c r="E1369" t="s">
        <v>383</v>
      </c>
      <c r="F1369" s="20">
        <v>2033</v>
      </c>
      <c r="G1369" s="20">
        <v>37</v>
      </c>
      <c r="H1369" s="11">
        <v>2029.0406735010299</v>
      </c>
      <c r="I1369" s="10">
        <v>4335710.8758330196</v>
      </c>
      <c r="J1369" s="34">
        <f t="shared" si="84"/>
        <v>4.6798338994668101E-4</v>
      </c>
      <c r="K1369" s="34">
        <f t="shared" si="85"/>
        <v>4.6787390280011998E-4</v>
      </c>
      <c r="L1369" s="34">
        <f t="shared" si="86"/>
        <v>0.99797199475681497</v>
      </c>
      <c r="M1369" s="34">
        <f t="shared" si="87"/>
        <v>0.99750506970474284</v>
      </c>
    </row>
    <row r="1370" spans="1:13" ht="27.6">
      <c r="A1370" t="s">
        <v>164</v>
      </c>
      <c r="B1370" t="s">
        <v>112</v>
      </c>
      <c r="C1370" s="14" t="s">
        <v>294</v>
      </c>
      <c r="D1370" t="s">
        <v>112</v>
      </c>
      <c r="E1370" t="s">
        <v>383</v>
      </c>
      <c r="F1370" s="20">
        <v>2033</v>
      </c>
      <c r="G1370" s="20">
        <v>38</v>
      </c>
      <c r="H1370" s="11">
        <v>2172.1355036269802</v>
      </c>
      <c r="I1370" s="10">
        <v>4270965.9280627603</v>
      </c>
      <c r="J1370" s="34">
        <f t="shared" si="84"/>
        <v>5.0858179161645178E-4</v>
      </c>
      <c r="K1370" s="34">
        <f t="shared" si="85"/>
        <v>5.084524858188777E-4</v>
      </c>
      <c r="L1370" s="34">
        <f t="shared" si="86"/>
        <v>0.99750506970474284</v>
      </c>
      <c r="M1370" s="34">
        <f t="shared" si="87"/>
        <v>0.99699788577243453</v>
      </c>
    </row>
    <row r="1371" spans="1:13" ht="27.6">
      <c r="A1371" t="s">
        <v>164</v>
      </c>
      <c r="B1371" t="s">
        <v>112</v>
      </c>
      <c r="C1371" s="14" t="s">
        <v>294</v>
      </c>
      <c r="D1371" t="s">
        <v>112</v>
      </c>
      <c r="E1371" t="s">
        <v>383</v>
      </c>
      <c r="F1371" s="20">
        <v>2033</v>
      </c>
      <c r="G1371" s="20">
        <v>39</v>
      </c>
      <c r="H1371" s="11">
        <v>2261.0011385878802</v>
      </c>
      <c r="I1371" s="10">
        <v>4215562.1629909398</v>
      </c>
      <c r="J1371" s="34">
        <f t="shared" si="84"/>
        <v>5.3634629289482487E-4</v>
      </c>
      <c r="K1371" s="34">
        <f t="shared" si="85"/>
        <v>5.3620248493335687E-4</v>
      </c>
      <c r="L1371" s="34">
        <f t="shared" si="86"/>
        <v>0.99699788577243453</v>
      </c>
      <c r="M1371" s="34">
        <f t="shared" si="87"/>
        <v>0.99646329302861003</v>
      </c>
    </row>
    <row r="1372" spans="1:13" ht="27.6">
      <c r="A1372" t="s">
        <v>164</v>
      </c>
      <c r="B1372" t="s">
        <v>112</v>
      </c>
      <c r="C1372" s="14" t="s">
        <v>294</v>
      </c>
      <c r="D1372" t="s">
        <v>112</v>
      </c>
      <c r="E1372" t="s">
        <v>383</v>
      </c>
      <c r="F1372" s="20">
        <v>2033</v>
      </c>
      <c r="G1372" s="20">
        <v>40</v>
      </c>
      <c r="H1372" s="11">
        <v>2424.2977676792402</v>
      </c>
      <c r="I1372" s="10">
        <v>4162609.1668214598</v>
      </c>
      <c r="J1372" s="34">
        <f t="shared" si="84"/>
        <v>5.8239860398193893E-4</v>
      </c>
      <c r="K1372" s="34">
        <f t="shared" si="85"/>
        <v>5.8222904283400378E-4</v>
      </c>
      <c r="L1372" s="34">
        <f t="shared" si="86"/>
        <v>0.99646329302861003</v>
      </c>
      <c r="M1372" s="34">
        <f t="shared" si="87"/>
        <v>0.99588312315929073</v>
      </c>
    </row>
    <row r="1373" spans="1:13" ht="27.6">
      <c r="A1373" t="s">
        <v>164</v>
      </c>
      <c r="B1373" t="s">
        <v>112</v>
      </c>
      <c r="C1373" s="14" t="s">
        <v>294</v>
      </c>
      <c r="D1373" t="s">
        <v>112</v>
      </c>
      <c r="E1373" t="s">
        <v>383</v>
      </c>
      <c r="F1373" s="20">
        <v>2033</v>
      </c>
      <c r="G1373" s="20">
        <v>41</v>
      </c>
      <c r="H1373" s="11">
        <v>3146.2954169561899</v>
      </c>
      <c r="I1373" s="10">
        <v>4144332.38261338</v>
      </c>
      <c r="J1373" s="34">
        <f t="shared" si="84"/>
        <v>7.5918027959238237E-4</v>
      </c>
      <c r="K1373" s="34">
        <f t="shared" si="85"/>
        <v>7.5889217515623386E-4</v>
      </c>
      <c r="L1373" s="34">
        <f t="shared" si="86"/>
        <v>0.99588312315929073</v>
      </c>
      <c r="M1373" s="34">
        <f t="shared" si="87"/>
        <v>0.99512735524975504</v>
      </c>
    </row>
    <row r="1374" spans="1:13" ht="27.6">
      <c r="A1374" t="s">
        <v>164</v>
      </c>
      <c r="B1374" t="s">
        <v>112</v>
      </c>
      <c r="C1374" s="14" t="s">
        <v>294</v>
      </c>
      <c r="D1374" t="s">
        <v>112</v>
      </c>
      <c r="E1374" t="s">
        <v>383</v>
      </c>
      <c r="F1374" s="20">
        <v>2033</v>
      </c>
      <c r="G1374" s="20">
        <v>42</v>
      </c>
      <c r="H1374" s="11">
        <v>3459.8858369270401</v>
      </c>
      <c r="I1374" s="10">
        <v>4120290.2015667502</v>
      </c>
      <c r="J1374" s="34">
        <f t="shared" si="84"/>
        <v>8.3971896824437523E-4</v>
      </c>
      <c r="K1374" s="34">
        <f t="shared" si="85"/>
        <v>8.3936650293570114E-4</v>
      </c>
      <c r="L1374" s="34">
        <f t="shared" si="86"/>
        <v>0.99512735524975504</v>
      </c>
      <c r="M1374" s="34">
        <f t="shared" si="87"/>
        <v>0.99429207868160341</v>
      </c>
    </row>
    <row r="1375" spans="1:13" ht="27.6">
      <c r="A1375" t="s">
        <v>164</v>
      </c>
      <c r="B1375" t="s">
        <v>112</v>
      </c>
      <c r="C1375" s="14" t="s">
        <v>294</v>
      </c>
      <c r="D1375" t="s">
        <v>112</v>
      </c>
      <c r="E1375" t="s">
        <v>383</v>
      </c>
      <c r="F1375" s="20">
        <v>2033</v>
      </c>
      <c r="G1375" s="20">
        <v>43</v>
      </c>
      <c r="H1375" s="11">
        <v>3834.22266631922</v>
      </c>
      <c r="I1375" s="10">
        <v>4099470.77936887</v>
      </c>
      <c r="J1375" s="34">
        <f t="shared" si="84"/>
        <v>9.3529698653188446E-4</v>
      </c>
      <c r="K1375" s="34">
        <f t="shared" si="85"/>
        <v>9.3485973263673916E-4</v>
      </c>
      <c r="L1375" s="34">
        <f t="shared" si="86"/>
        <v>0.99429207868160341</v>
      </c>
      <c r="M1375" s="34">
        <f t="shared" si="87"/>
        <v>0.99336255505476434</v>
      </c>
    </row>
    <row r="1376" spans="1:13" ht="27.6">
      <c r="A1376" t="s">
        <v>164</v>
      </c>
      <c r="B1376" t="s">
        <v>112</v>
      </c>
      <c r="C1376" s="14" t="s">
        <v>294</v>
      </c>
      <c r="D1376" t="s">
        <v>112</v>
      </c>
      <c r="E1376" t="s">
        <v>383</v>
      </c>
      <c r="F1376" s="20">
        <v>2033</v>
      </c>
      <c r="G1376" s="20">
        <v>44</v>
      </c>
      <c r="H1376" s="11">
        <v>4055.3212766226802</v>
      </c>
      <c r="I1376" s="10">
        <v>4101126.29923672</v>
      </c>
      <c r="J1376" s="34">
        <f t="shared" si="84"/>
        <v>9.8883111143820059E-4</v>
      </c>
      <c r="K1376" s="34">
        <f t="shared" si="85"/>
        <v>9.8834237905931488E-4</v>
      </c>
      <c r="L1376" s="34">
        <f t="shared" si="86"/>
        <v>0.99336255505476434</v>
      </c>
      <c r="M1376" s="34">
        <f t="shared" si="87"/>
        <v>0.99238077274383307</v>
      </c>
    </row>
    <row r="1377" spans="1:13" ht="27.6">
      <c r="A1377" t="s">
        <v>164</v>
      </c>
      <c r="B1377" t="s">
        <v>112</v>
      </c>
      <c r="C1377" s="14" t="s">
        <v>294</v>
      </c>
      <c r="D1377" t="s">
        <v>112</v>
      </c>
      <c r="E1377" t="s">
        <v>383</v>
      </c>
      <c r="F1377" s="20">
        <v>2033</v>
      </c>
      <c r="G1377" s="20">
        <v>45</v>
      </c>
      <c r="H1377" s="11">
        <v>4437.2434078039596</v>
      </c>
      <c r="I1377" s="10">
        <v>4056932.3322087498</v>
      </c>
      <c r="J1377" s="34">
        <f t="shared" si="84"/>
        <v>1.0937435097390824E-3</v>
      </c>
      <c r="K1377" s="34">
        <f t="shared" si="85"/>
        <v>1.093145590316591E-3</v>
      </c>
      <c r="L1377" s="34">
        <f t="shared" si="86"/>
        <v>0.99238077274383307</v>
      </c>
      <c r="M1377" s="34">
        <f t="shared" si="87"/>
        <v>0.99129595607819321</v>
      </c>
    </row>
    <row r="1378" spans="1:13" ht="27.6">
      <c r="A1378" t="s">
        <v>164</v>
      </c>
      <c r="B1378" t="s">
        <v>112</v>
      </c>
      <c r="C1378" s="14" t="s">
        <v>294</v>
      </c>
      <c r="D1378" t="s">
        <v>112</v>
      </c>
      <c r="E1378" t="s">
        <v>383</v>
      </c>
      <c r="F1378" s="20">
        <v>2033</v>
      </c>
      <c r="G1378" s="20">
        <v>46</v>
      </c>
      <c r="H1378" s="11">
        <v>5568.7679220293103</v>
      </c>
      <c r="I1378" s="10">
        <v>4003864.59826768</v>
      </c>
      <c r="J1378" s="34">
        <f t="shared" si="84"/>
        <v>1.3908482131085812E-3</v>
      </c>
      <c r="K1378" s="34">
        <f t="shared" si="85"/>
        <v>1.3898814319998065E-3</v>
      </c>
      <c r="L1378" s="34">
        <f t="shared" si="86"/>
        <v>0.99129595607819321</v>
      </c>
      <c r="M1378" s="34">
        <f t="shared" si="87"/>
        <v>0.9899181722352236</v>
      </c>
    </row>
    <row r="1379" spans="1:13" ht="27.6">
      <c r="A1379" t="s">
        <v>164</v>
      </c>
      <c r="B1379" t="s">
        <v>112</v>
      </c>
      <c r="C1379" s="14" t="s">
        <v>294</v>
      </c>
      <c r="D1379" t="s">
        <v>112</v>
      </c>
      <c r="E1379" t="s">
        <v>383</v>
      </c>
      <c r="F1379" s="20">
        <v>2033</v>
      </c>
      <c r="G1379" s="20">
        <v>47</v>
      </c>
      <c r="H1379" s="11">
        <v>6208.23567709294</v>
      </c>
      <c r="I1379" s="10">
        <v>4011755.4840490902</v>
      </c>
      <c r="J1379" s="34">
        <f t="shared" si="84"/>
        <v>1.5475109841008876E-3</v>
      </c>
      <c r="K1379" s="34">
        <f t="shared" si="85"/>
        <v>1.5463142063997237E-3</v>
      </c>
      <c r="L1379" s="34">
        <f t="shared" si="86"/>
        <v>0.9899181722352236</v>
      </c>
      <c r="M1379" s="34">
        <f t="shared" si="87"/>
        <v>0.98838744770232301</v>
      </c>
    </row>
    <row r="1380" spans="1:13" ht="27.6">
      <c r="A1380" t="s">
        <v>164</v>
      </c>
      <c r="B1380" t="s">
        <v>112</v>
      </c>
      <c r="C1380" s="14" t="s">
        <v>294</v>
      </c>
      <c r="D1380" t="s">
        <v>112</v>
      </c>
      <c r="E1380" t="s">
        <v>383</v>
      </c>
      <c r="F1380" s="20">
        <v>2033</v>
      </c>
      <c r="G1380" s="20">
        <v>48</v>
      </c>
      <c r="H1380" s="11">
        <v>7045.78041185039</v>
      </c>
      <c r="I1380" s="10">
        <v>4075183.7231362099</v>
      </c>
      <c r="J1380" s="34">
        <f t="shared" si="84"/>
        <v>1.728947917574633E-3</v>
      </c>
      <c r="K1380" s="34">
        <f t="shared" si="85"/>
        <v>1.7274541481310246E-3</v>
      </c>
      <c r="L1380" s="34">
        <f t="shared" si="86"/>
        <v>0.98838744770232301</v>
      </c>
      <c r="M1380" s="34">
        <f t="shared" si="87"/>
        <v>0.98668005370582901</v>
      </c>
    </row>
    <row r="1381" spans="1:13" ht="27.6">
      <c r="A1381" t="s">
        <v>164</v>
      </c>
      <c r="B1381" t="s">
        <v>112</v>
      </c>
      <c r="C1381" s="14" t="s">
        <v>294</v>
      </c>
      <c r="D1381" t="s">
        <v>112</v>
      </c>
      <c r="E1381" t="s">
        <v>383</v>
      </c>
      <c r="F1381" s="20">
        <v>2033</v>
      </c>
      <c r="G1381" s="20">
        <v>49</v>
      </c>
      <c r="H1381" s="11">
        <v>7717.40270069907</v>
      </c>
      <c r="I1381" s="10">
        <v>4096596.6750842398</v>
      </c>
      <c r="J1381" s="34">
        <f t="shared" si="84"/>
        <v>1.8838570923119676E-3</v>
      </c>
      <c r="K1381" s="34">
        <f t="shared" si="85"/>
        <v>1.8820837472908192E-3</v>
      </c>
      <c r="L1381" s="34">
        <f t="shared" si="86"/>
        <v>0.98668005370582901</v>
      </c>
      <c r="M1381" s="34">
        <f t="shared" si="87"/>
        <v>0.98482303921297321</v>
      </c>
    </row>
    <row r="1382" spans="1:13" ht="27.6">
      <c r="A1382" t="s">
        <v>164</v>
      </c>
      <c r="B1382" t="s">
        <v>112</v>
      </c>
      <c r="C1382" s="14" t="s">
        <v>294</v>
      </c>
      <c r="D1382" t="s">
        <v>112</v>
      </c>
      <c r="E1382" t="s">
        <v>383</v>
      </c>
      <c r="F1382" s="20">
        <v>2033</v>
      </c>
      <c r="G1382" s="20">
        <v>50</v>
      </c>
      <c r="H1382" s="11">
        <v>8212.8529773703503</v>
      </c>
      <c r="I1382" s="10">
        <v>4059801.7889000499</v>
      </c>
      <c r="J1382" s="34">
        <f t="shared" si="84"/>
        <v>2.0229689537615372E-3</v>
      </c>
      <c r="K1382" s="34">
        <f t="shared" si="85"/>
        <v>2.0209241311709425E-3</v>
      </c>
      <c r="L1382" s="34">
        <f t="shared" si="86"/>
        <v>0.98482303921297321</v>
      </c>
      <c r="M1382" s="34">
        <f t="shared" si="87"/>
        <v>0.98283278656809459</v>
      </c>
    </row>
    <row r="1383" spans="1:13" ht="27.6">
      <c r="A1383" t="s">
        <v>164</v>
      </c>
      <c r="B1383" t="s">
        <v>112</v>
      </c>
      <c r="C1383" s="14" t="s">
        <v>294</v>
      </c>
      <c r="D1383" t="s">
        <v>112</v>
      </c>
      <c r="E1383" t="s">
        <v>383</v>
      </c>
      <c r="F1383" s="20">
        <v>2033</v>
      </c>
      <c r="G1383" s="20">
        <v>51</v>
      </c>
      <c r="H1383" s="11">
        <v>9125.8646714624101</v>
      </c>
      <c r="I1383" s="10">
        <v>3998469.65692979</v>
      </c>
      <c r="J1383" s="34">
        <f t="shared" si="84"/>
        <v>2.2823393584208594E-3</v>
      </c>
      <c r="K1383" s="34">
        <f t="shared" si="85"/>
        <v>2.2797368022959841E-3</v>
      </c>
      <c r="L1383" s="34">
        <f t="shared" si="86"/>
        <v>0.98283278656809459</v>
      </c>
      <c r="M1383" s="34">
        <f t="shared" si="87"/>
        <v>0.98059218649405222</v>
      </c>
    </row>
    <row r="1384" spans="1:13" ht="27.6">
      <c r="A1384" t="s">
        <v>164</v>
      </c>
      <c r="B1384" t="s">
        <v>112</v>
      </c>
      <c r="C1384" s="14" t="s">
        <v>294</v>
      </c>
      <c r="D1384" t="s">
        <v>112</v>
      </c>
      <c r="E1384" t="s">
        <v>383</v>
      </c>
      <c r="F1384" s="20">
        <v>2033</v>
      </c>
      <c r="G1384" s="20">
        <v>52</v>
      </c>
      <c r="H1384" s="11">
        <v>9575.8916176908006</v>
      </c>
      <c r="I1384" s="10">
        <v>3930082.05862534</v>
      </c>
      <c r="J1384" s="34">
        <f t="shared" si="84"/>
        <v>2.4365627676080246E-3</v>
      </c>
      <c r="K1384" s="34">
        <f t="shared" si="85"/>
        <v>2.4335967579930395E-3</v>
      </c>
      <c r="L1384" s="34">
        <f t="shared" si="86"/>
        <v>0.98059218649405222</v>
      </c>
      <c r="M1384" s="34">
        <f t="shared" si="87"/>
        <v>0.97820582052808702</v>
      </c>
    </row>
    <row r="1385" spans="1:13" ht="27.6">
      <c r="A1385" t="s">
        <v>164</v>
      </c>
      <c r="B1385" t="s">
        <v>112</v>
      </c>
      <c r="C1385" s="14" t="s">
        <v>294</v>
      </c>
      <c r="D1385" t="s">
        <v>112</v>
      </c>
      <c r="E1385" t="s">
        <v>383</v>
      </c>
      <c r="F1385" s="20">
        <v>2033</v>
      </c>
      <c r="G1385" s="20">
        <v>53</v>
      </c>
      <c r="H1385" s="11">
        <v>10071.3562163672</v>
      </c>
      <c r="I1385" s="10">
        <v>3866682.5865502902</v>
      </c>
      <c r="J1385" s="34">
        <f t="shared" si="84"/>
        <v>2.6046503665439185E-3</v>
      </c>
      <c r="K1385" s="34">
        <f t="shared" si="85"/>
        <v>2.6012612079409081E-3</v>
      </c>
      <c r="L1385" s="34">
        <f t="shared" si="86"/>
        <v>0.97820582052808702</v>
      </c>
      <c r="M1385" s="34">
        <f t="shared" si="87"/>
        <v>0.97566125167376527</v>
      </c>
    </row>
    <row r="1386" spans="1:13" ht="27.6">
      <c r="A1386" t="s">
        <v>164</v>
      </c>
      <c r="B1386" t="s">
        <v>112</v>
      </c>
      <c r="C1386" s="14" t="s">
        <v>294</v>
      </c>
      <c r="D1386" t="s">
        <v>112</v>
      </c>
      <c r="E1386" t="s">
        <v>383</v>
      </c>
      <c r="F1386" s="20">
        <v>2033</v>
      </c>
      <c r="G1386" s="20">
        <v>54</v>
      </c>
      <c r="H1386" s="11">
        <v>10677.513843229701</v>
      </c>
      <c r="I1386" s="10">
        <v>3789628.3575863601</v>
      </c>
      <c r="J1386" s="34">
        <f t="shared" si="84"/>
        <v>2.8175622609152846E-3</v>
      </c>
      <c r="K1386" s="34">
        <f t="shared" si="85"/>
        <v>2.8135966576872118E-3</v>
      </c>
      <c r="L1386" s="34">
        <f t="shared" si="86"/>
        <v>0.97566125167376527</v>
      </c>
      <c r="M1386" s="34">
        <f t="shared" si="87"/>
        <v>0.97291613443702107</v>
      </c>
    </row>
    <row r="1387" spans="1:13" ht="27.6">
      <c r="A1387" t="s">
        <v>164</v>
      </c>
      <c r="B1387" t="s">
        <v>112</v>
      </c>
      <c r="C1387" s="14" t="s">
        <v>294</v>
      </c>
      <c r="D1387" t="s">
        <v>112</v>
      </c>
      <c r="E1387" t="s">
        <v>383</v>
      </c>
      <c r="F1387" s="20">
        <v>2033</v>
      </c>
      <c r="G1387" s="20">
        <v>55</v>
      </c>
      <c r="H1387" s="11">
        <v>11303.500435426</v>
      </c>
      <c r="I1387" s="10">
        <v>3688410.8336844598</v>
      </c>
      <c r="J1387" s="34">
        <f t="shared" si="84"/>
        <v>3.0645990767071379E-3</v>
      </c>
      <c r="K1387" s="34">
        <f t="shared" si="85"/>
        <v>3.0599079862839718E-3</v>
      </c>
      <c r="L1387" s="34">
        <f t="shared" si="86"/>
        <v>0.97291613443702107</v>
      </c>
      <c r="M1387" s="34">
        <f t="shared" si="87"/>
        <v>0.96993910058727273</v>
      </c>
    </row>
    <row r="1388" spans="1:13" ht="27.6">
      <c r="A1388" t="s">
        <v>164</v>
      </c>
      <c r="B1388" t="s">
        <v>112</v>
      </c>
      <c r="C1388" s="14" t="s">
        <v>294</v>
      </c>
      <c r="D1388" t="s">
        <v>112</v>
      </c>
      <c r="E1388" t="s">
        <v>383</v>
      </c>
      <c r="F1388" s="20">
        <v>2033</v>
      </c>
      <c r="G1388" s="20">
        <v>56</v>
      </c>
      <c r="H1388" s="11">
        <v>12018.3363472821</v>
      </c>
      <c r="I1388" s="10">
        <v>3590909.8253160901</v>
      </c>
      <c r="J1388" s="34">
        <f t="shared" si="84"/>
        <v>3.3468777919601991E-3</v>
      </c>
      <c r="K1388" s="34">
        <f t="shared" si="85"/>
        <v>3.341283239651105E-3</v>
      </c>
      <c r="L1388" s="34">
        <f t="shared" si="86"/>
        <v>0.96993910058727273</v>
      </c>
      <c r="M1388" s="34">
        <f t="shared" si="87"/>
        <v>0.96669825932699815</v>
      </c>
    </row>
    <row r="1389" spans="1:13" ht="27.6">
      <c r="A1389" t="s">
        <v>164</v>
      </c>
      <c r="B1389" t="s">
        <v>112</v>
      </c>
      <c r="C1389" s="14" t="s">
        <v>294</v>
      </c>
      <c r="D1389" t="s">
        <v>112</v>
      </c>
      <c r="E1389" t="s">
        <v>383</v>
      </c>
      <c r="F1389" s="20">
        <v>2033</v>
      </c>
      <c r="G1389" s="20">
        <v>57</v>
      </c>
      <c r="H1389" s="11">
        <v>12887.4255601148</v>
      </c>
      <c r="I1389" s="10">
        <v>3507361.9685440301</v>
      </c>
      <c r="J1389" s="34">
        <f t="shared" si="84"/>
        <v>3.6743927988318256E-3</v>
      </c>
      <c r="K1389" s="34">
        <f t="shared" si="85"/>
        <v>3.6676504781180119E-3</v>
      </c>
      <c r="L1389" s="34">
        <f t="shared" si="86"/>
        <v>0.96669825932699815</v>
      </c>
      <c r="M1389" s="34">
        <f t="shared" si="87"/>
        <v>0.96315274799398165</v>
      </c>
    </row>
    <row r="1390" spans="1:13" ht="27.6">
      <c r="A1390" t="s">
        <v>164</v>
      </c>
      <c r="B1390" t="s">
        <v>112</v>
      </c>
      <c r="C1390" s="14" t="s">
        <v>294</v>
      </c>
      <c r="D1390" t="s">
        <v>112</v>
      </c>
      <c r="E1390" t="s">
        <v>383</v>
      </c>
      <c r="F1390" s="20">
        <v>2033</v>
      </c>
      <c r="G1390" s="20">
        <v>58</v>
      </c>
      <c r="H1390" s="11">
        <v>13749.406296433201</v>
      </c>
      <c r="I1390" s="10">
        <v>3411004.78275399</v>
      </c>
      <c r="J1390" s="34">
        <f t="shared" si="84"/>
        <v>4.0308962232917635E-3</v>
      </c>
      <c r="K1390" s="34">
        <f t="shared" si="85"/>
        <v>4.0227830658695618E-3</v>
      </c>
      <c r="L1390" s="34">
        <f t="shared" si="86"/>
        <v>0.96315274799398165</v>
      </c>
      <c r="M1390" s="34">
        <f t="shared" si="87"/>
        <v>0.95927819342950571</v>
      </c>
    </row>
    <row r="1391" spans="1:13" ht="27.6">
      <c r="A1391" t="s">
        <v>164</v>
      </c>
      <c r="B1391" t="s">
        <v>112</v>
      </c>
      <c r="C1391" s="14" t="s">
        <v>294</v>
      </c>
      <c r="D1391" t="s">
        <v>112</v>
      </c>
      <c r="E1391" t="s">
        <v>383</v>
      </c>
      <c r="F1391" s="20">
        <v>2033</v>
      </c>
      <c r="G1391" s="20">
        <v>59</v>
      </c>
      <c r="H1391" s="11">
        <v>14107.234470676</v>
      </c>
      <c r="I1391" s="10">
        <v>3328566.1598938</v>
      </c>
      <c r="J1391" s="34">
        <f t="shared" si="84"/>
        <v>4.2382316568182919E-3</v>
      </c>
      <c r="K1391" s="34">
        <f t="shared" si="85"/>
        <v>4.2292630278792931E-3</v>
      </c>
      <c r="L1391" s="34">
        <f t="shared" si="86"/>
        <v>0.95927819342950571</v>
      </c>
      <c r="M1391" s="34">
        <f t="shared" si="87"/>
        <v>0.95522115363258342</v>
      </c>
    </row>
    <row r="1392" spans="1:13" ht="27.6">
      <c r="A1392" t="s">
        <v>164</v>
      </c>
      <c r="B1392" t="s">
        <v>112</v>
      </c>
      <c r="C1392" s="14" t="s">
        <v>294</v>
      </c>
      <c r="D1392" t="s">
        <v>112</v>
      </c>
      <c r="E1392" t="s">
        <v>383</v>
      </c>
      <c r="F1392" s="20">
        <v>2033</v>
      </c>
      <c r="G1392" s="20">
        <v>60</v>
      </c>
      <c r="H1392" s="11">
        <v>14711.2070599332</v>
      </c>
      <c r="I1392" s="10">
        <v>3246011.4359090501</v>
      </c>
      <c r="J1392" s="34">
        <f t="shared" si="84"/>
        <v>4.5320872555131052E-3</v>
      </c>
      <c r="K1392" s="34">
        <f t="shared" si="85"/>
        <v>4.5218328452102385E-3</v>
      </c>
      <c r="L1392" s="34">
        <f t="shared" si="86"/>
        <v>0.95522115363258342</v>
      </c>
      <c r="M1392" s="34">
        <f t="shared" si="87"/>
        <v>0.95090180324564799</v>
      </c>
    </row>
    <row r="1393" spans="1:13" ht="27.6">
      <c r="A1393" t="s">
        <v>164</v>
      </c>
      <c r="B1393" t="s">
        <v>112</v>
      </c>
      <c r="C1393" s="14" t="s">
        <v>294</v>
      </c>
      <c r="D1393" t="s">
        <v>112</v>
      </c>
      <c r="E1393" t="s">
        <v>383</v>
      </c>
      <c r="F1393" s="20">
        <v>2033</v>
      </c>
      <c r="G1393" s="20">
        <v>61</v>
      </c>
      <c r="H1393" s="11">
        <v>15544.039888601301</v>
      </c>
      <c r="I1393" s="10">
        <v>3143009.41929053</v>
      </c>
      <c r="J1393" s="34">
        <f t="shared" si="84"/>
        <v>4.9455912518741509E-3</v>
      </c>
      <c r="K1393" s="34">
        <f t="shared" si="85"/>
        <v>4.9333819511548915E-3</v>
      </c>
      <c r="L1393" s="34">
        <f t="shared" si="86"/>
        <v>0.95090180324564799</v>
      </c>
      <c r="M1393" s="34">
        <f t="shared" si="87"/>
        <v>0.94621064145219524</v>
      </c>
    </row>
    <row r="1394" spans="1:13" ht="27.6">
      <c r="A1394" t="s">
        <v>164</v>
      </c>
      <c r="B1394" t="s">
        <v>112</v>
      </c>
      <c r="C1394" s="14" t="s">
        <v>294</v>
      </c>
      <c r="D1394" t="s">
        <v>112</v>
      </c>
      <c r="E1394" t="s">
        <v>383</v>
      </c>
      <c r="F1394" s="20">
        <v>2033</v>
      </c>
      <c r="G1394" s="20">
        <v>62</v>
      </c>
      <c r="H1394" s="11">
        <v>16262.6094397496</v>
      </c>
      <c r="I1394" s="10">
        <v>3050042.86374758</v>
      </c>
      <c r="J1394" s="34">
        <f t="shared" si="84"/>
        <v>5.3319281617464787E-3</v>
      </c>
      <c r="K1394" s="34">
        <f t="shared" si="85"/>
        <v>5.3177386631161339E-3</v>
      </c>
      <c r="L1394" s="34">
        <f t="shared" si="86"/>
        <v>0.94621064145219524</v>
      </c>
      <c r="M1394" s="34">
        <f t="shared" si="87"/>
        <v>0.94117894054069295</v>
      </c>
    </row>
    <row r="1395" spans="1:13" ht="27.6">
      <c r="A1395" t="s">
        <v>164</v>
      </c>
      <c r="B1395" t="s">
        <v>112</v>
      </c>
      <c r="C1395" s="14" t="s">
        <v>294</v>
      </c>
      <c r="D1395" t="s">
        <v>112</v>
      </c>
      <c r="E1395" t="s">
        <v>383</v>
      </c>
      <c r="F1395" s="20">
        <v>2033</v>
      </c>
      <c r="G1395" s="20">
        <v>63</v>
      </c>
      <c r="H1395" s="11">
        <v>16995.631835106</v>
      </c>
      <c r="I1395" s="10">
        <v>2954647.1315305801</v>
      </c>
      <c r="J1395" s="34">
        <f t="shared" si="84"/>
        <v>5.752169744311174E-3</v>
      </c>
      <c r="K1395" s="34">
        <f t="shared" si="85"/>
        <v>5.7356576911420376E-3</v>
      </c>
      <c r="L1395" s="34">
        <f t="shared" si="86"/>
        <v>0.94117894054069295</v>
      </c>
      <c r="M1395" s="34">
        <f t="shared" si="87"/>
        <v>0.93578066031163987</v>
      </c>
    </row>
    <row r="1396" spans="1:13" ht="27.6">
      <c r="A1396" t="s">
        <v>164</v>
      </c>
      <c r="B1396" t="s">
        <v>112</v>
      </c>
      <c r="C1396" s="14" t="s">
        <v>294</v>
      </c>
      <c r="D1396" t="s">
        <v>112</v>
      </c>
      <c r="E1396" t="s">
        <v>383</v>
      </c>
      <c r="F1396" s="20">
        <v>2033</v>
      </c>
      <c r="G1396" s="20">
        <v>64</v>
      </c>
      <c r="H1396" s="11">
        <v>18019.225067766401</v>
      </c>
      <c r="I1396" s="10">
        <v>2843806.6033014199</v>
      </c>
      <c r="J1396" s="34">
        <f t="shared" si="84"/>
        <v>6.3363046723527543E-3</v>
      </c>
      <c r="K1396" s="34">
        <f t="shared" si="85"/>
        <v>6.3162726259499147E-3</v>
      </c>
      <c r="L1396" s="34">
        <f t="shared" si="86"/>
        <v>0.93578066031163987</v>
      </c>
      <c r="M1396" s="34">
        <f t="shared" si="87"/>
        <v>0.9298700145430201</v>
      </c>
    </row>
    <row r="1397" spans="1:13" ht="27.6">
      <c r="A1397" t="s">
        <v>164</v>
      </c>
      <c r="B1397" t="s">
        <v>112</v>
      </c>
      <c r="C1397" s="14" t="s">
        <v>294</v>
      </c>
      <c r="D1397" t="s">
        <v>112</v>
      </c>
      <c r="E1397" t="s">
        <v>383</v>
      </c>
      <c r="F1397" s="20">
        <v>2033</v>
      </c>
      <c r="G1397" s="20">
        <v>65</v>
      </c>
      <c r="H1397" s="11">
        <v>19206.0898350846</v>
      </c>
      <c r="I1397" s="10">
        <v>2724775.8225473501</v>
      </c>
      <c r="J1397" s="34">
        <f t="shared" si="84"/>
        <v>7.048686235452988E-3</v>
      </c>
      <c r="K1397" s="34">
        <f t="shared" si="85"/>
        <v>7.0239025117156961E-3</v>
      </c>
      <c r="L1397" s="34">
        <f t="shared" si="86"/>
        <v>0.9298700145430201</v>
      </c>
      <c r="M1397" s="34">
        <f t="shared" si="87"/>
        <v>0.9233386982123023</v>
      </c>
    </row>
    <row r="1398" spans="1:13" ht="27.6">
      <c r="A1398" t="s">
        <v>164</v>
      </c>
      <c r="B1398" t="s">
        <v>112</v>
      </c>
      <c r="C1398" s="14" t="s">
        <v>294</v>
      </c>
      <c r="D1398" t="s">
        <v>112</v>
      </c>
      <c r="E1398" t="s">
        <v>383</v>
      </c>
      <c r="F1398" s="20">
        <v>2033</v>
      </c>
      <c r="G1398" s="20">
        <v>66</v>
      </c>
      <c r="H1398" s="11">
        <v>19881.269555528499</v>
      </c>
      <c r="I1398" s="10">
        <v>2607039.8486147099</v>
      </c>
      <c r="J1398" s="34">
        <f t="shared" si="84"/>
        <v>7.6259937361880803E-3</v>
      </c>
      <c r="K1398" s="34">
        <f t="shared" si="85"/>
        <v>7.5969896211861565E-3</v>
      </c>
      <c r="L1398" s="34">
        <f t="shared" si="86"/>
        <v>0.9233386982123023</v>
      </c>
      <c r="M1398" s="34">
        <f t="shared" si="87"/>
        <v>0.91632410370514394</v>
      </c>
    </row>
    <row r="1399" spans="1:13" ht="27.6">
      <c r="A1399" t="s">
        <v>164</v>
      </c>
      <c r="B1399" t="s">
        <v>112</v>
      </c>
      <c r="C1399" s="14" t="s">
        <v>294</v>
      </c>
      <c r="D1399" t="s">
        <v>112</v>
      </c>
      <c r="E1399" t="s">
        <v>383</v>
      </c>
      <c r="F1399" s="20">
        <v>2033</v>
      </c>
      <c r="G1399" s="20">
        <v>67</v>
      </c>
      <c r="H1399" s="11">
        <v>20862.579191682202</v>
      </c>
      <c r="I1399" s="10">
        <v>2476683.3629281502</v>
      </c>
      <c r="J1399" s="34">
        <f t="shared" si="84"/>
        <v>8.4235956456769866E-3</v>
      </c>
      <c r="K1399" s="34">
        <f t="shared" si="85"/>
        <v>8.3882165732368508E-3</v>
      </c>
      <c r="L1399" s="34">
        <f t="shared" si="86"/>
        <v>0.91632410370514394</v>
      </c>
      <c r="M1399" s="34">
        <f t="shared" si="87"/>
        <v>0.90863777867198803</v>
      </c>
    </row>
    <row r="1400" spans="1:13" ht="27.6">
      <c r="A1400" t="s">
        <v>164</v>
      </c>
      <c r="B1400" t="s">
        <v>112</v>
      </c>
      <c r="C1400" s="14" t="s">
        <v>294</v>
      </c>
      <c r="D1400" t="s">
        <v>112</v>
      </c>
      <c r="E1400" t="s">
        <v>383</v>
      </c>
      <c r="F1400" s="20">
        <v>2033</v>
      </c>
      <c r="G1400" s="20">
        <v>68</v>
      </c>
      <c r="H1400" s="11">
        <v>21578.277696573299</v>
      </c>
      <c r="I1400" s="10">
        <v>2335240.6470661801</v>
      </c>
      <c r="J1400" s="34">
        <f t="shared" si="84"/>
        <v>9.2402801071840776E-3</v>
      </c>
      <c r="K1400" s="34">
        <f t="shared" si="85"/>
        <v>9.1977199092176942E-3</v>
      </c>
      <c r="L1400" s="34">
        <f t="shared" si="86"/>
        <v>0.90863777867198803</v>
      </c>
      <c r="M1400" s="34">
        <f t="shared" si="87"/>
        <v>0.90028038288482937</v>
      </c>
    </row>
    <row r="1401" spans="1:13" ht="27.6">
      <c r="A1401" t="s">
        <v>164</v>
      </c>
      <c r="B1401" t="s">
        <v>112</v>
      </c>
      <c r="C1401" s="14" t="s">
        <v>294</v>
      </c>
      <c r="D1401" t="s">
        <v>112</v>
      </c>
      <c r="E1401" t="s">
        <v>383</v>
      </c>
      <c r="F1401" s="20">
        <v>2033</v>
      </c>
      <c r="G1401" s="20">
        <v>69</v>
      </c>
      <c r="H1401" s="11">
        <v>21551.555584234498</v>
      </c>
      <c r="I1401" s="10">
        <v>2195256.8452272299</v>
      </c>
      <c r="J1401" s="34">
        <f t="shared" si="84"/>
        <v>9.8173275856491896E-3</v>
      </c>
      <c r="K1401" s="34">
        <f t="shared" si="85"/>
        <v>9.7692949377765625E-3</v>
      </c>
      <c r="L1401" s="34">
        <f t="shared" si="86"/>
        <v>0.90028038288482937</v>
      </c>
      <c r="M1401" s="34">
        <f t="shared" si="87"/>
        <v>0.89148527829773305</v>
      </c>
    </row>
    <row r="1402" spans="1:13" ht="27.6">
      <c r="A1402" t="s">
        <v>164</v>
      </c>
      <c r="B1402" t="s">
        <v>112</v>
      </c>
      <c r="C1402" s="14" t="s">
        <v>294</v>
      </c>
      <c r="D1402" t="s">
        <v>112</v>
      </c>
      <c r="E1402" t="s">
        <v>383</v>
      </c>
      <c r="F1402" s="20">
        <v>2034</v>
      </c>
      <c r="G1402" s="20">
        <v>30</v>
      </c>
      <c r="H1402" s="11">
        <v>691.21386990845895</v>
      </c>
      <c r="I1402" s="10">
        <v>4392378.04215449</v>
      </c>
      <c r="J1402" s="34">
        <f t="shared" si="84"/>
        <v>1.573666618116081E-4</v>
      </c>
      <c r="K1402" s="34">
        <f t="shared" si="85"/>
        <v>1.5735428032792598E-4</v>
      </c>
      <c r="L1402" s="34">
        <f t="shared" si="86"/>
        <v>1</v>
      </c>
      <c r="M1402" s="34">
        <f t="shared" si="87"/>
        <v>0.99984264571967207</v>
      </c>
    </row>
    <row r="1403" spans="1:13" ht="27.6">
      <c r="A1403" t="s">
        <v>164</v>
      </c>
      <c r="B1403" t="s">
        <v>112</v>
      </c>
      <c r="C1403" s="14" t="s">
        <v>294</v>
      </c>
      <c r="D1403" t="s">
        <v>112</v>
      </c>
      <c r="E1403" t="s">
        <v>383</v>
      </c>
      <c r="F1403" s="20">
        <v>2034</v>
      </c>
      <c r="G1403" s="20">
        <v>31</v>
      </c>
      <c r="H1403" s="11">
        <v>1026.61611448601</v>
      </c>
      <c r="I1403" s="10">
        <v>4350303.6647084597</v>
      </c>
      <c r="J1403" s="34">
        <f t="shared" si="84"/>
        <v>2.3598723068790872E-4</v>
      </c>
      <c r="K1403" s="34">
        <f t="shared" si="85"/>
        <v>2.3595938789156001E-4</v>
      </c>
      <c r="L1403" s="34">
        <f t="shared" si="86"/>
        <v>0.99984264571967207</v>
      </c>
      <c r="M1403" s="34">
        <f t="shared" si="87"/>
        <v>0.99960672346100021</v>
      </c>
    </row>
    <row r="1404" spans="1:13" ht="27.6">
      <c r="A1404" t="s">
        <v>164</v>
      </c>
      <c r="B1404" t="s">
        <v>112</v>
      </c>
      <c r="C1404" s="14" t="s">
        <v>294</v>
      </c>
      <c r="D1404" t="s">
        <v>112</v>
      </c>
      <c r="E1404" t="s">
        <v>383</v>
      </c>
      <c r="F1404" s="20">
        <v>2034</v>
      </c>
      <c r="G1404" s="20">
        <v>32</v>
      </c>
      <c r="H1404" s="11">
        <v>1101.1097141164701</v>
      </c>
      <c r="I1404" s="10">
        <v>4331347.5041309204</v>
      </c>
      <c r="J1404" s="34">
        <f t="shared" si="84"/>
        <v>2.5421874210423262E-4</v>
      </c>
      <c r="K1404" s="34">
        <f t="shared" si="85"/>
        <v>2.5418643125785234E-4</v>
      </c>
      <c r="L1404" s="34">
        <f t="shared" si="86"/>
        <v>0.99960672346100021</v>
      </c>
      <c r="M1404" s="34">
        <f t="shared" si="87"/>
        <v>0.9993526369953023</v>
      </c>
    </row>
    <row r="1405" spans="1:13" ht="27.6">
      <c r="A1405" t="s">
        <v>164</v>
      </c>
      <c r="B1405" t="s">
        <v>112</v>
      </c>
      <c r="C1405" s="14" t="s">
        <v>294</v>
      </c>
      <c r="D1405" t="s">
        <v>112</v>
      </c>
      <c r="E1405" t="s">
        <v>383</v>
      </c>
      <c r="F1405" s="20">
        <v>2034</v>
      </c>
      <c r="G1405" s="20">
        <v>33</v>
      </c>
      <c r="H1405" s="11">
        <v>1188.6047654372901</v>
      </c>
      <c r="I1405" s="10">
        <v>4312508.5726374201</v>
      </c>
      <c r="J1405" s="34">
        <f t="shared" si="84"/>
        <v>2.7561794844395399E-4</v>
      </c>
      <c r="K1405" s="34">
        <f t="shared" si="85"/>
        <v>2.755799693064942E-4</v>
      </c>
      <c r="L1405" s="34">
        <f t="shared" si="86"/>
        <v>0.9993526369953023</v>
      </c>
      <c r="M1405" s="34">
        <f t="shared" si="87"/>
        <v>0.9990772354262728</v>
      </c>
    </row>
    <row r="1406" spans="1:13" ht="27.6">
      <c r="A1406" t="s">
        <v>164</v>
      </c>
      <c r="B1406" t="s">
        <v>112</v>
      </c>
      <c r="C1406" s="14" t="s">
        <v>294</v>
      </c>
      <c r="D1406" t="s">
        <v>112</v>
      </c>
      <c r="E1406" t="s">
        <v>383</v>
      </c>
      <c r="F1406" s="20">
        <v>2034</v>
      </c>
      <c r="G1406" s="20">
        <v>34</v>
      </c>
      <c r="H1406" s="11">
        <v>1284.2153591060001</v>
      </c>
      <c r="I1406" s="10">
        <v>4313366.7256452404</v>
      </c>
      <c r="J1406" s="34">
        <f t="shared" si="84"/>
        <v>2.9772923119906829E-4</v>
      </c>
      <c r="K1406" s="34">
        <f t="shared" si="85"/>
        <v>2.9768491424975174E-4</v>
      </c>
      <c r="L1406" s="34">
        <f t="shared" si="86"/>
        <v>0.9990772354262728</v>
      </c>
      <c r="M1406" s="34">
        <f t="shared" si="87"/>
        <v>0.9987798252051161</v>
      </c>
    </row>
    <row r="1407" spans="1:13" ht="27.6">
      <c r="A1407" t="s">
        <v>164</v>
      </c>
      <c r="B1407" t="s">
        <v>112</v>
      </c>
      <c r="C1407" s="14" t="s">
        <v>294</v>
      </c>
      <c r="D1407" t="s">
        <v>112</v>
      </c>
      <c r="E1407" t="s">
        <v>383</v>
      </c>
      <c r="F1407" s="20">
        <v>2034</v>
      </c>
      <c r="G1407" s="20">
        <v>35</v>
      </c>
      <c r="H1407" s="11">
        <v>1421.95870280658</v>
      </c>
      <c r="I1407" s="10">
        <v>4352967.9103269801</v>
      </c>
      <c r="J1407" s="34">
        <f t="shared" si="84"/>
        <v>3.2666418225439371E-4</v>
      </c>
      <c r="K1407" s="34">
        <f t="shared" si="85"/>
        <v>3.2661083331964047E-4</v>
      </c>
      <c r="L1407" s="34">
        <f t="shared" si="86"/>
        <v>0.9987798252051161</v>
      </c>
      <c r="M1407" s="34">
        <f t="shared" si="87"/>
        <v>0.99845361289410306</v>
      </c>
    </row>
    <row r="1408" spans="1:13" ht="27.6">
      <c r="A1408" t="s">
        <v>164</v>
      </c>
      <c r="B1408" t="s">
        <v>112</v>
      </c>
      <c r="C1408" s="14" t="s">
        <v>294</v>
      </c>
      <c r="D1408" t="s">
        <v>112</v>
      </c>
      <c r="E1408" t="s">
        <v>383</v>
      </c>
      <c r="F1408" s="20">
        <v>2034</v>
      </c>
      <c r="G1408" s="20">
        <v>36</v>
      </c>
      <c r="H1408" s="11">
        <v>1871.57550366279</v>
      </c>
      <c r="I1408" s="10">
        <v>4395065.7713467497</v>
      </c>
      <c r="J1408" s="34">
        <f t="shared" si="84"/>
        <v>4.2583560770907323E-4</v>
      </c>
      <c r="K1408" s="34">
        <f t="shared" si="85"/>
        <v>4.2574495259517509E-4</v>
      </c>
      <c r="L1408" s="34">
        <f t="shared" si="86"/>
        <v>0.99845361289410306</v>
      </c>
      <c r="M1408" s="34">
        <f t="shared" si="87"/>
        <v>0.99802852630801298</v>
      </c>
    </row>
    <row r="1409" spans="1:13" ht="27.6">
      <c r="A1409" t="s">
        <v>164</v>
      </c>
      <c r="B1409" t="s">
        <v>112</v>
      </c>
      <c r="C1409" s="14" t="s">
        <v>294</v>
      </c>
      <c r="D1409" t="s">
        <v>112</v>
      </c>
      <c r="E1409" t="s">
        <v>383</v>
      </c>
      <c r="F1409" s="20">
        <v>2034</v>
      </c>
      <c r="G1409" s="20">
        <v>37</v>
      </c>
      <c r="H1409" s="11">
        <v>2035.8010897470999</v>
      </c>
      <c r="I1409" s="10">
        <v>4390999.9225322697</v>
      </c>
      <c r="J1409" s="34">
        <f t="shared" si="84"/>
        <v>4.6363040894181176E-4</v>
      </c>
      <c r="K1409" s="34">
        <f t="shared" si="85"/>
        <v>4.6352294897167301E-4</v>
      </c>
      <c r="L1409" s="34">
        <f t="shared" si="86"/>
        <v>0.99802852630801298</v>
      </c>
      <c r="M1409" s="34">
        <f t="shared" si="87"/>
        <v>0.99756591718234078</v>
      </c>
    </row>
    <row r="1410" spans="1:13" ht="27.6">
      <c r="A1410" t="s">
        <v>164</v>
      </c>
      <c r="B1410" t="s">
        <v>112</v>
      </c>
      <c r="C1410" s="14" t="s">
        <v>294</v>
      </c>
      <c r="D1410" t="s">
        <v>112</v>
      </c>
      <c r="E1410" t="s">
        <v>383</v>
      </c>
      <c r="F1410" s="20">
        <v>2034</v>
      </c>
      <c r="G1410" s="20">
        <v>38</v>
      </c>
      <c r="H1410" s="11">
        <v>2184.3902549947602</v>
      </c>
      <c r="I1410" s="10">
        <v>4327946.2038854696</v>
      </c>
      <c r="J1410" s="34">
        <f t="shared" ref="J1410:J1473" si="88">IF(I1410&gt;0,H1410/I1410,0)</f>
        <v>5.0471751544270481E-4</v>
      </c>
      <c r="K1410" s="34">
        <f t="shared" ref="K1410:K1473" si="89">1-EXP(-J1410)</f>
        <v>5.0459016698345405E-4</v>
      </c>
      <c r="L1410" s="34">
        <f t="shared" ref="L1410:L1473" si="90">IF(G1410=30,1,M1409)</f>
        <v>0.99756591718234078</v>
      </c>
      <c r="M1410" s="34">
        <f t="shared" ref="M1410:M1473" si="91">L1410*(1-K1410)</f>
        <v>0.99706255522961273</v>
      </c>
    </row>
    <row r="1411" spans="1:13" ht="27.6">
      <c r="A1411" t="s">
        <v>164</v>
      </c>
      <c r="B1411" t="s">
        <v>112</v>
      </c>
      <c r="C1411" s="14" t="s">
        <v>294</v>
      </c>
      <c r="D1411" t="s">
        <v>112</v>
      </c>
      <c r="E1411" t="s">
        <v>383</v>
      </c>
      <c r="F1411" s="20">
        <v>2034</v>
      </c>
      <c r="G1411" s="20">
        <v>39</v>
      </c>
      <c r="H1411" s="11">
        <v>2262.0323623908298</v>
      </c>
      <c r="I1411" s="10">
        <v>4262721.6065116804</v>
      </c>
      <c r="J1411" s="34">
        <f t="shared" si="88"/>
        <v>5.3065449053378891E-4</v>
      </c>
      <c r="K1411" s="34">
        <f t="shared" si="89"/>
        <v>5.3051371834123007E-4</v>
      </c>
      <c r="L1411" s="34">
        <f t="shared" si="90"/>
        <v>0.99706255522961273</v>
      </c>
      <c r="M1411" s="34">
        <f t="shared" si="91"/>
        <v>0.99653359986601908</v>
      </c>
    </row>
    <row r="1412" spans="1:13" ht="27.6">
      <c r="A1412" t="s">
        <v>164</v>
      </c>
      <c r="B1412" t="s">
        <v>112</v>
      </c>
      <c r="C1412" s="14" t="s">
        <v>294</v>
      </c>
      <c r="D1412" t="s">
        <v>112</v>
      </c>
      <c r="E1412" t="s">
        <v>383</v>
      </c>
      <c r="F1412" s="20">
        <v>2034</v>
      </c>
      <c r="G1412" s="20">
        <v>40</v>
      </c>
      <c r="H1412" s="11">
        <v>2413.47734380875</v>
      </c>
      <c r="I1412" s="10">
        <v>4206855.84190029</v>
      </c>
      <c r="J1412" s="34">
        <f t="shared" si="88"/>
        <v>5.7370098584565512E-4</v>
      </c>
      <c r="K1412" s="34">
        <f t="shared" si="89"/>
        <v>5.7353645090119088E-4</v>
      </c>
      <c r="L1412" s="34">
        <f t="shared" si="90"/>
        <v>0.99653359986601908</v>
      </c>
      <c r="M1412" s="34">
        <f t="shared" si="91"/>
        <v>0.99596205152194817</v>
      </c>
    </row>
    <row r="1413" spans="1:13" ht="27.6">
      <c r="A1413" t="s">
        <v>164</v>
      </c>
      <c r="B1413" t="s">
        <v>112</v>
      </c>
      <c r="C1413" s="14" t="s">
        <v>294</v>
      </c>
      <c r="D1413" t="s">
        <v>112</v>
      </c>
      <c r="E1413" t="s">
        <v>383</v>
      </c>
      <c r="F1413" s="20">
        <v>2034</v>
      </c>
      <c r="G1413" s="20">
        <v>41</v>
      </c>
      <c r="H1413" s="11">
        <v>3109.5957199064401</v>
      </c>
      <c r="I1413" s="10">
        <v>4153327.1693253401</v>
      </c>
      <c r="J1413" s="34">
        <f t="shared" si="88"/>
        <v>7.4869992012007998E-4</v>
      </c>
      <c r="K1413" s="34">
        <f t="shared" si="89"/>
        <v>7.4841971426931053E-4</v>
      </c>
      <c r="L1413" s="34">
        <f t="shared" si="90"/>
        <v>0.99596205152194817</v>
      </c>
      <c r="M1413" s="34">
        <f t="shared" si="91"/>
        <v>0.99521665388792502</v>
      </c>
    </row>
    <row r="1414" spans="1:13" ht="27.6">
      <c r="A1414" t="s">
        <v>164</v>
      </c>
      <c r="B1414" t="s">
        <v>112</v>
      </c>
      <c r="C1414" s="14" t="s">
        <v>294</v>
      </c>
      <c r="D1414" t="s">
        <v>112</v>
      </c>
      <c r="E1414" t="s">
        <v>383</v>
      </c>
      <c r="F1414" s="20">
        <v>2034</v>
      </c>
      <c r="G1414" s="20">
        <v>42</v>
      </c>
      <c r="H1414" s="11">
        <v>3409.6101994948699</v>
      </c>
      <c r="I1414" s="10">
        <v>4134499.03210101</v>
      </c>
      <c r="J1414" s="34">
        <f t="shared" si="88"/>
        <v>8.2467311590159534E-4</v>
      </c>
      <c r="K1414" s="34">
        <f t="shared" si="89"/>
        <v>8.2433316648300448E-4</v>
      </c>
      <c r="L1414" s="34">
        <f t="shared" si="90"/>
        <v>0.99521665388792502</v>
      </c>
      <c r="M1414" s="34">
        <f t="shared" si="91"/>
        <v>0.99439626379228896</v>
      </c>
    </row>
    <row r="1415" spans="1:13" ht="27.6">
      <c r="A1415" t="s">
        <v>164</v>
      </c>
      <c r="B1415" t="s">
        <v>112</v>
      </c>
      <c r="C1415" s="14" t="s">
        <v>294</v>
      </c>
      <c r="D1415" t="s">
        <v>112</v>
      </c>
      <c r="E1415" t="s">
        <v>383</v>
      </c>
      <c r="F1415" s="20">
        <v>2034</v>
      </c>
      <c r="G1415" s="20">
        <v>43</v>
      </c>
      <c r="H1415" s="11">
        <v>3779.9862943124499</v>
      </c>
      <c r="I1415" s="10">
        <v>4109636.6356798499</v>
      </c>
      <c r="J1415" s="34">
        <f t="shared" si="88"/>
        <v>9.1978601258676325E-4</v>
      </c>
      <c r="K1415" s="34">
        <f t="shared" si="89"/>
        <v>9.193631390932433E-4</v>
      </c>
      <c r="L1415" s="34">
        <f t="shared" si="90"/>
        <v>0.99439626379228896</v>
      </c>
      <c r="M1415" s="34">
        <f t="shared" si="91"/>
        <v>0.99348205252170629</v>
      </c>
    </row>
    <row r="1416" spans="1:13" ht="27.6">
      <c r="A1416" t="s">
        <v>164</v>
      </c>
      <c r="B1416" t="s">
        <v>112</v>
      </c>
      <c r="C1416" s="14" t="s">
        <v>294</v>
      </c>
      <c r="D1416" t="s">
        <v>112</v>
      </c>
      <c r="E1416" t="s">
        <v>383</v>
      </c>
      <c r="F1416" s="20">
        <v>2034</v>
      </c>
      <c r="G1416" s="20">
        <v>44</v>
      </c>
      <c r="H1416" s="11">
        <v>3961.7573573856098</v>
      </c>
      <c r="I1416" s="10">
        <v>4087868.7805400998</v>
      </c>
      <c r="J1416" s="34">
        <f t="shared" si="88"/>
        <v>9.6914983578855782E-4</v>
      </c>
      <c r="K1416" s="34">
        <f t="shared" si="89"/>
        <v>9.6868036176223082E-4</v>
      </c>
      <c r="L1416" s="34">
        <f t="shared" si="90"/>
        <v>0.99348205252170629</v>
      </c>
      <c r="M1416" s="34">
        <f t="shared" si="91"/>
        <v>0.99251968596766527</v>
      </c>
    </row>
    <row r="1417" spans="1:13" ht="27.6">
      <c r="A1417" t="s">
        <v>164</v>
      </c>
      <c r="B1417" t="s">
        <v>112</v>
      </c>
      <c r="C1417" s="14" t="s">
        <v>294</v>
      </c>
      <c r="D1417" t="s">
        <v>112</v>
      </c>
      <c r="E1417" t="s">
        <v>383</v>
      </c>
      <c r="F1417" s="20">
        <v>2034</v>
      </c>
      <c r="G1417" s="20">
        <v>45</v>
      </c>
      <c r="H1417" s="11">
        <v>4303.9122785406998</v>
      </c>
      <c r="I1417" s="10">
        <v>4088615.90681632</v>
      </c>
      <c r="J1417" s="34">
        <f t="shared" si="88"/>
        <v>1.0526575194714303E-3</v>
      </c>
      <c r="K1417" s="34">
        <f t="shared" si="89"/>
        <v>1.0521036698998287E-3</v>
      </c>
      <c r="L1417" s="34">
        <f t="shared" si="90"/>
        <v>0.99251968596766527</v>
      </c>
      <c r="M1417" s="34">
        <f t="shared" si="91"/>
        <v>0.9914754523636109</v>
      </c>
    </row>
    <row r="1418" spans="1:13" ht="27.6">
      <c r="A1418" t="s">
        <v>164</v>
      </c>
      <c r="B1418" t="s">
        <v>112</v>
      </c>
      <c r="C1418" s="14" t="s">
        <v>294</v>
      </c>
      <c r="D1418" t="s">
        <v>112</v>
      </c>
      <c r="E1418" t="s">
        <v>383</v>
      </c>
      <c r="F1418" s="20">
        <v>2034</v>
      </c>
      <c r="G1418" s="20">
        <v>46</v>
      </c>
      <c r="H1418" s="11">
        <v>5426.2285736161502</v>
      </c>
      <c r="I1418" s="10">
        <v>4043363.9351218799</v>
      </c>
      <c r="J1418" s="34">
        <f t="shared" si="88"/>
        <v>1.3420084515475569E-3</v>
      </c>
      <c r="K1418" s="34">
        <f t="shared" si="89"/>
        <v>1.3411083608936281E-3</v>
      </c>
      <c r="L1418" s="34">
        <f t="shared" si="90"/>
        <v>0.9914754523636109</v>
      </c>
      <c r="M1418" s="34">
        <f t="shared" si="91"/>
        <v>0.99014577634482526</v>
      </c>
    </row>
    <row r="1419" spans="1:13" ht="27.6">
      <c r="A1419" t="s">
        <v>164</v>
      </c>
      <c r="B1419" t="s">
        <v>112</v>
      </c>
      <c r="C1419" s="14" t="s">
        <v>294</v>
      </c>
      <c r="D1419" t="s">
        <v>112</v>
      </c>
      <c r="E1419" t="s">
        <v>383</v>
      </c>
      <c r="F1419" s="20">
        <v>2034</v>
      </c>
      <c r="G1419" s="20">
        <v>47</v>
      </c>
      <c r="H1419" s="11">
        <v>5970.0592223058202</v>
      </c>
      <c r="I1419" s="10">
        <v>3989345.2172525502</v>
      </c>
      <c r="J1419" s="34">
        <f t="shared" si="88"/>
        <v>1.4965010289125545E-3</v>
      </c>
      <c r="K1419" s="34">
        <f t="shared" si="89"/>
        <v>1.4953818296117305E-3</v>
      </c>
      <c r="L1419" s="34">
        <f t="shared" si="90"/>
        <v>0.99014577634482526</v>
      </c>
      <c r="M1419" s="34">
        <f t="shared" si="91"/>
        <v>0.98866513034221237</v>
      </c>
    </row>
    <row r="1420" spans="1:13" ht="27.6">
      <c r="A1420" t="s">
        <v>164</v>
      </c>
      <c r="B1420" t="s">
        <v>112</v>
      </c>
      <c r="C1420" s="14" t="s">
        <v>294</v>
      </c>
      <c r="D1420" t="s">
        <v>112</v>
      </c>
      <c r="E1420" t="s">
        <v>383</v>
      </c>
      <c r="F1420" s="20">
        <v>2034</v>
      </c>
      <c r="G1420" s="20">
        <v>48</v>
      </c>
      <c r="H1420" s="11">
        <v>6691.4297639061997</v>
      </c>
      <c r="I1420" s="10">
        <v>3995712.3270661999</v>
      </c>
      <c r="J1420" s="34">
        <f t="shared" si="88"/>
        <v>1.6746525315598222E-3</v>
      </c>
      <c r="K1420" s="34">
        <f t="shared" si="89"/>
        <v>1.6732510834311931E-3</v>
      </c>
      <c r="L1420" s="34">
        <f t="shared" si="90"/>
        <v>0.98866513034221237</v>
      </c>
      <c r="M1420" s="34">
        <f t="shared" si="91"/>
        <v>0.98701084534171657</v>
      </c>
    </row>
    <row r="1421" spans="1:13" ht="27.6">
      <c r="A1421" t="s">
        <v>164</v>
      </c>
      <c r="B1421" t="s">
        <v>112</v>
      </c>
      <c r="C1421" s="14" t="s">
        <v>294</v>
      </c>
      <c r="D1421" t="s">
        <v>112</v>
      </c>
      <c r="E1421" t="s">
        <v>383</v>
      </c>
      <c r="F1421" s="20">
        <v>2034</v>
      </c>
      <c r="G1421" s="20">
        <v>49</v>
      </c>
      <c r="H1421" s="11">
        <v>7389.6191213453503</v>
      </c>
      <c r="I1421" s="10">
        <v>4057173.5054871999</v>
      </c>
      <c r="J1421" s="34">
        <f t="shared" si="88"/>
        <v>1.8213712357509784E-3</v>
      </c>
      <c r="K1421" s="34">
        <f t="shared" si="89"/>
        <v>1.8197135457375113E-3</v>
      </c>
      <c r="L1421" s="34">
        <f t="shared" si="90"/>
        <v>0.98701084534171657</v>
      </c>
      <c r="M1421" s="34">
        <f t="shared" si="91"/>
        <v>0.98521476833665844</v>
      </c>
    </row>
    <row r="1422" spans="1:13" ht="27.6">
      <c r="A1422" t="s">
        <v>164</v>
      </c>
      <c r="B1422" t="s">
        <v>112</v>
      </c>
      <c r="C1422" s="14" t="s">
        <v>294</v>
      </c>
      <c r="D1422" t="s">
        <v>112</v>
      </c>
      <c r="E1422" t="s">
        <v>383</v>
      </c>
      <c r="F1422" s="20">
        <v>2034</v>
      </c>
      <c r="G1422" s="20">
        <v>50</v>
      </c>
      <c r="H1422" s="11">
        <v>8137.4793482294699</v>
      </c>
      <c r="I1422" s="10">
        <v>4076812.6515777502</v>
      </c>
      <c r="J1422" s="34">
        <f t="shared" si="88"/>
        <v>1.996039564163003E-3</v>
      </c>
      <c r="K1422" s="34">
        <f t="shared" si="89"/>
        <v>1.9940488019591918E-3</v>
      </c>
      <c r="L1422" s="34">
        <f t="shared" si="90"/>
        <v>0.98521476833665844</v>
      </c>
      <c r="M1422" s="34">
        <f t="shared" si="91"/>
        <v>0.98325020200818425</v>
      </c>
    </row>
    <row r="1423" spans="1:13" ht="27.6">
      <c r="A1423" t="s">
        <v>164</v>
      </c>
      <c r="B1423" t="s">
        <v>112</v>
      </c>
      <c r="C1423" s="14" t="s">
        <v>294</v>
      </c>
      <c r="D1423" t="s">
        <v>112</v>
      </c>
      <c r="E1423" t="s">
        <v>383</v>
      </c>
      <c r="F1423" s="20">
        <v>2034</v>
      </c>
      <c r="G1423" s="20">
        <v>51</v>
      </c>
      <c r="H1423" s="11">
        <v>9095.8053977845393</v>
      </c>
      <c r="I1423" s="10">
        <v>4038477.6064824401</v>
      </c>
      <c r="J1423" s="34">
        <f t="shared" si="88"/>
        <v>2.2522857086502675E-3</v>
      </c>
      <c r="K1423" s="34">
        <f t="shared" si="89"/>
        <v>2.2497512163509592E-3</v>
      </c>
      <c r="L1423" s="34">
        <f t="shared" si="90"/>
        <v>0.98325020200818425</v>
      </c>
      <c r="M1423" s="34">
        <f t="shared" si="91"/>
        <v>0.98103813367023895</v>
      </c>
    </row>
    <row r="1424" spans="1:13" ht="27.6">
      <c r="A1424" t="s">
        <v>164</v>
      </c>
      <c r="B1424" t="s">
        <v>112</v>
      </c>
      <c r="C1424" s="14" t="s">
        <v>294</v>
      </c>
      <c r="D1424" t="s">
        <v>112</v>
      </c>
      <c r="E1424" t="s">
        <v>383</v>
      </c>
      <c r="F1424" s="20">
        <v>2034</v>
      </c>
      <c r="G1424" s="20">
        <v>52</v>
      </c>
      <c r="H1424" s="11">
        <v>9637.79994019269</v>
      </c>
      <c r="I1424" s="10">
        <v>3975775.7517997501</v>
      </c>
      <c r="J1424" s="34">
        <f t="shared" si="88"/>
        <v>2.4241306708080454E-3</v>
      </c>
      <c r="K1424" s="34">
        <f t="shared" si="89"/>
        <v>2.4211948388127569E-3</v>
      </c>
      <c r="L1424" s="34">
        <f t="shared" si="90"/>
        <v>0.98103813367023895</v>
      </c>
      <c r="M1424" s="34">
        <f t="shared" si="91"/>
        <v>0.97866284920431812</v>
      </c>
    </row>
    <row r="1425" spans="1:13" ht="27.6">
      <c r="A1425" t="s">
        <v>164</v>
      </c>
      <c r="B1425" t="s">
        <v>112</v>
      </c>
      <c r="C1425" s="14" t="s">
        <v>294</v>
      </c>
      <c r="D1425" t="s">
        <v>112</v>
      </c>
      <c r="E1425" t="s">
        <v>383</v>
      </c>
      <c r="F1425" s="20">
        <v>2034</v>
      </c>
      <c r="G1425" s="20">
        <v>53</v>
      </c>
      <c r="H1425" s="11">
        <v>10141.1530127067</v>
      </c>
      <c r="I1425" s="10">
        <v>3905899.3157985201</v>
      </c>
      <c r="J1425" s="34">
        <f t="shared" si="88"/>
        <v>2.596368260617452E-3</v>
      </c>
      <c r="K1425" s="34">
        <f t="shared" si="89"/>
        <v>2.593000611727847E-3</v>
      </c>
      <c r="L1425" s="34">
        <f t="shared" si="90"/>
        <v>0.97866284920431812</v>
      </c>
      <c r="M1425" s="34">
        <f t="shared" si="91"/>
        <v>0.97612517583765601</v>
      </c>
    </row>
    <row r="1426" spans="1:13" ht="27.6">
      <c r="A1426" t="s">
        <v>164</v>
      </c>
      <c r="B1426" t="s">
        <v>112</v>
      </c>
      <c r="C1426" s="14" t="s">
        <v>294</v>
      </c>
      <c r="D1426" t="s">
        <v>112</v>
      </c>
      <c r="E1426" t="s">
        <v>383</v>
      </c>
      <c r="F1426" s="20">
        <v>2034</v>
      </c>
      <c r="G1426" s="20">
        <v>54</v>
      </c>
      <c r="H1426" s="11">
        <v>10765.644888609701</v>
      </c>
      <c r="I1426" s="10">
        <v>3840877.2993769501</v>
      </c>
      <c r="J1426" s="34">
        <f t="shared" si="88"/>
        <v>2.8029129934340927E-3</v>
      </c>
      <c r="K1426" s="34">
        <f t="shared" si="89"/>
        <v>2.7989885003368853E-3</v>
      </c>
      <c r="L1426" s="34">
        <f t="shared" si="90"/>
        <v>0.97612517583765601</v>
      </c>
      <c r="M1426" s="34">
        <f t="shared" si="91"/>
        <v>0.97339301269559708</v>
      </c>
    </row>
    <row r="1427" spans="1:13" ht="27.6">
      <c r="A1427" t="s">
        <v>164</v>
      </c>
      <c r="B1427" t="s">
        <v>112</v>
      </c>
      <c r="C1427" s="14" t="s">
        <v>294</v>
      </c>
      <c r="D1427" t="s">
        <v>112</v>
      </c>
      <c r="E1427" t="s">
        <v>383</v>
      </c>
      <c r="F1427" s="20">
        <v>2034</v>
      </c>
      <c r="G1427" s="20">
        <v>55</v>
      </c>
      <c r="H1427" s="11">
        <v>11455.0440997148</v>
      </c>
      <c r="I1427" s="10">
        <v>3762077.63039594</v>
      </c>
      <c r="J1427" s="34">
        <f t="shared" si="88"/>
        <v>3.0448718035914674E-3</v>
      </c>
      <c r="K1427" s="34">
        <f t="shared" si="89"/>
        <v>3.0402408828203997E-3</v>
      </c>
      <c r="L1427" s="34">
        <f t="shared" si="90"/>
        <v>0.97339301269559708</v>
      </c>
      <c r="M1427" s="34">
        <f t="shared" si="91"/>
        <v>0.97043366346334825</v>
      </c>
    </row>
    <row r="1428" spans="1:13" ht="27.6">
      <c r="A1428" t="s">
        <v>164</v>
      </c>
      <c r="B1428" t="s">
        <v>112</v>
      </c>
      <c r="C1428" s="14" t="s">
        <v>294</v>
      </c>
      <c r="D1428" t="s">
        <v>112</v>
      </c>
      <c r="E1428" t="s">
        <v>383</v>
      </c>
      <c r="F1428" s="20">
        <v>2034</v>
      </c>
      <c r="G1428" s="20">
        <v>56</v>
      </c>
      <c r="H1428" s="11">
        <v>12167.3201344685</v>
      </c>
      <c r="I1428" s="10">
        <v>3659150.5054039098</v>
      </c>
      <c r="J1428" s="34">
        <f t="shared" si="88"/>
        <v>3.3251761895280196E-3</v>
      </c>
      <c r="K1428" s="34">
        <f t="shared" si="89"/>
        <v>3.319653913724685E-3</v>
      </c>
      <c r="L1428" s="34">
        <f t="shared" si="90"/>
        <v>0.97043366346334825</v>
      </c>
      <c r="M1428" s="34">
        <f t="shared" si="91"/>
        <v>0.96721215955442197</v>
      </c>
    </row>
    <row r="1429" spans="1:13" ht="27.6">
      <c r="A1429" t="s">
        <v>164</v>
      </c>
      <c r="B1429" t="s">
        <v>112</v>
      </c>
      <c r="C1429" s="14" t="s">
        <v>294</v>
      </c>
      <c r="D1429" t="s">
        <v>112</v>
      </c>
      <c r="E1429" t="s">
        <v>383</v>
      </c>
      <c r="F1429" s="20">
        <v>2034</v>
      </c>
      <c r="G1429" s="20">
        <v>57</v>
      </c>
      <c r="H1429" s="11">
        <v>12908.513290327201</v>
      </c>
      <c r="I1429" s="10">
        <v>3559850.7732462301</v>
      </c>
      <c r="J1429" s="34">
        <f t="shared" si="88"/>
        <v>3.6261388784440307E-3</v>
      </c>
      <c r="K1429" s="34">
        <f t="shared" si="89"/>
        <v>3.619572376275193E-3</v>
      </c>
      <c r="L1429" s="34">
        <f t="shared" si="90"/>
        <v>0.96721215955442197</v>
      </c>
      <c r="M1429" s="34">
        <f t="shared" si="91"/>
        <v>0.96371126513970129</v>
      </c>
    </row>
    <row r="1430" spans="1:13" ht="27.6">
      <c r="A1430" t="s">
        <v>164</v>
      </c>
      <c r="B1430" t="s">
        <v>112</v>
      </c>
      <c r="C1430" s="14" t="s">
        <v>294</v>
      </c>
      <c r="D1430" t="s">
        <v>112</v>
      </c>
      <c r="E1430" t="s">
        <v>383</v>
      </c>
      <c r="F1430" s="20">
        <v>2034</v>
      </c>
      <c r="G1430" s="20">
        <v>58</v>
      </c>
      <c r="H1430" s="11">
        <v>13824.254497396199</v>
      </c>
      <c r="I1430" s="10">
        <v>3474161.48216508</v>
      </c>
      <c r="J1430" s="34">
        <f t="shared" si="88"/>
        <v>3.9791629054562521E-3</v>
      </c>
      <c r="K1430" s="34">
        <f t="shared" si="89"/>
        <v>3.9712565271411426E-3</v>
      </c>
      <c r="L1430" s="34">
        <f t="shared" si="90"/>
        <v>0.96371126513970129</v>
      </c>
      <c r="M1430" s="34">
        <f t="shared" si="91"/>
        <v>0.95988412048773575</v>
      </c>
    </row>
    <row r="1431" spans="1:13" ht="27.6">
      <c r="A1431" t="s">
        <v>164</v>
      </c>
      <c r="B1431" t="s">
        <v>112</v>
      </c>
      <c r="C1431" s="14" t="s">
        <v>294</v>
      </c>
      <c r="D1431" t="s">
        <v>112</v>
      </c>
      <c r="E1431" t="s">
        <v>383</v>
      </c>
      <c r="F1431" s="20">
        <v>2034</v>
      </c>
      <c r="G1431" s="20">
        <v>59</v>
      </c>
      <c r="H1431" s="11">
        <v>14074.841295591499</v>
      </c>
      <c r="I1431" s="10">
        <v>3375665.5194771099</v>
      </c>
      <c r="J1431" s="34">
        <f t="shared" si="88"/>
        <v>4.1695011589216015E-3</v>
      </c>
      <c r="K1431" s="34">
        <f t="shared" si="89"/>
        <v>4.160820857330938E-3</v>
      </c>
      <c r="L1431" s="34">
        <f t="shared" si="90"/>
        <v>0.95988412048773575</v>
      </c>
      <c r="M1431" s="34">
        <f t="shared" si="91"/>
        <v>0.95589021461858958</v>
      </c>
    </row>
    <row r="1432" spans="1:13" ht="27.6">
      <c r="A1432" t="s">
        <v>164</v>
      </c>
      <c r="B1432" t="s">
        <v>112</v>
      </c>
      <c r="C1432" s="14" t="s">
        <v>294</v>
      </c>
      <c r="D1432" t="s">
        <v>112</v>
      </c>
      <c r="E1432" t="s">
        <v>383</v>
      </c>
      <c r="F1432" s="20">
        <v>2034</v>
      </c>
      <c r="G1432" s="20">
        <v>60</v>
      </c>
      <c r="H1432" s="11">
        <v>14644.877793367101</v>
      </c>
      <c r="I1432" s="10">
        <v>3291458.6170961</v>
      </c>
      <c r="J1432" s="34">
        <f t="shared" si="88"/>
        <v>4.449358019359694E-3</v>
      </c>
      <c r="K1432" s="34">
        <f t="shared" si="89"/>
        <v>4.4394742901510131E-3</v>
      </c>
      <c r="L1432" s="34">
        <f t="shared" si="90"/>
        <v>0.95589021461858958</v>
      </c>
      <c r="M1432" s="34">
        <f t="shared" si="91"/>
        <v>0.95164656458658348</v>
      </c>
    </row>
    <row r="1433" spans="1:13" ht="27.6">
      <c r="A1433" t="s">
        <v>164</v>
      </c>
      <c r="B1433" t="s">
        <v>112</v>
      </c>
      <c r="C1433" s="14" t="s">
        <v>294</v>
      </c>
      <c r="D1433" t="s">
        <v>112</v>
      </c>
      <c r="E1433" t="s">
        <v>383</v>
      </c>
      <c r="F1433" s="20">
        <v>2034</v>
      </c>
      <c r="G1433" s="20">
        <v>61</v>
      </c>
      <c r="H1433" s="11">
        <v>15569.9770478796</v>
      </c>
      <c r="I1433" s="10">
        <v>3206807.0176203698</v>
      </c>
      <c r="J1433" s="34">
        <f t="shared" si="88"/>
        <v>4.8552896891916478E-3</v>
      </c>
      <c r="K1433" s="34">
        <f t="shared" si="89"/>
        <v>4.8435218233779942E-3</v>
      </c>
      <c r="L1433" s="34">
        <f t="shared" si="90"/>
        <v>0.95164656458658348</v>
      </c>
      <c r="M1433" s="34">
        <f t="shared" si="91"/>
        <v>0.94703724368286568</v>
      </c>
    </row>
    <row r="1434" spans="1:13" ht="27.6">
      <c r="A1434" t="s">
        <v>164</v>
      </c>
      <c r="B1434" t="s">
        <v>112</v>
      </c>
      <c r="C1434" s="14" t="s">
        <v>294</v>
      </c>
      <c r="D1434" t="s">
        <v>112</v>
      </c>
      <c r="E1434" t="s">
        <v>383</v>
      </c>
      <c r="F1434" s="20">
        <v>2034</v>
      </c>
      <c r="G1434" s="20">
        <v>62</v>
      </c>
      <c r="H1434" s="11">
        <v>16281.5541195113</v>
      </c>
      <c r="I1434" s="10">
        <v>3101785.4631321798</v>
      </c>
      <c r="J1434" s="34">
        <f t="shared" si="88"/>
        <v>5.2490909874437939E-3</v>
      </c>
      <c r="K1434" s="34">
        <f t="shared" si="89"/>
        <v>5.2353385824102094E-3</v>
      </c>
      <c r="L1434" s="34">
        <f t="shared" si="90"/>
        <v>0.94703724368286568</v>
      </c>
      <c r="M1434" s="34">
        <f t="shared" si="91"/>
        <v>0.94207918306203331</v>
      </c>
    </row>
    <row r="1435" spans="1:13" ht="27.6">
      <c r="A1435" t="s">
        <v>164</v>
      </c>
      <c r="B1435" t="s">
        <v>112</v>
      </c>
      <c r="C1435" s="14" t="s">
        <v>294</v>
      </c>
      <c r="D1435" t="s">
        <v>112</v>
      </c>
      <c r="E1435" t="s">
        <v>383</v>
      </c>
      <c r="F1435" s="20">
        <v>2034</v>
      </c>
      <c r="G1435" s="20">
        <v>63</v>
      </c>
      <c r="H1435" s="11">
        <v>17038.907529405202</v>
      </c>
      <c r="I1435" s="10">
        <v>3006524.7997683398</v>
      </c>
      <c r="J1435" s="34">
        <f t="shared" si="88"/>
        <v>5.6673098225293508E-3</v>
      </c>
      <c r="K1435" s="34">
        <f t="shared" si="89"/>
        <v>5.6512809167706957E-3</v>
      </c>
      <c r="L1435" s="34">
        <f t="shared" si="90"/>
        <v>0.94207918306203331</v>
      </c>
      <c r="M1435" s="34">
        <f t="shared" si="91"/>
        <v>0.93675522895270791</v>
      </c>
    </row>
    <row r="1436" spans="1:13" ht="27.6">
      <c r="A1436" t="s">
        <v>164</v>
      </c>
      <c r="B1436" t="s">
        <v>112</v>
      </c>
      <c r="C1436" s="14" t="s">
        <v>294</v>
      </c>
      <c r="D1436" t="s">
        <v>112</v>
      </c>
      <c r="E1436" t="s">
        <v>383</v>
      </c>
      <c r="F1436" s="20">
        <v>2034</v>
      </c>
      <c r="G1436" s="20">
        <v>64</v>
      </c>
      <c r="H1436" s="11">
        <v>18104.639542246499</v>
      </c>
      <c r="I1436" s="10">
        <v>2908760.1093468298</v>
      </c>
      <c r="J1436" s="34">
        <f t="shared" si="88"/>
        <v>6.2241776088960274E-3</v>
      </c>
      <c r="K1436" s="34">
        <f t="shared" si="89"/>
        <v>6.2048475408276182E-3</v>
      </c>
      <c r="L1436" s="34">
        <f t="shared" si="90"/>
        <v>0.93675522895270791</v>
      </c>
      <c r="M1436" s="34">
        <f t="shared" si="91"/>
        <v>0.93094280557398323</v>
      </c>
    </row>
    <row r="1437" spans="1:13" ht="27.6">
      <c r="A1437" t="s">
        <v>164</v>
      </c>
      <c r="B1437" t="s">
        <v>112</v>
      </c>
      <c r="C1437" s="14" t="s">
        <v>294</v>
      </c>
      <c r="D1437" t="s">
        <v>112</v>
      </c>
      <c r="E1437" t="s">
        <v>383</v>
      </c>
      <c r="F1437" s="20">
        <v>2034</v>
      </c>
      <c r="G1437" s="20">
        <v>65</v>
      </c>
      <c r="H1437" s="11">
        <v>19063.783569879</v>
      </c>
      <c r="I1437" s="10">
        <v>2795338.3200661298</v>
      </c>
      <c r="J1437" s="34">
        <f t="shared" si="88"/>
        <v>6.8198484001135169E-3</v>
      </c>
      <c r="K1437" s="34">
        <f t="shared" si="89"/>
        <v>6.7966460095714165E-3</v>
      </c>
      <c r="L1437" s="34">
        <f t="shared" si="90"/>
        <v>0.93094280557398323</v>
      </c>
      <c r="M1437" s="34">
        <f t="shared" si="91"/>
        <v>0.92461551686933963</v>
      </c>
    </row>
    <row r="1438" spans="1:13" ht="27.6">
      <c r="A1438" t="s">
        <v>164</v>
      </c>
      <c r="B1438" t="s">
        <v>112</v>
      </c>
      <c r="C1438" s="14" t="s">
        <v>294</v>
      </c>
      <c r="D1438" t="s">
        <v>112</v>
      </c>
      <c r="E1438" t="s">
        <v>383</v>
      </c>
      <c r="F1438" s="20">
        <v>2034</v>
      </c>
      <c r="G1438" s="20">
        <v>66</v>
      </c>
      <c r="H1438" s="11">
        <v>19719.899045747199</v>
      </c>
      <c r="I1438" s="10">
        <v>2673621.2735242802</v>
      </c>
      <c r="J1438" s="34">
        <f t="shared" si="88"/>
        <v>7.3757264130955517E-3</v>
      </c>
      <c r="K1438" s="34">
        <f t="shared" si="89"/>
        <v>7.3485924948042403E-3</v>
      </c>
      <c r="L1438" s="34">
        <f t="shared" si="90"/>
        <v>0.92461551686933963</v>
      </c>
      <c r="M1438" s="34">
        <f t="shared" si="91"/>
        <v>0.91782089422149404</v>
      </c>
    </row>
    <row r="1439" spans="1:13" ht="27.6">
      <c r="A1439" t="s">
        <v>164</v>
      </c>
      <c r="B1439" t="s">
        <v>112</v>
      </c>
      <c r="C1439" s="14" t="s">
        <v>294</v>
      </c>
      <c r="D1439" t="s">
        <v>112</v>
      </c>
      <c r="E1439" t="s">
        <v>383</v>
      </c>
      <c r="F1439" s="20">
        <v>2034</v>
      </c>
      <c r="G1439" s="20">
        <v>67</v>
      </c>
      <c r="H1439" s="11">
        <v>20796.908861686599</v>
      </c>
      <c r="I1439" s="10">
        <v>2552890.2890336299</v>
      </c>
      <c r="J1439" s="34">
        <f t="shared" si="88"/>
        <v>8.1464170046880672E-3</v>
      </c>
      <c r="K1439" s="34">
        <f t="shared" si="89"/>
        <v>8.1133248714237993E-3</v>
      </c>
      <c r="L1439" s="34">
        <f t="shared" si="90"/>
        <v>0.91782089422149404</v>
      </c>
      <c r="M1439" s="34">
        <f t="shared" si="91"/>
        <v>0.91037431513289435</v>
      </c>
    </row>
    <row r="1440" spans="1:13" ht="27.6">
      <c r="A1440" t="s">
        <v>164</v>
      </c>
      <c r="B1440" t="s">
        <v>112</v>
      </c>
      <c r="C1440" s="14" t="s">
        <v>294</v>
      </c>
      <c r="D1440" t="s">
        <v>112</v>
      </c>
      <c r="E1440" t="s">
        <v>383</v>
      </c>
      <c r="F1440" s="20">
        <v>2034</v>
      </c>
      <c r="G1440" s="20">
        <v>68</v>
      </c>
      <c r="H1440" s="11">
        <v>21652.7337881475</v>
      </c>
      <c r="I1440" s="10">
        <v>2420143.0390266799</v>
      </c>
      <c r="J1440" s="34">
        <f t="shared" si="88"/>
        <v>8.9468818325943566E-3</v>
      </c>
      <c r="K1440" s="34">
        <f t="shared" si="89"/>
        <v>8.906977580216302E-3</v>
      </c>
      <c r="L1440" s="34">
        <f t="shared" si="90"/>
        <v>0.91037431513289435</v>
      </c>
      <c r="M1440" s="34">
        <f t="shared" si="91"/>
        <v>0.90226563151840089</v>
      </c>
    </row>
    <row r="1441" spans="1:13" ht="27.6">
      <c r="A1441" t="s">
        <v>164</v>
      </c>
      <c r="B1441" t="s">
        <v>112</v>
      </c>
      <c r="C1441" s="14" t="s">
        <v>294</v>
      </c>
      <c r="D1441" t="s">
        <v>112</v>
      </c>
      <c r="E1441" t="s">
        <v>383</v>
      </c>
      <c r="F1441" s="20">
        <v>2034</v>
      </c>
      <c r="G1441" s="20">
        <v>69</v>
      </c>
      <c r="H1441" s="11">
        <v>21609.786425914699</v>
      </c>
      <c r="I1441" s="10">
        <v>2276785.0392585499</v>
      </c>
      <c r="J1441" s="34">
        <f t="shared" si="88"/>
        <v>9.4913599893260321E-3</v>
      </c>
      <c r="K1441" s="34">
        <f t="shared" si="89"/>
        <v>9.4464592009060322E-3</v>
      </c>
      <c r="L1441" s="34">
        <f t="shared" si="90"/>
        <v>0.90226563151840089</v>
      </c>
      <c r="M1441" s="34">
        <f t="shared" si="91"/>
        <v>0.89374241604188265</v>
      </c>
    </row>
    <row r="1442" spans="1:13" ht="27.6">
      <c r="A1442" t="s">
        <v>164</v>
      </c>
      <c r="B1442" t="s">
        <v>112</v>
      </c>
      <c r="C1442" s="14" t="s">
        <v>294</v>
      </c>
      <c r="D1442" t="s">
        <v>112</v>
      </c>
      <c r="E1442" t="s">
        <v>383</v>
      </c>
      <c r="F1442" s="20">
        <v>2035</v>
      </c>
      <c r="G1442" s="20">
        <v>30</v>
      </c>
      <c r="H1442" s="11">
        <v>695.47473721440099</v>
      </c>
      <c r="I1442" s="10">
        <v>4483787.8893443998</v>
      </c>
      <c r="J1442" s="34">
        <f t="shared" si="88"/>
        <v>1.5510875054263335E-4</v>
      </c>
      <c r="K1442" s="34">
        <f t="shared" si="89"/>
        <v>1.5509672180236134E-4</v>
      </c>
      <c r="L1442" s="34">
        <f t="shared" si="90"/>
        <v>1</v>
      </c>
      <c r="M1442" s="34">
        <f t="shared" si="91"/>
        <v>0.99984490327819764</v>
      </c>
    </row>
    <row r="1443" spans="1:13" ht="27.6">
      <c r="A1443" t="s">
        <v>164</v>
      </c>
      <c r="B1443" t="s">
        <v>112</v>
      </c>
      <c r="C1443" s="14" t="s">
        <v>294</v>
      </c>
      <c r="D1443" t="s">
        <v>112</v>
      </c>
      <c r="E1443" t="s">
        <v>383</v>
      </c>
      <c r="F1443" s="20">
        <v>2035</v>
      </c>
      <c r="G1443" s="20">
        <v>31</v>
      </c>
      <c r="H1443" s="11">
        <v>993.58300875310795</v>
      </c>
      <c r="I1443" s="10">
        <v>4386944.1384986201</v>
      </c>
      <c r="J1443" s="34">
        <f t="shared" si="88"/>
        <v>2.2648635984071362E-4</v>
      </c>
      <c r="K1443" s="34">
        <f t="shared" si="89"/>
        <v>2.264607137413277E-4</v>
      </c>
      <c r="L1443" s="34">
        <f t="shared" si="90"/>
        <v>0.99984490327819764</v>
      </c>
      <c r="M1443" s="34">
        <f t="shared" si="91"/>
        <v>0.99961847768777068</v>
      </c>
    </row>
    <row r="1444" spans="1:13" ht="27.6">
      <c r="A1444" t="s">
        <v>164</v>
      </c>
      <c r="B1444" t="s">
        <v>112</v>
      </c>
      <c r="C1444" s="14" t="s">
        <v>294</v>
      </c>
      <c r="D1444" t="s">
        <v>112</v>
      </c>
      <c r="E1444" t="s">
        <v>383</v>
      </c>
      <c r="F1444" s="20">
        <v>2035</v>
      </c>
      <c r="G1444" s="20">
        <v>32</v>
      </c>
      <c r="H1444" s="11">
        <v>1064.0991337970599</v>
      </c>
      <c r="I1444" s="10">
        <v>4344852.6273918301</v>
      </c>
      <c r="J1444" s="34">
        <f t="shared" si="88"/>
        <v>2.4491029387015768E-4</v>
      </c>
      <c r="K1444" s="34">
        <f t="shared" si="89"/>
        <v>2.4488030579228326E-4</v>
      </c>
      <c r="L1444" s="34">
        <f t="shared" si="90"/>
        <v>0.99961847768777068</v>
      </c>
      <c r="M1444" s="34">
        <f t="shared" si="91"/>
        <v>0.99937369080927885</v>
      </c>
    </row>
    <row r="1445" spans="1:13" ht="27.6">
      <c r="A1445" t="s">
        <v>164</v>
      </c>
      <c r="B1445" t="s">
        <v>112</v>
      </c>
      <c r="C1445" s="14" t="s">
        <v>294</v>
      </c>
      <c r="D1445" t="s">
        <v>112</v>
      </c>
      <c r="E1445" t="s">
        <v>383</v>
      </c>
      <c r="F1445" s="20">
        <v>2035</v>
      </c>
      <c r="G1445" s="20">
        <v>33</v>
      </c>
      <c r="H1445" s="11">
        <v>1153.2171909055801</v>
      </c>
      <c r="I1445" s="10">
        <v>4325659.2920701196</v>
      </c>
      <c r="J1445" s="34">
        <f t="shared" si="88"/>
        <v>2.6659917322191317E-4</v>
      </c>
      <c r="K1445" s="34">
        <f t="shared" si="89"/>
        <v>2.6656363882016088E-4</v>
      </c>
      <c r="L1445" s="34">
        <f t="shared" si="90"/>
        <v>0.99937369080927885</v>
      </c>
      <c r="M1445" s="34">
        <f t="shared" si="91"/>
        <v>0.99910729412171562</v>
      </c>
    </row>
    <row r="1446" spans="1:13" ht="27.6">
      <c r="A1446" t="s">
        <v>164</v>
      </c>
      <c r="B1446" t="s">
        <v>112</v>
      </c>
      <c r="C1446" s="14" t="s">
        <v>294</v>
      </c>
      <c r="D1446" t="s">
        <v>112</v>
      </c>
      <c r="E1446" t="s">
        <v>383</v>
      </c>
      <c r="F1446" s="20">
        <v>2035</v>
      </c>
      <c r="G1446" s="20">
        <v>34</v>
      </c>
      <c r="H1446" s="11">
        <v>1246.60137663922</v>
      </c>
      <c r="I1446" s="10">
        <v>4306540.26837344</v>
      </c>
      <c r="J1446" s="34">
        <f t="shared" si="88"/>
        <v>2.8946701968493506E-4</v>
      </c>
      <c r="K1446" s="34">
        <f t="shared" si="89"/>
        <v>2.894251281493343E-4</v>
      </c>
      <c r="L1446" s="34">
        <f t="shared" si="90"/>
        <v>0.99910729412171562</v>
      </c>
      <c r="M1446" s="34">
        <f t="shared" si="91"/>
        <v>0.99881812736507947</v>
      </c>
    </row>
    <row r="1447" spans="1:13" ht="27.6">
      <c r="A1447" t="s">
        <v>164</v>
      </c>
      <c r="B1447" t="s">
        <v>112</v>
      </c>
      <c r="C1447" s="14" t="s">
        <v>294</v>
      </c>
      <c r="D1447" t="s">
        <v>112</v>
      </c>
      <c r="E1447" t="s">
        <v>383</v>
      </c>
      <c r="F1447" s="20">
        <v>2035</v>
      </c>
      <c r="G1447" s="20">
        <v>35</v>
      </c>
      <c r="H1447" s="11">
        <v>1365.3668488390799</v>
      </c>
      <c r="I1447" s="10">
        <v>4307049.7507100999</v>
      </c>
      <c r="J1447" s="34">
        <f t="shared" si="88"/>
        <v>3.1700744775793984E-4</v>
      </c>
      <c r="K1447" s="34">
        <f t="shared" si="89"/>
        <v>3.1695720620605883E-4</v>
      </c>
      <c r="L1447" s="34">
        <f t="shared" si="90"/>
        <v>0.99881812736507947</v>
      </c>
      <c r="M1447" s="34">
        <f t="shared" si="91"/>
        <v>0.99850154476192188</v>
      </c>
    </row>
    <row r="1448" spans="1:13" ht="27.6">
      <c r="A1448" t="s">
        <v>164</v>
      </c>
      <c r="B1448" t="s">
        <v>112</v>
      </c>
      <c r="C1448" s="14" t="s">
        <v>294</v>
      </c>
      <c r="D1448" t="s">
        <v>112</v>
      </c>
      <c r="E1448" t="s">
        <v>383</v>
      </c>
      <c r="F1448" s="20">
        <v>2035</v>
      </c>
      <c r="G1448" s="20">
        <v>36</v>
      </c>
      <c r="H1448" s="11">
        <v>1818.22944632196</v>
      </c>
      <c r="I1448" s="10">
        <v>4346166.0771534499</v>
      </c>
      <c r="J1448" s="34">
        <f t="shared" si="88"/>
        <v>4.1835250058203517E-4</v>
      </c>
      <c r="K1448" s="34">
        <f t="shared" si="89"/>
        <v>4.1826500337660555E-4</v>
      </c>
      <c r="L1448" s="34">
        <f t="shared" si="90"/>
        <v>0.99850154476192188</v>
      </c>
      <c r="M1448" s="34">
        <f t="shared" si="91"/>
        <v>0.99808390650993051</v>
      </c>
    </row>
    <row r="1449" spans="1:13" ht="27.6">
      <c r="A1449" t="s">
        <v>164</v>
      </c>
      <c r="B1449" t="s">
        <v>112</v>
      </c>
      <c r="C1449" s="14" t="s">
        <v>294</v>
      </c>
      <c r="D1449" t="s">
        <v>112</v>
      </c>
      <c r="E1449" t="s">
        <v>383</v>
      </c>
      <c r="F1449" s="20">
        <v>2035</v>
      </c>
      <c r="G1449" s="20">
        <v>37</v>
      </c>
      <c r="H1449" s="11">
        <v>2003.08594818866</v>
      </c>
      <c r="I1449" s="10">
        <v>4387837.8884528195</v>
      </c>
      <c r="J1449" s="34">
        <f t="shared" si="88"/>
        <v>4.5650864938744611E-4</v>
      </c>
      <c r="K1449" s="34">
        <f t="shared" si="89"/>
        <v>4.5640446516825861E-4</v>
      </c>
      <c r="L1449" s="34">
        <f t="shared" si="90"/>
        <v>0.99808390650993051</v>
      </c>
      <c r="M1449" s="34">
        <f t="shared" si="91"/>
        <v>0.99762837655838676</v>
      </c>
    </row>
    <row r="1450" spans="1:13" ht="27.6">
      <c r="A1450" t="s">
        <v>164</v>
      </c>
      <c r="B1450" t="s">
        <v>112</v>
      </c>
      <c r="C1450" s="14" t="s">
        <v>294</v>
      </c>
      <c r="D1450" t="s">
        <v>112</v>
      </c>
      <c r="E1450" t="s">
        <v>383</v>
      </c>
      <c r="F1450" s="20">
        <v>2035</v>
      </c>
      <c r="G1450" s="20">
        <v>38</v>
      </c>
      <c r="H1450" s="11">
        <v>2192.2754525257701</v>
      </c>
      <c r="I1450" s="10">
        <v>4383234.30797821</v>
      </c>
      <c r="J1450" s="34">
        <f t="shared" si="88"/>
        <v>5.0015018556855769E-4</v>
      </c>
      <c r="K1450" s="34">
        <f t="shared" si="89"/>
        <v>5.0002513131397475E-4</v>
      </c>
      <c r="L1450" s="34">
        <f t="shared" si="90"/>
        <v>0.99762837655838676</v>
      </c>
      <c r="M1450" s="34">
        <f t="shared" si="91"/>
        <v>0.9971295372983956</v>
      </c>
    </row>
    <row r="1451" spans="1:13" ht="27.6">
      <c r="A1451" t="s">
        <v>164</v>
      </c>
      <c r="B1451" t="s">
        <v>112</v>
      </c>
      <c r="C1451" s="14" t="s">
        <v>294</v>
      </c>
      <c r="D1451" t="s">
        <v>112</v>
      </c>
      <c r="E1451" t="s">
        <v>383</v>
      </c>
      <c r="F1451" s="20">
        <v>2035</v>
      </c>
      <c r="G1451" s="20">
        <v>39</v>
      </c>
      <c r="H1451" s="11">
        <v>2276.3132831394901</v>
      </c>
      <c r="I1451" s="10">
        <v>4319693.7124026297</v>
      </c>
      <c r="J1451" s="34">
        <f t="shared" si="88"/>
        <v>5.2696173263483447E-4</v>
      </c>
      <c r="K1451" s="34">
        <f t="shared" si="89"/>
        <v>5.2682291268635328E-4</v>
      </c>
      <c r="L1451" s="34">
        <f t="shared" si="90"/>
        <v>0.9971295372983956</v>
      </c>
      <c r="M1451" s="34">
        <f t="shared" si="91"/>
        <v>0.99660422661123049</v>
      </c>
    </row>
    <row r="1452" spans="1:13" ht="27.6">
      <c r="A1452" t="s">
        <v>164</v>
      </c>
      <c r="B1452" t="s">
        <v>112</v>
      </c>
      <c r="C1452" s="14" t="s">
        <v>294</v>
      </c>
      <c r="D1452" t="s">
        <v>112</v>
      </c>
      <c r="E1452" t="s">
        <v>383</v>
      </c>
      <c r="F1452" s="20">
        <v>2035</v>
      </c>
      <c r="G1452" s="20">
        <v>40</v>
      </c>
      <c r="H1452" s="11">
        <v>2416.7850320766001</v>
      </c>
      <c r="I1452" s="10">
        <v>4254034.7160717603</v>
      </c>
      <c r="J1452" s="34">
        <f t="shared" si="88"/>
        <v>5.6811596363940721E-4</v>
      </c>
      <c r="K1452" s="34">
        <f t="shared" si="89"/>
        <v>5.6795461632141997E-4</v>
      </c>
      <c r="L1452" s="34">
        <f t="shared" si="90"/>
        <v>0.99660422661123049</v>
      </c>
      <c r="M1452" s="34">
        <f t="shared" si="91"/>
        <v>0.99603820064008119</v>
      </c>
    </row>
    <row r="1453" spans="1:13" ht="27.6">
      <c r="A1453" t="s">
        <v>164</v>
      </c>
      <c r="B1453" t="s">
        <v>112</v>
      </c>
      <c r="C1453" s="14" t="s">
        <v>294</v>
      </c>
      <c r="D1453" t="s">
        <v>112</v>
      </c>
      <c r="E1453" t="s">
        <v>383</v>
      </c>
      <c r="F1453" s="20">
        <v>2035</v>
      </c>
      <c r="G1453" s="20">
        <v>41</v>
      </c>
      <c r="H1453" s="11">
        <v>3097.1944582124602</v>
      </c>
      <c r="I1453" s="10">
        <v>4197607.46241567</v>
      </c>
      <c r="J1453" s="34">
        <f t="shared" si="88"/>
        <v>7.3784756815494694E-4</v>
      </c>
      <c r="K1453" s="34">
        <f t="shared" si="89"/>
        <v>7.3757542557539857E-4</v>
      </c>
      <c r="L1453" s="34">
        <f t="shared" si="90"/>
        <v>0.99603820064008119</v>
      </c>
      <c r="M1453" s="34">
        <f t="shared" si="91"/>
        <v>0.99530354734035476</v>
      </c>
    </row>
    <row r="1454" spans="1:13" ht="27.6">
      <c r="A1454" t="s">
        <v>164</v>
      </c>
      <c r="B1454" t="s">
        <v>112</v>
      </c>
      <c r="C1454" s="14" t="s">
        <v>294</v>
      </c>
      <c r="D1454" t="s">
        <v>112</v>
      </c>
      <c r="E1454" t="s">
        <v>383</v>
      </c>
      <c r="F1454" s="20">
        <v>2035</v>
      </c>
      <c r="G1454" s="20">
        <v>42</v>
      </c>
      <c r="H1454" s="11">
        <v>3374.1638293163601</v>
      </c>
      <c r="I1454" s="10">
        <v>4143616.2752911001</v>
      </c>
      <c r="J1454" s="34">
        <f t="shared" si="88"/>
        <v>8.1430412594837008E-4</v>
      </c>
      <c r="K1454" s="34">
        <f t="shared" si="89"/>
        <v>8.139726703182415E-4</v>
      </c>
      <c r="L1454" s="34">
        <f t="shared" si="90"/>
        <v>0.99530354734035476</v>
      </c>
      <c r="M1454" s="34">
        <f t="shared" si="91"/>
        <v>0.99449339745414889</v>
      </c>
    </row>
    <row r="1455" spans="1:13" ht="27.6">
      <c r="A1455" t="s">
        <v>164</v>
      </c>
      <c r="B1455" t="s">
        <v>112</v>
      </c>
      <c r="C1455" s="14" t="s">
        <v>294</v>
      </c>
      <c r="D1455" t="s">
        <v>112</v>
      </c>
      <c r="E1455" t="s">
        <v>383</v>
      </c>
      <c r="F1455" s="20">
        <v>2035</v>
      </c>
      <c r="G1455" s="20">
        <v>43</v>
      </c>
      <c r="H1455" s="11">
        <v>3730.62159256207</v>
      </c>
      <c r="I1455" s="10">
        <v>4123974.09621154</v>
      </c>
      <c r="J1455" s="34">
        <f t="shared" si="88"/>
        <v>9.0461809544079811E-4</v>
      </c>
      <c r="K1455" s="34">
        <f t="shared" si="89"/>
        <v>9.0420905184351863E-4</v>
      </c>
      <c r="L1455" s="34">
        <f t="shared" si="90"/>
        <v>0.99449339745414889</v>
      </c>
      <c r="M1455" s="34">
        <f t="shared" si="91"/>
        <v>0.99359416752217222</v>
      </c>
    </row>
    <row r="1456" spans="1:13" ht="27.6">
      <c r="A1456" t="s">
        <v>164</v>
      </c>
      <c r="B1456" t="s">
        <v>112</v>
      </c>
      <c r="C1456" s="14" t="s">
        <v>294</v>
      </c>
      <c r="D1456" t="s">
        <v>112</v>
      </c>
      <c r="E1456" t="s">
        <v>383</v>
      </c>
      <c r="F1456" s="20">
        <v>2035</v>
      </c>
      <c r="G1456" s="20">
        <v>44</v>
      </c>
      <c r="H1456" s="11">
        <v>3910.6307690803901</v>
      </c>
      <c r="I1456" s="10">
        <v>4098182.03752399</v>
      </c>
      <c r="J1456" s="34">
        <f t="shared" si="88"/>
        <v>9.542354959525143E-4</v>
      </c>
      <c r="K1456" s="34">
        <f t="shared" si="89"/>
        <v>9.5378035804272177E-4</v>
      </c>
      <c r="L1456" s="34">
        <f t="shared" si="90"/>
        <v>0.99359416752217222</v>
      </c>
      <c r="M1456" s="34">
        <f t="shared" si="91"/>
        <v>0.99264649692132378</v>
      </c>
    </row>
    <row r="1457" spans="1:13" ht="27.6">
      <c r="A1457" t="s">
        <v>164</v>
      </c>
      <c r="B1457" t="s">
        <v>112</v>
      </c>
      <c r="C1457" s="14" t="s">
        <v>294</v>
      </c>
      <c r="D1457" t="s">
        <v>112</v>
      </c>
      <c r="E1457" t="s">
        <v>383</v>
      </c>
      <c r="F1457" s="20">
        <v>2035</v>
      </c>
      <c r="G1457" s="20">
        <v>45</v>
      </c>
      <c r="H1457" s="11">
        <v>4211.6228509262301</v>
      </c>
      <c r="I1457" s="10">
        <v>4075604.8356694099</v>
      </c>
      <c r="J1457" s="34">
        <f t="shared" si="88"/>
        <v>1.0333737005281769E-3</v>
      </c>
      <c r="K1457" s="34">
        <f t="shared" si="89"/>
        <v>1.032839953794773E-3</v>
      </c>
      <c r="L1457" s="34">
        <f t="shared" si="90"/>
        <v>0.99264649692132378</v>
      </c>
      <c r="M1457" s="34">
        <f t="shared" si="91"/>
        <v>0.99162125195930906</v>
      </c>
    </row>
    <row r="1458" spans="1:13" ht="27.6">
      <c r="A1458" t="s">
        <v>164</v>
      </c>
      <c r="B1458" t="s">
        <v>112</v>
      </c>
      <c r="C1458" s="14" t="s">
        <v>294</v>
      </c>
      <c r="D1458" t="s">
        <v>112</v>
      </c>
      <c r="E1458" t="s">
        <v>383</v>
      </c>
      <c r="F1458" s="20">
        <v>2035</v>
      </c>
      <c r="G1458" s="20">
        <v>46</v>
      </c>
      <c r="H1458" s="11">
        <v>5279.4107990600996</v>
      </c>
      <c r="I1458" s="10">
        <v>4075249.8503018101</v>
      </c>
      <c r="J1458" s="34">
        <f t="shared" si="88"/>
        <v>1.2954815024823841E-3</v>
      </c>
      <c r="K1458" s="34">
        <f t="shared" si="89"/>
        <v>1.2946427285651652E-3</v>
      </c>
      <c r="L1458" s="34">
        <f t="shared" si="90"/>
        <v>0.99162125195930906</v>
      </c>
      <c r="M1458" s="34">
        <f t="shared" si="91"/>
        <v>0.99033745671596929</v>
      </c>
    </row>
    <row r="1459" spans="1:13" ht="27.6">
      <c r="A1459" t="s">
        <v>164</v>
      </c>
      <c r="B1459" t="s">
        <v>112</v>
      </c>
      <c r="C1459" s="14" t="s">
        <v>294</v>
      </c>
      <c r="D1459" t="s">
        <v>112</v>
      </c>
      <c r="E1459" t="s">
        <v>383</v>
      </c>
      <c r="F1459" s="20">
        <v>2035</v>
      </c>
      <c r="G1459" s="20">
        <v>47</v>
      </c>
      <c r="H1459" s="11">
        <v>5835.9354341666603</v>
      </c>
      <c r="I1459" s="10">
        <v>4029047.33106382</v>
      </c>
      <c r="J1459" s="34">
        <f t="shared" si="88"/>
        <v>1.4484653454358289E-3</v>
      </c>
      <c r="K1459" s="34">
        <f t="shared" si="89"/>
        <v>1.4474168258166165E-3</v>
      </c>
      <c r="L1459" s="34">
        <f t="shared" si="90"/>
        <v>0.99033745671596929</v>
      </c>
      <c r="M1459" s="34">
        <f t="shared" si="91"/>
        <v>0.98890402561788215</v>
      </c>
    </row>
    <row r="1460" spans="1:13" ht="27.6">
      <c r="A1460" t="s">
        <v>164</v>
      </c>
      <c r="B1460" t="s">
        <v>112</v>
      </c>
      <c r="C1460" s="14" t="s">
        <v>294</v>
      </c>
      <c r="D1460" t="s">
        <v>112</v>
      </c>
      <c r="E1460" t="s">
        <v>383</v>
      </c>
      <c r="F1460" s="20">
        <v>2035</v>
      </c>
      <c r="G1460" s="20">
        <v>48</v>
      </c>
      <c r="H1460" s="11">
        <v>6453.9324673022102</v>
      </c>
      <c r="I1460" s="10">
        <v>3973762.8988524699</v>
      </c>
      <c r="J1460" s="34">
        <f t="shared" si="88"/>
        <v>1.6241362737484805E-3</v>
      </c>
      <c r="K1460" s="34">
        <f t="shared" si="89"/>
        <v>1.6228180781703294E-3</v>
      </c>
      <c r="L1460" s="34">
        <f t="shared" si="90"/>
        <v>0.98890402561788215</v>
      </c>
      <c r="M1460" s="34">
        <f t="shared" si="91"/>
        <v>0.98729921428753409</v>
      </c>
    </row>
    <row r="1461" spans="1:13" ht="27.6">
      <c r="A1461" t="s">
        <v>164</v>
      </c>
      <c r="B1461" t="s">
        <v>112</v>
      </c>
      <c r="C1461" s="14" t="s">
        <v>294</v>
      </c>
      <c r="D1461" t="s">
        <v>112</v>
      </c>
      <c r="E1461" t="s">
        <v>383</v>
      </c>
      <c r="F1461" s="20">
        <v>2035</v>
      </c>
      <c r="G1461" s="20">
        <v>49</v>
      </c>
      <c r="H1461" s="11">
        <v>7038.8560506420399</v>
      </c>
      <c r="I1461" s="10">
        <v>3978455.9301833902</v>
      </c>
      <c r="J1461" s="34">
        <f t="shared" si="88"/>
        <v>1.7692431873482077E-3</v>
      </c>
      <c r="K1461" s="34">
        <f t="shared" si="89"/>
        <v>1.7676789992325803E-3</v>
      </c>
      <c r="L1461" s="34">
        <f t="shared" si="90"/>
        <v>0.98729921428753409</v>
      </c>
      <c r="M1461" s="34">
        <f t="shared" si="91"/>
        <v>0.98555398620047918</v>
      </c>
    </row>
    <row r="1462" spans="1:13" ht="27.6">
      <c r="A1462" t="s">
        <v>164</v>
      </c>
      <c r="B1462" t="s">
        <v>112</v>
      </c>
      <c r="C1462" s="14" t="s">
        <v>294</v>
      </c>
      <c r="D1462" t="s">
        <v>112</v>
      </c>
      <c r="E1462" t="s">
        <v>383</v>
      </c>
      <c r="F1462" s="20">
        <v>2035</v>
      </c>
      <c r="G1462" s="20">
        <v>50</v>
      </c>
      <c r="H1462" s="11">
        <v>7817.201342761</v>
      </c>
      <c r="I1462" s="10">
        <v>4038043.4022707799</v>
      </c>
      <c r="J1462" s="34">
        <f t="shared" si="88"/>
        <v>1.93588839049254E-3</v>
      </c>
      <c r="K1462" s="34">
        <f t="shared" si="89"/>
        <v>1.9340157671537961E-3</v>
      </c>
      <c r="L1462" s="34">
        <f t="shared" si="90"/>
        <v>0.98555398620047918</v>
      </c>
      <c r="M1462" s="34">
        <f t="shared" si="91"/>
        <v>0.98364790925178613</v>
      </c>
    </row>
    <row r="1463" spans="1:13" ht="27.6">
      <c r="A1463" t="s">
        <v>164</v>
      </c>
      <c r="B1463" t="s">
        <v>112</v>
      </c>
      <c r="C1463" s="14" t="s">
        <v>294</v>
      </c>
      <c r="D1463" t="s">
        <v>112</v>
      </c>
      <c r="E1463" t="s">
        <v>383</v>
      </c>
      <c r="F1463" s="20">
        <v>2035</v>
      </c>
      <c r="G1463" s="20">
        <v>51</v>
      </c>
      <c r="H1463" s="11">
        <v>9013.5140207196691</v>
      </c>
      <c r="I1463" s="10">
        <v>4055754.9667605702</v>
      </c>
      <c r="J1463" s="34">
        <f t="shared" si="88"/>
        <v>2.2224010312730954E-3</v>
      </c>
      <c r="K1463" s="34">
        <f t="shared" si="89"/>
        <v>2.2199333265162657E-3</v>
      </c>
      <c r="L1463" s="34">
        <f t="shared" si="90"/>
        <v>0.98364790925178613</v>
      </c>
      <c r="M1463" s="34">
        <f t="shared" si="91"/>
        <v>0.98146427647648005</v>
      </c>
    </row>
    <row r="1464" spans="1:13" ht="27.6">
      <c r="A1464" t="s">
        <v>164</v>
      </c>
      <c r="B1464" t="s">
        <v>112</v>
      </c>
      <c r="C1464" s="14" t="s">
        <v>294</v>
      </c>
      <c r="D1464" t="s">
        <v>112</v>
      </c>
      <c r="E1464" t="s">
        <v>383</v>
      </c>
      <c r="F1464" s="20">
        <v>2035</v>
      </c>
      <c r="G1464" s="20">
        <v>52</v>
      </c>
      <c r="H1464" s="11">
        <v>9614.0987675540691</v>
      </c>
      <c r="I1464" s="10">
        <v>4015931.5922777299</v>
      </c>
      <c r="J1464" s="34">
        <f t="shared" si="88"/>
        <v>2.3939896750335846E-3</v>
      </c>
      <c r="K1464" s="34">
        <f t="shared" si="89"/>
        <v>2.3911263671171357E-3</v>
      </c>
      <c r="L1464" s="34">
        <f t="shared" si="90"/>
        <v>0.98146427647648005</v>
      </c>
      <c r="M1464" s="34">
        <f t="shared" si="91"/>
        <v>0.97911747136661365</v>
      </c>
    </row>
    <row r="1465" spans="1:13" ht="27.6">
      <c r="A1465" t="s">
        <v>164</v>
      </c>
      <c r="B1465" t="s">
        <v>112</v>
      </c>
      <c r="C1465" s="14" t="s">
        <v>294</v>
      </c>
      <c r="D1465" t="s">
        <v>112</v>
      </c>
      <c r="E1465" t="s">
        <v>383</v>
      </c>
      <c r="F1465" s="20">
        <v>2035</v>
      </c>
      <c r="G1465" s="20">
        <v>53</v>
      </c>
      <c r="H1465" s="11">
        <v>10206.4264039588</v>
      </c>
      <c r="I1465" s="10">
        <v>3951631.5066302898</v>
      </c>
      <c r="J1465" s="34">
        <f t="shared" si="88"/>
        <v>2.5828386039623966E-3</v>
      </c>
      <c r="K1465" s="34">
        <f t="shared" si="89"/>
        <v>2.579505946191829E-3</v>
      </c>
      <c r="L1465" s="34">
        <f t="shared" si="90"/>
        <v>0.97911747136661365</v>
      </c>
      <c r="M1465" s="34">
        <f t="shared" si="91"/>
        <v>0.97659183202720312</v>
      </c>
    </row>
    <row r="1466" spans="1:13" ht="27.6">
      <c r="A1466" t="s">
        <v>164</v>
      </c>
      <c r="B1466" t="s">
        <v>112</v>
      </c>
      <c r="C1466" s="14" t="s">
        <v>294</v>
      </c>
      <c r="D1466" t="s">
        <v>112</v>
      </c>
      <c r="E1466" t="s">
        <v>383</v>
      </c>
      <c r="F1466" s="20">
        <v>2035</v>
      </c>
      <c r="G1466" s="20">
        <v>54</v>
      </c>
      <c r="H1466" s="11">
        <v>10837.0943706979</v>
      </c>
      <c r="I1466" s="10">
        <v>3880153.24590284</v>
      </c>
      <c r="J1466" s="34">
        <f t="shared" si="88"/>
        <v>2.792955247873543E-3</v>
      </c>
      <c r="K1466" s="34">
        <f t="shared" si="89"/>
        <v>2.7890585769518861E-3</v>
      </c>
      <c r="L1466" s="34">
        <f t="shared" si="90"/>
        <v>0.97659183202720312</v>
      </c>
      <c r="M1466" s="34">
        <f t="shared" si="91"/>
        <v>0.97386806020190653</v>
      </c>
    </row>
    <row r="1467" spans="1:13" ht="27.6">
      <c r="A1467" t="s">
        <v>164</v>
      </c>
      <c r="B1467" t="s">
        <v>112</v>
      </c>
      <c r="C1467" s="14" t="s">
        <v>294</v>
      </c>
      <c r="D1467" t="s">
        <v>112</v>
      </c>
      <c r="E1467" t="s">
        <v>383</v>
      </c>
      <c r="F1467" s="20">
        <v>2035</v>
      </c>
      <c r="G1467" s="20">
        <v>55</v>
      </c>
      <c r="H1467" s="11">
        <v>11546.314206983399</v>
      </c>
      <c r="I1467" s="10">
        <v>3813327.41107625</v>
      </c>
      <c r="J1467" s="34">
        <f t="shared" si="88"/>
        <v>3.027884302157165E-3</v>
      </c>
      <c r="K1467" s="34">
        <f t="shared" si="89"/>
        <v>3.0233048836326715E-3</v>
      </c>
      <c r="L1467" s="34">
        <f t="shared" si="90"/>
        <v>0.97386806020190653</v>
      </c>
      <c r="M1467" s="34">
        <f t="shared" si="91"/>
        <v>0.97092376013948423</v>
      </c>
    </row>
    <row r="1468" spans="1:13" ht="27.6">
      <c r="A1468" t="s">
        <v>164</v>
      </c>
      <c r="B1468" t="s">
        <v>112</v>
      </c>
      <c r="C1468" s="14" t="s">
        <v>294</v>
      </c>
      <c r="D1468" t="s">
        <v>112</v>
      </c>
      <c r="E1468" t="s">
        <v>383</v>
      </c>
      <c r="F1468" s="20">
        <v>2035</v>
      </c>
      <c r="G1468" s="20">
        <v>56</v>
      </c>
      <c r="H1468" s="11">
        <v>12309.729788853299</v>
      </c>
      <c r="I1468" s="10">
        <v>3732635.3226899202</v>
      </c>
      <c r="J1468" s="34">
        <f t="shared" si="88"/>
        <v>3.2978656430819779E-3</v>
      </c>
      <c r="K1468" s="34">
        <f t="shared" si="89"/>
        <v>3.2924336571427126E-3</v>
      </c>
      <c r="L1468" s="34">
        <f t="shared" si="90"/>
        <v>0.97092376013948423</v>
      </c>
      <c r="M1468" s="34">
        <f t="shared" si="91"/>
        <v>0.96772705807308146</v>
      </c>
    </row>
    <row r="1469" spans="1:13" ht="27.6">
      <c r="A1469" t="s">
        <v>164</v>
      </c>
      <c r="B1469" t="s">
        <v>112</v>
      </c>
      <c r="C1469" s="14" t="s">
        <v>294</v>
      </c>
      <c r="D1469" t="s">
        <v>112</v>
      </c>
      <c r="E1469" t="s">
        <v>383</v>
      </c>
      <c r="F1469" s="20">
        <v>2035</v>
      </c>
      <c r="G1469" s="20">
        <v>57</v>
      </c>
      <c r="H1469" s="11">
        <v>13069.886820514599</v>
      </c>
      <c r="I1469" s="10">
        <v>3627908.1729118899</v>
      </c>
      <c r="J1469" s="34">
        <f t="shared" si="88"/>
        <v>3.6025958203964783E-3</v>
      </c>
      <c r="K1469" s="34">
        <f t="shared" si="89"/>
        <v>3.5961142578934124E-3</v>
      </c>
      <c r="L1469" s="34">
        <f t="shared" si="90"/>
        <v>0.96772705807308146</v>
      </c>
      <c r="M1469" s="34">
        <f t="shared" si="91"/>
        <v>0.96424700100179561</v>
      </c>
    </row>
    <row r="1470" spans="1:13" ht="27.6">
      <c r="A1470" t="s">
        <v>164</v>
      </c>
      <c r="B1470" t="s">
        <v>112</v>
      </c>
      <c r="C1470" s="14" t="s">
        <v>294</v>
      </c>
      <c r="D1470" t="s">
        <v>112</v>
      </c>
      <c r="E1470" t="s">
        <v>383</v>
      </c>
      <c r="F1470" s="20">
        <v>2035</v>
      </c>
      <c r="G1470" s="20">
        <v>58</v>
      </c>
      <c r="H1470" s="11">
        <v>13860.321557659299</v>
      </c>
      <c r="I1470" s="10">
        <v>3526650.4313155101</v>
      </c>
      <c r="J1470" s="34">
        <f t="shared" si="88"/>
        <v>3.9301659825947436E-3</v>
      </c>
      <c r="K1470" s="34">
        <f t="shared" si="89"/>
        <v>3.9224529880275139E-3</v>
      </c>
      <c r="L1470" s="34">
        <f t="shared" si="90"/>
        <v>0.96424700100179561</v>
      </c>
      <c r="M1470" s="34">
        <f t="shared" si="91"/>
        <v>0.96046478747151953</v>
      </c>
    </row>
    <row r="1471" spans="1:13" ht="27.6">
      <c r="A1471" t="s">
        <v>164</v>
      </c>
      <c r="B1471" t="s">
        <v>112</v>
      </c>
      <c r="C1471" s="14" t="s">
        <v>294</v>
      </c>
      <c r="D1471" t="s">
        <v>112</v>
      </c>
      <c r="E1471" t="s">
        <v>383</v>
      </c>
      <c r="F1471" s="20">
        <v>2035</v>
      </c>
      <c r="G1471" s="20">
        <v>59</v>
      </c>
      <c r="H1471" s="11">
        <v>14168.968974708399</v>
      </c>
      <c r="I1471" s="10">
        <v>3438695.8365209098</v>
      </c>
      <c r="J1471" s="34">
        <f t="shared" si="88"/>
        <v>4.1204484631137978E-3</v>
      </c>
      <c r="K1471" s="34">
        <f t="shared" si="89"/>
        <v>4.1119710629057282E-3</v>
      </c>
      <c r="L1471" s="34">
        <f t="shared" si="90"/>
        <v>0.96046478747151953</v>
      </c>
      <c r="M1471" s="34">
        <f t="shared" si="91"/>
        <v>0.95651538405849679</v>
      </c>
    </row>
    <row r="1472" spans="1:13" ht="27.6">
      <c r="A1472" t="s">
        <v>164</v>
      </c>
      <c r="B1472" t="s">
        <v>112</v>
      </c>
      <c r="C1472" s="14" t="s">
        <v>294</v>
      </c>
      <c r="D1472" t="s">
        <v>112</v>
      </c>
      <c r="E1472" t="s">
        <v>383</v>
      </c>
      <c r="F1472" s="20">
        <v>2035</v>
      </c>
      <c r="G1472" s="20">
        <v>60</v>
      </c>
      <c r="H1472" s="11">
        <v>14634.3985840594</v>
      </c>
      <c r="I1472" s="10">
        <v>3338638.9140134202</v>
      </c>
      <c r="J1472" s="34">
        <f t="shared" si="88"/>
        <v>4.3833427216803155E-3</v>
      </c>
      <c r="K1472" s="34">
        <f t="shared" si="89"/>
        <v>4.3737498963045685E-3</v>
      </c>
      <c r="L1472" s="34">
        <f t="shared" si="90"/>
        <v>0.95651538405849679</v>
      </c>
      <c r="M1472" s="34">
        <f t="shared" si="91"/>
        <v>0.95233182499665725</v>
      </c>
    </row>
    <row r="1473" spans="1:13" ht="27.6">
      <c r="A1473" t="s">
        <v>164</v>
      </c>
      <c r="B1473" t="s">
        <v>112</v>
      </c>
      <c r="C1473" s="14" t="s">
        <v>294</v>
      </c>
      <c r="D1473" t="s">
        <v>112</v>
      </c>
      <c r="E1473" t="s">
        <v>383</v>
      </c>
      <c r="F1473" s="20">
        <v>2035</v>
      </c>
      <c r="G1473" s="20">
        <v>61</v>
      </c>
      <c r="H1473" s="11">
        <v>15505.1819336595</v>
      </c>
      <c r="I1473" s="10">
        <v>3252356.2340924498</v>
      </c>
      <c r="J1473" s="34">
        <f t="shared" si="88"/>
        <v>4.7673688912451273E-3</v>
      </c>
      <c r="K1473" s="34">
        <f t="shared" si="89"/>
        <v>4.7560230253093083E-3</v>
      </c>
      <c r="L1473" s="34">
        <f t="shared" si="90"/>
        <v>0.95233182499665725</v>
      </c>
      <c r="M1473" s="34">
        <f t="shared" si="91"/>
        <v>0.94780251290923834</v>
      </c>
    </row>
    <row r="1474" spans="1:13" ht="27.6">
      <c r="A1474" t="s">
        <v>164</v>
      </c>
      <c r="B1474" t="s">
        <v>112</v>
      </c>
      <c r="C1474" s="14" t="s">
        <v>294</v>
      </c>
      <c r="D1474" t="s">
        <v>112</v>
      </c>
      <c r="E1474" t="s">
        <v>383</v>
      </c>
      <c r="F1474" s="20">
        <v>2035</v>
      </c>
      <c r="G1474" s="20">
        <v>62</v>
      </c>
      <c r="H1474" s="11">
        <v>16348.767321871899</v>
      </c>
      <c r="I1474" s="10">
        <v>3165393.9676942099</v>
      </c>
      <c r="J1474" s="34">
        <f t="shared" ref="J1474:J1537" si="92">IF(I1474&gt;0,H1474/I1474,0)</f>
        <v>5.1648444044331537E-3</v>
      </c>
      <c r="K1474" s="34">
        <f t="shared" ref="K1474:K1537" si="93">1-EXP(-J1474)</f>
        <v>5.1515295285223806E-3</v>
      </c>
      <c r="L1474" s="34">
        <f t="shared" ref="L1474:L1537" si="94">IF(G1474=30,1,M1473)</f>
        <v>0.94780251290923834</v>
      </c>
      <c r="M1474" s="34">
        <f t="shared" ref="M1474:M1537" si="95">L1474*(1-K1474)</f>
        <v>0.94291988027677864</v>
      </c>
    </row>
    <row r="1475" spans="1:13" ht="27.6">
      <c r="A1475" t="s">
        <v>164</v>
      </c>
      <c r="B1475" t="s">
        <v>112</v>
      </c>
      <c r="C1475" s="14" t="s">
        <v>294</v>
      </c>
      <c r="D1475" t="s">
        <v>112</v>
      </c>
      <c r="E1475" t="s">
        <v>383</v>
      </c>
      <c r="F1475" s="20">
        <v>2035</v>
      </c>
      <c r="G1475" s="20">
        <v>63</v>
      </c>
      <c r="H1475" s="11">
        <v>17091.5389879047</v>
      </c>
      <c r="I1475" s="10">
        <v>3058175.1663935101</v>
      </c>
      <c r="J1475" s="34">
        <f t="shared" si="92"/>
        <v>5.588803145001227E-3</v>
      </c>
      <c r="K1475" s="34">
        <f t="shared" si="93"/>
        <v>5.5732148382169333E-3</v>
      </c>
      <c r="L1475" s="34">
        <f t="shared" si="94"/>
        <v>0.94291988027677864</v>
      </c>
      <c r="M1475" s="34">
        <f t="shared" si="95"/>
        <v>0.93766478520877039</v>
      </c>
    </row>
    <row r="1476" spans="1:13" ht="27.6">
      <c r="A1476" t="s">
        <v>164</v>
      </c>
      <c r="B1476" t="s">
        <v>112</v>
      </c>
      <c r="C1476" s="14" t="s">
        <v>294</v>
      </c>
      <c r="D1476" t="s">
        <v>112</v>
      </c>
      <c r="E1476" t="s">
        <v>383</v>
      </c>
      <c r="F1476" s="20">
        <v>2035</v>
      </c>
      <c r="G1476" s="20">
        <v>64</v>
      </c>
      <c r="H1476" s="11">
        <v>18181.674706187601</v>
      </c>
      <c r="I1476" s="10">
        <v>2960494.5869160299</v>
      </c>
      <c r="J1476" s="34">
        <f t="shared" si="92"/>
        <v>6.1414314981496363E-3</v>
      </c>
      <c r="K1476" s="34">
        <f t="shared" si="93"/>
        <v>6.1226114547717758E-3</v>
      </c>
      <c r="L1476" s="34">
        <f t="shared" si="94"/>
        <v>0.93766478520877039</v>
      </c>
      <c r="M1476" s="34">
        <f t="shared" si="95"/>
        <v>0.93192382805411511</v>
      </c>
    </row>
    <row r="1477" spans="1:13" ht="27.6">
      <c r="A1477" t="s">
        <v>164</v>
      </c>
      <c r="B1477" t="s">
        <v>112</v>
      </c>
      <c r="C1477" s="14" t="s">
        <v>294</v>
      </c>
      <c r="D1477" t="s">
        <v>112</v>
      </c>
      <c r="E1477" t="s">
        <v>383</v>
      </c>
      <c r="F1477" s="20">
        <v>2035</v>
      </c>
      <c r="G1477" s="20">
        <v>65</v>
      </c>
      <c r="H1477" s="11">
        <v>19189.688859833299</v>
      </c>
      <c r="I1477" s="10">
        <v>2859943.40390195</v>
      </c>
      <c r="J1477" s="34">
        <f t="shared" si="92"/>
        <v>6.7098141989984624E-3</v>
      </c>
      <c r="K1477" s="34">
        <f t="shared" si="93"/>
        <v>6.6873536591323113E-3</v>
      </c>
      <c r="L1477" s="34">
        <f t="shared" si="94"/>
        <v>0.93192382805411511</v>
      </c>
      <c r="M1477" s="34">
        <f t="shared" si="95"/>
        <v>0.92569172383254483</v>
      </c>
    </row>
    <row r="1478" spans="1:13" ht="27.6">
      <c r="A1478" t="s">
        <v>164</v>
      </c>
      <c r="B1478" t="s">
        <v>112</v>
      </c>
      <c r="C1478" s="14" t="s">
        <v>294</v>
      </c>
      <c r="D1478" t="s">
        <v>112</v>
      </c>
      <c r="E1478" t="s">
        <v>383</v>
      </c>
      <c r="F1478" s="20">
        <v>2035</v>
      </c>
      <c r="G1478" s="20">
        <v>66</v>
      </c>
      <c r="H1478" s="11">
        <v>19613.246752647199</v>
      </c>
      <c r="I1478" s="10">
        <v>2743945.07768007</v>
      </c>
      <c r="J1478" s="34">
        <f t="shared" si="92"/>
        <v>7.1478277434144782E-3</v>
      </c>
      <c r="K1478" s="34">
        <f t="shared" si="93"/>
        <v>7.1223427795514826E-3</v>
      </c>
      <c r="L1478" s="34">
        <f t="shared" si="94"/>
        <v>0.92569172383254483</v>
      </c>
      <c r="M1478" s="34">
        <f t="shared" si="95"/>
        <v>0.91909863006721559</v>
      </c>
    </row>
    <row r="1479" spans="1:13" ht="27.6">
      <c r="A1479" t="s">
        <v>164</v>
      </c>
      <c r="B1479" t="s">
        <v>112</v>
      </c>
      <c r="C1479" s="14" t="s">
        <v>294</v>
      </c>
      <c r="D1479" t="s">
        <v>112</v>
      </c>
      <c r="E1479" t="s">
        <v>383</v>
      </c>
      <c r="F1479" s="20">
        <v>2035</v>
      </c>
      <c r="G1479" s="20">
        <v>67</v>
      </c>
      <c r="H1479" s="11">
        <v>20695.900430729402</v>
      </c>
      <c r="I1479" s="10">
        <v>2619207.9969853298</v>
      </c>
      <c r="J1479" s="34">
        <f t="shared" si="92"/>
        <v>7.9015872181781976E-3</v>
      </c>
      <c r="K1479" s="34">
        <f t="shared" si="93"/>
        <v>7.8704517384345918E-3</v>
      </c>
      <c r="L1479" s="34">
        <f t="shared" si="94"/>
        <v>0.91909863006721559</v>
      </c>
      <c r="M1479" s="34">
        <f t="shared" si="95"/>
        <v>0.91186490865641023</v>
      </c>
    </row>
    <row r="1480" spans="1:13" ht="27.6">
      <c r="A1480" t="s">
        <v>164</v>
      </c>
      <c r="B1480" t="s">
        <v>112</v>
      </c>
      <c r="C1480" s="14" t="s">
        <v>294</v>
      </c>
      <c r="D1480" t="s">
        <v>112</v>
      </c>
      <c r="E1480" t="s">
        <v>383</v>
      </c>
      <c r="F1480" s="20">
        <v>2035</v>
      </c>
      <c r="G1480" s="20">
        <v>68</v>
      </c>
      <c r="H1480" s="11">
        <v>21655.651354300298</v>
      </c>
      <c r="I1480" s="10">
        <v>2495810.74564349</v>
      </c>
      <c r="J1480" s="34">
        <f t="shared" si="92"/>
        <v>8.6768002710545522E-3</v>
      </c>
      <c r="K1480" s="34">
        <f t="shared" si="93"/>
        <v>8.6392654786661138E-3</v>
      </c>
      <c r="L1480" s="34">
        <f t="shared" si="94"/>
        <v>0.91186490865641023</v>
      </c>
      <c r="M1480" s="34">
        <f t="shared" si="95"/>
        <v>0.90398706562984787</v>
      </c>
    </row>
    <row r="1481" spans="1:13" ht="27.6">
      <c r="A1481" t="s">
        <v>164</v>
      </c>
      <c r="B1481" t="s">
        <v>112</v>
      </c>
      <c r="C1481" s="14" t="s">
        <v>294</v>
      </c>
      <c r="D1481" t="s">
        <v>112</v>
      </c>
      <c r="E1481" t="s">
        <v>383</v>
      </c>
      <c r="F1481" s="20">
        <v>2035</v>
      </c>
      <c r="G1481" s="20">
        <v>69</v>
      </c>
      <c r="H1481" s="11">
        <v>21770.331755859199</v>
      </c>
      <c r="I1481" s="10">
        <v>2360781.5115584801</v>
      </c>
      <c r="J1481" s="34">
        <f t="shared" si="92"/>
        <v>9.2216631015071878E-3</v>
      </c>
      <c r="K1481" s="34">
        <f t="shared" si="93"/>
        <v>9.1792739658409506E-3</v>
      </c>
      <c r="L1481" s="34">
        <f t="shared" si="94"/>
        <v>0.90398706562984787</v>
      </c>
      <c r="M1481" s="34">
        <f t="shared" si="95"/>
        <v>0.89568912069285489</v>
      </c>
    </row>
    <row r="1482" spans="1:13" ht="27.6">
      <c r="A1482" t="s">
        <v>164</v>
      </c>
      <c r="B1482" t="s">
        <v>112</v>
      </c>
      <c r="C1482" s="14" t="s">
        <v>294</v>
      </c>
      <c r="D1482" t="s">
        <v>112</v>
      </c>
      <c r="E1482" t="s">
        <v>383</v>
      </c>
      <c r="F1482" s="20">
        <v>2036</v>
      </c>
      <c r="G1482" s="20">
        <v>30</v>
      </c>
      <c r="H1482" s="11">
        <v>711.294709223106</v>
      </c>
      <c r="I1482" s="10">
        <v>4571860.7777358796</v>
      </c>
      <c r="J1482" s="34">
        <f t="shared" si="92"/>
        <v>1.5558100821595012E-4</v>
      </c>
      <c r="K1482" s="34">
        <f t="shared" si="93"/>
        <v>1.5556890611856389E-4</v>
      </c>
      <c r="L1482" s="34">
        <f t="shared" si="94"/>
        <v>1</v>
      </c>
      <c r="M1482" s="34">
        <f t="shared" si="95"/>
        <v>0.99984443109388144</v>
      </c>
    </row>
    <row r="1483" spans="1:13" ht="27.6">
      <c r="A1483" t="s">
        <v>164</v>
      </c>
      <c r="B1483" t="s">
        <v>112</v>
      </c>
      <c r="C1483" s="14" t="s">
        <v>294</v>
      </c>
      <c r="D1483" t="s">
        <v>112</v>
      </c>
      <c r="E1483" t="s">
        <v>383</v>
      </c>
      <c r="F1483" s="20">
        <v>2036</v>
      </c>
      <c r="G1483" s="20">
        <v>31</v>
      </c>
      <c r="H1483" s="11">
        <v>999.67338510741899</v>
      </c>
      <c r="I1483" s="10">
        <v>4478299.8540926697</v>
      </c>
      <c r="J1483" s="34">
        <f t="shared" si="92"/>
        <v>2.2322609420488633E-4</v>
      </c>
      <c r="K1483" s="34">
        <f t="shared" si="93"/>
        <v>2.2320118111407439E-4</v>
      </c>
      <c r="L1483" s="34">
        <f t="shared" si="94"/>
        <v>0.99984443109388144</v>
      </c>
      <c r="M1483" s="34">
        <f t="shared" si="95"/>
        <v>0.99962126463593093</v>
      </c>
    </row>
    <row r="1484" spans="1:13" ht="27.6">
      <c r="A1484" t="s">
        <v>164</v>
      </c>
      <c r="B1484" t="s">
        <v>112</v>
      </c>
      <c r="C1484" s="14" t="s">
        <v>294</v>
      </c>
      <c r="D1484" t="s">
        <v>112</v>
      </c>
      <c r="E1484" t="s">
        <v>383</v>
      </c>
      <c r="F1484" s="20">
        <v>2036</v>
      </c>
      <c r="G1484" s="20">
        <v>32</v>
      </c>
      <c r="H1484" s="11">
        <v>1033.7355456846201</v>
      </c>
      <c r="I1484" s="10">
        <v>4381541.2870896803</v>
      </c>
      <c r="J1484" s="34">
        <f t="shared" si="92"/>
        <v>2.3592965989628978E-4</v>
      </c>
      <c r="K1484" s="34">
        <f t="shared" si="93"/>
        <v>2.3590183068267212E-4</v>
      </c>
      <c r="L1484" s="34">
        <f t="shared" si="94"/>
        <v>0.99962126463593093</v>
      </c>
      <c r="M1484" s="34">
        <f t="shared" si="95"/>
        <v>0.99938545214961394</v>
      </c>
    </row>
    <row r="1485" spans="1:13" ht="27.6">
      <c r="A1485" t="s">
        <v>164</v>
      </c>
      <c r="B1485" t="s">
        <v>112</v>
      </c>
      <c r="C1485" s="14" t="s">
        <v>294</v>
      </c>
      <c r="D1485" t="s">
        <v>112</v>
      </c>
      <c r="E1485" t="s">
        <v>383</v>
      </c>
      <c r="F1485" s="20">
        <v>2036</v>
      </c>
      <c r="G1485" s="20">
        <v>33</v>
      </c>
      <c r="H1485" s="11">
        <v>1118.01077015601</v>
      </c>
      <c r="I1485" s="10">
        <v>4339240.9259326803</v>
      </c>
      <c r="J1485" s="34">
        <f t="shared" si="92"/>
        <v>2.5765123191810415E-4</v>
      </c>
      <c r="K1485" s="34">
        <f t="shared" si="93"/>
        <v>2.5761804268997768E-4</v>
      </c>
      <c r="L1485" s="34">
        <f t="shared" si="94"/>
        <v>0.99938545214961394</v>
      </c>
      <c r="M1485" s="34">
        <f t="shared" si="95"/>
        <v>0.99912799242553829</v>
      </c>
    </row>
    <row r="1486" spans="1:13" ht="27.6">
      <c r="A1486" t="s">
        <v>164</v>
      </c>
      <c r="B1486" t="s">
        <v>112</v>
      </c>
      <c r="C1486" s="14" t="s">
        <v>294</v>
      </c>
      <c r="D1486" t="s">
        <v>112</v>
      </c>
      <c r="E1486" t="s">
        <v>383</v>
      </c>
      <c r="F1486" s="20">
        <v>2036</v>
      </c>
      <c r="G1486" s="20">
        <v>34</v>
      </c>
      <c r="H1486" s="11">
        <v>1212.4167417108499</v>
      </c>
      <c r="I1486" s="10">
        <v>4319767.2017003996</v>
      </c>
      <c r="J1486" s="34">
        <f t="shared" si="92"/>
        <v>2.8066714827447268E-4</v>
      </c>
      <c r="K1486" s="34">
        <f t="shared" si="93"/>
        <v>2.8062776493498198E-4</v>
      </c>
      <c r="L1486" s="34">
        <f t="shared" si="94"/>
        <v>0.99912799242553829</v>
      </c>
      <c r="M1486" s="34">
        <f t="shared" si="95"/>
        <v>0.99884760937013994</v>
      </c>
    </row>
    <row r="1487" spans="1:13" ht="27.6">
      <c r="A1487" t="s">
        <v>164</v>
      </c>
      <c r="B1487" t="s">
        <v>112</v>
      </c>
      <c r="C1487" s="14" t="s">
        <v>294</v>
      </c>
      <c r="D1487" t="s">
        <v>112</v>
      </c>
      <c r="E1487" t="s">
        <v>383</v>
      </c>
      <c r="F1487" s="20">
        <v>2036</v>
      </c>
      <c r="G1487" s="20">
        <v>35</v>
      </c>
      <c r="H1487" s="11">
        <v>1328.1225516475999</v>
      </c>
      <c r="I1487" s="10">
        <v>4300327.2356602596</v>
      </c>
      <c r="J1487" s="34">
        <f t="shared" si="92"/>
        <v>3.0884220638704112E-4</v>
      </c>
      <c r="K1487" s="34">
        <f t="shared" si="93"/>
        <v>3.0879451954213266E-4</v>
      </c>
      <c r="L1487" s="34">
        <f t="shared" si="94"/>
        <v>0.99884760937013994</v>
      </c>
      <c r="M1487" s="34">
        <f t="shared" si="95"/>
        <v>0.99853917070250864</v>
      </c>
    </row>
    <row r="1488" spans="1:13" ht="27.6">
      <c r="A1488" t="s">
        <v>164</v>
      </c>
      <c r="B1488" t="s">
        <v>112</v>
      </c>
      <c r="C1488" s="14" t="s">
        <v>294</v>
      </c>
      <c r="D1488" t="s">
        <v>112</v>
      </c>
      <c r="E1488" t="s">
        <v>383</v>
      </c>
      <c r="F1488" s="20">
        <v>2036</v>
      </c>
      <c r="G1488" s="20">
        <v>36</v>
      </c>
      <c r="H1488" s="11">
        <v>1746.9354738326001</v>
      </c>
      <c r="I1488" s="10">
        <v>4300425.0081009902</v>
      </c>
      <c r="J1488" s="34">
        <f t="shared" si="92"/>
        <v>4.0622391287879316E-4</v>
      </c>
      <c r="K1488" s="34">
        <f t="shared" si="93"/>
        <v>4.061414151163012E-4</v>
      </c>
      <c r="L1488" s="34">
        <f t="shared" si="94"/>
        <v>0.99853917070250864</v>
      </c>
      <c r="M1488" s="34">
        <f t="shared" si="95"/>
        <v>0.99813362259067051</v>
      </c>
    </row>
    <row r="1489" spans="1:13" ht="27.6">
      <c r="A1489" t="s">
        <v>164</v>
      </c>
      <c r="B1489" t="s">
        <v>112</v>
      </c>
      <c r="C1489" s="14" t="s">
        <v>294</v>
      </c>
      <c r="D1489" t="s">
        <v>112</v>
      </c>
      <c r="E1489" t="s">
        <v>383</v>
      </c>
      <c r="F1489" s="20">
        <v>2036</v>
      </c>
      <c r="G1489" s="20">
        <v>37</v>
      </c>
      <c r="H1489" s="11">
        <v>1948.0466878631601</v>
      </c>
      <c r="I1489" s="10">
        <v>4339119.4160963502</v>
      </c>
      <c r="J1489" s="34">
        <f t="shared" si="92"/>
        <v>4.4894977553203705E-4</v>
      </c>
      <c r="K1489" s="34">
        <f t="shared" si="93"/>
        <v>4.4884901266128985E-4</v>
      </c>
      <c r="L1489" s="34">
        <f t="shared" si="94"/>
        <v>0.99813362259067051</v>
      </c>
      <c r="M1489" s="34">
        <f t="shared" si="95"/>
        <v>0.9976856112996666</v>
      </c>
    </row>
    <row r="1490" spans="1:13" ht="27.6">
      <c r="A1490" t="s">
        <v>164</v>
      </c>
      <c r="B1490" t="s">
        <v>112</v>
      </c>
      <c r="C1490" s="14" t="s">
        <v>294</v>
      </c>
      <c r="D1490" t="s">
        <v>112</v>
      </c>
      <c r="E1490" t="s">
        <v>383</v>
      </c>
      <c r="F1490" s="20">
        <v>2036</v>
      </c>
      <c r="G1490" s="20">
        <v>38</v>
      </c>
      <c r="H1490" s="11">
        <v>2159.1350727650001</v>
      </c>
      <c r="I1490" s="10">
        <v>4380184.7112534996</v>
      </c>
      <c r="J1490" s="34">
        <f t="shared" si="92"/>
        <v>4.9293242525087701E-4</v>
      </c>
      <c r="K1490" s="34">
        <f t="shared" si="93"/>
        <v>4.9281095402275987E-4</v>
      </c>
      <c r="L1490" s="34">
        <f t="shared" si="94"/>
        <v>0.9976856112996666</v>
      </c>
      <c r="M1490" s="34">
        <f t="shared" si="95"/>
        <v>0.99719394090174718</v>
      </c>
    </row>
    <row r="1491" spans="1:13" ht="27.6">
      <c r="A1491" t="s">
        <v>164</v>
      </c>
      <c r="B1491" t="s">
        <v>112</v>
      </c>
      <c r="C1491" s="14" t="s">
        <v>294</v>
      </c>
      <c r="D1491" t="s">
        <v>112</v>
      </c>
      <c r="E1491" t="s">
        <v>383</v>
      </c>
      <c r="F1491" s="20">
        <v>2036</v>
      </c>
      <c r="G1491" s="20">
        <v>39</v>
      </c>
      <c r="H1491" s="11">
        <v>2286.5577785698501</v>
      </c>
      <c r="I1491" s="10">
        <v>4374981.4446570296</v>
      </c>
      <c r="J1491" s="34">
        <f t="shared" si="92"/>
        <v>5.2264399460763924E-4</v>
      </c>
      <c r="K1491" s="34">
        <f t="shared" si="93"/>
        <v>5.2250744002590999E-4</v>
      </c>
      <c r="L1491" s="34">
        <f t="shared" si="94"/>
        <v>0.99719394090174718</v>
      </c>
      <c r="M1491" s="34">
        <f t="shared" si="95"/>
        <v>0.99667289964847727</v>
      </c>
    </row>
    <row r="1492" spans="1:13" ht="27.6">
      <c r="A1492" t="s">
        <v>164</v>
      </c>
      <c r="B1492" t="s">
        <v>112</v>
      </c>
      <c r="C1492" s="14" t="s">
        <v>294</v>
      </c>
      <c r="D1492" t="s">
        <v>112</v>
      </c>
      <c r="E1492" t="s">
        <v>383</v>
      </c>
      <c r="F1492" s="20">
        <v>2036</v>
      </c>
      <c r="G1492" s="20">
        <v>40</v>
      </c>
      <c r="H1492" s="11">
        <v>2433.7647730388298</v>
      </c>
      <c r="I1492" s="10">
        <v>4310997.6401334098</v>
      </c>
      <c r="J1492" s="34">
        <f t="shared" si="92"/>
        <v>5.6454792514419323E-4</v>
      </c>
      <c r="K1492" s="34">
        <f t="shared" si="93"/>
        <v>5.6438859794827323E-4</v>
      </c>
      <c r="L1492" s="34">
        <f t="shared" si="94"/>
        <v>0.99667289964847727</v>
      </c>
      <c r="M1492" s="34">
        <f t="shared" si="95"/>
        <v>0.9961103888280316</v>
      </c>
    </row>
    <row r="1493" spans="1:13" ht="27.6">
      <c r="A1493" t="s">
        <v>164</v>
      </c>
      <c r="B1493" t="s">
        <v>112</v>
      </c>
      <c r="C1493" s="14" t="s">
        <v>294</v>
      </c>
      <c r="D1493" t="s">
        <v>112</v>
      </c>
      <c r="E1493" t="s">
        <v>383</v>
      </c>
      <c r="F1493" s="20">
        <v>2036</v>
      </c>
      <c r="G1493" s="20">
        <v>41</v>
      </c>
      <c r="H1493" s="11">
        <v>3101.0290779820898</v>
      </c>
      <c r="I1493" s="10">
        <v>4244805.2906404296</v>
      </c>
      <c r="J1493" s="34">
        <f t="shared" si="92"/>
        <v>7.3054683681715495E-4</v>
      </c>
      <c r="K1493" s="34">
        <f t="shared" si="93"/>
        <v>7.3028005244690775E-4</v>
      </c>
      <c r="L1493" s="34">
        <f t="shared" si="94"/>
        <v>0.9961103888280316</v>
      </c>
      <c r="M1493" s="34">
        <f t="shared" si="95"/>
        <v>0.99538294928103532</v>
      </c>
    </row>
    <row r="1494" spans="1:13" ht="27.6">
      <c r="A1494" t="s">
        <v>164</v>
      </c>
      <c r="B1494" t="s">
        <v>112</v>
      </c>
      <c r="C1494" s="14" t="s">
        <v>294</v>
      </c>
      <c r="D1494" t="s">
        <v>112</v>
      </c>
      <c r="E1494" t="s">
        <v>383</v>
      </c>
      <c r="F1494" s="20">
        <v>2036</v>
      </c>
      <c r="G1494" s="20">
        <v>42</v>
      </c>
      <c r="H1494" s="11">
        <v>3365.7306893558598</v>
      </c>
      <c r="I1494" s="10">
        <v>4187939.72438276</v>
      </c>
      <c r="J1494" s="34">
        <f t="shared" si="92"/>
        <v>8.0367218987420323E-4</v>
      </c>
      <c r="K1494" s="34">
        <f t="shared" si="93"/>
        <v>8.0334933187631297E-4</v>
      </c>
      <c r="L1494" s="34">
        <f t="shared" si="94"/>
        <v>0.99538294928103532</v>
      </c>
      <c r="M1494" s="34">
        <f t="shared" si="95"/>
        <v>0.99458330905376935</v>
      </c>
    </row>
    <row r="1495" spans="1:13" ht="27.6">
      <c r="A1495" t="s">
        <v>164</v>
      </c>
      <c r="B1495" t="s">
        <v>112</v>
      </c>
      <c r="C1495" s="14" t="s">
        <v>294</v>
      </c>
      <c r="D1495" t="s">
        <v>112</v>
      </c>
      <c r="E1495" t="s">
        <v>383</v>
      </c>
      <c r="F1495" s="20">
        <v>2036</v>
      </c>
      <c r="G1495" s="20">
        <v>43</v>
      </c>
      <c r="H1495" s="11">
        <v>3696.73646377869</v>
      </c>
      <c r="I1495" s="10">
        <v>4133219.2735267002</v>
      </c>
      <c r="J1495" s="34">
        <f t="shared" si="92"/>
        <v>8.943964060789889E-4</v>
      </c>
      <c r="K1495" s="34">
        <f t="shared" si="93"/>
        <v>8.9399655283139978E-4</v>
      </c>
      <c r="L1495" s="34">
        <f t="shared" si="94"/>
        <v>0.99458330905376935</v>
      </c>
      <c r="M1495" s="34">
        <f t="shared" si="95"/>
        <v>0.99369415500397162</v>
      </c>
    </row>
    <row r="1496" spans="1:13" ht="27.6">
      <c r="A1496" t="s">
        <v>164</v>
      </c>
      <c r="B1496" t="s">
        <v>112</v>
      </c>
      <c r="C1496" s="14" t="s">
        <v>294</v>
      </c>
      <c r="D1496" t="s">
        <v>112</v>
      </c>
      <c r="E1496" t="s">
        <v>383</v>
      </c>
      <c r="F1496" s="20">
        <v>2036</v>
      </c>
      <c r="G1496" s="20">
        <v>44</v>
      </c>
      <c r="H1496" s="11">
        <v>3865.3185920329902</v>
      </c>
      <c r="I1496" s="10">
        <v>4112654.5621572002</v>
      </c>
      <c r="J1496" s="34">
        <f t="shared" si="92"/>
        <v>9.3985977514375151E-4</v>
      </c>
      <c r="K1496" s="34">
        <f t="shared" si="93"/>
        <v>9.394182452815425E-4</v>
      </c>
      <c r="L1496" s="34">
        <f t="shared" si="94"/>
        <v>0.99369415500397162</v>
      </c>
      <c r="M1496" s="34">
        <f t="shared" si="95"/>
        <v>0.99276066058453127</v>
      </c>
    </row>
    <row r="1497" spans="1:13" ht="27.6">
      <c r="A1497" t="s">
        <v>164</v>
      </c>
      <c r="B1497" t="s">
        <v>112</v>
      </c>
      <c r="C1497" s="14" t="s">
        <v>294</v>
      </c>
      <c r="D1497" t="s">
        <v>112</v>
      </c>
      <c r="E1497" t="s">
        <v>383</v>
      </c>
      <c r="F1497" s="20">
        <v>2036</v>
      </c>
      <c r="G1497" s="20">
        <v>45</v>
      </c>
      <c r="H1497" s="11">
        <v>4163.1944885234798</v>
      </c>
      <c r="I1497" s="10">
        <v>4086071.9368253401</v>
      </c>
      <c r="J1497" s="34">
        <f t="shared" si="92"/>
        <v>1.0188744968004796E-3</v>
      </c>
      <c r="K1497" s="34">
        <f t="shared" si="93"/>
        <v>1.0183556204186317E-3</v>
      </c>
      <c r="L1497" s="34">
        <f t="shared" si="94"/>
        <v>0.99276066058453127</v>
      </c>
      <c r="M1497" s="34">
        <f t="shared" si="95"/>
        <v>0.99174967718609452</v>
      </c>
    </row>
    <row r="1498" spans="1:13" ht="27.6">
      <c r="A1498" t="s">
        <v>164</v>
      </c>
      <c r="B1498" t="s">
        <v>112</v>
      </c>
      <c r="C1498" s="14" t="s">
        <v>294</v>
      </c>
      <c r="D1498" t="s">
        <v>112</v>
      </c>
      <c r="E1498" t="s">
        <v>383</v>
      </c>
      <c r="F1498" s="20">
        <v>2036</v>
      </c>
      <c r="G1498" s="20">
        <v>46</v>
      </c>
      <c r="H1498" s="11">
        <v>5174.6605340298001</v>
      </c>
      <c r="I1498" s="10">
        <v>4062498.9299618602</v>
      </c>
      <c r="J1498" s="34">
        <f t="shared" si="92"/>
        <v>1.2737629284934682E-3</v>
      </c>
      <c r="K1498" s="34">
        <f t="shared" si="93"/>
        <v>1.2729520368255365E-3</v>
      </c>
      <c r="L1498" s="34">
        <f t="shared" si="94"/>
        <v>0.99174967718609452</v>
      </c>
      <c r="M1498" s="34">
        <f t="shared" si="95"/>
        <v>0.99048722741449946</v>
      </c>
    </row>
    <row r="1499" spans="1:13" ht="27.6">
      <c r="A1499" t="s">
        <v>164</v>
      </c>
      <c r="B1499" t="s">
        <v>112</v>
      </c>
      <c r="C1499" s="14" t="s">
        <v>294</v>
      </c>
      <c r="D1499" t="s">
        <v>112</v>
      </c>
      <c r="E1499" t="s">
        <v>383</v>
      </c>
      <c r="F1499" s="20">
        <v>2036</v>
      </c>
      <c r="G1499" s="20">
        <v>47</v>
      </c>
      <c r="H1499" s="11">
        <v>5698.3037107056698</v>
      </c>
      <c r="I1499" s="10">
        <v>4061159.7414460601</v>
      </c>
      <c r="J1499" s="34">
        <f t="shared" si="92"/>
        <v>1.4031222787303291E-3</v>
      </c>
      <c r="K1499" s="34">
        <f t="shared" si="93"/>
        <v>1.4021383629043704E-3</v>
      </c>
      <c r="L1499" s="34">
        <f t="shared" si="94"/>
        <v>0.99048722741449946</v>
      </c>
      <c r="M1499" s="34">
        <f t="shared" si="95"/>
        <v>0.98909842727497477</v>
      </c>
    </row>
    <row r="1500" spans="1:13" ht="27.6">
      <c r="A1500" t="s">
        <v>164</v>
      </c>
      <c r="B1500" t="s">
        <v>112</v>
      </c>
      <c r="C1500" s="14" t="s">
        <v>294</v>
      </c>
      <c r="D1500" t="s">
        <v>112</v>
      </c>
      <c r="E1500" t="s">
        <v>383</v>
      </c>
      <c r="F1500" s="20">
        <v>2036</v>
      </c>
      <c r="G1500" s="20">
        <v>48</v>
      </c>
      <c r="H1500" s="11">
        <v>6330.11680465277</v>
      </c>
      <c r="I1500" s="10">
        <v>4013667.7075715298</v>
      </c>
      <c r="J1500" s="34">
        <f t="shared" si="92"/>
        <v>1.5771402283032564E-3</v>
      </c>
      <c r="K1500" s="34">
        <f t="shared" si="93"/>
        <v>1.5758971962178681E-3</v>
      </c>
      <c r="L1500" s="34">
        <f t="shared" si="94"/>
        <v>0.98909842727497477</v>
      </c>
      <c r="M1500" s="34">
        <f t="shared" si="95"/>
        <v>0.98753970983664863</v>
      </c>
    </row>
    <row r="1501" spans="1:13" ht="27.6">
      <c r="A1501" t="s">
        <v>164</v>
      </c>
      <c r="B1501" t="s">
        <v>112</v>
      </c>
      <c r="C1501" s="14" t="s">
        <v>294</v>
      </c>
      <c r="D1501" t="s">
        <v>112</v>
      </c>
      <c r="E1501" t="s">
        <v>383</v>
      </c>
      <c r="F1501" s="20">
        <v>2036</v>
      </c>
      <c r="G1501" s="20">
        <v>49</v>
      </c>
      <c r="H1501" s="11">
        <v>6811.3848201555702</v>
      </c>
      <c r="I1501" s="10">
        <v>3956986.5566417398</v>
      </c>
      <c r="J1501" s="34">
        <f t="shared" si="92"/>
        <v>1.7213565734062876E-3</v>
      </c>
      <c r="K1501" s="34">
        <f t="shared" si="93"/>
        <v>1.7198758888971044E-3</v>
      </c>
      <c r="L1501" s="34">
        <f t="shared" si="94"/>
        <v>0.98753970983664863</v>
      </c>
      <c r="M1501" s="34">
        <f t="shared" si="95"/>
        <v>0.98584126410037209</v>
      </c>
    </row>
    <row r="1502" spans="1:13" ht="27.6">
      <c r="A1502" t="s">
        <v>164</v>
      </c>
      <c r="B1502" t="s">
        <v>112</v>
      </c>
      <c r="C1502" s="14" t="s">
        <v>294</v>
      </c>
      <c r="D1502" t="s">
        <v>112</v>
      </c>
      <c r="E1502" t="s">
        <v>383</v>
      </c>
      <c r="F1502" s="20">
        <v>2036</v>
      </c>
      <c r="G1502" s="20">
        <v>50</v>
      </c>
      <c r="H1502" s="11">
        <v>7469.8282805460303</v>
      </c>
      <c r="I1502" s="10">
        <v>3960106.6794838398</v>
      </c>
      <c r="J1502" s="34">
        <f t="shared" si="92"/>
        <v>1.8862694581550129E-3</v>
      </c>
      <c r="K1502" s="34">
        <f t="shared" si="93"/>
        <v>1.8844915699550713E-3</v>
      </c>
      <c r="L1502" s="34">
        <f t="shared" si="94"/>
        <v>0.98584126410037209</v>
      </c>
      <c r="M1502" s="34">
        <f t="shared" si="95"/>
        <v>0.98398345454886105</v>
      </c>
    </row>
    <row r="1503" spans="1:13" ht="27.6">
      <c r="A1503" t="s">
        <v>164</v>
      </c>
      <c r="B1503" t="s">
        <v>112</v>
      </c>
      <c r="C1503" s="14" t="s">
        <v>294</v>
      </c>
      <c r="D1503" t="s">
        <v>112</v>
      </c>
      <c r="E1503" t="s">
        <v>383</v>
      </c>
      <c r="F1503" s="20">
        <v>2036</v>
      </c>
      <c r="G1503" s="20">
        <v>51</v>
      </c>
      <c r="H1503" s="11">
        <v>8679.3451844292395</v>
      </c>
      <c r="I1503" s="10">
        <v>4017656.6029304899</v>
      </c>
      <c r="J1503" s="34">
        <f t="shared" si="92"/>
        <v>2.1603004044941274E-3</v>
      </c>
      <c r="K1503" s="34">
        <f t="shared" si="93"/>
        <v>2.1579686349850746E-3</v>
      </c>
      <c r="L1503" s="34">
        <f t="shared" si="94"/>
        <v>0.98398345454886105</v>
      </c>
      <c r="M1503" s="34">
        <f t="shared" si="95"/>
        <v>0.9818600491166003</v>
      </c>
    </row>
    <row r="1504" spans="1:13" ht="27.6">
      <c r="A1504" t="s">
        <v>164</v>
      </c>
      <c r="B1504" t="s">
        <v>112</v>
      </c>
      <c r="C1504" s="14" t="s">
        <v>294</v>
      </c>
      <c r="D1504" t="s">
        <v>112</v>
      </c>
      <c r="E1504" t="s">
        <v>383</v>
      </c>
      <c r="F1504" s="20">
        <v>2036</v>
      </c>
      <c r="G1504" s="20">
        <v>52</v>
      </c>
      <c r="H1504" s="11">
        <v>9539.9670856339799</v>
      </c>
      <c r="I1504" s="10">
        <v>4033488.7117934702</v>
      </c>
      <c r="J1504" s="34">
        <f t="shared" si="92"/>
        <v>2.3651899800141208E-3</v>
      </c>
      <c r="K1504" s="34">
        <f t="shared" si="93"/>
        <v>2.3623951220842487E-3</v>
      </c>
      <c r="L1504" s="34">
        <f t="shared" si="94"/>
        <v>0.9818600491166003</v>
      </c>
      <c r="M1504" s="34">
        <f t="shared" si="95"/>
        <v>0.97954050772599788</v>
      </c>
    </row>
    <row r="1505" spans="1:13" ht="27.6">
      <c r="A1505" t="s">
        <v>164</v>
      </c>
      <c r="B1505" t="s">
        <v>112</v>
      </c>
      <c r="C1505" s="14" t="s">
        <v>294</v>
      </c>
      <c r="D1505" t="s">
        <v>112</v>
      </c>
      <c r="E1505" t="s">
        <v>383</v>
      </c>
      <c r="F1505" s="20">
        <v>2036</v>
      </c>
      <c r="G1505" s="20">
        <v>53</v>
      </c>
      <c r="H1505" s="11">
        <v>10193.4799149961</v>
      </c>
      <c r="I1505" s="10">
        <v>3991937.6823329101</v>
      </c>
      <c r="J1505" s="34">
        <f t="shared" si="92"/>
        <v>2.5535167946406858E-3</v>
      </c>
      <c r="K1505" s="34">
        <f t="shared" si="93"/>
        <v>2.5502593438720966E-3</v>
      </c>
      <c r="L1505" s="34">
        <f t="shared" si="94"/>
        <v>0.97954050772599788</v>
      </c>
      <c r="M1505" s="34">
        <f t="shared" si="95"/>
        <v>0.97704242539346842</v>
      </c>
    </row>
    <row r="1506" spans="1:13" ht="27.6">
      <c r="A1506" t="s">
        <v>164</v>
      </c>
      <c r="B1506" t="s">
        <v>112</v>
      </c>
      <c r="C1506" s="14" t="s">
        <v>294</v>
      </c>
      <c r="D1506" t="s">
        <v>112</v>
      </c>
      <c r="E1506" t="s">
        <v>383</v>
      </c>
      <c r="F1506" s="20">
        <v>2036</v>
      </c>
      <c r="G1506" s="20">
        <v>54</v>
      </c>
      <c r="H1506" s="11">
        <v>10912.684100213501</v>
      </c>
      <c r="I1506" s="10">
        <v>3925929.8628812302</v>
      </c>
      <c r="J1506" s="34">
        <f t="shared" si="92"/>
        <v>2.7796431626021735E-3</v>
      </c>
      <c r="K1506" s="34">
        <f t="shared" si="93"/>
        <v>2.7757835315070922E-3</v>
      </c>
      <c r="L1506" s="34">
        <f t="shared" si="94"/>
        <v>0.97704242539346842</v>
      </c>
      <c r="M1506" s="34">
        <f t="shared" si="95"/>
        <v>0.97433036711947751</v>
      </c>
    </row>
    <row r="1507" spans="1:13" ht="27.6">
      <c r="A1507" t="s">
        <v>164</v>
      </c>
      <c r="B1507" t="s">
        <v>112</v>
      </c>
      <c r="C1507" s="14" t="s">
        <v>294</v>
      </c>
      <c r="D1507" t="s">
        <v>112</v>
      </c>
      <c r="E1507" t="s">
        <v>383</v>
      </c>
      <c r="F1507" s="20">
        <v>2036</v>
      </c>
      <c r="G1507" s="20">
        <v>55</v>
      </c>
      <c r="H1507" s="11">
        <v>11625.0069937971</v>
      </c>
      <c r="I1507" s="10">
        <v>3852674.0430251602</v>
      </c>
      <c r="J1507" s="34">
        <f t="shared" si="92"/>
        <v>3.0173865901899715E-3</v>
      </c>
      <c r="K1507" s="34">
        <f t="shared" si="93"/>
        <v>3.0128388545147544E-3</v>
      </c>
      <c r="L1507" s="34">
        <f t="shared" si="94"/>
        <v>0.97433036711947751</v>
      </c>
      <c r="M1507" s="34">
        <f t="shared" si="95"/>
        <v>0.97139486673228637</v>
      </c>
    </row>
    <row r="1508" spans="1:13" ht="27.6">
      <c r="A1508" t="s">
        <v>164</v>
      </c>
      <c r="B1508" t="s">
        <v>112</v>
      </c>
      <c r="C1508" s="14" t="s">
        <v>294</v>
      </c>
      <c r="D1508" t="s">
        <v>112</v>
      </c>
      <c r="E1508" t="s">
        <v>383</v>
      </c>
      <c r="F1508" s="20">
        <v>2036</v>
      </c>
      <c r="G1508" s="20">
        <v>56</v>
      </c>
      <c r="H1508" s="11">
        <v>12395.0350425303</v>
      </c>
      <c r="I1508" s="10">
        <v>3783895.3356895</v>
      </c>
      <c r="J1508" s="34">
        <f t="shared" si="92"/>
        <v>3.2757341160102892E-3</v>
      </c>
      <c r="K1508" s="34">
        <f t="shared" si="93"/>
        <v>3.2703747525578697E-3</v>
      </c>
      <c r="L1508" s="34">
        <f t="shared" si="94"/>
        <v>0.97139486673228637</v>
      </c>
      <c r="M1508" s="34">
        <f t="shared" si="95"/>
        <v>0.96821804148536073</v>
      </c>
    </row>
    <row r="1509" spans="1:13" ht="27.6">
      <c r="A1509" t="s">
        <v>164</v>
      </c>
      <c r="B1509" t="s">
        <v>112</v>
      </c>
      <c r="C1509" s="14" t="s">
        <v>294</v>
      </c>
      <c r="D1509" t="s">
        <v>112</v>
      </c>
      <c r="E1509" t="s">
        <v>383</v>
      </c>
      <c r="F1509" s="20">
        <v>2036</v>
      </c>
      <c r="G1509" s="20">
        <v>57</v>
      </c>
      <c r="H1509" s="11">
        <v>13234.800072985699</v>
      </c>
      <c r="I1509" s="10">
        <v>3701208.0018146699</v>
      </c>
      <c r="J1509" s="34">
        <f t="shared" si="92"/>
        <v>3.5758055387583709E-3</v>
      </c>
      <c r="K1509" s="34">
        <f t="shared" si="93"/>
        <v>3.569419959596809E-3</v>
      </c>
      <c r="L1509" s="34">
        <f t="shared" si="94"/>
        <v>0.96821804148536073</v>
      </c>
      <c r="M1509" s="34">
        <f t="shared" si="95"/>
        <v>0.9647620646828412</v>
      </c>
    </row>
    <row r="1510" spans="1:13" ht="27.6">
      <c r="A1510" t="s">
        <v>164</v>
      </c>
      <c r="B1510" t="s">
        <v>112</v>
      </c>
      <c r="C1510" s="14" t="s">
        <v>294</v>
      </c>
      <c r="D1510" t="s">
        <v>112</v>
      </c>
      <c r="E1510" t="s">
        <v>383</v>
      </c>
      <c r="F1510" s="20">
        <v>2036</v>
      </c>
      <c r="G1510" s="20">
        <v>58</v>
      </c>
      <c r="H1510" s="11">
        <v>14044.444827200199</v>
      </c>
      <c r="I1510" s="10">
        <v>3594518.29761957</v>
      </c>
      <c r="J1510" s="34">
        <f t="shared" si="92"/>
        <v>3.90718412436542E-3</v>
      </c>
      <c r="K1510" s="34">
        <f t="shared" si="93"/>
        <v>3.899561012007613E-3</v>
      </c>
      <c r="L1510" s="34">
        <f t="shared" si="94"/>
        <v>0.9647620646828412</v>
      </c>
      <c r="M1510" s="34">
        <f t="shared" si="95"/>
        <v>0.96099991614954006</v>
      </c>
    </row>
    <row r="1511" spans="1:13" ht="27.6">
      <c r="A1511" t="s">
        <v>164</v>
      </c>
      <c r="B1511" t="s">
        <v>112</v>
      </c>
      <c r="C1511" s="14" t="s">
        <v>294</v>
      </c>
      <c r="D1511" t="s">
        <v>112</v>
      </c>
      <c r="E1511" t="s">
        <v>383</v>
      </c>
      <c r="F1511" s="20">
        <v>2036</v>
      </c>
      <c r="G1511" s="20">
        <v>59</v>
      </c>
      <c r="H1511" s="11">
        <v>14231.8564213303</v>
      </c>
      <c r="I1511" s="10">
        <v>3491179.46387965</v>
      </c>
      <c r="J1511" s="34">
        <f t="shared" si="92"/>
        <v>4.0765181419561963E-3</v>
      </c>
      <c r="K1511" s="34">
        <f t="shared" si="93"/>
        <v>4.0682204209746553E-3</v>
      </c>
      <c r="L1511" s="34">
        <f t="shared" si="94"/>
        <v>0.96099991614954006</v>
      </c>
      <c r="M1511" s="34">
        <f t="shared" si="95"/>
        <v>0.95709035666610554</v>
      </c>
    </row>
    <row r="1512" spans="1:13" ht="27.6">
      <c r="A1512" t="s">
        <v>164</v>
      </c>
      <c r="B1512" t="s">
        <v>112</v>
      </c>
      <c r="C1512" s="14" t="s">
        <v>294</v>
      </c>
      <c r="D1512" t="s">
        <v>112</v>
      </c>
      <c r="E1512" t="s">
        <v>383</v>
      </c>
      <c r="F1512" s="20">
        <v>2036</v>
      </c>
      <c r="G1512" s="20">
        <v>60</v>
      </c>
      <c r="H1512" s="11">
        <v>14757.7769783856</v>
      </c>
      <c r="I1512" s="10">
        <v>3401526.95361599</v>
      </c>
      <c r="J1512" s="34">
        <f t="shared" si="92"/>
        <v>4.3385741696673492E-3</v>
      </c>
      <c r="K1512" s="34">
        <f t="shared" si="93"/>
        <v>4.3291761529977713E-3</v>
      </c>
      <c r="L1512" s="34">
        <f t="shared" si="94"/>
        <v>0.95709035666610554</v>
      </c>
      <c r="M1512" s="34">
        <f t="shared" si="95"/>
        <v>0.95294694391776247</v>
      </c>
    </row>
    <row r="1513" spans="1:13" ht="27.6">
      <c r="A1513" t="s">
        <v>164</v>
      </c>
      <c r="B1513" t="s">
        <v>112</v>
      </c>
      <c r="C1513" s="14" t="s">
        <v>294</v>
      </c>
      <c r="D1513" t="s">
        <v>112</v>
      </c>
      <c r="E1513" t="s">
        <v>383</v>
      </c>
      <c r="F1513" s="20">
        <v>2036</v>
      </c>
      <c r="G1513" s="20">
        <v>61</v>
      </c>
      <c r="H1513" s="11">
        <v>15482.244200446399</v>
      </c>
      <c r="I1513" s="10">
        <v>3299602.9946854198</v>
      </c>
      <c r="J1513" s="34">
        <f t="shared" si="92"/>
        <v>4.6921536395085183E-3</v>
      </c>
      <c r="K1513" s="34">
        <f t="shared" si="93"/>
        <v>4.6811626837574005E-3</v>
      </c>
      <c r="L1513" s="34">
        <f t="shared" si="94"/>
        <v>0.95294694391776247</v>
      </c>
      <c r="M1513" s="34">
        <f t="shared" si="95"/>
        <v>0.94848604424429395</v>
      </c>
    </row>
    <row r="1514" spans="1:13" ht="27.6">
      <c r="A1514" t="s">
        <v>164</v>
      </c>
      <c r="B1514" t="s">
        <v>112</v>
      </c>
      <c r="C1514" s="14" t="s">
        <v>294</v>
      </c>
      <c r="D1514" t="s">
        <v>112</v>
      </c>
      <c r="E1514" t="s">
        <v>383</v>
      </c>
      <c r="F1514" s="20">
        <v>2036</v>
      </c>
      <c r="G1514" s="20">
        <v>62</v>
      </c>
      <c r="H1514" s="11">
        <v>16330.479003276099</v>
      </c>
      <c r="I1514" s="10">
        <v>3211009.7712443098</v>
      </c>
      <c r="J1514" s="34">
        <f t="shared" si="92"/>
        <v>5.0857768012794978E-3</v>
      </c>
      <c r="K1514" s="34">
        <f t="shared" si="93"/>
        <v>5.0728661346390869E-3</v>
      </c>
      <c r="L1514" s="34">
        <f t="shared" si="94"/>
        <v>0.94848604424429395</v>
      </c>
      <c r="M1514" s="34">
        <f t="shared" si="95"/>
        <v>0.9436745015112693</v>
      </c>
    </row>
    <row r="1515" spans="1:13" ht="27.6">
      <c r="A1515" t="s">
        <v>164</v>
      </c>
      <c r="B1515" t="s">
        <v>112</v>
      </c>
      <c r="C1515" s="14" t="s">
        <v>294</v>
      </c>
      <c r="D1515" t="s">
        <v>112</v>
      </c>
      <c r="E1515" t="s">
        <v>383</v>
      </c>
      <c r="F1515" s="20">
        <v>2036</v>
      </c>
      <c r="G1515" s="20">
        <v>63</v>
      </c>
      <c r="H1515" s="11">
        <v>17207.583646165702</v>
      </c>
      <c r="I1515" s="10">
        <v>3121544.3400693699</v>
      </c>
      <c r="J1515" s="34">
        <f t="shared" si="92"/>
        <v>5.5125225758552894E-3</v>
      </c>
      <c r="K1515" s="34">
        <f t="shared" si="93"/>
        <v>5.4973565038491934E-3</v>
      </c>
      <c r="L1515" s="34">
        <f t="shared" si="94"/>
        <v>0.9436745015112693</v>
      </c>
      <c r="M1515" s="34">
        <f t="shared" si="95"/>
        <v>0.93848678635286964</v>
      </c>
    </row>
    <row r="1516" spans="1:13" ht="27.6">
      <c r="A1516" t="s">
        <v>164</v>
      </c>
      <c r="B1516" t="s">
        <v>112</v>
      </c>
      <c r="C1516" s="14" t="s">
        <v>294</v>
      </c>
      <c r="D1516" t="s">
        <v>112</v>
      </c>
      <c r="E1516" t="s">
        <v>383</v>
      </c>
      <c r="F1516" s="20">
        <v>2036</v>
      </c>
      <c r="G1516" s="20">
        <v>64</v>
      </c>
      <c r="H1516" s="11">
        <v>18276.5359751451</v>
      </c>
      <c r="I1516" s="10">
        <v>3012015.2062247498</v>
      </c>
      <c r="J1516" s="34">
        <f t="shared" si="92"/>
        <v>6.0678763962990915E-3</v>
      </c>
      <c r="K1516" s="34">
        <f t="shared" si="93"/>
        <v>6.049504013550755E-3</v>
      </c>
      <c r="L1516" s="34">
        <f t="shared" si="94"/>
        <v>0.93848678635286964</v>
      </c>
      <c r="M1516" s="34">
        <f t="shared" si="95"/>
        <v>0.93280940677216362</v>
      </c>
    </row>
    <row r="1517" spans="1:13" ht="27.6">
      <c r="A1517" t="s">
        <v>164</v>
      </c>
      <c r="B1517" t="s">
        <v>112</v>
      </c>
      <c r="C1517" s="14" t="s">
        <v>294</v>
      </c>
      <c r="D1517" t="s">
        <v>112</v>
      </c>
      <c r="E1517" t="s">
        <v>383</v>
      </c>
      <c r="F1517" s="20">
        <v>2036</v>
      </c>
      <c r="G1517" s="20">
        <v>65</v>
      </c>
      <c r="H1517" s="11">
        <v>19310.1655362233</v>
      </c>
      <c r="I1517" s="10">
        <v>2911495.9529137202</v>
      </c>
      <c r="J1517" s="34">
        <f t="shared" si="92"/>
        <v>6.6323861851493842E-3</v>
      </c>
      <c r="K1517" s="34">
        <f t="shared" si="93"/>
        <v>6.6104404562150609E-3</v>
      </c>
      <c r="L1517" s="34">
        <f t="shared" si="94"/>
        <v>0.93280940677216362</v>
      </c>
      <c r="M1517" s="34">
        <f t="shared" si="95"/>
        <v>0.92664312573169894</v>
      </c>
    </row>
    <row r="1518" spans="1:13" ht="27.6">
      <c r="A1518" t="s">
        <v>164</v>
      </c>
      <c r="B1518" t="s">
        <v>112</v>
      </c>
      <c r="C1518" s="14" t="s">
        <v>294</v>
      </c>
      <c r="D1518" t="s">
        <v>112</v>
      </c>
      <c r="E1518" t="s">
        <v>383</v>
      </c>
      <c r="F1518" s="20">
        <v>2036</v>
      </c>
      <c r="G1518" s="20">
        <v>66</v>
      </c>
      <c r="H1518" s="11">
        <v>19767.957916230102</v>
      </c>
      <c r="I1518" s="10">
        <v>2808146.3416791498</v>
      </c>
      <c r="J1518" s="34">
        <f t="shared" si="92"/>
        <v>7.0395041821110079E-3</v>
      </c>
      <c r="K1518" s="34">
        <f t="shared" si="93"/>
        <v>7.0147849103622262E-3</v>
      </c>
      <c r="L1518" s="34">
        <f t="shared" si="94"/>
        <v>0.92664312573169894</v>
      </c>
      <c r="M1518" s="34">
        <f t="shared" si="95"/>
        <v>0.92014292351602534</v>
      </c>
    </row>
    <row r="1519" spans="1:13" ht="27.6">
      <c r="A1519" t="s">
        <v>164</v>
      </c>
      <c r="B1519" t="s">
        <v>112</v>
      </c>
      <c r="C1519" s="14" t="s">
        <v>294</v>
      </c>
      <c r="D1519" t="s">
        <v>112</v>
      </c>
      <c r="E1519" t="s">
        <v>383</v>
      </c>
      <c r="F1519" s="20">
        <v>2036</v>
      </c>
      <c r="G1519" s="20">
        <v>67</v>
      </c>
      <c r="H1519" s="11">
        <v>20656.851185679701</v>
      </c>
      <c r="I1519" s="10">
        <v>2689190.40274433</v>
      </c>
      <c r="J1519" s="34">
        <f t="shared" si="92"/>
        <v>7.6814386830323725E-3</v>
      </c>
      <c r="K1519" s="34">
        <f t="shared" si="93"/>
        <v>7.6520118279790328E-3</v>
      </c>
      <c r="L1519" s="34">
        <f t="shared" si="94"/>
        <v>0.92014292351602534</v>
      </c>
      <c r="M1519" s="34">
        <f t="shared" si="95"/>
        <v>0.91310197898184953</v>
      </c>
    </row>
    <row r="1520" spans="1:13" ht="27.6">
      <c r="A1520" t="s">
        <v>164</v>
      </c>
      <c r="B1520" t="s">
        <v>112</v>
      </c>
      <c r="C1520" s="14" t="s">
        <v>294</v>
      </c>
      <c r="D1520" t="s">
        <v>112</v>
      </c>
      <c r="E1520" t="s">
        <v>383</v>
      </c>
      <c r="F1520" s="20">
        <v>2036</v>
      </c>
      <c r="G1520" s="20">
        <v>68</v>
      </c>
      <c r="H1520" s="11">
        <v>21624.4359163175</v>
      </c>
      <c r="I1520" s="10">
        <v>2561777.5926298099</v>
      </c>
      <c r="J1520" s="34">
        <f t="shared" si="92"/>
        <v>8.4411839570033825E-3</v>
      </c>
      <c r="K1520" s="34">
        <f t="shared" si="93"/>
        <v>8.4056571966226734E-3</v>
      </c>
      <c r="L1520" s="34">
        <f t="shared" si="94"/>
        <v>0.91310197898184953</v>
      </c>
      <c r="M1520" s="34">
        <f t="shared" si="95"/>
        <v>0.90542675676097029</v>
      </c>
    </row>
    <row r="1521" spans="1:13" ht="27.6">
      <c r="A1521" t="s">
        <v>164</v>
      </c>
      <c r="B1521" t="s">
        <v>112</v>
      </c>
      <c r="C1521" s="14" t="s">
        <v>294</v>
      </c>
      <c r="D1521" t="s">
        <v>112</v>
      </c>
      <c r="E1521" t="s">
        <v>383</v>
      </c>
      <c r="F1521" s="20">
        <v>2036</v>
      </c>
      <c r="G1521" s="20">
        <v>69</v>
      </c>
      <c r="H1521" s="11">
        <v>21866.320728860301</v>
      </c>
      <c r="I1521" s="10">
        <v>2435802.6796353902</v>
      </c>
      <c r="J1521" s="34">
        <f t="shared" si="92"/>
        <v>8.9770492953614046E-3</v>
      </c>
      <c r="K1521" s="34">
        <f t="shared" si="93"/>
        <v>8.9368758910884916E-3</v>
      </c>
      <c r="L1521" s="34">
        <f t="shared" si="94"/>
        <v>0.90542675676097029</v>
      </c>
      <c r="M1521" s="34">
        <f t="shared" si="95"/>
        <v>0.89733507020732672</v>
      </c>
    </row>
    <row r="1522" spans="1:13" ht="27.6">
      <c r="A1522" t="s">
        <v>164</v>
      </c>
      <c r="B1522" t="s">
        <v>112</v>
      </c>
      <c r="C1522" s="14" t="s">
        <v>294</v>
      </c>
      <c r="D1522" t="s">
        <v>112</v>
      </c>
      <c r="E1522" t="s">
        <v>383</v>
      </c>
      <c r="F1522" s="20">
        <v>2037</v>
      </c>
      <c r="G1522" s="20">
        <v>30</v>
      </c>
      <c r="H1522" s="11">
        <v>722.89454578454604</v>
      </c>
      <c r="I1522" s="10">
        <v>4637190.3227140298</v>
      </c>
      <c r="J1522" s="34">
        <f t="shared" si="92"/>
        <v>1.558906353797129E-4</v>
      </c>
      <c r="K1522" s="34">
        <f t="shared" si="93"/>
        <v>1.5587848506604107E-4</v>
      </c>
      <c r="L1522" s="34">
        <f t="shared" si="94"/>
        <v>1</v>
      </c>
      <c r="M1522" s="34">
        <f t="shared" si="95"/>
        <v>0.99984412151493396</v>
      </c>
    </row>
    <row r="1523" spans="1:13" ht="27.6">
      <c r="A1523" t="s">
        <v>164</v>
      </c>
      <c r="B1523" t="s">
        <v>112</v>
      </c>
      <c r="C1523" s="14" t="s">
        <v>294</v>
      </c>
      <c r="D1523" t="s">
        <v>112</v>
      </c>
      <c r="E1523" t="s">
        <v>383</v>
      </c>
      <c r="F1523" s="20">
        <v>2037</v>
      </c>
      <c r="G1523" s="20">
        <v>31</v>
      </c>
      <c r="H1523" s="11">
        <v>1020.26247005648</v>
      </c>
      <c r="I1523" s="10">
        <v>4566307.8231007503</v>
      </c>
      <c r="J1523" s="34">
        <f t="shared" si="92"/>
        <v>2.2343269652015508E-4</v>
      </c>
      <c r="K1523" s="34">
        <f t="shared" si="93"/>
        <v>2.2340773729412344E-4</v>
      </c>
      <c r="L1523" s="34">
        <f t="shared" si="94"/>
        <v>0.99984412151493396</v>
      </c>
      <c r="M1523" s="34">
        <f t="shared" si="95"/>
        <v>0.99962074860209948</v>
      </c>
    </row>
    <row r="1524" spans="1:13" ht="27.6">
      <c r="A1524" t="s">
        <v>164</v>
      </c>
      <c r="B1524" t="s">
        <v>112</v>
      </c>
      <c r="C1524" s="14" t="s">
        <v>294</v>
      </c>
      <c r="D1524" t="s">
        <v>112</v>
      </c>
      <c r="E1524" t="s">
        <v>383</v>
      </c>
      <c r="F1524" s="20">
        <v>2037</v>
      </c>
      <c r="G1524" s="20">
        <v>32</v>
      </c>
      <c r="H1524" s="11">
        <v>1041.15635164526</v>
      </c>
      <c r="I1524" s="10">
        <v>4472850.6100613996</v>
      </c>
      <c r="J1524" s="34">
        <f t="shared" si="92"/>
        <v>2.3277244030982019E-4</v>
      </c>
      <c r="K1524" s="34">
        <f t="shared" si="93"/>
        <v>2.3274535090722637E-4</v>
      </c>
      <c r="L1524" s="34">
        <f t="shared" si="94"/>
        <v>0.99962074860209948</v>
      </c>
      <c r="M1524" s="34">
        <f t="shared" si="95"/>
        <v>0.99938809152019192</v>
      </c>
    </row>
    <row r="1525" spans="1:13" ht="27.6">
      <c r="A1525" t="s">
        <v>164</v>
      </c>
      <c r="B1525" t="s">
        <v>112</v>
      </c>
      <c r="C1525" s="14" t="s">
        <v>294</v>
      </c>
      <c r="D1525" t="s">
        <v>112</v>
      </c>
      <c r="E1525" t="s">
        <v>383</v>
      </c>
      <c r="F1525" s="20">
        <v>2037</v>
      </c>
      <c r="G1525" s="20">
        <v>33</v>
      </c>
      <c r="H1525" s="11">
        <v>1089.5037429113499</v>
      </c>
      <c r="I1525" s="10">
        <v>4375975.7901348397</v>
      </c>
      <c r="J1525" s="34">
        <f t="shared" si="92"/>
        <v>2.4897389637472796E-4</v>
      </c>
      <c r="K1525" s="34">
        <f t="shared" si="93"/>
        <v>2.4894290494625881E-4</v>
      </c>
      <c r="L1525" s="34">
        <f t="shared" si="94"/>
        <v>0.99938809152019192</v>
      </c>
      <c r="M1525" s="34">
        <f t="shared" si="95"/>
        <v>0.99913930094552017</v>
      </c>
    </row>
    <row r="1526" spans="1:13" ht="27.6">
      <c r="A1526" t="s">
        <v>164</v>
      </c>
      <c r="B1526" t="s">
        <v>112</v>
      </c>
      <c r="C1526" s="14" t="s">
        <v>294</v>
      </c>
      <c r="D1526" t="s">
        <v>112</v>
      </c>
      <c r="E1526" t="s">
        <v>383</v>
      </c>
      <c r="F1526" s="20">
        <v>2037</v>
      </c>
      <c r="G1526" s="20">
        <v>34</v>
      </c>
      <c r="H1526" s="11">
        <v>1178.08653996317</v>
      </c>
      <c r="I1526" s="10">
        <v>4333425.5010383204</v>
      </c>
      <c r="J1526" s="34">
        <f t="shared" si="92"/>
        <v>2.7186034228138728E-4</v>
      </c>
      <c r="K1526" s="34">
        <f t="shared" si="93"/>
        <v>2.7182339160713997E-4</v>
      </c>
      <c r="L1526" s="34">
        <f t="shared" si="94"/>
        <v>0.99913930094552017</v>
      </c>
      <c r="M1526" s="34">
        <f t="shared" si="95"/>
        <v>0.99886771151204912</v>
      </c>
    </row>
    <row r="1527" spans="1:13" ht="27.6">
      <c r="A1527" t="s">
        <v>164</v>
      </c>
      <c r="B1527" t="s">
        <v>112</v>
      </c>
      <c r="C1527" s="14" t="s">
        <v>294</v>
      </c>
      <c r="D1527" t="s">
        <v>112</v>
      </c>
      <c r="E1527" t="s">
        <v>383</v>
      </c>
      <c r="F1527" s="20">
        <v>2037</v>
      </c>
      <c r="G1527" s="20">
        <v>35</v>
      </c>
      <c r="H1527" s="11">
        <v>1294.4701809913199</v>
      </c>
      <c r="I1527" s="10">
        <v>4313631.8408922404</v>
      </c>
      <c r="J1527" s="34">
        <f t="shared" si="92"/>
        <v>3.0008823857428896E-4</v>
      </c>
      <c r="K1527" s="34">
        <f t="shared" si="93"/>
        <v>3.0004321660248578E-4</v>
      </c>
      <c r="L1527" s="34">
        <f t="shared" si="94"/>
        <v>0.99886771151204912</v>
      </c>
      <c r="M1527" s="34">
        <f t="shared" si="95"/>
        <v>0.99856800803092671</v>
      </c>
    </row>
    <row r="1528" spans="1:13" ht="27.6">
      <c r="A1528" t="s">
        <v>164</v>
      </c>
      <c r="B1528" t="s">
        <v>112</v>
      </c>
      <c r="C1528" s="14" t="s">
        <v>294</v>
      </c>
      <c r="D1528" t="s">
        <v>112</v>
      </c>
      <c r="E1528" t="s">
        <v>383</v>
      </c>
      <c r="F1528" s="20">
        <v>2037</v>
      </c>
      <c r="G1528" s="20">
        <v>36</v>
      </c>
      <c r="H1528" s="11">
        <v>1699.67554997196</v>
      </c>
      <c r="I1528" s="10">
        <v>4293810.3554176698</v>
      </c>
      <c r="J1528" s="34">
        <f t="shared" si="92"/>
        <v>3.9584318106350745E-4</v>
      </c>
      <c r="K1528" s="34">
        <f t="shared" si="93"/>
        <v>3.957648454880891E-4</v>
      </c>
      <c r="L1528" s="34">
        <f t="shared" si="94"/>
        <v>0.99856800803092671</v>
      </c>
      <c r="M1528" s="34">
        <f t="shared" si="95"/>
        <v>0.998172809917519</v>
      </c>
    </row>
    <row r="1529" spans="1:13" ht="27.6">
      <c r="A1529" t="s">
        <v>164</v>
      </c>
      <c r="B1529" t="s">
        <v>112</v>
      </c>
      <c r="C1529" s="14" t="s">
        <v>294</v>
      </c>
      <c r="D1529" t="s">
        <v>112</v>
      </c>
      <c r="E1529" t="s">
        <v>383</v>
      </c>
      <c r="F1529" s="20">
        <v>2037</v>
      </c>
      <c r="G1529" s="20">
        <v>37</v>
      </c>
      <c r="H1529" s="11">
        <v>1875.23227405852</v>
      </c>
      <c r="I1529" s="10">
        <v>4293568.2024090895</v>
      </c>
      <c r="J1529" s="34">
        <f t="shared" si="92"/>
        <v>4.3675381073633371E-4</v>
      </c>
      <c r="K1529" s="34">
        <f t="shared" si="93"/>
        <v>4.3665844767459827E-4</v>
      </c>
      <c r="L1529" s="34">
        <f t="shared" si="94"/>
        <v>0.998172809917519</v>
      </c>
      <c r="M1529" s="34">
        <f t="shared" si="95"/>
        <v>0.99773694932782941</v>
      </c>
    </row>
    <row r="1530" spans="1:13" ht="27.6">
      <c r="A1530" t="s">
        <v>164</v>
      </c>
      <c r="B1530" t="s">
        <v>112</v>
      </c>
      <c r="C1530" s="14" t="s">
        <v>294</v>
      </c>
      <c r="D1530" t="s">
        <v>112</v>
      </c>
      <c r="E1530" t="s">
        <v>383</v>
      </c>
      <c r="F1530" s="20">
        <v>2037</v>
      </c>
      <c r="G1530" s="20">
        <v>38</v>
      </c>
      <c r="H1530" s="11">
        <v>2101.63390975011</v>
      </c>
      <c r="I1530" s="10">
        <v>4331657.3391858004</v>
      </c>
      <c r="J1530" s="34">
        <f t="shared" si="92"/>
        <v>4.8518009278756646E-4</v>
      </c>
      <c r="K1530" s="34">
        <f t="shared" si="93"/>
        <v>4.8506241195922506E-4</v>
      </c>
      <c r="L1530" s="34">
        <f t="shared" si="94"/>
        <v>0.99773694932782941</v>
      </c>
      <c r="M1530" s="34">
        <f t="shared" si="95"/>
        <v>0.99725298463668766</v>
      </c>
    </row>
    <row r="1531" spans="1:13" ht="27.6">
      <c r="A1531" t="s">
        <v>164</v>
      </c>
      <c r="B1531" t="s">
        <v>112</v>
      </c>
      <c r="C1531" s="14" t="s">
        <v>294</v>
      </c>
      <c r="D1531" t="s">
        <v>112</v>
      </c>
      <c r="E1531" t="s">
        <v>383</v>
      </c>
      <c r="F1531" s="20">
        <v>2037</v>
      </c>
      <c r="G1531" s="20">
        <v>39</v>
      </c>
      <c r="H1531" s="11">
        <v>2254.4048601970399</v>
      </c>
      <c r="I1531" s="10">
        <v>4372050.0199742503</v>
      </c>
      <c r="J1531" s="34">
        <f t="shared" si="92"/>
        <v>5.1564022595750568E-4</v>
      </c>
      <c r="K1531" s="34">
        <f t="shared" si="93"/>
        <v>5.1550730638338926E-4</v>
      </c>
      <c r="L1531" s="34">
        <f t="shared" si="94"/>
        <v>0.99725298463668766</v>
      </c>
      <c r="M1531" s="34">
        <f t="shared" si="95"/>
        <v>0.99673889343679478</v>
      </c>
    </row>
    <row r="1532" spans="1:13" ht="27.6">
      <c r="A1532" t="s">
        <v>164</v>
      </c>
      <c r="B1532" t="s">
        <v>112</v>
      </c>
      <c r="C1532" s="14" t="s">
        <v>294</v>
      </c>
      <c r="D1532" t="s">
        <v>112</v>
      </c>
      <c r="E1532" t="s">
        <v>383</v>
      </c>
      <c r="F1532" s="20">
        <v>2037</v>
      </c>
      <c r="G1532" s="20">
        <v>40</v>
      </c>
      <c r="H1532" s="11">
        <v>2446.2038851653901</v>
      </c>
      <c r="I1532" s="10">
        <v>4366282.9115239903</v>
      </c>
      <c r="J1532" s="34">
        <f t="shared" si="92"/>
        <v>5.6024859926256509E-4</v>
      </c>
      <c r="K1532" s="34">
        <f t="shared" si="93"/>
        <v>5.6009168932025233E-4</v>
      </c>
      <c r="L1532" s="34">
        <f t="shared" si="94"/>
        <v>0.99673889343679478</v>
      </c>
      <c r="M1532" s="34">
        <f t="shared" si="95"/>
        <v>0.99618062826615861</v>
      </c>
    </row>
    <row r="1533" spans="1:13" ht="27.6">
      <c r="A1533" t="s">
        <v>164</v>
      </c>
      <c r="B1533" t="s">
        <v>112</v>
      </c>
      <c r="C1533" s="14" t="s">
        <v>294</v>
      </c>
      <c r="D1533" t="s">
        <v>112</v>
      </c>
      <c r="E1533" t="s">
        <v>383</v>
      </c>
      <c r="F1533" s="20">
        <v>2037</v>
      </c>
      <c r="G1533" s="20">
        <v>41</v>
      </c>
      <c r="H1533" s="11">
        <v>3121.5082094394402</v>
      </c>
      <c r="I1533" s="10">
        <v>4301756.1193714002</v>
      </c>
      <c r="J1533" s="34">
        <f t="shared" si="92"/>
        <v>7.2563579217865435E-4</v>
      </c>
      <c r="K1533" s="34">
        <f t="shared" si="93"/>
        <v>7.2537258219596001E-4</v>
      </c>
      <c r="L1533" s="34">
        <f t="shared" si="94"/>
        <v>0.99618062826615861</v>
      </c>
      <c r="M1533" s="34">
        <f t="shared" si="95"/>
        <v>0.99545802615149959</v>
      </c>
    </row>
    <row r="1534" spans="1:13" ht="27.6">
      <c r="A1534" t="s">
        <v>164</v>
      </c>
      <c r="B1534" t="s">
        <v>112</v>
      </c>
      <c r="C1534" s="14" t="s">
        <v>294</v>
      </c>
      <c r="D1534" t="s">
        <v>112</v>
      </c>
      <c r="E1534" t="s">
        <v>383</v>
      </c>
      <c r="F1534" s="20">
        <v>2037</v>
      </c>
      <c r="G1534" s="20">
        <v>42</v>
      </c>
      <c r="H1534" s="11">
        <v>3372.6594418907598</v>
      </c>
      <c r="I1534" s="10">
        <v>4235164.1147240801</v>
      </c>
      <c r="J1534" s="34">
        <f t="shared" si="92"/>
        <v>7.9634681219678961E-4</v>
      </c>
      <c r="K1534" s="34">
        <f t="shared" si="93"/>
        <v>7.9602981222703928E-4</v>
      </c>
      <c r="L1534" s="34">
        <f t="shared" si="94"/>
        <v>0.99545802615149959</v>
      </c>
      <c r="M1534" s="34">
        <f t="shared" si="95"/>
        <v>0.99466561188586233</v>
      </c>
    </row>
    <row r="1535" spans="1:13" ht="27.6">
      <c r="A1535" t="s">
        <v>164</v>
      </c>
      <c r="B1535" t="s">
        <v>112</v>
      </c>
      <c r="C1535" s="14" t="s">
        <v>294</v>
      </c>
      <c r="D1535" t="s">
        <v>112</v>
      </c>
      <c r="E1535" t="s">
        <v>383</v>
      </c>
      <c r="F1535" s="20">
        <v>2037</v>
      </c>
      <c r="G1535" s="20">
        <v>43</v>
      </c>
      <c r="H1535" s="11">
        <v>3691.5934554161499</v>
      </c>
      <c r="I1535" s="10">
        <v>4177583.4263885398</v>
      </c>
      <c r="J1535" s="34">
        <f t="shared" si="92"/>
        <v>8.8366720149679427E-4</v>
      </c>
      <c r="K1535" s="34">
        <f t="shared" si="93"/>
        <v>8.832768826144699E-4</v>
      </c>
      <c r="L1535" s="34">
        <f t="shared" si="94"/>
        <v>0.99466561188586233</v>
      </c>
      <c r="M1535" s="34">
        <f t="shared" si="95"/>
        <v>0.993787046744952</v>
      </c>
    </row>
    <row r="1536" spans="1:13" ht="27.6">
      <c r="A1536" t="s">
        <v>164</v>
      </c>
      <c r="B1536" t="s">
        <v>112</v>
      </c>
      <c r="C1536" s="14" t="s">
        <v>294</v>
      </c>
      <c r="D1536" t="s">
        <v>112</v>
      </c>
      <c r="E1536" t="s">
        <v>383</v>
      </c>
      <c r="F1536" s="20">
        <v>2037</v>
      </c>
      <c r="G1536" s="20">
        <v>44</v>
      </c>
      <c r="H1536" s="11">
        <v>3832.9167575943402</v>
      </c>
      <c r="I1536" s="10">
        <v>4122032.2626123801</v>
      </c>
      <c r="J1536" s="34">
        <f t="shared" si="92"/>
        <v>9.2986093106539396E-4</v>
      </c>
      <c r="K1536" s="34">
        <f t="shared" si="93"/>
        <v>9.2942874435808509E-4</v>
      </c>
      <c r="L1536" s="34">
        <f t="shared" si="94"/>
        <v>0.993787046744952</v>
      </c>
      <c r="M1536" s="34">
        <f t="shared" si="95"/>
        <v>0.99286339249793654</v>
      </c>
    </row>
    <row r="1537" spans="1:13" ht="27.6">
      <c r="A1537" t="s">
        <v>164</v>
      </c>
      <c r="B1537" t="s">
        <v>112</v>
      </c>
      <c r="C1537" s="14" t="s">
        <v>294</v>
      </c>
      <c r="D1537" t="s">
        <v>112</v>
      </c>
      <c r="E1537" t="s">
        <v>383</v>
      </c>
      <c r="F1537" s="20">
        <v>2037</v>
      </c>
      <c r="G1537" s="20">
        <v>45</v>
      </c>
      <c r="H1537" s="11">
        <v>4119.6067374030699</v>
      </c>
      <c r="I1537" s="10">
        <v>4100681.8983345199</v>
      </c>
      <c r="J1537" s="34">
        <f t="shared" si="92"/>
        <v>1.0046150468477539E-3</v>
      </c>
      <c r="K1537" s="34">
        <f t="shared" si="93"/>
        <v>1.0041105900939762E-3</v>
      </c>
      <c r="L1537" s="34">
        <f t="shared" si="94"/>
        <v>0.99286339249793654</v>
      </c>
      <c r="M1537" s="34">
        <f t="shared" si="95"/>
        <v>0.99186644785101274</v>
      </c>
    </row>
    <row r="1538" spans="1:13" ht="27.6">
      <c r="A1538" t="s">
        <v>164</v>
      </c>
      <c r="B1538" t="s">
        <v>112</v>
      </c>
      <c r="C1538" s="14" t="s">
        <v>294</v>
      </c>
      <c r="D1538" t="s">
        <v>112</v>
      </c>
      <c r="E1538" t="s">
        <v>383</v>
      </c>
      <c r="F1538" s="20">
        <v>2037</v>
      </c>
      <c r="G1538" s="20">
        <v>46</v>
      </c>
      <c r="H1538" s="11">
        <v>5119.8900893433602</v>
      </c>
      <c r="I1538" s="10">
        <v>4073125.40695239</v>
      </c>
      <c r="J1538" s="34">
        <f t="shared" ref="J1538:J1601" si="96">IF(I1538&gt;0,H1538/I1538,0)</f>
        <v>1.2569929913290308E-3</v>
      </c>
      <c r="K1538" s="34">
        <f t="shared" ref="K1538:K1601" si="97">1-EXP(-J1538)</f>
        <v>1.2562033065496303E-3</v>
      </c>
      <c r="L1538" s="34">
        <f t="shared" ref="L1538:L1601" si="98">IF(G1538=30,1,M1537)</f>
        <v>0.99186644785101274</v>
      </c>
      <c r="M1538" s="34">
        <f t="shared" ref="M1538:M1601" si="99">L1538*(1-K1538)</f>
        <v>0.99062046193956665</v>
      </c>
    </row>
    <row r="1539" spans="1:13" ht="27.6">
      <c r="A1539" t="s">
        <v>164</v>
      </c>
      <c r="B1539" t="s">
        <v>112</v>
      </c>
      <c r="C1539" s="14" t="s">
        <v>294</v>
      </c>
      <c r="D1539" t="s">
        <v>112</v>
      </c>
      <c r="E1539" t="s">
        <v>383</v>
      </c>
      <c r="F1539" s="20">
        <v>2037</v>
      </c>
      <c r="G1539" s="20">
        <v>47</v>
      </c>
      <c r="H1539" s="11">
        <v>5593.4488510478996</v>
      </c>
      <c r="I1539" s="10">
        <v>4048686.4912128602</v>
      </c>
      <c r="J1539" s="34">
        <f t="shared" si="96"/>
        <v>1.3815465492790667E-3</v>
      </c>
      <c r="K1539" s="34">
        <f t="shared" si="97"/>
        <v>1.3805926531796908E-3</v>
      </c>
      <c r="L1539" s="34">
        <f t="shared" si="98"/>
        <v>0.99062046193956665</v>
      </c>
      <c r="M1539" s="34">
        <f t="shared" si="99"/>
        <v>0.98925281860772341</v>
      </c>
    </row>
    <row r="1540" spans="1:13" ht="27.6">
      <c r="A1540" t="s">
        <v>164</v>
      </c>
      <c r="B1540" t="s">
        <v>112</v>
      </c>
      <c r="C1540" s="14" t="s">
        <v>294</v>
      </c>
      <c r="D1540" t="s">
        <v>112</v>
      </c>
      <c r="E1540" t="s">
        <v>383</v>
      </c>
      <c r="F1540" s="20">
        <v>2037</v>
      </c>
      <c r="G1540" s="20">
        <v>48</v>
      </c>
      <c r="H1540" s="11">
        <v>6199.4260484141496</v>
      </c>
      <c r="I1540" s="10">
        <v>4046002.9700114802</v>
      </c>
      <c r="J1540" s="34">
        <f t="shared" si="96"/>
        <v>1.5322346756449759E-3</v>
      </c>
      <c r="K1540" s="34">
        <f t="shared" si="97"/>
        <v>1.5310614034136361E-3</v>
      </c>
      <c r="L1540" s="34">
        <f t="shared" si="98"/>
        <v>0.98925281860772341</v>
      </c>
      <c r="M1540" s="34">
        <f t="shared" si="99"/>
        <v>0.98773821179893495</v>
      </c>
    </row>
    <row r="1541" spans="1:13" ht="27.6">
      <c r="A1541" t="s">
        <v>164</v>
      </c>
      <c r="B1541" t="s">
        <v>112</v>
      </c>
      <c r="C1541" s="14" t="s">
        <v>294</v>
      </c>
      <c r="D1541" t="s">
        <v>112</v>
      </c>
      <c r="E1541" t="s">
        <v>383</v>
      </c>
      <c r="F1541" s="20">
        <v>2037</v>
      </c>
      <c r="G1541" s="20">
        <v>49</v>
      </c>
      <c r="H1541" s="11">
        <v>6700.1591570404098</v>
      </c>
      <c r="I1541" s="10">
        <v>3997087.2656363901</v>
      </c>
      <c r="J1541" s="34">
        <f t="shared" si="96"/>
        <v>1.6762604145880849E-3</v>
      </c>
      <c r="K1541" s="34">
        <f t="shared" si="97"/>
        <v>1.6748562747769258E-3</v>
      </c>
      <c r="L1541" s="34">
        <f t="shared" si="98"/>
        <v>0.98773821179893495</v>
      </c>
      <c r="M1541" s="34">
        <f t="shared" si="99"/>
        <v>0.98608389225706661</v>
      </c>
    </row>
    <row r="1542" spans="1:13" ht="27.6">
      <c r="A1542" t="s">
        <v>164</v>
      </c>
      <c r="B1542" t="s">
        <v>112</v>
      </c>
      <c r="C1542" s="14" t="s">
        <v>294</v>
      </c>
      <c r="D1542" t="s">
        <v>112</v>
      </c>
      <c r="E1542" t="s">
        <v>383</v>
      </c>
      <c r="F1542" s="20">
        <v>2037</v>
      </c>
      <c r="G1542" s="20">
        <v>50</v>
      </c>
      <c r="H1542" s="11">
        <v>7248.0927535630599</v>
      </c>
      <c r="I1542" s="10">
        <v>3939121.05098115</v>
      </c>
      <c r="J1542" s="34">
        <f t="shared" si="96"/>
        <v>1.8400279300271102E-3</v>
      </c>
      <c r="K1542" s="34">
        <f t="shared" si="97"/>
        <v>1.8383361164560075E-3</v>
      </c>
      <c r="L1542" s="34">
        <f t="shared" si="98"/>
        <v>0.98608389225706661</v>
      </c>
      <c r="M1542" s="34">
        <f t="shared" si="99"/>
        <v>0.98427113862407489</v>
      </c>
    </row>
    <row r="1543" spans="1:13" ht="27.6">
      <c r="A1543" t="s">
        <v>164</v>
      </c>
      <c r="B1543" t="s">
        <v>112</v>
      </c>
      <c r="C1543" s="14" t="s">
        <v>294</v>
      </c>
      <c r="D1543" t="s">
        <v>112</v>
      </c>
      <c r="E1543" t="s">
        <v>383</v>
      </c>
      <c r="F1543" s="20">
        <v>2037</v>
      </c>
      <c r="G1543" s="20">
        <v>51</v>
      </c>
      <c r="H1543" s="11">
        <v>8306.8791834291096</v>
      </c>
      <c r="I1543" s="10">
        <v>3940522.8421712001</v>
      </c>
      <c r="J1543" s="34">
        <f t="shared" si="96"/>
        <v>2.1080652279259668E-3</v>
      </c>
      <c r="K1543" s="34">
        <f t="shared" si="97"/>
        <v>2.1058448189530399E-3</v>
      </c>
      <c r="L1543" s="34">
        <f t="shared" si="98"/>
        <v>0.98427113862407489</v>
      </c>
      <c r="M1543" s="34">
        <f t="shared" si="99"/>
        <v>0.9821984163463584</v>
      </c>
    </row>
    <row r="1544" spans="1:13" ht="27.6">
      <c r="A1544" t="s">
        <v>164</v>
      </c>
      <c r="B1544" t="s">
        <v>112</v>
      </c>
      <c r="C1544" s="14" t="s">
        <v>294</v>
      </c>
      <c r="D1544" t="s">
        <v>112</v>
      </c>
      <c r="E1544" t="s">
        <v>383</v>
      </c>
      <c r="F1544" s="20">
        <v>2037</v>
      </c>
      <c r="G1544" s="20">
        <v>52</v>
      </c>
      <c r="H1544" s="11">
        <v>9212.2894828339195</v>
      </c>
      <c r="I1544" s="10">
        <v>3996074.5288622701</v>
      </c>
      <c r="J1544" s="34">
        <f t="shared" si="96"/>
        <v>2.3053347519663924E-3</v>
      </c>
      <c r="K1544" s="34">
        <f t="shared" si="97"/>
        <v>2.3026795086072971E-3</v>
      </c>
      <c r="L1544" s="34">
        <f t="shared" si="98"/>
        <v>0.9821984163463584</v>
      </c>
      <c r="M1544" s="34">
        <f t="shared" si="99"/>
        <v>0.97993672817965116</v>
      </c>
    </row>
    <row r="1545" spans="1:13" ht="27.6">
      <c r="A1545" t="s">
        <v>164</v>
      </c>
      <c r="B1545" t="s">
        <v>112</v>
      </c>
      <c r="C1545" s="14" t="s">
        <v>294</v>
      </c>
      <c r="D1545" t="s">
        <v>112</v>
      </c>
      <c r="E1545" t="s">
        <v>383</v>
      </c>
      <c r="F1545" s="20">
        <v>2037</v>
      </c>
      <c r="G1545" s="20">
        <v>53</v>
      </c>
      <c r="H1545" s="11">
        <v>10122.897417161899</v>
      </c>
      <c r="I1545" s="10">
        <v>4009772.2883637398</v>
      </c>
      <c r="J1545" s="34">
        <f t="shared" si="96"/>
        <v>2.5245566803227949E-3</v>
      </c>
      <c r="K1545" s="34">
        <f t="shared" si="97"/>
        <v>2.5213726670776371E-3</v>
      </c>
      <c r="L1545" s="34">
        <f t="shared" si="98"/>
        <v>0.97993672817965116</v>
      </c>
      <c r="M1545" s="34">
        <f t="shared" si="99"/>
        <v>0.97746594249775354</v>
      </c>
    </row>
    <row r="1546" spans="1:13" ht="27.6">
      <c r="A1546" t="s">
        <v>164</v>
      </c>
      <c r="B1546" t="s">
        <v>112</v>
      </c>
      <c r="C1546" s="14" t="s">
        <v>294</v>
      </c>
      <c r="D1546" t="s">
        <v>112</v>
      </c>
      <c r="E1546" t="s">
        <v>383</v>
      </c>
      <c r="F1546" s="20">
        <v>2037</v>
      </c>
      <c r="G1546" s="20">
        <v>54</v>
      </c>
      <c r="H1546" s="11">
        <v>10906.934475433</v>
      </c>
      <c r="I1546" s="10">
        <v>3966376.9714792101</v>
      </c>
      <c r="J1546" s="34">
        <f t="shared" si="96"/>
        <v>2.7498481747602012E-3</v>
      </c>
      <c r="K1546" s="34">
        <f t="shared" si="97"/>
        <v>2.7460708054587446E-3</v>
      </c>
      <c r="L1546" s="34">
        <f t="shared" si="98"/>
        <v>0.97746594249775354</v>
      </c>
      <c r="M1546" s="34">
        <f t="shared" si="99"/>
        <v>0.97478175180973026</v>
      </c>
    </row>
    <row r="1547" spans="1:13" ht="27.6">
      <c r="A1547" t="s">
        <v>164</v>
      </c>
      <c r="B1547" t="s">
        <v>112</v>
      </c>
      <c r="C1547" s="14" t="s">
        <v>294</v>
      </c>
      <c r="D1547" t="s">
        <v>112</v>
      </c>
      <c r="E1547" t="s">
        <v>383</v>
      </c>
      <c r="F1547" s="20">
        <v>2037</v>
      </c>
      <c r="G1547" s="20">
        <v>55</v>
      </c>
      <c r="H1547" s="11">
        <v>11705.799641322399</v>
      </c>
      <c r="I1547" s="10">
        <v>3898485.8717552298</v>
      </c>
      <c r="J1547" s="34">
        <f t="shared" si="96"/>
        <v>3.0026528314830224E-3</v>
      </c>
      <c r="K1547" s="34">
        <f t="shared" si="97"/>
        <v>2.9981493780332213E-3</v>
      </c>
      <c r="L1547" s="34">
        <f t="shared" si="98"/>
        <v>0.97478175180973026</v>
      </c>
      <c r="M1547" s="34">
        <f t="shared" si="99"/>
        <v>0.97185921050682378</v>
      </c>
    </row>
    <row r="1548" spans="1:13" ht="27.6">
      <c r="A1548" t="s">
        <v>164</v>
      </c>
      <c r="B1548" t="s">
        <v>112</v>
      </c>
      <c r="C1548" s="14" t="s">
        <v>294</v>
      </c>
      <c r="D1548" t="s">
        <v>112</v>
      </c>
      <c r="E1548" t="s">
        <v>383</v>
      </c>
      <c r="F1548" s="20">
        <v>2037</v>
      </c>
      <c r="G1548" s="20">
        <v>56</v>
      </c>
      <c r="H1548" s="11">
        <v>12460.2956729368</v>
      </c>
      <c r="I1548" s="10">
        <v>3823309.8153063101</v>
      </c>
      <c r="J1548" s="34">
        <f t="shared" si="96"/>
        <v>3.2590337364377373E-3</v>
      </c>
      <c r="K1548" s="34">
        <f t="shared" si="97"/>
        <v>3.2537288504890238E-3</v>
      </c>
      <c r="L1548" s="34">
        <f t="shared" si="98"/>
        <v>0.97185921050682378</v>
      </c>
      <c r="M1548" s="34">
        <f t="shared" si="99"/>
        <v>0.96869704415498425</v>
      </c>
    </row>
    <row r="1549" spans="1:13" ht="27.6">
      <c r="A1549" t="s">
        <v>164</v>
      </c>
      <c r="B1549" t="s">
        <v>112</v>
      </c>
      <c r="C1549" s="14" t="s">
        <v>294</v>
      </c>
      <c r="D1549" t="s">
        <v>112</v>
      </c>
      <c r="E1549" t="s">
        <v>383</v>
      </c>
      <c r="F1549" s="20">
        <v>2037</v>
      </c>
      <c r="G1549" s="20">
        <v>57</v>
      </c>
      <c r="H1549" s="11">
        <v>13327.481792926201</v>
      </c>
      <c r="I1549" s="10">
        <v>3752468.6020505801</v>
      </c>
      <c r="J1549" s="34">
        <f t="shared" si="96"/>
        <v>3.5516571106399778E-3</v>
      </c>
      <c r="K1549" s="34">
        <f t="shared" si="97"/>
        <v>3.5453574368248253E-3</v>
      </c>
      <c r="L1549" s="34">
        <f t="shared" si="98"/>
        <v>0.96869704415498425</v>
      </c>
      <c r="M1549" s="34">
        <f t="shared" si="99"/>
        <v>0.96526266688545914</v>
      </c>
    </row>
    <row r="1550" spans="1:13" ht="27.6">
      <c r="A1550" t="s">
        <v>164</v>
      </c>
      <c r="B1550" t="s">
        <v>112</v>
      </c>
      <c r="C1550" s="14" t="s">
        <v>294</v>
      </c>
      <c r="D1550" t="s">
        <v>112</v>
      </c>
      <c r="E1550" t="s">
        <v>383</v>
      </c>
      <c r="F1550" s="20">
        <v>2037</v>
      </c>
      <c r="G1550" s="20">
        <v>58</v>
      </c>
      <c r="H1550" s="11">
        <v>14227.3012353752</v>
      </c>
      <c r="I1550" s="10">
        <v>3667601.4136753599</v>
      </c>
      <c r="J1550" s="34">
        <f t="shared" si="96"/>
        <v>3.8791841398920727E-3</v>
      </c>
      <c r="K1550" s="34">
        <f t="shared" si="97"/>
        <v>3.8716698247074355E-3</v>
      </c>
      <c r="L1550" s="34">
        <f t="shared" si="98"/>
        <v>0.96526266688545914</v>
      </c>
      <c r="M1550" s="34">
        <f t="shared" si="99"/>
        <v>0.96152548854516207</v>
      </c>
    </row>
    <row r="1551" spans="1:13" ht="27.6">
      <c r="A1551" t="s">
        <v>164</v>
      </c>
      <c r="B1551" t="s">
        <v>112</v>
      </c>
      <c r="C1551" s="14" t="s">
        <v>294</v>
      </c>
      <c r="D1551" t="s">
        <v>112</v>
      </c>
      <c r="E1551" t="s">
        <v>383</v>
      </c>
      <c r="F1551" s="20">
        <v>2037</v>
      </c>
      <c r="G1551" s="20">
        <v>59</v>
      </c>
      <c r="H1551" s="11">
        <v>14428.3751330672</v>
      </c>
      <c r="I1551" s="10">
        <v>3558825.0497117499</v>
      </c>
      <c r="J1551" s="34">
        <f t="shared" si="96"/>
        <v>4.0542524376790704E-3</v>
      </c>
      <c r="K1551" s="34">
        <f t="shared" si="97"/>
        <v>4.0460450516162094E-3</v>
      </c>
      <c r="L1551" s="34">
        <f t="shared" si="98"/>
        <v>0.96152548854516207</v>
      </c>
      <c r="M1551" s="34">
        <f t="shared" si="99"/>
        <v>0.95763511310023108</v>
      </c>
    </row>
    <row r="1552" spans="1:13" ht="27.6">
      <c r="A1552" t="s">
        <v>164</v>
      </c>
      <c r="B1552" t="s">
        <v>112</v>
      </c>
      <c r="C1552" s="14" t="s">
        <v>294</v>
      </c>
      <c r="D1552" t="s">
        <v>112</v>
      </c>
      <c r="E1552" t="s">
        <v>383</v>
      </c>
      <c r="F1552" s="20">
        <v>2037</v>
      </c>
      <c r="G1552" s="20">
        <v>60</v>
      </c>
      <c r="H1552" s="11">
        <v>14839.521509267501</v>
      </c>
      <c r="I1552" s="10">
        <v>3453969.5498480699</v>
      </c>
      <c r="J1552" s="34">
        <f t="shared" si="96"/>
        <v>4.2963672073832405E-3</v>
      </c>
      <c r="K1552" s="34">
        <f t="shared" si="97"/>
        <v>4.2871510252180389E-3</v>
      </c>
      <c r="L1552" s="34">
        <f t="shared" si="98"/>
        <v>0.95763511310023108</v>
      </c>
      <c r="M1552" s="34">
        <f t="shared" si="99"/>
        <v>0.95352958674331867</v>
      </c>
    </row>
    <row r="1553" spans="1:13" ht="27.6">
      <c r="A1553" t="s">
        <v>164</v>
      </c>
      <c r="B1553" t="s">
        <v>112</v>
      </c>
      <c r="C1553" s="14" t="s">
        <v>294</v>
      </c>
      <c r="D1553" t="s">
        <v>112</v>
      </c>
      <c r="E1553" t="s">
        <v>383</v>
      </c>
      <c r="F1553" s="20">
        <v>2037</v>
      </c>
      <c r="G1553" s="20">
        <v>61</v>
      </c>
      <c r="H1553" s="11">
        <v>15589.750083639099</v>
      </c>
      <c r="I1553" s="10">
        <v>3362302.71554989</v>
      </c>
      <c r="J1553" s="34">
        <f t="shared" si="96"/>
        <v>4.6366289422841165E-3</v>
      </c>
      <c r="K1553" s="34">
        <f t="shared" si="97"/>
        <v>4.6258963723652125E-3</v>
      </c>
      <c r="L1553" s="34">
        <f t="shared" si="98"/>
        <v>0.95352958674331867</v>
      </c>
      <c r="M1553" s="34">
        <f t="shared" si="99"/>
        <v>0.94911865768705983</v>
      </c>
    </row>
    <row r="1554" spans="1:13" ht="27.6">
      <c r="A1554" t="s">
        <v>164</v>
      </c>
      <c r="B1554" t="s">
        <v>112</v>
      </c>
      <c r="C1554" s="14" t="s">
        <v>294</v>
      </c>
      <c r="D1554" t="s">
        <v>112</v>
      </c>
      <c r="E1554" t="s">
        <v>383</v>
      </c>
      <c r="F1554" s="20">
        <v>2037</v>
      </c>
      <c r="G1554" s="20">
        <v>62</v>
      </c>
      <c r="H1554" s="11">
        <v>16334.9546917513</v>
      </c>
      <c r="I1554" s="10">
        <v>3258283.9489829601</v>
      </c>
      <c r="J1554" s="34">
        <f t="shared" si="96"/>
        <v>5.0133613115118736E-3</v>
      </c>
      <c r="K1554" s="34">
        <f t="shared" si="97"/>
        <v>5.0008153901937025E-3</v>
      </c>
      <c r="L1554" s="34">
        <f t="shared" si="98"/>
        <v>0.94911865768705983</v>
      </c>
      <c r="M1554" s="34">
        <f t="shared" si="99"/>
        <v>0.94437229049657845</v>
      </c>
    </row>
    <row r="1555" spans="1:13" ht="27.6">
      <c r="A1555" t="s">
        <v>164</v>
      </c>
      <c r="B1555" t="s">
        <v>112</v>
      </c>
      <c r="C1555" s="14" t="s">
        <v>294</v>
      </c>
      <c r="D1555" t="s">
        <v>112</v>
      </c>
      <c r="E1555" t="s">
        <v>383</v>
      </c>
      <c r="F1555" s="20">
        <v>2037</v>
      </c>
      <c r="G1555" s="20">
        <v>63</v>
      </c>
      <c r="H1555" s="11">
        <v>17222.813465030398</v>
      </c>
      <c r="I1555" s="10">
        <v>3167160.08270841</v>
      </c>
      <c r="J1555" s="34">
        <f t="shared" si="96"/>
        <v>5.4379358842835115E-3</v>
      </c>
      <c r="K1555" s="34">
        <f t="shared" si="97"/>
        <v>5.4231770755467368E-3</v>
      </c>
      <c r="L1555" s="34">
        <f t="shared" si="98"/>
        <v>0.94437229049657845</v>
      </c>
      <c r="M1555" s="34">
        <f t="shared" si="99"/>
        <v>0.93925079233997588</v>
      </c>
    </row>
    <row r="1556" spans="1:13" ht="27.6">
      <c r="A1556" t="s">
        <v>164</v>
      </c>
      <c r="B1556" t="s">
        <v>112</v>
      </c>
      <c r="C1556" s="14" t="s">
        <v>294</v>
      </c>
      <c r="D1556" t="s">
        <v>112</v>
      </c>
      <c r="E1556" t="s">
        <v>383</v>
      </c>
      <c r="F1556" s="20">
        <v>2037</v>
      </c>
      <c r="G1556" s="20">
        <v>64</v>
      </c>
      <c r="H1556" s="11">
        <v>18429.967819725702</v>
      </c>
      <c r="I1556" s="10">
        <v>3075063.60904916</v>
      </c>
      <c r="J1556" s="34">
        <f t="shared" si="96"/>
        <v>5.9933614919349355E-3</v>
      </c>
      <c r="K1556" s="34">
        <f t="shared" si="97"/>
        <v>5.9754371278903928E-3</v>
      </c>
      <c r="L1556" s="34">
        <f t="shared" si="98"/>
        <v>0.93925079233997588</v>
      </c>
      <c r="M1556" s="34">
        <f t="shared" si="99"/>
        <v>0.9336383582830271</v>
      </c>
    </row>
    <row r="1557" spans="1:13" ht="27.6">
      <c r="A1557" t="s">
        <v>164</v>
      </c>
      <c r="B1557" t="s">
        <v>112</v>
      </c>
      <c r="C1557" s="14" t="s">
        <v>294</v>
      </c>
      <c r="D1557" t="s">
        <v>112</v>
      </c>
      <c r="E1557" t="s">
        <v>383</v>
      </c>
      <c r="F1557" s="20">
        <v>2037</v>
      </c>
      <c r="G1557" s="20">
        <v>65</v>
      </c>
      <c r="H1557" s="11">
        <v>19434.874043293101</v>
      </c>
      <c r="I1557" s="10">
        <v>2962816.9146156898</v>
      </c>
      <c r="J1557" s="34">
        <f t="shared" si="96"/>
        <v>6.5595933206065212E-3</v>
      </c>
      <c r="K1557" s="34">
        <f t="shared" si="97"/>
        <v>6.5381261526181733E-3</v>
      </c>
      <c r="L1557" s="34">
        <f t="shared" si="98"/>
        <v>0.9336383582830271</v>
      </c>
      <c r="M1557" s="34">
        <f t="shared" si="99"/>
        <v>0.92753411291564936</v>
      </c>
    </row>
    <row r="1558" spans="1:13" ht="27.6">
      <c r="A1558" t="s">
        <v>164</v>
      </c>
      <c r="B1558" t="s">
        <v>112</v>
      </c>
      <c r="C1558" s="14" t="s">
        <v>294</v>
      </c>
      <c r="D1558" t="s">
        <v>112</v>
      </c>
      <c r="E1558" t="s">
        <v>383</v>
      </c>
      <c r="F1558" s="20">
        <v>2037</v>
      </c>
      <c r="G1558" s="20">
        <v>66</v>
      </c>
      <c r="H1558" s="11">
        <v>19897.717963416198</v>
      </c>
      <c r="I1558" s="10">
        <v>2859443.8293751501</v>
      </c>
      <c r="J1558" s="34">
        <f t="shared" si="96"/>
        <v>6.9585972485300667E-3</v>
      </c>
      <c r="K1558" s="34">
        <f t="shared" si="97"/>
        <v>6.9344422714235909E-3</v>
      </c>
      <c r="L1558" s="34">
        <f t="shared" si="98"/>
        <v>0.92753411291564936</v>
      </c>
      <c r="M1558" s="34">
        <f t="shared" si="99"/>
        <v>0.92110218115485964</v>
      </c>
    </row>
    <row r="1559" spans="1:13" ht="27.6">
      <c r="A1559" t="s">
        <v>164</v>
      </c>
      <c r="B1559" t="s">
        <v>112</v>
      </c>
      <c r="C1559" s="14" t="s">
        <v>294</v>
      </c>
      <c r="D1559" t="s">
        <v>112</v>
      </c>
      <c r="E1559" t="s">
        <v>383</v>
      </c>
      <c r="F1559" s="20">
        <v>2037</v>
      </c>
      <c r="G1559" s="20">
        <v>67</v>
      </c>
      <c r="H1559" s="11">
        <v>20851.109107042899</v>
      </c>
      <c r="I1559" s="10">
        <v>2752877.2403477901</v>
      </c>
      <c r="J1559" s="34">
        <f t="shared" si="96"/>
        <v>7.5742967399478498E-3</v>
      </c>
      <c r="K1559" s="34">
        <f t="shared" si="97"/>
        <v>7.5456840403290704E-3</v>
      </c>
      <c r="L1559" s="34">
        <f t="shared" si="98"/>
        <v>0.92110218115485964</v>
      </c>
      <c r="M1559" s="34">
        <f t="shared" si="99"/>
        <v>0.91415183512700715</v>
      </c>
    </row>
    <row r="1560" spans="1:13" ht="27.6">
      <c r="A1560" t="s">
        <v>164</v>
      </c>
      <c r="B1560" t="s">
        <v>112</v>
      </c>
      <c r="C1560" s="14" t="s">
        <v>294</v>
      </c>
      <c r="D1560" t="s">
        <v>112</v>
      </c>
      <c r="E1560" t="s">
        <v>383</v>
      </c>
      <c r="F1560" s="20">
        <v>2037</v>
      </c>
      <c r="G1560" s="20">
        <v>68</v>
      </c>
      <c r="H1560" s="11">
        <v>21638.121489537101</v>
      </c>
      <c r="I1560" s="10">
        <v>2631294.88560984</v>
      </c>
      <c r="J1560" s="34">
        <f t="shared" si="96"/>
        <v>8.2233738255156289E-3</v>
      </c>
      <c r="K1560" s="34">
        <f t="shared" si="97"/>
        <v>8.1896543794870436E-3</v>
      </c>
      <c r="L1560" s="34">
        <f t="shared" si="98"/>
        <v>0.91415183512700715</v>
      </c>
      <c r="M1560" s="34">
        <f t="shared" si="99"/>
        <v>0.90666524754694311</v>
      </c>
    </row>
    <row r="1561" spans="1:13" ht="27.6">
      <c r="A1561" t="s">
        <v>164</v>
      </c>
      <c r="B1561" t="s">
        <v>112</v>
      </c>
      <c r="C1561" s="14" t="s">
        <v>294</v>
      </c>
      <c r="D1561" t="s">
        <v>112</v>
      </c>
      <c r="E1561" t="s">
        <v>383</v>
      </c>
      <c r="F1561" s="20">
        <v>2037</v>
      </c>
      <c r="G1561" s="20">
        <v>69</v>
      </c>
      <c r="H1561" s="11">
        <v>21906.166887008501</v>
      </c>
      <c r="I1561" s="10">
        <v>2501291.3940061699</v>
      </c>
      <c r="J1561" s="34">
        <f t="shared" si="96"/>
        <v>8.7579427728820894E-3</v>
      </c>
      <c r="K1561" s="34">
        <f t="shared" si="97"/>
        <v>8.7197037053551307E-3</v>
      </c>
      <c r="L1561" s="34">
        <f t="shared" si="98"/>
        <v>0.90666524754694311</v>
      </c>
      <c r="M1561" s="34">
        <f t="shared" si="99"/>
        <v>0.89875939522839132</v>
      </c>
    </row>
    <row r="1562" spans="1:13" ht="27.6">
      <c r="A1562" t="s">
        <v>164</v>
      </c>
      <c r="B1562" t="s">
        <v>112</v>
      </c>
      <c r="C1562" s="14" t="s">
        <v>294</v>
      </c>
      <c r="D1562" t="s">
        <v>112</v>
      </c>
      <c r="E1562" t="s">
        <v>383</v>
      </c>
      <c r="F1562" s="20">
        <v>2038</v>
      </c>
      <c r="G1562" s="20">
        <v>30</v>
      </c>
      <c r="H1562" s="11">
        <v>727.86199563300897</v>
      </c>
      <c r="I1562" s="10">
        <v>4658868.6526508396</v>
      </c>
      <c r="J1562" s="34">
        <f t="shared" si="96"/>
        <v>1.5623149092620681E-4</v>
      </c>
      <c r="K1562" s="34">
        <f t="shared" si="97"/>
        <v>1.5621928742237667E-4</v>
      </c>
      <c r="L1562" s="34">
        <f t="shared" si="98"/>
        <v>1</v>
      </c>
      <c r="M1562" s="34">
        <f t="shared" si="99"/>
        <v>0.99984378071257762</v>
      </c>
    </row>
    <row r="1563" spans="1:13" ht="27.6">
      <c r="A1563" t="s">
        <v>164</v>
      </c>
      <c r="B1563" t="s">
        <v>112</v>
      </c>
      <c r="C1563" s="14" t="s">
        <v>294</v>
      </c>
      <c r="D1563" t="s">
        <v>112</v>
      </c>
      <c r="E1563" t="s">
        <v>383</v>
      </c>
      <c r="F1563" s="20">
        <v>2038</v>
      </c>
      <c r="G1563" s="20">
        <v>31</v>
      </c>
      <c r="H1563" s="11">
        <v>1034.9804680990101</v>
      </c>
      <c r="I1563" s="10">
        <v>4631602.9110698504</v>
      </c>
      <c r="J1563" s="34">
        <f t="shared" si="96"/>
        <v>2.2346053579535831E-4</v>
      </c>
      <c r="K1563" s="34">
        <f t="shared" si="97"/>
        <v>2.234355703494284E-4</v>
      </c>
      <c r="L1563" s="34">
        <f t="shared" si="98"/>
        <v>0.99984378071257762</v>
      </c>
      <c r="M1563" s="34">
        <f t="shared" si="99"/>
        <v>0.9996203800471738</v>
      </c>
    </row>
    <row r="1564" spans="1:13" ht="27.6">
      <c r="A1564" t="s">
        <v>164</v>
      </c>
      <c r="B1564" t="s">
        <v>112</v>
      </c>
      <c r="C1564" s="14" t="s">
        <v>294</v>
      </c>
      <c r="D1564" t="s">
        <v>112</v>
      </c>
      <c r="E1564" t="s">
        <v>383</v>
      </c>
      <c r="F1564" s="20">
        <v>2038</v>
      </c>
      <c r="G1564" s="20">
        <v>32</v>
      </c>
      <c r="H1564" s="11">
        <v>1062.0743359087801</v>
      </c>
      <c r="I1564" s="10">
        <v>4560798.7647718396</v>
      </c>
      <c r="J1564" s="34">
        <f t="shared" si="96"/>
        <v>2.3287024722782565E-4</v>
      </c>
      <c r="K1564" s="34">
        <f t="shared" si="97"/>
        <v>2.3284313505633758E-4</v>
      </c>
      <c r="L1564" s="34">
        <f t="shared" si="98"/>
        <v>0.9996203800471738</v>
      </c>
      <c r="M1564" s="34">
        <f t="shared" si="99"/>
        <v>0.99938762530401737</v>
      </c>
    </row>
    <row r="1565" spans="1:13" ht="27.6">
      <c r="A1565" t="s">
        <v>164</v>
      </c>
      <c r="B1565" t="s">
        <v>112</v>
      </c>
      <c r="C1565" s="14" t="s">
        <v>294</v>
      </c>
      <c r="D1565" t="s">
        <v>112</v>
      </c>
      <c r="E1565" t="s">
        <v>383</v>
      </c>
      <c r="F1565" s="20">
        <v>2038</v>
      </c>
      <c r="G1565" s="20">
        <v>33</v>
      </c>
      <c r="H1565" s="11">
        <v>1098.2646998474099</v>
      </c>
      <c r="I1565" s="10">
        <v>4467237.6975615304</v>
      </c>
      <c r="J1565" s="34">
        <f t="shared" si="96"/>
        <v>2.4584872670798432E-4</v>
      </c>
      <c r="K1565" s="34">
        <f t="shared" si="97"/>
        <v>2.4581850838623076E-4</v>
      </c>
      <c r="L1565" s="34">
        <f t="shared" si="98"/>
        <v>0.99938762530401737</v>
      </c>
      <c r="M1565" s="34">
        <f t="shared" si="99"/>
        <v>0.99914195732866551</v>
      </c>
    </row>
    <row r="1566" spans="1:13" ht="27.6">
      <c r="A1566" t="s">
        <v>164</v>
      </c>
      <c r="B1566" t="s">
        <v>112</v>
      </c>
      <c r="C1566" s="14" t="s">
        <v>294</v>
      </c>
      <c r="D1566" t="s">
        <v>112</v>
      </c>
      <c r="E1566" t="s">
        <v>383</v>
      </c>
      <c r="F1566" s="20">
        <v>2038</v>
      </c>
      <c r="G1566" s="20">
        <v>34</v>
      </c>
      <c r="H1566" s="11">
        <v>1150.7342569145301</v>
      </c>
      <c r="I1566" s="10">
        <v>4370206.9287267001</v>
      </c>
      <c r="J1566" s="34">
        <f t="shared" si="96"/>
        <v>2.6331344846634234E-4</v>
      </c>
      <c r="K1566" s="34">
        <f t="shared" si="97"/>
        <v>2.632787845228135E-4</v>
      </c>
      <c r="L1566" s="34">
        <f t="shared" si="98"/>
        <v>0.99914195732866551</v>
      </c>
      <c r="M1566" s="34">
        <f t="shared" si="99"/>
        <v>0.9988789044485743</v>
      </c>
    </row>
    <row r="1567" spans="1:13" ht="27.6">
      <c r="A1567" t="s">
        <v>164</v>
      </c>
      <c r="B1567" t="s">
        <v>112</v>
      </c>
      <c r="C1567" s="14" t="s">
        <v>294</v>
      </c>
      <c r="D1567" t="s">
        <v>112</v>
      </c>
      <c r="E1567" t="s">
        <v>383</v>
      </c>
      <c r="F1567" s="20">
        <v>2038</v>
      </c>
      <c r="G1567" s="20">
        <v>35</v>
      </c>
      <c r="H1567" s="11">
        <v>1260.54437770243</v>
      </c>
      <c r="I1567" s="10">
        <v>4327369.6080667498</v>
      </c>
      <c r="J1567" s="34">
        <f t="shared" si="96"/>
        <v>2.9129575050687145E-4</v>
      </c>
      <c r="K1567" s="34">
        <f t="shared" si="97"/>
        <v>2.9125332801904769E-4</v>
      </c>
      <c r="L1567" s="34">
        <f t="shared" si="98"/>
        <v>0.9988789044485743</v>
      </c>
      <c r="M1567" s="34">
        <f t="shared" si="99"/>
        <v>0.9985879776433656</v>
      </c>
    </row>
    <row r="1568" spans="1:13" ht="27.6">
      <c r="A1568" t="s">
        <v>164</v>
      </c>
      <c r="B1568" t="s">
        <v>112</v>
      </c>
      <c r="C1568" s="14" t="s">
        <v>294</v>
      </c>
      <c r="D1568" t="s">
        <v>112</v>
      </c>
      <c r="E1568" t="s">
        <v>383</v>
      </c>
      <c r="F1568" s="20">
        <v>2038</v>
      </c>
      <c r="G1568" s="20">
        <v>36</v>
      </c>
      <c r="H1568" s="11">
        <v>1657.6713626984199</v>
      </c>
      <c r="I1568" s="10">
        <v>4307196.4407881899</v>
      </c>
      <c r="J1568" s="34">
        <f t="shared" si="96"/>
        <v>3.8486086842955239E-4</v>
      </c>
      <c r="K1568" s="34">
        <f t="shared" si="97"/>
        <v>3.8478681898546085E-4</v>
      </c>
      <c r="L1568" s="34">
        <f t="shared" si="98"/>
        <v>0.9985879776433656</v>
      </c>
      <c r="M1568" s="34">
        <f t="shared" si="99"/>
        <v>0.99820373415197106</v>
      </c>
    </row>
    <row r="1569" spans="1:13" ht="27.6">
      <c r="A1569" t="s">
        <v>164</v>
      </c>
      <c r="B1569" t="s">
        <v>112</v>
      </c>
      <c r="C1569" s="14" t="s">
        <v>294</v>
      </c>
      <c r="D1569" t="s">
        <v>112</v>
      </c>
      <c r="E1569" t="s">
        <v>383</v>
      </c>
      <c r="F1569" s="20">
        <v>2038</v>
      </c>
      <c r="G1569" s="20">
        <v>37</v>
      </c>
      <c r="H1569" s="11">
        <v>1827.4424893058999</v>
      </c>
      <c r="I1569" s="10">
        <v>4287071.90741383</v>
      </c>
      <c r="J1569" s="34">
        <f t="shared" si="96"/>
        <v>4.262682149430757E-4</v>
      </c>
      <c r="K1569" s="34">
        <f t="shared" si="97"/>
        <v>4.2617737555528112E-4</v>
      </c>
      <c r="L1569" s="34">
        <f t="shared" si="98"/>
        <v>0.99820373415197106</v>
      </c>
      <c r="M1569" s="34">
        <f t="shared" si="99"/>
        <v>0.99777832230428065</v>
      </c>
    </row>
    <row r="1570" spans="1:13" ht="27.6">
      <c r="A1570" t="s">
        <v>164</v>
      </c>
      <c r="B1570" t="s">
        <v>112</v>
      </c>
      <c r="C1570" s="14" t="s">
        <v>294</v>
      </c>
      <c r="D1570" t="s">
        <v>112</v>
      </c>
      <c r="E1570" t="s">
        <v>383</v>
      </c>
      <c r="F1570" s="20">
        <v>2038</v>
      </c>
      <c r="G1570" s="20">
        <v>38</v>
      </c>
      <c r="H1570" s="11">
        <v>2026.6593902398399</v>
      </c>
      <c r="I1570" s="10">
        <v>4286306.4780376405</v>
      </c>
      <c r="J1570" s="34">
        <f t="shared" si="96"/>
        <v>4.7282185737863673E-4</v>
      </c>
      <c r="K1570" s="34">
        <f t="shared" si="97"/>
        <v>4.7271009473948133E-4</v>
      </c>
      <c r="L1570" s="34">
        <f t="shared" si="98"/>
        <v>0.99777832230428065</v>
      </c>
      <c r="M1570" s="34">
        <f t="shared" si="99"/>
        <v>0.99730666241901522</v>
      </c>
    </row>
    <row r="1571" spans="1:13" ht="27.6">
      <c r="A1571" t="s">
        <v>164</v>
      </c>
      <c r="B1571" t="s">
        <v>112</v>
      </c>
      <c r="C1571" s="14" t="s">
        <v>294</v>
      </c>
      <c r="D1571" t="s">
        <v>112</v>
      </c>
      <c r="E1571" t="s">
        <v>383</v>
      </c>
      <c r="F1571" s="20">
        <v>2038</v>
      </c>
      <c r="G1571" s="20">
        <v>39</v>
      </c>
      <c r="H1571" s="11">
        <v>2196.8386071667701</v>
      </c>
      <c r="I1571" s="10">
        <v>4323726.2386380201</v>
      </c>
      <c r="J1571" s="34">
        <f t="shared" si="96"/>
        <v>5.0808920036037649E-4</v>
      </c>
      <c r="K1571" s="34">
        <f t="shared" si="97"/>
        <v>5.0796014490073205E-4</v>
      </c>
      <c r="L1571" s="34">
        <f t="shared" si="98"/>
        <v>0.99730666241901522</v>
      </c>
      <c r="M1571" s="34">
        <f t="shared" si="99"/>
        <v>0.99680007038226237</v>
      </c>
    </row>
    <row r="1572" spans="1:13" ht="27.6">
      <c r="A1572" t="s">
        <v>164</v>
      </c>
      <c r="B1572" t="s">
        <v>112</v>
      </c>
      <c r="C1572" s="14" t="s">
        <v>294</v>
      </c>
      <c r="D1572" t="s">
        <v>112</v>
      </c>
      <c r="E1572" t="s">
        <v>383</v>
      </c>
      <c r="F1572" s="20">
        <v>2038</v>
      </c>
      <c r="G1572" s="20">
        <v>40</v>
      </c>
      <c r="H1572" s="11">
        <v>2414.1479535848298</v>
      </c>
      <c r="I1572" s="10">
        <v>4363475.2708605304</v>
      </c>
      <c r="J1572" s="34">
        <f t="shared" si="96"/>
        <v>5.5326266421322707E-4</v>
      </c>
      <c r="K1572" s="34">
        <f t="shared" si="97"/>
        <v>5.5310964264709828E-4</v>
      </c>
      <c r="L1572" s="34">
        <f t="shared" si="98"/>
        <v>0.99680007038226237</v>
      </c>
      <c r="M1572" s="34">
        <f t="shared" si="99"/>
        <v>0.99624873065154262</v>
      </c>
    </row>
    <row r="1573" spans="1:13" ht="27.6">
      <c r="A1573" t="s">
        <v>164</v>
      </c>
      <c r="B1573" t="s">
        <v>112</v>
      </c>
      <c r="C1573" s="14" t="s">
        <v>294</v>
      </c>
      <c r="D1573" t="s">
        <v>112</v>
      </c>
      <c r="E1573" t="s">
        <v>383</v>
      </c>
      <c r="F1573" s="20">
        <v>2038</v>
      </c>
      <c r="G1573" s="20">
        <v>41</v>
      </c>
      <c r="H1573" s="11">
        <v>3136.4510857739501</v>
      </c>
      <c r="I1573" s="10">
        <v>4357038.5981150903</v>
      </c>
      <c r="J1573" s="34">
        <f t="shared" si="96"/>
        <v>7.1985845779076144E-4</v>
      </c>
      <c r="K1573" s="34">
        <f t="shared" si="97"/>
        <v>7.1959942185129133E-4</v>
      </c>
      <c r="L1573" s="34">
        <f t="shared" si="98"/>
        <v>0.99624873065154262</v>
      </c>
      <c r="M1573" s="34">
        <f t="shared" si="99"/>
        <v>0.99553183064094564</v>
      </c>
    </row>
    <row r="1574" spans="1:13" ht="27.6">
      <c r="A1574" t="s">
        <v>164</v>
      </c>
      <c r="B1574" t="s">
        <v>112</v>
      </c>
      <c r="C1574" s="14" t="s">
        <v>294</v>
      </c>
      <c r="D1574" t="s">
        <v>112</v>
      </c>
      <c r="E1574" t="s">
        <v>383</v>
      </c>
      <c r="F1574" s="20">
        <v>2038</v>
      </c>
      <c r="G1574" s="20">
        <v>42</v>
      </c>
      <c r="H1574" s="11">
        <v>3396.3933121955602</v>
      </c>
      <c r="I1574" s="10">
        <v>4292109.56760801</v>
      </c>
      <c r="J1574" s="34">
        <f t="shared" si="96"/>
        <v>7.9131095297000254E-4</v>
      </c>
      <c r="K1574" s="34">
        <f t="shared" si="97"/>
        <v>7.9099794902448561E-4</v>
      </c>
      <c r="L1574" s="34">
        <f t="shared" si="98"/>
        <v>0.99553183064094564</v>
      </c>
      <c r="M1574" s="34">
        <f t="shared" si="99"/>
        <v>0.99474436700472002</v>
      </c>
    </row>
    <row r="1575" spans="1:13" ht="27.6">
      <c r="A1575" t="s">
        <v>164</v>
      </c>
      <c r="B1575" t="s">
        <v>112</v>
      </c>
      <c r="C1575" s="14" t="s">
        <v>294</v>
      </c>
      <c r="D1575" t="s">
        <v>112</v>
      </c>
      <c r="E1575" t="s">
        <v>383</v>
      </c>
      <c r="F1575" s="20">
        <v>2038</v>
      </c>
      <c r="G1575" s="20">
        <v>43</v>
      </c>
      <c r="H1575" s="11">
        <v>3701.3745148574999</v>
      </c>
      <c r="I1575" s="10">
        <v>4224834.9868959496</v>
      </c>
      <c r="J1575" s="34">
        <f t="shared" si="96"/>
        <v>8.7609919117266068E-4</v>
      </c>
      <c r="K1575" s="34">
        <f t="shared" si="97"/>
        <v>8.7571552832665933E-4</v>
      </c>
      <c r="L1575" s="34">
        <f t="shared" si="98"/>
        <v>0.99474436700472002</v>
      </c>
      <c r="M1575" s="34">
        <f t="shared" si="99"/>
        <v>0.99387325391581849</v>
      </c>
    </row>
    <row r="1576" spans="1:13" ht="27.6">
      <c r="A1576" t="s">
        <v>164</v>
      </c>
      <c r="B1576" t="s">
        <v>112</v>
      </c>
      <c r="C1576" s="14" t="s">
        <v>294</v>
      </c>
      <c r="D1576" t="s">
        <v>112</v>
      </c>
      <c r="E1576" t="s">
        <v>383</v>
      </c>
      <c r="F1576" s="20">
        <v>2038</v>
      </c>
      <c r="G1576" s="20">
        <v>44</v>
      </c>
      <c r="H1576" s="11">
        <v>3830.2996152774599</v>
      </c>
      <c r="I1576" s="10">
        <v>4166438.55927512</v>
      </c>
      <c r="J1576" s="34">
        <f t="shared" si="96"/>
        <v>9.1932223667396599E-4</v>
      </c>
      <c r="K1576" s="34">
        <f t="shared" si="97"/>
        <v>9.1889978945147721E-4</v>
      </c>
      <c r="L1576" s="34">
        <f t="shared" si="98"/>
        <v>0.99387325391581849</v>
      </c>
      <c r="M1576" s="34">
        <f t="shared" si="99"/>
        <v>0.99295998399205376</v>
      </c>
    </row>
    <row r="1577" spans="1:13" ht="27.6">
      <c r="A1577" t="s">
        <v>164</v>
      </c>
      <c r="B1577" t="s">
        <v>112</v>
      </c>
      <c r="C1577" s="14" t="s">
        <v>294</v>
      </c>
      <c r="D1577" t="s">
        <v>112</v>
      </c>
      <c r="E1577" t="s">
        <v>383</v>
      </c>
      <c r="F1577" s="20">
        <v>2038</v>
      </c>
      <c r="G1577" s="20">
        <v>45</v>
      </c>
      <c r="H1577" s="11">
        <v>4087.6501404742799</v>
      </c>
      <c r="I1577" s="10">
        <v>4110200.7919526799</v>
      </c>
      <c r="J1577" s="34">
        <f t="shared" si="96"/>
        <v>9.9451349152514593E-4</v>
      </c>
      <c r="K1577" s="34">
        <f t="shared" si="97"/>
        <v>9.9401912688046323E-4</v>
      </c>
      <c r="L1577" s="34">
        <f t="shared" si="98"/>
        <v>0.99295998399205376</v>
      </c>
      <c r="M1577" s="34">
        <f t="shared" si="99"/>
        <v>0.99197296277573876</v>
      </c>
    </row>
    <row r="1578" spans="1:13" ht="27.6">
      <c r="A1578" t="s">
        <v>164</v>
      </c>
      <c r="B1578" t="s">
        <v>112</v>
      </c>
      <c r="C1578" s="14" t="s">
        <v>294</v>
      </c>
      <c r="D1578" t="s">
        <v>112</v>
      </c>
      <c r="E1578" t="s">
        <v>383</v>
      </c>
      <c r="F1578" s="20">
        <v>2038</v>
      </c>
      <c r="G1578" s="20">
        <v>46</v>
      </c>
      <c r="H1578" s="11">
        <v>5070.5199657123403</v>
      </c>
      <c r="I1578" s="10">
        <v>4087881.9680510699</v>
      </c>
      <c r="J1578" s="34">
        <f t="shared" si="96"/>
        <v>1.2403782705423245E-3</v>
      </c>
      <c r="K1578" s="34">
        <f t="shared" si="97"/>
        <v>1.2396093193782765E-3</v>
      </c>
      <c r="L1578" s="34">
        <f t="shared" si="98"/>
        <v>0.99197296277573876</v>
      </c>
      <c r="M1578" s="34">
        <f t="shared" si="99"/>
        <v>0.99074330384651066</v>
      </c>
    </row>
    <row r="1579" spans="1:13" ht="27.6">
      <c r="A1579" t="s">
        <v>164</v>
      </c>
      <c r="B1579" t="s">
        <v>112</v>
      </c>
      <c r="C1579" s="14" t="s">
        <v>294</v>
      </c>
      <c r="D1579" t="s">
        <v>112</v>
      </c>
      <c r="E1579" t="s">
        <v>383</v>
      </c>
      <c r="F1579" s="20">
        <v>2038</v>
      </c>
      <c r="G1579" s="20">
        <v>47</v>
      </c>
      <c r="H1579" s="11">
        <v>5539.9186402853802</v>
      </c>
      <c r="I1579" s="10">
        <v>4059488.5227918699</v>
      </c>
      <c r="J1579" s="34">
        <f t="shared" si="96"/>
        <v>1.3646839027088467E-3</v>
      </c>
      <c r="K1579" s="34">
        <f t="shared" si="97"/>
        <v>1.3637531450765294E-3</v>
      </c>
      <c r="L1579" s="34">
        <f t="shared" si="98"/>
        <v>0.99074330384651066</v>
      </c>
      <c r="M1579" s="34">
        <f t="shared" si="99"/>
        <v>0.98939217454992645</v>
      </c>
    </row>
    <row r="1580" spans="1:13" ht="27.6">
      <c r="A1580" t="s">
        <v>164</v>
      </c>
      <c r="B1580" t="s">
        <v>112</v>
      </c>
      <c r="C1580" s="14" t="s">
        <v>294</v>
      </c>
      <c r="D1580" t="s">
        <v>112</v>
      </c>
      <c r="E1580" t="s">
        <v>383</v>
      </c>
      <c r="F1580" s="20">
        <v>2038</v>
      </c>
      <c r="G1580" s="20">
        <v>48</v>
      </c>
      <c r="H1580" s="11">
        <v>6093.6817462148701</v>
      </c>
      <c r="I1580" s="10">
        <v>4033824.2294370499</v>
      </c>
      <c r="J1580" s="34">
        <f t="shared" si="96"/>
        <v>1.5106463245834806E-3</v>
      </c>
      <c r="K1580" s="34">
        <f t="shared" si="97"/>
        <v>1.5095058727698785E-3</v>
      </c>
      <c r="L1580" s="34">
        <f t="shared" si="98"/>
        <v>0.98939217454992645</v>
      </c>
      <c r="M1580" s="34">
        <f t="shared" si="99"/>
        <v>0.98789868125197078</v>
      </c>
    </row>
    <row r="1581" spans="1:13" ht="27.6">
      <c r="A1581" t="s">
        <v>164</v>
      </c>
      <c r="B1581" t="s">
        <v>112</v>
      </c>
      <c r="C1581" s="14" t="s">
        <v>294</v>
      </c>
      <c r="D1581" t="s">
        <v>112</v>
      </c>
      <c r="E1581" t="s">
        <v>383</v>
      </c>
      <c r="F1581" s="20">
        <v>2038</v>
      </c>
      <c r="G1581" s="20">
        <v>49</v>
      </c>
      <c r="H1581" s="11">
        <v>6580.7620749665302</v>
      </c>
      <c r="I1581" s="10">
        <v>4029648.0317347599</v>
      </c>
      <c r="J1581" s="34">
        <f t="shared" si="96"/>
        <v>1.6330860718208975E-3</v>
      </c>
      <c r="K1581" s="34">
        <f t="shared" si="97"/>
        <v>1.6317533123643146E-3</v>
      </c>
      <c r="L1581" s="34">
        <f t="shared" si="98"/>
        <v>0.98789868125197078</v>
      </c>
      <c r="M1581" s="34">
        <f t="shared" si="99"/>
        <v>0.98628667430655759</v>
      </c>
    </row>
    <row r="1582" spans="1:13" ht="27.6">
      <c r="A1582" t="s">
        <v>164</v>
      </c>
      <c r="B1582" t="s">
        <v>112</v>
      </c>
      <c r="C1582" s="14" t="s">
        <v>294</v>
      </c>
      <c r="D1582" t="s">
        <v>112</v>
      </c>
      <c r="E1582" t="s">
        <v>383</v>
      </c>
      <c r="F1582" s="20">
        <v>2038</v>
      </c>
      <c r="G1582" s="20">
        <v>50</v>
      </c>
      <c r="H1582" s="11">
        <v>7148.8296809969097</v>
      </c>
      <c r="I1582" s="10">
        <v>3979412.3856478198</v>
      </c>
      <c r="J1582" s="34">
        <f t="shared" si="96"/>
        <v>1.7964535936963798E-3</v>
      </c>
      <c r="K1582" s="34">
        <f t="shared" si="97"/>
        <v>1.7948409367715135E-3</v>
      </c>
      <c r="L1582" s="34">
        <f t="shared" si="98"/>
        <v>0.98628667430655759</v>
      </c>
      <c r="M1582" s="34">
        <f t="shared" si="99"/>
        <v>0.98451644660811999</v>
      </c>
    </row>
    <row r="1583" spans="1:13" ht="27.6">
      <c r="A1583" t="s">
        <v>164</v>
      </c>
      <c r="B1583" t="s">
        <v>112</v>
      </c>
      <c r="C1583" s="14" t="s">
        <v>294</v>
      </c>
      <c r="D1583" t="s">
        <v>112</v>
      </c>
      <c r="E1583" t="s">
        <v>383</v>
      </c>
      <c r="F1583" s="20">
        <v>2038</v>
      </c>
      <c r="G1583" s="20">
        <v>51</v>
      </c>
      <c r="H1583" s="11">
        <v>8072.5768972197002</v>
      </c>
      <c r="I1583" s="10">
        <v>3920034.6771177002</v>
      </c>
      <c r="J1583" s="34">
        <f t="shared" si="96"/>
        <v>2.0593126240289424E-3</v>
      </c>
      <c r="K1583" s="34">
        <f t="shared" si="97"/>
        <v>2.0571936945494862E-3</v>
      </c>
      <c r="L1583" s="34">
        <f t="shared" si="98"/>
        <v>0.98451644660811999</v>
      </c>
      <c r="M1583" s="34">
        <f t="shared" si="99"/>
        <v>0.9824911055819775</v>
      </c>
    </row>
    <row r="1584" spans="1:13" ht="27.6">
      <c r="A1584" t="s">
        <v>164</v>
      </c>
      <c r="B1584" t="s">
        <v>112</v>
      </c>
      <c r="C1584" s="14" t="s">
        <v>294</v>
      </c>
      <c r="D1584" t="s">
        <v>112</v>
      </c>
      <c r="E1584" t="s">
        <v>383</v>
      </c>
      <c r="F1584" s="20">
        <v>2038</v>
      </c>
      <c r="G1584" s="20">
        <v>52</v>
      </c>
      <c r="H1584" s="11">
        <v>8838.3371242343401</v>
      </c>
      <c r="I1584" s="10">
        <v>3919777.56643906</v>
      </c>
      <c r="J1584" s="34">
        <f t="shared" si="96"/>
        <v>2.2548057828351642E-3</v>
      </c>
      <c r="K1584" s="34">
        <f t="shared" si="97"/>
        <v>2.2522656178276534E-3</v>
      </c>
      <c r="L1584" s="34">
        <f t="shared" si="98"/>
        <v>0.9824911055819775</v>
      </c>
      <c r="M1584" s="34">
        <f t="shared" si="99"/>
        <v>0.98027827464505368</v>
      </c>
    </row>
    <row r="1585" spans="1:13" ht="27.6">
      <c r="A1585" t="s">
        <v>164</v>
      </c>
      <c r="B1585" t="s">
        <v>112</v>
      </c>
      <c r="C1585" s="14" t="s">
        <v>294</v>
      </c>
      <c r="D1585" t="s">
        <v>112</v>
      </c>
      <c r="E1585" t="s">
        <v>383</v>
      </c>
      <c r="F1585" s="20">
        <v>2038</v>
      </c>
      <c r="G1585" s="20">
        <v>53</v>
      </c>
      <c r="H1585" s="11">
        <v>9799.5028043756993</v>
      </c>
      <c r="I1585" s="10">
        <v>3973060.4496202599</v>
      </c>
      <c r="J1585" s="34">
        <f t="shared" si="96"/>
        <v>2.4664872152429301E-3</v>
      </c>
      <c r="K1585" s="34">
        <f t="shared" si="97"/>
        <v>2.4634479349470162E-3</v>
      </c>
      <c r="L1585" s="34">
        <f t="shared" si="98"/>
        <v>0.98027827464505368</v>
      </c>
      <c r="M1585" s="34">
        <f t="shared" si="99"/>
        <v>0.97786341015370593</v>
      </c>
    </row>
    <row r="1586" spans="1:13" ht="27.6">
      <c r="A1586" t="s">
        <v>164</v>
      </c>
      <c r="B1586" t="s">
        <v>112</v>
      </c>
      <c r="C1586" s="14" t="s">
        <v>294</v>
      </c>
      <c r="D1586" t="s">
        <v>112</v>
      </c>
      <c r="E1586" t="s">
        <v>383</v>
      </c>
      <c r="F1586" s="20">
        <v>2038</v>
      </c>
      <c r="G1586" s="20">
        <v>54</v>
      </c>
      <c r="H1586" s="11">
        <v>10839.703717472999</v>
      </c>
      <c r="I1586" s="10">
        <v>3984500.6618870301</v>
      </c>
      <c r="J1586" s="34">
        <f t="shared" si="96"/>
        <v>2.720467289956327E-3</v>
      </c>
      <c r="K1586" s="34">
        <f t="shared" si="97"/>
        <v>2.7167701722077275E-3</v>
      </c>
      <c r="L1586" s="34">
        <f t="shared" si="98"/>
        <v>0.97786341015370593</v>
      </c>
      <c r="M1586" s="34">
        <f t="shared" si="99"/>
        <v>0.97520678000850702</v>
      </c>
    </row>
    <row r="1587" spans="1:13" ht="27.6">
      <c r="A1587" t="s">
        <v>164</v>
      </c>
      <c r="B1587" t="s">
        <v>112</v>
      </c>
      <c r="C1587" s="14" t="s">
        <v>294</v>
      </c>
      <c r="D1587" t="s">
        <v>112</v>
      </c>
      <c r="E1587" t="s">
        <v>383</v>
      </c>
      <c r="F1587" s="20">
        <v>2038</v>
      </c>
      <c r="G1587" s="20">
        <v>55</v>
      </c>
      <c r="H1587" s="11">
        <v>11706.8531513421</v>
      </c>
      <c r="I1587" s="10">
        <v>3939078.2675816901</v>
      </c>
      <c r="J1587" s="34">
        <f t="shared" si="96"/>
        <v>2.9719777968588738E-3</v>
      </c>
      <c r="K1587" s="34">
        <f t="shared" si="97"/>
        <v>2.9675658426718821E-3</v>
      </c>
      <c r="L1587" s="34">
        <f t="shared" si="98"/>
        <v>0.97520678000850702</v>
      </c>
      <c r="M1587" s="34">
        <f t="shared" si="99"/>
        <v>0.97231278967861179</v>
      </c>
    </row>
    <row r="1588" spans="1:13" ht="27.6">
      <c r="A1588" t="s">
        <v>164</v>
      </c>
      <c r="B1588" t="s">
        <v>112</v>
      </c>
      <c r="C1588" s="14" t="s">
        <v>294</v>
      </c>
      <c r="D1588" t="s">
        <v>112</v>
      </c>
      <c r="E1588" t="s">
        <v>383</v>
      </c>
      <c r="F1588" s="20">
        <v>2038</v>
      </c>
      <c r="G1588" s="20">
        <v>56</v>
      </c>
      <c r="H1588" s="11">
        <v>12531.333309546801</v>
      </c>
      <c r="I1588" s="10">
        <v>3869164.42657748</v>
      </c>
      <c r="J1588" s="34">
        <f t="shared" si="96"/>
        <v>3.2387699068740679E-3</v>
      </c>
      <c r="K1588" s="34">
        <f t="shared" si="97"/>
        <v>3.2335307492874499E-3</v>
      </c>
      <c r="L1588" s="34">
        <f t="shared" si="98"/>
        <v>0.97231278967861179</v>
      </c>
      <c r="M1588" s="34">
        <f t="shared" si="99"/>
        <v>0.96916878637526049</v>
      </c>
    </row>
    <row r="1589" spans="1:13" ht="27.6">
      <c r="A1589" t="s">
        <v>164</v>
      </c>
      <c r="B1589" t="s">
        <v>112</v>
      </c>
      <c r="C1589" s="14" t="s">
        <v>294</v>
      </c>
      <c r="D1589" t="s">
        <v>112</v>
      </c>
      <c r="E1589" t="s">
        <v>383</v>
      </c>
      <c r="F1589" s="20">
        <v>2038</v>
      </c>
      <c r="G1589" s="20">
        <v>57</v>
      </c>
      <c r="H1589" s="11">
        <v>13397.880837155901</v>
      </c>
      <c r="I1589" s="10">
        <v>3791962.7208378799</v>
      </c>
      <c r="J1589" s="34">
        <f t="shared" si="96"/>
        <v>3.5332311585055554E-3</v>
      </c>
      <c r="K1589" s="34">
        <f t="shared" si="97"/>
        <v>3.5269966421197507E-3</v>
      </c>
      <c r="L1589" s="34">
        <f t="shared" si="98"/>
        <v>0.96916878637526049</v>
      </c>
      <c r="M1589" s="34">
        <f t="shared" si="99"/>
        <v>0.96575053132006772</v>
      </c>
    </row>
    <row r="1590" spans="1:13" ht="27.6">
      <c r="A1590" t="s">
        <v>164</v>
      </c>
      <c r="B1590" t="s">
        <v>112</v>
      </c>
      <c r="C1590" s="14" t="s">
        <v>294</v>
      </c>
      <c r="D1590" t="s">
        <v>112</v>
      </c>
      <c r="E1590" t="s">
        <v>383</v>
      </c>
      <c r="F1590" s="20">
        <v>2038</v>
      </c>
      <c r="G1590" s="20">
        <v>58</v>
      </c>
      <c r="H1590" s="11">
        <v>14329.5905666528</v>
      </c>
      <c r="I1590" s="10">
        <v>3718866.5969852302</v>
      </c>
      <c r="J1590" s="34">
        <f t="shared" si="96"/>
        <v>3.8532144654689561E-3</v>
      </c>
      <c r="K1590" s="34">
        <f t="shared" si="97"/>
        <v>3.8458003603798474E-3</v>
      </c>
      <c r="L1590" s="34">
        <f t="shared" si="98"/>
        <v>0.96575053132006772</v>
      </c>
      <c r="M1590" s="34">
        <f t="shared" si="99"/>
        <v>0.96203644757868001</v>
      </c>
    </row>
    <row r="1591" spans="1:13" ht="27.6">
      <c r="A1591" t="s">
        <v>164</v>
      </c>
      <c r="B1591" t="s">
        <v>112</v>
      </c>
      <c r="C1591" s="14" t="s">
        <v>294</v>
      </c>
      <c r="D1591" t="s">
        <v>112</v>
      </c>
      <c r="E1591" t="s">
        <v>383</v>
      </c>
      <c r="F1591" s="20">
        <v>2038</v>
      </c>
      <c r="G1591" s="20">
        <v>59</v>
      </c>
      <c r="H1591" s="11">
        <v>14626.898301061299</v>
      </c>
      <c r="I1591" s="10">
        <v>3631675.5580774499</v>
      </c>
      <c r="J1591" s="34">
        <f t="shared" si="96"/>
        <v>4.0275894878683879E-3</v>
      </c>
      <c r="K1591" s="34">
        <f t="shared" si="97"/>
        <v>4.0194896272802705E-3</v>
      </c>
      <c r="L1591" s="34">
        <f t="shared" si="98"/>
        <v>0.96203644757868001</v>
      </c>
      <c r="M1591" s="34">
        <f t="shared" si="99"/>
        <v>0.95816955205657195</v>
      </c>
    </row>
    <row r="1592" spans="1:13" ht="27.6">
      <c r="A1592" t="s">
        <v>164</v>
      </c>
      <c r="B1592" t="s">
        <v>112</v>
      </c>
      <c r="C1592" s="14" t="s">
        <v>294</v>
      </c>
      <c r="D1592" t="s">
        <v>112</v>
      </c>
      <c r="E1592" t="s">
        <v>383</v>
      </c>
      <c r="F1592" s="20">
        <v>2038</v>
      </c>
      <c r="G1592" s="20">
        <v>60</v>
      </c>
      <c r="H1592" s="11">
        <v>15051.9603762446</v>
      </c>
      <c r="I1592" s="10">
        <v>3521381.3774740901</v>
      </c>
      <c r="J1592" s="34">
        <f t="shared" si="96"/>
        <v>4.2744476564028034E-3</v>
      </c>
      <c r="K1592" s="34">
        <f t="shared" si="97"/>
        <v>4.2653252074578152E-3</v>
      </c>
      <c r="L1592" s="34">
        <f t="shared" si="98"/>
        <v>0.95816955205657195</v>
      </c>
      <c r="M1592" s="34">
        <f t="shared" si="99"/>
        <v>0.9540826473131665</v>
      </c>
    </row>
    <row r="1593" spans="1:13" ht="27.6">
      <c r="A1593" t="s">
        <v>164</v>
      </c>
      <c r="B1593" t="s">
        <v>112</v>
      </c>
      <c r="C1593" s="14" t="s">
        <v>294</v>
      </c>
      <c r="D1593" t="s">
        <v>112</v>
      </c>
      <c r="E1593" t="s">
        <v>383</v>
      </c>
      <c r="F1593" s="20">
        <v>2038</v>
      </c>
      <c r="G1593" s="20">
        <v>61</v>
      </c>
      <c r="H1593" s="11">
        <v>15654.055597521599</v>
      </c>
      <c r="I1593" s="10">
        <v>3414689.0056185601</v>
      </c>
      <c r="J1593" s="34">
        <f t="shared" si="96"/>
        <v>4.5843283449134827E-3</v>
      </c>
      <c r="K1593" s="34">
        <f t="shared" si="97"/>
        <v>4.5738363507650259E-3</v>
      </c>
      <c r="L1593" s="34">
        <f t="shared" si="98"/>
        <v>0.9540826473131665</v>
      </c>
      <c r="M1593" s="34">
        <f t="shared" si="99"/>
        <v>0.94971882941925145</v>
      </c>
    </row>
    <row r="1594" spans="1:13" ht="27.6">
      <c r="A1594" t="s">
        <v>164</v>
      </c>
      <c r="B1594" t="s">
        <v>112</v>
      </c>
      <c r="C1594" s="14" t="s">
        <v>294</v>
      </c>
      <c r="D1594" t="s">
        <v>112</v>
      </c>
      <c r="E1594" t="s">
        <v>383</v>
      </c>
      <c r="F1594" s="20">
        <v>2038</v>
      </c>
      <c r="G1594" s="20">
        <v>62</v>
      </c>
      <c r="H1594" s="11">
        <v>16471.5448721188</v>
      </c>
      <c r="I1594" s="10">
        <v>3320770.0123885898</v>
      </c>
      <c r="J1594" s="34">
        <f t="shared" si="96"/>
        <v>4.9601582797572357E-3</v>
      </c>
      <c r="K1594" s="34">
        <f t="shared" si="97"/>
        <v>4.9478770087503232E-3</v>
      </c>
      <c r="L1594" s="34">
        <f t="shared" si="98"/>
        <v>0.94971882941925145</v>
      </c>
      <c r="M1594" s="34">
        <f t="shared" si="99"/>
        <v>0.94501973745839063</v>
      </c>
    </row>
    <row r="1595" spans="1:13" ht="27.6">
      <c r="A1595" t="s">
        <v>164</v>
      </c>
      <c r="B1595" t="s">
        <v>112</v>
      </c>
      <c r="C1595" s="14" t="s">
        <v>294</v>
      </c>
      <c r="D1595" t="s">
        <v>112</v>
      </c>
      <c r="E1595" t="s">
        <v>383</v>
      </c>
      <c r="F1595" s="20">
        <v>2038</v>
      </c>
      <c r="G1595" s="20">
        <v>63</v>
      </c>
      <c r="H1595" s="11">
        <v>17255.117550865802</v>
      </c>
      <c r="I1595" s="10">
        <v>3214431.46343453</v>
      </c>
      <c r="J1595" s="34">
        <f t="shared" si="96"/>
        <v>5.3680153853487957E-3</v>
      </c>
      <c r="K1595" s="34">
        <f t="shared" si="97"/>
        <v>5.3536333366208666E-3</v>
      </c>
      <c r="L1595" s="34">
        <f t="shared" si="98"/>
        <v>0.94501973745839063</v>
      </c>
      <c r="M1595" s="34">
        <f t="shared" si="99"/>
        <v>0.93996044828816872</v>
      </c>
    </row>
    <row r="1596" spans="1:13" ht="27.6">
      <c r="A1596" t="s">
        <v>164</v>
      </c>
      <c r="B1596" t="s">
        <v>112</v>
      </c>
      <c r="C1596" s="14" t="s">
        <v>294</v>
      </c>
      <c r="D1596" t="s">
        <v>112</v>
      </c>
      <c r="E1596" t="s">
        <v>383</v>
      </c>
      <c r="F1596" s="20">
        <v>2038</v>
      </c>
      <c r="G1596" s="20">
        <v>64</v>
      </c>
      <c r="H1596" s="11">
        <v>18476.670556205499</v>
      </c>
      <c r="I1596" s="10">
        <v>3120641.797334</v>
      </c>
      <c r="J1596" s="34">
        <f t="shared" si="96"/>
        <v>5.9207918614659107E-3</v>
      </c>
      <c r="K1596" s="34">
        <f t="shared" si="97"/>
        <v>5.9032985151811213E-3</v>
      </c>
      <c r="L1596" s="34">
        <f t="shared" si="98"/>
        <v>0.93996044828816872</v>
      </c>
      <c r="M1596" s="34">
        <f t="shared" si="99"/>
        <v>0.93441158116946021</v>
      </c>
    </row>
    <row r="1597" spans="1:13" ht="27.6">
      <c r="A1597" t="s">
        <v>164</v>
      </c>
      <c r="B1597" t="s">
        <v>112</v>
      </c>
      <c r="C1597" s="14" t="s">
        <v>294</v>
      </c>
      <c r="D1597" t="s">
        <v>112</v>
      </c>
      <c r="E1597" t="s">
        <v>383</v>
      </c>
      <c r="F1597" s="20">
        <v>2038</v>
      </c>
      <c r="G1597" s="20">
        <v>65</v>
      </c>
      <c r="H1597" s="11">
        <v>19624.848733606301</v>
      </c>
      <c r="I1597" s="10">
        <v>3025491.5324748098</v>
      </c>
      <c r="J1597" s="34">
        <f t="shared" si="96"/>
        <v>6.4864993086110037E-3</v>
      </c>
      <c r="K1597" s="34">
        <f t="shared" si="97"/>
        <v>6.465507384527891E-3</v>
      </c>
      <c r="L1597" s="34">
        <f t="shared" si="98"/>
        <v>0.93441158116946021</v>
      </c>
      <c r="M1597" s="34">
        <f t="shared" si="99"/>
        <v>0.92837013619122066</v>
      </c>
    </row>
    <row r="1598" spans="1:13" ht="27.6">
      <c r="A1598" t="s">
        <v>164</v>
      </c>
      <c r="B1598" t="s">
        <v>112</v>
      </c>
      <c r="C1598" s="14" t="s">
        <v>294</v>
      </c>
      <c r="D1598" t="s">
        <v>112</v>
      </c>
      <c r="E1598" t="s">
        <v>383</v>
      </c>
      <c r="F1598" s="20">
        <v>2038</v>
      </c>
      <c r="G1598" s="20">
        <v>66</v>
      </c>
      <c r="H1598" s="11">
        <v>20031.276658444898</v>
      </c>
      <c r="I1598" s="10">
        <v>2910526.3509633802</v>
      </c>
      <c r="J1598" s="34">
        <f t="shared" si="96"/>
        <v>6.8823553690948629E-3</v>
      </c>
      <c r="K1598" s="34">
        <f t="shared" si="97"/>
        <v>6.858726200568932E-3</v>
      </c>
      <c r="L1598" s="34">
        <f t="shared" si="98"/>
        <v>0.92837013619122066</v>
      </c>
      <c r="M1598" s="34">
        <f t="shared" si="99"/>
        <v>0.92200269961430015</v>
      </c>
    </row>
    <row r="1599" spans="1:13" ht="27.6">
      <c r="A1599" t="s">
        <v>164</v>
      </c>
      <c r="B1599" t="s">
        <v>112</v>
      </c>
      <c r="C1599" s="14" t="s">
        <v>294</v>
      </c>
      <c r="D1599" t="s">
        <v>112</v>
      </c>
      <c r="E1599" t="s">
        <v>383</v>
      </c>
      <c r="F1599" s="20">
        <v>2038</v>
      </c>
      <c r="G1599" s="20">
        <v>67</v>
      </c>
      <c r="H1599" s="11">
        <v>21013.989760404598</v>
      </c>
      <c r="I1599" s="10">
        <v>2803863.8088885001</v>
      </c>
      <c r="J1599" s="34">
        <f t="shared" si="96"/>
        <v>7.4946542317028252E-3</v>
      </c>
      <c r="K1599" s="34">
        <f t="shared" si="97"/>
        <v>7.4666393416701338E-3</v>
      </c>
      <c r="L1599" s="34">
        <f t="shared" si="98"/>
        <v>0.92200269961430015</v>
      </c>
      <c r="M1599" s="34">
        <f t="shared" si="99"/>
        <v>0.91511843798423398</v>
      </c>
    </row>
    <row r="1600" spans="1:13" ht="27.6">
      <c r="A1600" t="s">
        <v>164</v>
      </c>
      <c r="B1600" t="s">
        <v>112</v>
      </c>
      <c r="C1600" s="14" t="s">
        <v>294</v>
      </c>
      <c r="D1600" t="s">
        <v>112</v>
      </c>
      <c r="E1600" t="s">
        <v>383</v>
      </c>
      <c r="F1600" s="20">
        <v>2038</v>
      </c>
      <c r="G1600" s="20">
        <v>68</v>
      </c>
      <c r="H1600" s="11">
        <v>21871.512490485198</v>
      </c>
      <c r="I1600" s="10">
        <v>2694401.1685965401</v>
      </c>
      <c r="J1600" s="34">
        <f t="shared" si="96"/>
        <v>8.1173927421793815E-3</v>
      </c>
      <c r="K1600" s="34">
        <f t="shared" si="97"/>
        <v>8.0845356743953767E-3</v>
      </c>
      <c r="L1600" s="34">
        <f t="shared" si="98"/>
        <v>0.91511843798423398</v>
      </c>
      <c r="M1600" s="34">
        <f t="shared" si="99"/>
        <v>0.90772013032605348</v>
      </c>
    </row>
    <row r="1601" spans="1:13" ht="27.6">
      <c r="A1601" t="s">
        <v>164</v>
      </c>
      <c r="B1601" t="s">
        <v>112</v>
      </c>
      <c r="C1601" s="14" t="s">
        <v>294</v>
      </c>
      <c r="D1601" t="s">
        <v>112</v>
      </c>
      <c r="E1601" t="s">
        <v>383</v>
      </c>
      <c r="F1601" s="20">
        <v>2038</v>
      </c>
      <c r="G1601" s="20">
        <v>69</v>
      </c>
      <c r="H1601" s="11">
        <v>21988.5102420414</v>
      </c>
      <c r="I1601" s="10">
        <v>2570253.7231847402</v>
      </c>
      <c r="J1601" s="34">
        <f t="shared" si="96"/>
        <v>8.5549959693457661E-3</v>
      </c>
      <c r="K1601" s="34">
        <f t="shared" si="97"/>
        <v>8.5185061223009839E-3</v>
      </c>
      <c r="L1601" s="34">
        <f t="shared" si="98"/>
        <v>0.90772013032605348</v>
      </c>
      <c r="M1601" s="34">
        <f t="shared" si="99"/>
        <v>0.89998771083853513</v>
      </c>
    </row>
    <row r="1602" spans="1:13" ht="27.6">
      <c r="A1602" t="s">
        <v>164</v>
      </c>
      <c r="B1602" t="s">
        <v>112</v>
      </c>
      <c r="C1602" s="14" t="s">
        <v>294</v>
      </c>
      <c r="D1602" t="s">
        <v>112</v>
      </c>
      <c r="E1602" t="s">
        <v>383</v>
      </c>
      <c r="F1602" s="20">
        <v>2039</v>
      </c>
      <c r="G1602" s="20">
        <v>30</v>
      </c>
      <c r="H1602" s="11">
        <v>729.14374815167503</v>
      </c>
      <c r="I1602" s="10">
        <v>4660700.2303242804</v>
      </c>
      <c r="J1602" s="34">
        <f t="shared" ref="J1602:J1665" si="100">IF(I1602&gt;0,H1602/I1602,0)</f>
        <v>1.5644510741274234E-4</v>
      </c>
      <c r="K1602" s="34">
        <f t="shared" ref="K1602:K1665" si="101">1-EXP(-J1602)</f>
        <v>1.5643287051503307E-4</v>
      </c>
      <c r="L1602" s="34">
        <f t="shared" ref="L1602:L1665" si="102">IF(G1602=30,1,M1601)</f>
        <v>1</v>
      </c>
      <c r="M1602" s="34">
        <f t="shared" ref="M1602:M1665" si="103">L1602*(1-K1602)</f>
        <v>0.99984356712948497</v>
      </c>
    </row>
    <row r="1603" spans="1:13" ht="27.6">
      <c r="A1603" t="s">
        <v>164</v>
      </c>
      <c r="B1603" t="s">
        <v>112</v>
      </c>
      <c r="C1603" s="14" t="s">
        <v>294</v>
      </c>
      <c r="D1603" t="s">
        <v>112</v>
      </c>
      <c r="E1603" t="s">
        <v>383</v>
      </c>
      <c r="F1603" s="20">
        <v>2039</v>
      </c>
      <c r="G1603" s="20">
        <v>31</v>
      </c>
      <c r="H1603" s="11">
        <v>1040.8014604699599</v>
      </c>
      <c r="I1603" s="10">
        <v>4653300.7569554802</v>
      </c>
      <c r="J1603" s="34">
        <f t="shared" si="100"/>
        <v>2.2366950146392991E-4</v>
      </c>
      <c r="K1603" s="34">
        <f t="shared" si="101"/>
        <v>2.2364448930589642E-4</v>
      </c>
      <c r="L1603" s="34">
        <f t="shared" si="102"/>
        <v>0.99984356712948497</v>
      </c>
      <c r="M1603" s="34">
        <f t="shared" si="103"/>
        <v>0.99961995762552847</v>
      </c>
    </row>
    <row r="1604" spans="1:13" ht="27.6">
      <c r="A1604" t="s">
        <v>164</v>
      </c>
      <c r="B1604" t="s">
        <v>112</v>
      </c>
      <c r="C1604" s="14" t="s">
        <v>294</v>
      </c>
      <c r="D1604" t="s">
        <v>112</v>
      </c>
      <c r="E1604" t="s">
        <v>383</v>
      </c>
      <c r="F1604" s="20">
        <v>2039</v>
      </c>
      <c r="G1604" s="20">
        <v>32</v>
      </c>
      <c r="H1604" s="11">
        <v>1077.18655249271</v>
      </c>
      <c r="I1604" s="10">
        <v>4626064.4165171804</v>
      </c>
      <c r="J1604" s="34">
        <f t="shared" si="100"/>
        <v>2.3285161111173851E-4</v>
      </c>
      <c r="K1604" s="34">
        <f t="shared" si="101"/>
        <v>2.3282450327943849E-4</v>
      </c>
      <c r="L1604" s="34">
        <f t="shared" si="102"/>
        <v>0.99961995762552847</v>
      </c>
      <c r="M1604" s="34">
        <f t="shared" si="103"/>
        <v>0.99938722160542603</v>
      </c>
    </row>
    <row r="1605" spans="1:13" ht="27.6">
      <c r="A1605" t="s">
        <v>164</v>
      </c>
      <c r="B1605" t="s">
        <v>112</v>
      </c>
      <c r="C1605" s="14" t="s">
        <v>294</v>
      </c>
      <c r="D1605" t="s">
        <v>112</v>
      </c>
      <c r="E1605" t="s">
        <v>383</v>
      </c>
      <c r="F1605" s="20">
        <v>2039</v>
      </c>
      <c r="G1605" s="20">
        <v>33</v>
      </c>
      <c r="H1605" s="11">
        <v>1120.06543440938</v>
      </c>
      <c r="I1605" s="10">
        <v>4555126.48338449</v>
      </c>
      <c r="J1605" s="34">
        <f t="shared" si="100"/>
        <v>2.4589118183545227E-4</v>
      </c>
      <c r="K1605" s="34">
        <f t="shared" si="101"/>
        <v>2.4586095307654876E-4</v>
      </c>
      <c r="L1605" s="34">
        <f t="shared" si="102"/>
        <v>0.99938722160542603</v>
      </c>
      <c r="M1605" s="34">
        <f t="shared" si="103"/>
        <v>0.99914151131062956</v>
      </c>
    </row>
    <row r="1606" spans="1:13" ht="27.6">
      <c r="A1606" t="s">
        <v>164</v>
      </c>
      <c r="B1606" t="s">
        <v>112</v>
      </c>
      <c r="C1606" s="14" t="s">
        <v>294</v>
      </c>
      <c r="D1606" t="s">
        <v>112</v>
      </c>
      <c r="E1606" t="s">
        <v>383</v>
      </c>
      <c r="F1606" s="20">
        <v>2039</v>
      </c>
      <c r="G1606" s="20">
        <v>34</v>
      </c>
      <c r="H1606" s="11">
        <v>1161.0744393805801</v>
      </c>
      <c r="I1606" s="10">
        <v>4461420.8076718897</v>
      </c>
      <c r="J1606" s="34">
        <f t="shared" si="100"/>
        <v>2.6024768553192486E-4</v>
      </c>
      <c r="K1606" s="34">
        <f t="shared" si="101"/>
        <v>2.6021382404051163E-4</v>
      </c>
      <c r="L1606" s="34">
        <f t="shared" si="102"/>
        <v>0.99914151131062956</v>
      </c>
      <c r="M1606" s="34">
        <f t="shared" si="103"/>
        <v>0.99888152087721382</v>
      </c>
    </row>
    <row r="1607" spans="1:13" ht="27.6">
      <c r="A1607" t="s">
        <v>164</v>
      </c>
      <c r="B1607" t="s">
        <v>112</v>
      </c>
      <c r="C1607" s="14" t="s">
        <v>294</v>
      </c>
      <c r="D1607" t="s">
        <v>112</v>
      </c>
      <c r="E1607" t="s">
        <v>383</v>
      </c>
      <c r="F1607" s="20">
        <v>2039</v>
      </c>
      <c r="G1607" s="20">
        <v>35</v>
      </c>
      <c r="H1607" s="11">
        <v>1234.3859937044399</v>
      </c>
      <c r="I1607" s="10">
        <v>4364199.4994625701</v>
      </c>
      <c r="J1607" s="34">
        <f t="shared" si="100"/>
        <v>2.828436220334218E-4</v>
      </c>
      <c r="K1607" s="34">
        <f t="shared" si="101"/>
        <v>2.8280362554711225E-4</v>
      </c>
      <c r="L1607" s="34">
        <f t="shared" si="102"/>
        <v>0.99888152087721382</v>
      </c>
      <c r="M1607" s="34">
        <f t="shared" si="103"/>
        <v>0.99859903356161772</v>
      </c>
    </row>
    <row r="1608" spans="1:13" ht="27.6">
      <c r="A1608" t="s">
        <v>164</v>
      </c>
      <c r="B1608" t="s">
        <v>112</v>
      </c>
      <c r="C1608" s="14" t="s">
        <v>294</v>
      </c>
      <c r="D1608" t="s">
        <v>112</v>
      </c>
      <c r="E1608" t="s">
        <v>383</v>
      </c>
      <c r="F1608" s="20">
        <v>2039</v>
      </c>
      <c r="G1608" s="20">
        <v>36</v>
      </c>
      <c r="H1608" s="11">
        <v>1616.14831221749</v>
      </c>
      <c r="I1608" s="10">
        <v>4321017.9947874602</v>
      </c>
      <c r="J1608" s="34">
        <f t="shared" si="100"/>
        <v>3.7402026887346584E-4</v>
      </c>
      <c r="K1608" s="34">
        <f t="shared" si="101"/>
        <v>3.739503320122628E-4</v>
      </c>
      <c r="L1608" s="34">
        <f t="shared" si="102"/>
        <v>0.99859903356161772</v>
      </c>
      <c r="M1608" s="34">
        <f t="shared" si="103"/>
        <v>0.99822560712147024</v>
      </c>
    </row>
    <row r="1609" spans="1:13" ht="27.6">
      <c r="A1609" t="s">
        <v>164</v>
      </c>
      <c r="B1609" t="s">
        <v>112</v>
      </c>
      <c r="C1609" s="14" t="s">
        <v>294</v>
      </c>
      <c r="D1609" t="s">
        <v>112</v>
      </c>
      <c r="E1609" t="s">
        <v>383</v>
      </c>
      <c r="F1609" s="20">
        <v>2039</v>
      </c>
      <c r="G1609" s="20">
        <v>37</v>
      </c>
      <c r="H1609" s="11">
        <v>1786.1481191451601</v>
      </c>
      <c r="I1609" s="10">
        <v>4300549.7458917797</v>
      </c>
      <c r="J1609" s="34">
        <f t="shared" si="100"/>
        <v>4.1533018443779847E-4</v>
      </c>
      <c r="K1609" s="34">
        <f t="shared" si="101"/>
        <v>4.1524394679615106E-4</v>
      </c>
      <c r="L1609" s="34">
        <f t="shared" si="102"/>
        <v>0.99822560712147024</v>
      </c>
      <c r="M1609" s="34">
        <f t="shared" si="103"/>
        <v>0.99781109998057615</v>
      </c>
    </row>
    <row r="1610" spans="1:13" ht="27.6">
      <c r="A1610" t="s">
        <v>164</v>
      </c>
      <c r="B1610" t="s">
        <v>112</v>
      </c>
      <c r="C1610" s="14" t="s">
        <v>294</v>
      </c>
      <c r="D1610" t="s">
        <v>112</v>
      </c>
      <c r="E1610" t="s">
        <v>383</v>
      </c>
      <c r="F1610" s="20">
        <v>2039</v>
      </c>
      <c r="G1610" s="20">
        <v>38</v>
      </c>
      <c r="H1610" s="11">
        <v>1978.77315556027</v>
      </c>
      <c r="I1610" s="10">
        <v>4279935.9125123797</v>
      </c>
      <c r="J1610" s="34">
        <f t="shared" si="100"/>
        <v>4.6233709943537535E-4</v>
      </c>
      <c r="K1610" s="34">
        <f t="shared" si="101"/>
        <v>4.6223023810787467E-4</v>
      </c>
      <c r="L1610" s="34">
        <f t="shared" si="102"/>
        <v>0.99781109998057615</v>
      </c>
      <c r="M1610" s="34">
        <f t="shared" si="103"/>
        <v>0.99734988151824544</v>
      </c>
    </row>
    <row r="1611" spans="1:13" ht="27.6">
      <c r="A1611" t="s">
        <v>164</v>
      </c>
      <c r="B1611" t="s">
        <v>112</v>
      </c>
      <c r="C1611" s="14" t="s">
        <v>294</v>
      </c>
      <c r="D1611" t="s">
        <v>112</v>
      </c>
      <c r="E1611" t="s">
        <v>383</v>
      </c>
      <c r="F1611" s="20">
        <v>2039</v>
      </c>
      <c r="G1611" s="20">
        <v>39</v>
      </c>
      <c r="H1611" s="11">
        <v>2123.0496676119301</v>
      </c>
      <c r="I1611" s="10">
        <v>4278587.8984539201</v>
      </c>
      <c r="J1611" s="34">
        <f t="shared" si="100"/>
        <v>4.9620335447101598E-4</v>
      </c>
      <c r="K1611" s="34">
        <f t="shared" si="101"/>
        <v>4.9608026594638588E-4</v>
      </c>
      <c r="L1611" s="34">
        <f t="shared" si="102"/>
        <v>0.99734988151824544</v>
      </c>
      <c r="M1611" s="34">
        <f t="shared" si="103"/>
        <v>0.99685511592378029</v>
      </c>
    </row>
    <row r="1612" spans="1:13" ht="27.6">
      <c r="A1612" t="s">
        <v>164</v>
      </c>
      <c r="B1612" t="s">
        <v>112</v>
      </c>
      <c r="C1612" s="14" t="s">
        <v>294</v>
      </c>
      <c r="D1612" t="s">
        <v>112</v>
      </c>
      <c r="E1612" t="s">
        <v>383</v>
      </c>
      <c r="F1612" s="20">
        <v>2039</v>
      </c>
      <c r="G1612" s="20">
        <v>40</v>
      </c>
      <c r="H1612" s="11">
        <v>2355.88943006917</v>
      </c>
      <c r="I1612" s="10">
        <v>4315365.7303730603</v>
      </c>
      <c r="J1612" s="34">
        <f t="shared" si="100"/>
        <v>5.4593042102725898E-4</v>
      </c>
      <c r="K1612" s="34">
        <f t="shared" si="101"/>
        <v>5.4578142812944375E-4</v>
      </c>
      <c r="L1612" s="34">
        <f t="shared" si="102"/>
        <v>0.99685511592378029</v>
      </c>
      <c r="M1612" s="34">
        <f t="shared" si="103"/>
        <v>0.9963110509149733</v>
      </c>
    </row>
    <row r="1613" spans="1:13" ht="27.6">
      <c r="A1613" t="s">
        <v>164</v>
      </c>
      <c r="B1613" t="s">
        <v>112</v>
      </c>
      <c r="C1613" s="14" t="s">
        <v>294</v>
      </c>
      <c r="D1613" t="s">
        <v>112</v>
      </c>
      <c r="E1613" t="s">
        <v>383</v>
      </c>
      <c r="F1613" s="20">
        <v>2039</v>
      </c>
      <c r="G1613" s="20">
        <v>41</v>
      </c>
      <c r="H1613" s="11">
        <v>3096.9904808137298</v>
      </c>
      <c r="I1613" s="10">
        <v>4354362.1933809398</v>
      </c>
      <c r="J1613" s="34">
        <f t="shared" si="100"/>
        <v>7.1123860241149915E-4</v>
      </c>
      <c r="K1613" s="34">
        <f t="shared" si="101"/>
        <v>7.1098573219063876E-4</v>
      </c>
      <c r="L1613" s="34">
        <f t="shared" si="102"/>
        <v>0.9963110509149733</v>
      </c>
      <c r="M1613" s="34">
        <f t="shared" si="103"/>
        <v>0.99560268797294893</v>
      </c>
    </row>
    <row r="1614" spans="1:13" ht="27.6">
      <c r="A1614" t="s">
        <v>164</v>
      </c>
      <c r="B1614" t="s">
        <v>112</v>
      </c>
      <c r="C1614" s="14" t="s">
        <v>294</v>
      </c>
      <c r="D1614" t="s">
        <v>112</v>
      </c>
      <c r="E1614" t="s">
        <v>383</v>
      </c>
      <c r="F1614" s="20">
        <v>2039</v>
      </c>
      <c r="G1614" s="20">
        <v>42</v>
      </c>
      <c r="H1614" s="11">
        <v>3415.7681672416002</v>
      </c>
      <c r="I1614" s="10">
        <v>4347397.3283228502</v>
      </c>
      <c r="J1614" s="34">
        <f t="shared" si="100"/>
        <v>7.8570416027728106E-4</v>
      </c>
      <c r="K1614" s="34">
        <f t="shared" si="101"/>
        <v>7.8539557558754414E-4</v>
      </c>
      <c r="L1614" s="34">
        <f t="shared" si="102"/>
        <v>0.99560268797294893</v>
      </c>
      <c r="M1614" s="34">
        <f t="shared" si="103"/>
        <v>0.99482074602677195</v>
      </c>
    </row>
    <row r="1615" spans="1:13" ht="27.6">
      <c r="A1615" t="s">
        <v>164</v>
      </c>
      <c r="B1615" t="s">
        <v>112</v>
      </c>
      <c r="C1615" s="14" t="s">
        <v>294</v>
      </c>
      <c r="D1615" t="s">
        <v>112</v>
      </c>
      <c r="E1615" t="s">
        <v>383</v>
      </c>
      <c r="F1615" s="20">
        <v>2039</v>
      </c>
      <c r="G1615" s="20">
        <v>43</v>
      </c>
      <c r="H1615" s="11">
        <v>3729.9955890282099</v>
      </c>
      <c r="I1615" s="10">
        <v>4281775.0598957902</v>
      </c>
      <c r="J1615" s="34">
        <f t="shared" si="100"/>
        <v>8.7113300835541571E-4</v>
      </c>
      <c r="K1615" s="34">
        <f t="shared" si="101"/>
        <v>8.7075368215216997E-4</v>
      </c>
      <c r="L1615" s="34">
        <f t="shared" si="102"/>
        <v>0.99482074602677195</v>
      </c>
      <c r="M1615" s="34">
        <f t="shared" si="103"/>
        <v>0.99395450219908776</v>
      </c>
    </row>
    <row r="1616" spans="1:13" ht="27.6">
      <c r="A1616" t="s">
        <v>164</v>
      </c>
      <c r="B1616" t="s">
        <v>112</v>
      </c>
      <c r="C1616" s="14" t="s">
        <v>294</v>
      </c>
      <c r="D1616" t="s">
        <v>112</v>
      </c>
      <c r="E1616" t="s">
        <v>383</v>
      </c>
      <c r="F1616" s="20">
        <v>2039</v>
      </c>
      <c r="G1616" s="20">
        <v>44</v>
      </c>
      <c r="H1616" s="11">
        <v>3842.6648786445098</v>
      </c>
      <c r="I1616" s="10">
        <v>4213719.6065994604</v>
      </c>
      <c r="J1616" s="34">
        <f t="shared" si="100"/>
        <v>9.1194128641739456E-4</v>
      </c>
      <c r="K1616" s="34">
        <f t="shared" si="101"/>
        <v>9.115255943342726E-4</v>
      </c>
      <c r="L1616" s="34">
        <f t="shared" si="102"/>
        <v>0.99395450219908776</v>
      </c>
      <c r="M1616" s="34">
        <f t="shared" si="103"/>
        <v>0.99304848723072947</v>
      </c>
    </row>
    <row r="1617" spans="1:13" ht="27.6">
      <c r="A1617" t="s">
        <v>164</v>
      </c>
      <c r="B1617" t="s">
        <v>112</v>
      </c>
      <c r="C1617" s="14" t="s">
        <v>294</v>
      </c>
      <c r="D1617" t="s">
        <v>112</v>
      </c>
      <c r="E1617" t="s">
        <v>383</v>
      </c>
      <c r="F1617" s="20">
        <v>2039</v>
      </c>
      <c r="G1617" s="20">
        <v>45</v>
      </c>
      <c r="H1617" s="11">
        <v>4089.20814589775</v>
      </c>
      <c r="I1617" s="10">
        <v>4154652.8776121102</v>
      </c>
      <c r="J1617" s="34">
        <f t="shared" si="100"/>
        <v>9.8424784605543876E-4</v>
      </c>
      <c r="K1617" s="34">
        <f t="shared" si="101"/>
        <v>9.8376363301910796E-4</v>
      </c>
      <c r="L1617" s="34">
        <f t="shared" si="102"/>
        <v>0.99304848723072947</v>
      </c>
      <c r="M1617" s="34">
        <f t="shared" si="103"/>
        <v>0.99207156224316728</v>
      </c>
    </row>
    <row r="1618" spans="1:13" ht="27.6">
      <c r="A1618" t="s">
        <v>164</v>
      </c>
      <c r="B1618" t="s">
        <v>112</v>
      </c>
      <c r="C1618" s="14" t="s">
        <v>294</v>
      </c>
      <c r="D1618" t="s">
        <v>112</v>
      </c>
      <c r="E1618" t="s">
        <v>383</v>
      </c>
      <c r="F1618" s="20">
        <v>2039</v>
      </c>
      <c r="G1618" s="20">
        <v>46</v>
      </c>
      <c r="H1618" s="11">
        <v>5033.8305279414399</v>
      </c>
      <c r="I1618" s="10">
        <v>4097553.71477046</v>
      </c>
      <c r="J1618" s="34">
        <f t="shared" si="100"/>
        <v>1.2284965319175635E-3</v>
      </c>
      <c r="K1618" s="34">
        <f t="shared" si="101"/>
        <v>1.2277422389668224E-3</v>
      </c>
      <c r="L1618" s="34">
        <f t="shared" si="102"/>
        <v>0.99207156224316728</v>
      </c>
      <c r="M1618" s="34">
        <f t="shared" si="103"/>
        <v>0.9908535540821235</v>
      </c>
    </row>
    <row r="1619" spans="1:13" ht="27.6">
      <c r="A1619" t="s">
        <v>164</v>
      </c>
      <c r="B1619" t="s">
        <v>112</v>
      </c>
      <c r="C1619" s="14" t="s">
        <v>294</v>
      </c>
      <c r="D1619" t="s">
        <v>112</v>
      </c>
      <c r="E1619" t="s">
        <v>383</v>
      </c>
      <c r="F1619" s="20">
        <v>2039</v>
      </c>
      <c r="G1619" s="20">
        <v>47</v>
      </c>
      <c r="H1619" s="11">
        <v>5494.3672435895396</v>
      </c>
      <c r="I1619" s="10">
        <v>4074407.2772331098</v>
      </c>
      <c r="J1619" s="34">
        <f t="shared" si="100"/>
        <v>1.3485071250218046E-3</v>
      </c>
      <c r="K1619" s="34">
        <f t="shared" si="101"/>
        <v>1.3475982978545797E-3</v>
      </c>
      <c r="L1619" s="34">
        <f t="shared" si="102"/>
        <v>0.9908535540821235</v>
      </c>
      <c r="M1619" s="34">
        <f t="shared" si="103"/>
        <v>0.98951828151921928</v>
      </c>
    </row>
    <row r="1620" spans="1:13" ht="27.6">
      <c r="A1620" t="s">
        <v>164</v>
      </c>
      <c r="B1620" t="s">
        <v>112</v>
      </c>
      <c r="C1620" s="14" t="s">
        <v>294</v>
      </c>
      <c r="D1620" t="s">
        <v>112</v>
      </c>
      <c r="E1620" t="s">
        <v>383</v>
      </c>
      <c r="F1620" s="20">
        <v>2039</v>
      </c>
      <c r="G1620" s="20">
        <v>48</v>
      </c>
      <c r="H1620" s="11">
        <v>6043.9433957200199</v>
      </c>
      <c r="I1620" s="10">
        <v>4044813.36710107</v>
      </c>
      <c r="J1620" s="34">
        <f t="shared" si="100"/>
        <v>1.494245308047855E-3</v>
      </c>
      <c r="K1620" s="34">
        <f t="shared" si="101"/>
        <v>1.4931294793706362E-3</v>
      </c>
      <c r="L1620" s="34">
        <f t="shared" si="102"/>
        <v>0.98951828151921928</v>
      </c>
      <c r="M1620" s="34">
        <f t="shared" si="103"/>
        <v>0.98804080260270677</v>
      </c>
    </row>
    <row r="1621" spans="1:13" ht="27.6">
      <c r="A1621" t="s">
        <v>164</v>
      </c>
      <c r="B1621" t="s">
        <v>112</v>
      </c>
      <c r="C1621" s="14" t="s">
        <v>294</v>
      </c>
      <c r="D1621" t="s">
        <v>112</v>
      </c>
      <c r="E1621" t="s">
        <v>383</v>
      </c>
      <c r="F1621" s="20">
        <v>2039</v>
      </c>
      <c r="G1621" s="20">
        <v>49</v>
      </c>
      <c r="H1621" s="11">
        <v>6479.8235760961097</v>
      </c>
      <c r="I1621" s="10">
        <v>4017781.8352513001</v>
      </c>
      <c r="J1621" s="34">
        <f t="shared" si="100"/>
        <v>1.6127863188696049E-3</v>
      </c>
      <c r="K1621" s="34">
        <f t="shared" si="101"/>
        <v>1.611486477896884E-3</v>
      </c>
      <c r="L1621" s="34">
        <f t="shared" si="102"/>
        <v>0.98804080260270677</v>
      </c>
      <c r="M1621" s="34">
        <f t="shared" si="103"/>
        <v>0.98644858820970216</v>
      </c>
    </row>
    <row r="1622" spans="1:13" ht="27.6">
      <c r="A1622" t="s">
        <v>164</v>
      </c>
      <c r="B1622" t="s">
        <v>112</v>
      </c>
      <c r="C1622" s="14" t="s">
        <v>294</v>
      </c>
      <c r="D1622" t="s">
        <v>112</v>
      </c>
      <c r="E1622" t="s">
        <v>383</v>
      </c>
      <c r="F1622" s="20">
        <v>2039</v>
      </c>
      <c r="G1622" s="20">
        <v>50</v>
      </c>
      <c r="H1622" s="11">
        <v>7043.1347512392103</v>
      </c>
      <c r="I1622" s="10">
        <v>4012195.9330440899</v>
      </c>
      <c r="J1622" s="34">
        <f t="shared" si="100"/>
        <v>1.755431406834491E-3</v>
      </c>
      <c r="K1622" s="34">
        <f t="shared" si="101"/>
        <v>1.7538915382987463E-3</v>
      </c>
      <c r="L1622" s="34">
        <f t="shared" si="102"/>
        <v>0.98644858820970216</v>
      </c>
      <c r="M1622" s="34">
        <f t="shared" si="103"/>
        <v>0.98471846437787447</v>
      </c>
    </row>
    <row r="1623" spans="1:13" ht="27.6">
      <c r="A1623" t="s">
        <v>164</v>
      </c>
      <c r="B1623" t="s">
        <v>112</v>
      </c>
      <c r="C1623" s="14" t="s">
        <v>294</v>
      </c>
      <c r="D1623" t="s">
        <v>112</v>
      </c>
      <c r="E1623" t="s">
        <v>383</v>
      </c>
      <c r="F1623" s="20">
        <v>2039</v>
      </c>
      <c r="G1623" s="20">
        <v>51</v>
      </c>
      <c r="H1623" s="11">
        <v>7978.5642951052796</v>
      </c>
      <c r="I1623" s="10">
        <v>3960511.16898725</v>
      </c>
      <c r="J1623" s="34">
        <f t="shared" si="100"/>
        <v>2.014528921817305E-3</v>
      </c>
      <c r="K1623" s="34">
        <f t="shared" si="101"/>
        <v>2.0125011203456777E-3</v>
      </c>
      <c r="L1623" s="34">
        <f t="shared" si="102"/>
        <v>0.98471846437787447</v>
      </c>
      <c r="M1623" s="34">
        <f t="shared" si="103"/>
        <v>0.98273671736508894</v>
      </c>
    </row>
    <row r="1624" spans="1:13" ht="27.6">
      <c r="A1624" t="s">
        <v>164</v>
      </c>
      <c r="B1624" t="s">
        <v>112</v>
      </c>
      <c r="C1624" s="14" t="s">
        <v>294</v>
      </c>
      <c r="D1624" t="s">
        <v>112</v>
      </c>
      <c r="E1624" t="s">
        <v>383</v>
      </c>
      <c r="F1624" s="20">
        <v>2039</v>
      </c>
      <c r="G1624" s="20">
        <v>52</v>
      </c>
      <c r="H1624" s="11">
        <v>8612.9295333216396</v>
      </c>
      <c r="I1624" s="10">
        <v>3899803.1013325602</v>
      </c>
      <c r="J1624" s="34">
        <f t="shared" si="100"/>
        <v>2.2085549730391793E-3</v>
      </c>
      <c r="K1624" s="34">
        <f t="shared" si="101"/>
        <v>2.206117909964167E-3</v>
      </c>
      <c r="L1624" s="34">
        <f t="shared" si="102"/>
        <v>0.98273671736508894</v>
      </c>
      <c r="M1624" s="34">
        <f t="shared" si="103"/>
        <v>0.9805686842921304</v>
      </c>
    </row>
    <row r="1625" spans="1:13" ht="27.6">
      <c r="A1625" t="s">
        <v>164</v>
      </c>
      <c r="B1625" t="s">
        <v>112</v>
      </c>
      <c r="C1625" s="14" t="s">
        <v>294</v>
      </c>
      <c r="D1625" t="s">
        <v>112</v>
      </c>
      <c r="E1625" t="s">
        <v>383</v>
      </c>
      <c r="F1625" s="20">
        <v>2039</v>
      </c>
      <c r="G1625" s="20">
        <v>53</v>
      </c>
      <c r="H1625" s="11">
        <v>9425.7412654662494</v>
      </c>
      <c r="I1625" s="10">
        <v>3897633.9404512001</v>
      </c>
      <c r="J1625" s="34">
        <f t="shared" si="100"/>
        <v>2.4183238881522826E-3</v>
      </c>
      <c r="K1625" s="34">
        <f t="shared" si="101"/>
        <v>2.4154020986906222E-3</v>
      </c>
      <c r="L1625" s="34">
        <f t="shared" si="102"/>
        <v>0.9805686842921304</v>
      </c>
      <c r="M1625" s="34">
        <f t="shared" si="103"/>
        <v>0.97820021663418089</v>
      </c>
    </row>
    <row r="1626" spans="1:13" ht="27.6">
      <c r="A1626" t="s">
        <v>164</v>
      </c>
      <c r="B1626" t="s">
        <v>112</v>
      </c>
      <c r="C1626" s="14" t="s">
        <v>294</v>
      </c>
      <c r="D1626" t="s">
        <v>112</v>
      </c>
      <c r="E1626" t="s">
        <v>383</v>
      </c>
      <c r="F1626" s="20">
        <v>2039</v>
      </c>
      <c r="G1626" s="20">
        <v>54</v>
      </c>
      <c r="H1626" s="11">
        <v>10520.7078250381</v>
      </c>
      <c r="I1626" s="10">
        <v>3948513.1390335602</v>
      </c>
      <c r="J1626" s="34">
        <f t="shared" si="100"/>
        <v>2.6644732978179106E-3</v>
      </c>
      <c r="K1626" s="34">
        <f t="shared" si="101"/>
        <v>2.6609267394431813E-3</v>
      </c>
      <c r="L1626" s="34">
        <f t="shared" si="102"/>
        <v>0.97820021663418089</v>
      </c>
      <c r="M1626" s="34">
        <f t="shared" si="103"/>
        <v>0.97559729752120983</v>
      </c>
    </row>
    <row r="1627" spans="1:13" ht="27.6">
      <c r="A1627" t="s">
        <v>164</v>
      </c>
      <c r="B1627" t="s">
        <v>112</v>
      </c>
      <c r="C1627" s="14" t="s">
        <v>294</v>
      </c>
      <c r="D1627" t="s">
        <v>112</v>
      </c>
      <c r="E1627" t="s">
        <v>383</v>
      </c>
      <c r="F1627" s="20">
        <v>2039</v>
      </c>
      <c r="G1627" s="20">
        <v>55</v>
      </c>
      <c r="H1627" s="11">
        <v>11647.347817059001</v>
      </c>
      <c r="I1627" s="10">
        <v>3957504.0987790702</v>
      </c>
      <c r="J1627" s="34">
        <f t="shared" si="100"/>
        <v>2.9431044229751586E-3</v>
      </c>
      <c r="K1627" s="34">
        <f t="shared" si="101"/>
        <v>2.9387777368233836E-3</v>
      </c>
      <c r="L1627" s="34">
        <f t="shared" si="102"/>
        <v>0.97559729752120983</v>
      </c>
      <c r="M1627" s="34">
        <f t="shared" si="103"/>
        <v>0.97273023390314939</v>
      </c>
    </row>
    <row r="1628" spans="1:13" ht="27.6">
      <c r="A1628" t="s">
        <v>164</v>
      </c>
      <c r="B1628" t="s">
        <v>112</v>
      </c>
      <c r="C1628" s="14" t="s">
        <v>294</v>
      </c>
      <c r="D1628" t="s">
        <v>112</v>
      </c>
      <c r="E1628" t="s">
        <v>383</v>
      </c>
      <c r="F1628" s="20">
        <v>2039</v>
      </c>
      <c r="G1628" s="20">
        <v>56</v>
      </c>
      <c r="H1628" s="11">
        <v>12530.328277070499</v>
      </c>
      <c r="I1628" s="10">
        <v>3909908.2362563498</v>
      </c>
      <c r="J1628" s="34">
        <f t="shared" si="100"/>
        <v>3.2047627514317344E-3</v>
      </c>
      <c r="K1628" s="34">
        <f t="shared" si="101"/>
        <v>3.1996329806478485E-3</v>
      </c>
      <c r="L1628" s="34">
        <f t="shared" si="102"/>
        <v>0.97273023390314939</v>
      </c>
      <c r="M1628" s="34">
        <f t="shared" si="103"/>
        <v>0.96961785416547952</v>
      </c>
    </row>
    <row r="1629" spans="1:13" ht="27.6">
      <c r="A1629" t="s">
        <v>164</v>
      </c>
      <c r="B1629" t="s">
        <v>112</v>
      </c>
      <c r="C1629" s="14" t="s">
        <v>294</v>
      </c>
      <c r="D1629" t="s">
        <v>112</v>
      </c>
      <c r="E1629" t="s">
        <v>383</v>
      </c>
      <c r="F1629" s="20">
        <v>2039</v>
      </c>
      <c r="G1629" s="20">
        <v>57</v>
      </c>
      <c r="H1629" s="11">
        <v>13483.317910973499</v>
      </c>
      <c r="I1629" s="10">
        <v>3837865.2483379501</v>
      </c>
      <c r="J1629" s="34">
        <f t="shared" si="100"/>
        <v>3.5132338001738518E-3</v>
      </c>
      <c r="K1629" s="34">
        <f t="shared" si="101"/>
        <v>3.5070696151604519E-3</v>
      </c>
      <c r="L1629" s="34">
        <f t="shared" si="102"/>
        <v>0.96961785416547952</v>
      </c>
      <c r="M1629" s="34">
        <f t="shared" si="103"/>
        <v>0.96621733685081868</v>
      </c>
    </row>
    <row r="1630" spans="1:13" ht="27.6">
      <c r="A1630" t="s">
        <v>164</v>
      </c>
      <c r="B1630" t="s">
        <v>112</v>
      </c>
      <c r="C1630" s="14" t="s">
        <v>294</v>
      </c>
      <c r="D1630" t="s">
        <v>112</v>
      </c>
      <c r="E1630" t="s">
        <v>383</v>
      </c>
      <c r="F1630" s="20">
        <v>2039</v>
      </c>
      <c r="G1630" s="20">
        <v>58</v>
      </c>
      <c r="H1630" s="11">
        <v>14413.3113519532</v>
      </c>
      <c r="I1630" s="10">
        <v>3758448.9179610899</v>
      </c>
      <c r="J1630" s="34">
        <f t="shared" si="100"/>
        <v>3.8349094710517541E-3</v>
      </c>
      <c r="K1630" s="34">
        <f t="shared" si="101"/>
        <v>3.8275655964236099E-3</v>
      </c>
      <c r="L1630" s="34">
        <f t="shared" si="102"/>
        <v>0.96621733685081868</v>
      </c>
      <c r="M1630" s="34">
        <f t="shared" si="103"/>
        <v>0.96251907661362046</v>
      </c>
    </row>
    <row r="1631" spans="1:13" ht="27.6">
      <c r="A1631" t="s">
        <v>164</v>
      </c>
      <c r="B1631" t="s">
        <v>112</v>
      </c>
      <c r="C1631" s="14" t="s">
        <v>294</v>
      </c>
      <c r="D1631" t="s">
        <v>112</v>
      </c>
      <c r="E1631" t="s">
        <v>383</v>
      </c>
      <c r="F1631" s="20">
        <v>2039</v>
      </c>
      <c r="G1631" s="20">
        <v>59</v>
      </c>
      <c r="H1631" s="11">
        <v>14745.7681607222</v>
      </c>
      <c r="I1631" s="10">
        <v>3682944.8429840002</v>
      </c>
      <c r="J1631" s="34">
        <f t="shared" si="100"/>
        <v>4.0037982618210659E-3</v>
      </c>
      <c r="K1631" s="34">
        <f t="shared" si="101"/>
        <v>3.9957937479433436E-3</v>
      </c>
      <c r="L1631" s="34">
        <f t="shared" si="102"/>
        <v>0.96251907661362046</v>
      </c>
      <c r="M1631" s="34">
        <f t="shared" si="103"/>
        <v>0.95867304890501159</v>
      </c>
    </row>
    <row r="1632" spans="1:13" ht="27.6">
      <c r="A1632" t="s">
        <v>164</v>
      </c>
      <c r="B1632" t="s">
        <v>112</v>
      </c>
      <c r="C1632" s="14" t="s">
        <v>294</v>
      </c>
      <c r="D1632" t="s">
        <v>112</v>
      </c>
      <c r="E1632" t="s">
        <v>383</v>
      </c>
      <c r="F1632" s="20">
        <v>2039</v>
      </c>
      <c r="G1632" s="20">
        <v>60</v>
      </c>
      <c r="H1632" s="11">
        <v>15275.8721804285</v>
      </c>
      <c r="I1632" s="10">
        <v>3593981.1926527801</v>
      </c>
      <c r="J1632" s="34">
        <f t="shared" si="100"/>
        <v>4.25040403985896E-3</v>
      </c>
      <c r="K1632" s="34">
        <f t="shared" si="101"/>
        <v>4.241383856940617E-3</v>
      </c>
      <c r="L1632" s="34">
        <f t="shared" si="102"/>
        <v>0.95867304890501159</v>
      </c>
      <c r="M1632" s="34">
        <f t="shared" si="103"/>
        <v>0.95460694851130179</v>
      </c>
    </row>
    <row r="1633" spans="1:13" ht="27.6">
      <c r="A1633" t="s">
        <v>164</v>
      </c>
      <c r="B1633" t="s">
        <v>112</v>
      </c>
      <c r="C1633" s="14" t="s">
        <v>294</v>
      </c>
      <c r="D1633" t="s">
        <v>112</v>
      </c>
      <c r="E1633" t="s">
        <v>383</v>
      </c>
      <c r="F1633" s="20">
        <v>2039</v>
      </c>
      <c r="G1633" s="20">
        <v>61</v>
      </c>
      <c r="H1633" s="11">
        <v>15860.500254226699</v>
      </c>
      <c r="I1633" s="10">
        <v>3481847.66444701</v>
      </c>
      <c r="J1633" s="34">
        <f t="shared" si="100"/>
        <v>4.5551964883982585E-3</v>
      </c>
      <c r="K1633" s="34">
        <f t="shared" si="101"/>
        <v>4.544837316198258E-3</v>
      </c>
      <c r="L1633" s="34">
        <f t="shared" si="102"/>
        <v>0.95460694851130179</v>
      </c>
      <c r="M1633" s="34">
        <f t="shared" si="103"/>
        <v>0.95026841522940553</v>
      </c>
    </row>
    <row r="1634" spans="1:13" ht="27.6">
      <c r="A1634" t="s">
        <v>164</v>
      </c>
      <c r="B1634" t="s">
        <v>112</v>
      </c>
      <c r="C1634" s="14" t="s">
        <v>294</v>
      </c>
      <c r="D1634" t="s">
        <v>112</v>
      </c>
      <c r="E1634" t="s">
        <v>383</v>
      </c>
      <c r="F1634" s="20">
        <v>2039</v>
      </c>
      <c r="G1634" s="20">
        <v>62</v>
      </c>
      <c r="H1634" s="11">
        <v>16569.2288696223</v>
      </c>
      <c r="I1634" s="10">
        <v>3373078.9855860202</v>
      </c>
      <c r="J1634" s="34">
        <f t="shared" si="100"/>
        <v>4.912197117359721E-3</v>
      </c>
      <c r="K1634" s="34">
        <f t="shared" si="101"/>
        <v>4.9001520078214567E-3</v>
      </c>
      <c r="L1634" s="34">
        <f t="shared" si="102"/>
        <v>0.95026841522940553</v>
      </c>
      <c r="M1634" s="34">
        <f t="shared" si="103"/>
        <v>0.94561195554654986</v>
      </c>
    </row>
    <row r="1635" spans="1:13" ht="27.6">
      <c r="A1635" t="s">
        <v>164</v>
      </c>
      <c r="B1635" t="s">
        <v>112</v>
      </c>
      <c r="C1635" s="14" t="s">
        <v>294</v>
      </c>
      <c r="D1635" t="s">
        <v>112</v>
      </c>
      <c r="E1635" t="s">
        <v>383</v>
      </c>
      <c r="F1635" s="20">
        <v>2039</v>
      </c>
      <c r="G1635" s="20">
        <v>63</v>
      </c>
      <c r="H1635" s="11">
        <v>17428.603866085399</v>
      </c>
      <c r="I1635" s="10">
        <v>3276662.8135023201</v>
      </c>
      <c r="J1635" s="34">
        <f t="shared" si="100"/>
        <v>5.3190104866043635E-3</v>
      </c>
      <c r="K1635" s="34">
        <f t="shared" si="101"/>
        <v>5.3048895978047295E-3</v>
      </c>
      <c r="L1635" s="34">
        <f t="shared" si="102"/>
        <v>0.94561195554654986</v>
      </c>
      <c r="M1635" s="34">
        <f t="shared" si="103"/>
        <v>0.94059558852001124</v>
      </c>
    </row>
    <row r="1636" spans="1:13" ht="27.6">
      <c r="A1636" t="s">
        <v>164</v>
      </c>
      <c r="B1636" t="s">
        <v>112</v>
      </c>
      <c r="C1636" s="14" t="s">
        <v>294</v>
      </c>
      <c r="D1636" t="s">
        <v>112</v>
      </c>
      <c r="E1636" t="s">
        <v>383</v>
      </c>
      <c r="F1636" s="20">
        <v>2039</v>
      </c>
      <c r="G1636" s="20">
        <v>64</v>
      </c>
      <c r="H1636" s="11">
        <v>18544.159034952401</v>
      </c>
      <c r="I1636" s="10">
        <v>3167876.4033519798</v>
      </c>
      <c r="J1636" s="34">
        <f t="shared" si="100"/>
        <v>5.8538139352061003E-3</v>
      </c>
      <c r="K1636" s="34">
        <f t="shared" si="101"/>
        <v>5.836713749784006E-3</v>
      </c>
      <c r="L1636" s="34">
        <f t="shared" si="102"/>
        <v>0.94059558852001124</v>
      </c>
      <c r="M1636" s="34">
        <f t="shared" si="103"/>
        <v>0.93510560131551035</v>
      </c>
    </row>
    <row r="1637" spans="1:13" ht="27.6">
      <c r="A1637" t="s">
        <v>164</v>
      </c>
      <c r="B1637" t="s">
        <v>112</v>
      </c>
      <c r="C1637" s="14" t="s">
        <v>294</v>
      </c>
      <c r="D1637" t="s">
        <v>112</v>
      </c>
      <c r="E1637" t="s">
        <v>383</v>
      </c>
      <c r="F1637" s="20">
        <v>2039</v>
      </c>
      <c r="G1637" s="20">
        <v>65</v>
      </c>
      <c r="H1637" s="11">
        <v>19710.4213531106</v>
      </c>
      <c r="I1637" s="10">
        <v>3070994.1557100601</v>
      </c>
      <c r="J1637" s="34">
        <f t="shared" si="100"/>
        <v>6.4182542700258749E-3</v>
      </c>
      <c r="K1637" s="34">
        <f t="shared" si="101"/>
        <v>6.3977012710545456E-3</v>
      </c>
      <c r="L1637" s="34">
        <f t="shared" si="102"/>
        <v>0.93510560131551035</v>
      </c>
      <c r="M1637" s="34">
        <f t="shared" si="103"/>
        <v>0.9291230750214039</v>
      </c>
    </row>
    <row r="1638" spans="1:13" ht="27.6">
      <c r="A1638" t="s">
        <v>164</v>
      </c>
      <c r="B1638" t="s">
        <v>112</v>
      </c>
      <c r="C1638" s="14" t="s">
        <v>294</v>
      </c>
      <c r="D1638" t="s">
        <v>112</v>
      </c>
      <c r="E1638" t="s">
        <v>383</v>
      </c>
      <c r="F1638" s="20">
        <v>2039</v>
      </c>
      <c r="G1638" s="20">
        <v>66</v>
      </c>
      <c r="H1638" s="11">
        <v>20239.311655223399</v>
      </c>
      <c r="I1638" s="10">
        <v>2972772.6106911502</v>
      </c>
      <c r="J1638" s="34">
        <f t="shared" si="100"/>
        <v>6.8082273035063694E-3</v>
      </c>
      <c r="K1638" s="34">
        <f t="shared" si="101"/>
        <v>6.7851038303778921E-3</v>
      </c>
      <c r="L1638" s="34">
        <f t="shared" si="102"/>
        <v>0.9291230750214039</v>
      </c>
      <c r="M1638" s="34">
        <f t="shared" si="103"/>
        <v>0.92281887848618371</v>
      </c>
    </row>
    <row r="1639" spans="1:13" ht="27.6">
      <c r="A1639" t="s">
        <v>164</v>
      </c>
      <c r="B1639" t="s">
        <v>112</v>
      </c>
      <c r="C1639" s="14" t="s">
        <v>294</v>
      </c>
      <c r="D1639" t="s">
        <v>112</v>
      </c>
      <c r="E1639" t="s">
        <v>383</v>
      </c>
      <c r="F1639" s="20">
        <v>2039</v>
      </c>
      <c r="G1639" s="20">
        <v>67</v>
      </c>
      <c r="H1639" s="11">
        <v>21189.2614247942</v>
      </c>
      <c r="I1639" s="10">
        <v>2854652.4108138601</v>
      </c>
      <c r="J1639" s="34">
        <f t="shared" si="100"/>
        <v>7.4227115513349493E-3</v>
      </c>
      <c r="K1639" s="34">
        <f t="shared" si="101"/>
        <v>7.3952312627363348E-3</v>
      </c>
      <c r="L1639" s="34">
        <f t="shared" si="102"/>
        <v>0.92281887848618371</v>
      </c>
      <c r="M1639" s="34">
        <f t="shared" si="103"/>
        <v>0.91599441946615945</v>
      </c>
    </row>
    <row r="1640" spans="1:13" ht="27.6">
      <c r="A1640" t="s">
        <v>164</v>
      </c>
      <c r="B1640" t="s">
        <v>112</v>
      </c>
      <c r="C1640" s="14" t="s">
        <v>294</v>
      </c>
      <c r="D1640" t="s">
        <v>112</v>
      </c>
      <c r="E1640" t="s">
        <v>383</v>
      </c>
      <c r="F1640" s="20">
        <v>2039</v>
      </c>
      <c r="G1640" s="20">
        <v>68</v>
      </c>
      <c r="H1640" s="11">
        <v>22076.762841735999</v>
      </c>
      <c r="I1640" s="10">
        <v>2745027.36723046</v>
      </c>
      <c r="J1640" s="34">
        <f t="shared" si="100"/>
        <v>8.0424563723056446E-3</v>
      </c>
      <c r="K1640" s="34">
        <f t="shared" si="101"/>
        <v>8.0102023451770199E-3</v>
      </c>
      <c r="L1640" s="34">
        <f t="shared" si="102"/>
        <v>0.91599441946615945</v>
      </c>
      <c r="M1640" s="34">
        <f t="shared" si="103"/>
        <v>0.90865711881918254</v>
      </c>
    </row>
    <row r="1641" spans="1:13" ht="27.6">
      <c r="A1641" t="s">
        <v>164</v>
      </c>
      <c r="B1641" t="s">
        <v>112</v>
      </c>
      <c r="C1641" s="14" t="s">
        <v>294</v>
      </c>
      <c r="D1641" t="s">
        <v>112</v>
      </c>
      <c r="E1641" t="s">
        <v>383</v>
      </c>
      <c r="F1641" s="20">
        <v>2039</v>
      </c>
      <c r="G1641" s="20">
        <v>69</v>
      </c>
      <c r="H1641" s="11">
        <v>22274.1619793477</v>
      </c>
      <c r="I1641" s="10">
        <v>2632710.9943206501</v>
      </c>
      <c r="J1641" s="34">
        <f t="shared" si="100"/>
        <v>8.460542014447495E-3</v>
      </c>
      <c r="K1641" s="34">
        <f t="shared" si="101"/>
        <v>8.4248523510808138E-3</v>
      </c>
      <c r="L1641" s="34">
        <f t="shared" si="102"/>
        <v>0.90865711881918254</v>
      </c>
      <c r="M1641" s="34">
        <f t="shared" si="103"/>
        <v>0.90100181675537239</v>
      </c>
    </row>
    <row r="1642" spans="1:13" ht="27.6">
      <c r="A1642" t="s">
        <v>164</v>
      </c>
      <c r="B1642" t="s">
        <v>112</v>
      </c>
      <c r="C1642" s="14" t="s">
        <v>294</v>
      </c>
      <c r="D1642" t="s">
        <v>112</v>
      </c>
      <c r="E1642" t="s">
        <v>383</v>
      </c>
      <c r="F1642" s="20">
        <v>2040</v>
      </c>
      <c r="G1642" s="20">
        <v>30</v>
      </c>
      <c r="H1642" s="11">
        <v>737.16519824936404</v>
      </c>
      <c r="I1642" s="10">
        <v>4711603.3823465304</v>
      </c>
      <c r="J1642" s="34">
        <f t="shared" si="100"/>
        <v>1.5645739643777742E-4</v>
      </c>
      <c r="K1642" s="34">
        <f t="shared" si="101"/>
        <v>1.564451576175907E-4</v>
      </c>
      <c r="L1642" s="34">
        <f t="shared" si="102"/>
        <v>1</v>
      </c>
      <c r="M1642" s="34">
        <f t="shared" si="103"/>
        <v>0.99984355484238241</v>
      </c>
    </row>
    <row r="1643" spans="1:13" ht="27.6">
      <c r="A1643" t="s">
        <v>164</v>
      </c>
      <c r="B1643" t="s">
        <v>112</v>
      </c>
      <c r="C1643" s="14" t="s">
        <v>294</v>
      </c>
      <c r="D1643" t="s">
        <v>112</v>
      </c>
      <c r="E1643" t="s">
        <v>383</v>
      </c>
      <c r="F1643" s="20">
        <v>2040</v>
      </c>
      <c r="G1643" s="20">
        <v>31</v>
      </c>
      <c r="H1643" s="11">
        <v>1041.12882418238</v>
      </c>
      <c r="I1643" s="10">
        <v>4655175.6305707498</v>
      </c>
      <c r="J1643" s="34">
        <f t="shared" si="100"/>
        <v>2.2364974102056208E-4</v>
      </c>
      <c r="K1643" s="34">
        <f t="shared" si="101"/>
        <v>2.2362473328163546E-4</v>
      </c>
      <c r="L1643" s="34">
        <f t="shared" si="102"/>
        <v>0.99984355484238241</v>
      </c>
      <c r="M1643" s="34">
        <f t="shared" si="103"/>
        <v>0.99961996509410744</v>
      </c>
    </row>
    <row r="1644" spans="1:13" ht="27.6">
      <c r="A1644" t="s">
        <v>164</v>
      </c>
      <c r="B1644" t="s">
        <v>112</v>
      </c>
      <c r="C1644" s="14" t="s">
        <v>294</v>
      </c>
      <c r="D1644" t="s">
        <v>112</v>
      </c>
      <c r="E1644" t="s">
        <v>383</v>
      </c>
      <c r="F1644" s="20">
        <v>2040</v>
      </c>
      <c r="G1644" s="20">
        <v>32</v>
      </c>
      <c r="H1644" s="11">
        <v>1082.4524518232899</v>
      </c>
      <c r="I1644" s="10">
        <v>4647784.2089017304</v>
      </c>
      <c r="J1644" s="34">
        <f t="shared" si="100"/>
        <v>2.3289645198030246E-4</v>
      </c>
      <c r="K1644" s="34">
        <f t="shared" si="101"/>
        <v>2.3286933370691987E-4</v>
      </c>
      <c r="L1644" s="34">
        <f t="shared" si="102"/>
        <v>0.99961996509410744</v>
      </c>
      <c r="M1644" s="34">
        <f t="shared" si="103"/>
        <v>0.99938718425887585</v>
      </c>
    </row>
    <row r="1645" spans="1:13" ht="27.6">
      <c r="A1645" t="s">
        <v>164</v>
      </c>
      <c r="B1645" t="s">
        <v>112</v>
      </c>
      <c r="C1645" s="14" t="s">
        <v>294</v>
      </c>
      <c r="D1645" t="s">
        <v>112</v>
      </c>
      <c r="E1645" t="s">
        <v>383</v>
      </c>
      <c r="F1645" s="20">
        <v>2040</v>
      </c>
      <c r="G1645" s="20">
        <v>33</v>
      </c>
      <c r="H1645" s="11">
        <v>1135.28371146739</v>
      </c>
      <c r="I1645" s="10">
        <v>4620362.2332488503</v>
      </c>
      <c r="J1645" s="34">
        <f t="shared" si="100"/>
        <v>2.4571313982650768E-4</v>
      </c>
      <c r="K1645" s="34">
        <f t="shared" si="101"/>
        <v>2.4568295482529923E-4</v>
      </c>
      <c r="L1645" s="34">
        <f t="shared" si="102"/>
        <v>0.99938718425887585</v>
      </c>
      <c r="M1645" s="34">
        <f t="shared" si="103"/>
        <v>0.99914165186243264</v>
      </c>
    </row>
    <row r="1646" spans="1:13" ht="27.6">
      <c r="A1646" t="s">
        <v>164</v>
      </c>
      <c r="B1646" t="s">
        <v>112</v>
      </c>
      <c r="C1646" s="14" t="s">
        <v>294</v>
      </c>
      <c r="D1646" t="s">
        <v>112</v>
      </c>
      <c r="E1646" t="s">
        <v>383</v>
      </c>
      <c r="F1646" s="20">
        <v>2040</v>
      </c>
      <c r="G1646" s="20">
        <v>34</v>
      </c>
      <c r="H1646" s="11">
        <v>1183.4015926028901</v>
      </c>
      <c r="I1646" s="10">
        <v>4549248.6589537496</v>
      </c>
      <c r="J1646" s="34">
        <f t="shared" si="100"/>
        <v>2.6013121755253814E-4</v>
      </c>
      <c r="K1646" s="34">
        <f t="shared" si="101"/>
        <v>2.6009738636090241E-4</v>
      </c>
      <c r="L1646" s="34">
        <f t="shared" si="102"/>
        <v>0.99914165186243264</v>
      </c>
      <c r="M1646" s="34">
        <f t="shared" si="103"/>
        <v>0.99888177773017894</v>
      </c>
    </row>
    <row r="1647" spans="1:13" ht="27.6">
      <c r="A1647" t="s">
        <v>164</v>
      </c>
      <c r="B1647" t="s">
        <v>112</v>
      </c>
      <c r="C1647" s="14" t="s">
        <v>294</v>
      </c>
      <c r="D1647" t="s">
        <v>112</v>
      </c>
      <c r="E1647" t="s">
        <v>383</v>
      </c>
      <c r="F1647" s="20">
        <v>2040</v>
      </c>
      <c r="G1647" s="20">
        <v>35</v>
      </c>
      <c r="H1647" s="11">
        <v>1246.0162371824899</v>
      </c>
      <c r="I1647" s="10">
        <v>4455362.9210067699</v>
      </c>
      <c r="J1647" s="34">
        <f t="shared" si="100"/>
        <v>2.7966660837158692E-4</v>
      </c>
      <c r="K1647" s="34">
        <f t="shared" si="101"/>
        <v>2.7962750531107528E-4</v>
      </c>
      <c r="L1647" s="34">
        <f t="shared" si="102"/>
        <v>0.99888177773017894</v>
      </c>
      <c r="M1647" s="34">
        <f t="shared" si="103"/>
        <v>0.99860246291057153</v>
      </c>
    </row>
    <row r="1648" spans="1:13" ht="27.6">
      <c r="A1648" t="s">
        <v>164</v>
      </c>
      <c r="B1648" t="s">
        <v>112</v>
      </c>
      <c r="C1648" s="14" t="s">
        <v>294</v>
      </c>
      <c r="D1648" t="s">
        <v>112</v>
      </c>
      <c r="E1648" t="s">
        <v>383</v>
      </c>
      <c r="F1648" s="20">
        <v>2040</v>
      </c>
      <c r="G1648" s="20">
        <v>36</v>
      </c>
      <c r="H1648" s="11">
        <v>1584.0387480080899</v>
      </c>
      <c r="I1648" s="10">
        <v>4357896.7875109902</v>
      </c>
      <c r="J1648" s="34">
        <f t="shared" si="100"/>
        <v>3.6348698127676692E-4</v>
      </c>
      <c r="K1648" s="34">
        <f t="shared" si="101"/>
        <v>3.6342092788743674E-4</v>
      </c>
      <c r="L1648" s="34">
        <f t="shared" si="102"/>
        <v>0.99860246291057153</v>
      </c>
      <c r="M1648" s="34">
        <f t="shared" si="103"/>
        <v>0.99823954987690988</v>
      </c>
    </row>
    <row r="1649" spans="1:13" ht="27.6">
      <c r="A1649" t="s">
        <v>164</v>
      </c>
      <c r="B1649" t="s">
        <v>112</v>
      </c>
      <c r="C1649" s="14" t="s">
        <v>294</v>
      </c>
      <c r="D1649" t="s">
        <v>112</v>
      </c>
      <c r="E1649" t="s">
        <v>383</v>
      </c>
      <c r="F1649" s="20">
        <v>2040</v>
      </c>
      <c r="G1649" s="20">
        <v>37</v>
      </c>
      <c r="H1649" s="11">
        <v>1744.3736932623001</v>
      </c>
      <c r="I1649" s="10">
        <v>4314462.8928880803</v>
      </c>
      <c r="J1649" s="34">
        <f t="shared" si="100"/>
        <v>4.0430842414653959E-4</v>
      </c>
      <c r="K1649" s="34">
        <f t="shared" si="101"/>
        <v>4.0422670250961357E-4</v>
      </c>
      <c r="L1649" s="34">
        <f t="shared" si="102"/>
        <v>0.99823954987690988</v>
      </c>
      <c r="M1649" s="34">
        <f t="shared" si="103"/>
        <v>0.99783603479534844</v>
      </c>
    </row>
    <row r="1650" spans="1:13" ht="27.6">
      <c r="A1650" t="s">
        <v>164</v>
      </c>
      <c r="B1650" t="s">
        <v>112</v>
      </c>
      <c r="C1650" s="14" t="s">
        <v>294</v>
      </c>
      <c r="D1650" t="s">
        <v>112</v>
      </c>
      <c r="E1650" t="s">
        <v>383</v>
      </c>
      <c r="F1650" s="20">
        <v>2040</v>
      </c>
      <c r="G1650" s="20">
        <v>38</v>
      </c>
      <c r="H1650" s="11">
        <v>1937.12395069688</v>
      </c>
      <c r="I1650" s="10">
        <v>4293508.0634246701</v>
      </c>
      <c r="J1650" s="34">
        <f t="shared" si="100"/>
        <v>4.5117510485161502E-4</v>
      </c>
      <c r="K1650" s="34">
        <f t="shared" si="101"/>
        <v>4.5107334066907256E-4</v>
      </c>
      <c r="L1650" s="34">
        <f t="shared" si="102"/>
        <v>0.99783603479534844</v>
      </c>
      <c r="M1650" s="34">
        <f t="shared" si="103"/>
        <v>0.99738593756169336</v>
      </c>
    </row>
    <row r="1651" spans="1:13" ht="27.6">
      <c r="A1651" t="s">
        <v>164</v>
      </c>
      <c r="B1651" t="s">
        <v>112</v>
      </c>
      <c r="C1651" s="14" t="s">
        <v>294</v>
      </c>
      <c r="D1651" t="s">
        <v>112</v>
      </c>
      <c r="E1651" t="s">
        <v>383</v>
      </c>
      <c r="F1651" s="20">
        <v>2040</v>
      </c>
      <c r="G1651" s="20">
        <v>39</v>
      </c>
      <c r="H1651" s="11">
        <v>2075.8144010224501</v>
      </c>
      <c r="I1651" s="10">
        <v>4272347.7075418504</v>
      </c>
      <c r="J1651" s="34">
        <f t="shared" si="100"/>
        <v>4.8587206452276244E-4</v>
      </c>
      <c r="K1651" s="34">
        <f t="shared" si="101"/>
        <v>4.8575404780570874E-4</v>
      </c>
      <c r="L1651" s="34">
        <f t="shared" si="102"/>
        <v>0.99738593756169336</v>
      </c>
      <c r="M1651" s="34">
        <f t="shared" si="103"/>
        <v>0.99690145330529822</v>
      </c>
    </row>
    <row r="1652" spans="1:13" ht="27.6">
      <c r="A1652" t="s">
        <v>164</v>
      </c>
      <c r="B1652" t="s">
        <v>112</v>
      </c>
      <c r="C1652" s="14" t="s">
        <v>294</v>
      </c>
      <c r="D1652" t="s">
        <v>112</v>
      </c>
      <c r="E1652" t="s">
        <v>383</v>
      </c>
      <c r="F1652" s="20">
        <v>2040</v>
      </c>
      <c r="G1652" s="20">
        <v>40</v>
      </c>
      <c r="H1652" s="11">
        <v>2280.4650907135201</v>
      </c>
      <c r="I1652" s="10">
        <v>4270446.0187509404</v>
      </c>
      <c r="J1652" s="34">
        <f t="shared" si="100"/>
        <v>5.3401098637011494E-4</v>
      </c>
      <c r="K1652" s="34">
        <f t="shared" si="101"/>
        <v>5.3386842788039068E-4</v>
      </c>
      <c r="L1652" s="34">
        <f t="shared" si="102"/>
        <v>0.99690145330529822</v>
      </c>
      <c r="M1652" s="34">
        <f t="shared" si="103"/>
        <v>0.99636923909367048</v>
      </c>
    </row>
    <row r="1653" spans="1:13" ht="27.6">
      <c r="A1653" t="s">
        <v>164</v>
      </c>
      <c r="B1653" t="s">
        <v>112</v>
      </c>
      <c r="C1653" s="14" t="s">
        <v>294</v>
      </c>
      <c r="D1653" t="s">
        <v>112</v>
      </c>
      <c r="E1653" t="s">
        <v>383</v>
      </c>
      <c r="F1653" s="20">
        <v>2040</v>
      </c>
      <c r="G1653" s="20">
        <v>41</v>
      </c>
      <c r="H1653" s="11">
        <v>3022.6204545635801</v>
      </c>
      <c r="I1653" s="10">
        <v>4306475.8261178797</v>
      </c>
      <c r="J1653" s="34">
        <f t="shared" si="100"/>
        <v>7.0187795696704397E-4</v>
      </c>
      <c r="K1653" s="34">
        <f t="shared" si="101"/>
        <v>7.0163169825165905E-4</v>
      </c>
      <c r="L1653" s="34">
        <f t="shared" si="102"/>
        <v>0.99636923909367048</v>
      </c>
      <c r="M1653" s="34">
        <f t="shared" si="103"/>
        <v>0.99567015485235943</v>
      </c>
    </row>
    <row r="1654" spans="1:13" ht="27.6">
      <c r="A1654" t="s">
        <v>164</v>
      </c>
      <c r="B1654" t="s">
        <v>112</v>
      </c>
      <c r="C1654" s="14" t="s">
        <v>294</v>
      </c>
      <c r="D1654" t="s">
        <v>112</v>
      </c>
      <c r="E1654" t="s">
        <v>383</v>
      </c>
      <c r="F1654" s="20">
        <v>2040</v>
      </c>
      <c r="G1654" s="20">
        <v>42</v>
      </c>
      <c r="H1654" s="11">
        <v>3375.1955772869601</v>
      </c>
      <c r="I1654" s="10">
        <v>4344861.75765552</v>
      </c>
      <c r="J1654" s="34">
        <f t="shared" si="100"/>
        <v>7.7682461849101726E-4</v>
      </c>
      <c r="K1654" s="34">
        <f t="shared" si="101"/>
        <v>7.7652296836183687E-4</v>
      </c>
      <c r="L1654" s="34">
        <f t="shared" si="102"/>
        <v>0.99567015485235943</v>
      </c>
      <c r="M1654" s="34">
        <f t="shared" si="103"/>
        <v>0.9948969941082042</v>
      </c>
    </row>
    <row r="1655" spans="1:13" ht="27.6">
      <c r="A1655" t="s">
        <v>164</v>
      </c>
      <c r="B1655" t="s">
        <v>112</v>
      </c>
      <c r="C1655" s="14" t="s">
        <v>294</v>
      </c>
      <c r="D1655" t="s">
        <v>112</v>
      </c>
      <c r="E1655" t="s">
        <v>383</v>
      </c>
      <c r="F1655" s="20">
        <v>2040</v>
      </c>
      <c r="G1655" s="20">
        <v>43</v>
      </c>
      <c r="H1655" s="11">
        <v>3751.9816150038</v>
      </c>
      <c r="I1655" s="10">
        <v>4337063.8340998702</v>
      </c>
      <c r="J1655" s="34">
        <f t="shared" si="100"/>
        <v>8.6509716216397344E-4</v>
      </c>
      <c r="K1655" s="34">
        <f t="shared" si="101"/>
        <v>8.6472307349605426E-4</v>
      </c>
      <c r="L1655" s="34">
        <f t="shared" si="102"/>
        <v>0.9948969941082042</v>
      </c>
      <c r="M1655" s="34">
        <f t="shared" si="103"/>
        <v>0.994036683721647</v>
      </c>
    </row>
    <row r="1656" spans="1:13" ht="27.6">
      <c r="A1656" t="s">
        <v>164</v>
      </c>
      <c r="B1656" t="s">
        <v>112</v>
      </c>
      <c r="C1656" s="14" t="s">
        <v>294</v>
      </c>
      <c r="D1656" t="s">
        <v>112</v>
      </c>
      <c r="E1656" t="s">
        <v>383</v>
      </c>
      <c r="F1656" s="20">
        <v>2040</v>
      </c>
      <c r="G1656" s="20">
        <v>44</v>
      </c>
      <c r="H1656" s="11">
        <v>3871.1223495233698</v>
      </c>
      <c r="I1656" s="10">
        <v>4270649.9116088497</v>
      </c>
      <c r="J1656" s="34">
        <f t="shared" si="100"/>
        <v>9.0644806519976043E-4</v>
      </c>
      <c r="K1656" s="34">
        <f t="shared" si="101"/>
        <v>9.0603736525440848E-4</v>
      </c>
      <c r="L1656" s="34">
        <f t="shared" si="102"/>
        <v>0.994036683721647</v>
      </c>
      <c r="M1656" s="34">
        <f t="shared" si="103"/>
        <v>0.99313604934376165</v>
      </c>
    </row>
    <row r="1657" spans="1:13" ht="27.6">
      <c r="A1657" t="s">
        <v>164</v>
      </c>
      <c r="B1657" t="s">
        <v>112</v>
      </c>
      <c r="C1657" s="14" t="s">
        <v>294</v>
      </c>
      <c r="D1657" t="s">
        <v>112</v>
      </c>
      <c r="E1657" t="s">
        <v>383</v>
      </c>
      <c r="F1657" s="20">
        <v>2040</v>
      </c>
      <c r="G1657" s="20">
        <v>45</v>
      </c>
      <c r="H1657" s="11">
        <v>4102.4694266756496</v>
      </c>
      <c r="I1657" s="10">
        <v>4201963.0269592497</v>
      </c>
      <c r="J1657" s="34">
        <f t="shared" si="100"/>
        <v>9.7632211429627964E-4</v>
      </c>
      <c r="K1657" s="34">
        <f t="shared" si="101"/>
        <v>9.758456669288762E-4</v>
      </c>
      <c r="L1657" s="34">
        <f t="shared" si="102"/>
        <v>0.99313604934376165</v>
      </c>
      <c r="M1657" s="34">
        <f t="shared" si="103"/>
        <v>0.99216690183333867</v>
      </c>
    </row>
    <row r="1658" spans="1:13" ht="27.6">
      <c r="A1658" t="s">
        <v>164</v>
      </c>
      <c r="B1658" t="s">
        <v>112</v>
      </c>
      <c r="C1658" s="14" t="s">
        <v>294</v>
      </c>
      <c r="D1658" t="s">
        <v>112</v>
      </c>
      <c r="E1658" t="s">
        <v>383</v>
      </c>
      <c r="F1658" s="20">
        <v>2040</v>
      </c>
      <c r="G1658" s="20">
        <v>46</v>
      </c>
      <c r="H1658" s="11">
        <v>5035.3668829769404</v>
      </c>
      <c r="I1658" s="10">
        <v>4142050.4773690798</v>
      </c>
      <c r="J1658" s="34">
        <f t="shared" si="100"/>
        <v>1.2156700915376751E-3</v>
      </c>
      <c r="K1658" s="34">
        <f t="shared" si="101"/>
        <v>1.214931463991431E-3</v>
      </c>
      <c r="L1658" s="34">
        <f t="shared" si="102"/>
        <v>0.99216690183333867</v>
      </c>
      <c r="M1658" s="34">
        <f t="shared" si="103"/>
        <v>0.99096148704677045</v>
      </c>
    </row>
    <row r="1659" spans="1:13" ht="27.6">
      <c r="A1659" t="s">
        <v>164</v>
      </c>
      <c r="B1659" t="s">
        <v>112</v>
      </c>
      <c r="C1659" s="14" t="s">
        <v>294</v>
      </c>
      <c r="D1659" t="s">
        <v>112</v>
      </c>
      <c r="E1659" t="s">
        <v>383</v>
      </c>
      <c r="F1659" s="20">
        <v>2040</v>
      </c>
      <c r="G1659" s="20">
        <v>47</v>
      </c>
      <c r="H1659" s="11">
        <v>5457.1831689279197</v>
      </c>
      <c r="I1659" s="10">
        <v>4084241.3412106801</v>
      </c>
      <c r="J1659" s="34">
        <f t="shared" si="100"/>
        <v>1.3361559009415105E-3</v>
      </c>
      <c r="K1659" s="34">
        <f t="shared" si="101"/>
        <v>1.335263642088913E-3</v>
      </c>
      <c r="L1659" s="34">
        <f t="shared" si="102"/>
        <v>0.99096148704677045</v>
      </c>
      <c r="M1659" s="34">
        <f t="shared" si="103"/>
        <v>0.98963829220240651</v>
      </c>
    </row>
    <row r="1660" spans="1:13" ht="27.6">
      <c r="A1660" t="s">
        <v>164</v>
      </c>
      <c r="B1660" t="s">
        <v>112</v>
      </c>
      <c r="C1660" s="14" t="s">
        <v>294</v>
      </c>
      <c r="D1660" t="s">
        <v>112</v>
      </c>
      <c r="E1660" t="s">
        <v>383</v>
      </c>
      <c r="F1660" s="20">
        <v>2040</v>
      </c>
      <c r="G1660" s="20">
        <v>48</v>
      </c>
      <c r="H1660" s="11">
        <v>5998.5841318001603</v>
      </c>
      <c r="I1660" s="10">
        <v>4059897.8546094</v>
      </c>
      <c r="J1660" s="34">
        <f t="shared" si="100"/>
        <v>1.4775209492006492E-3</v>
      </c>
      <c r="K1660" s="34">
        <f t="shared" si="101"/>
        <v>1.4764299525126257E-3</v>
      </c>
      <c r="L1660" s="34">
        <f t="shared" si="102"/>
        <v>0.98963829220240651</v>
      </c>
      <c r="M1660" s="34">
        <f t="shared" si="103"/>
        <v>0.98817716058564542</v>
      </c>
    </row>
    <row r="1661" spans="1:13" ht="27.6">
      <c r="A1661" t="s">
        <v>164</v>
      </c>
      <c r="B1661" t="s">
        <v>112</v>
      </c>
      <c r="C1661" s="14" t="s">
        <v>294</v>
      </c>
      <c r="D1661" t="s">
        <v>112</v>
      </c>
      <c r="E1661" t="s">
        <v>383</v>
      </c>
      <c r="F1661" s="20">
        <v>2040</v>
      </c>
      <c r="G1661" s="20">
        <v>49</v>
      </c>
      <c r="H1661" s="11">
        <v>6431.3893582128303</v>
      </c>
      <c r="I1661" s="10">
        <v>4028962.0824197899</v>
      </c>
      <c r="J1661" s="34">
        <f t="shared" si="100"/>
        <v>1.5962893734532606E-3</v>
      </c>
      <c r="K1661" s="34">
        <f t="shared" si="101"/>
        <v>1.5950159812290199E-3</v>
      </c>
      <c r="L1661" s="34">
        <f t="shared" si="102"/>
        <v>0.98817716058564542</v>
      </c>
      <c r="M1661" s="34">
        <f t="shared" si="103"/>
        <v>0.9866010022222258</v>
      </c>
    </row>
    <row r="1662" spans="1:13" ht="27.6">
      <c r="A1662" t="s">
        <v>164</v>
      </c>
      <c r="B1662" t="s">
        <v>112</v>
      </c>
      <c r="C1662" s="14" t="s">
        <v>294</v>
      </c>
      <c r="D1662" t="s">
        <v>112</v>
      </c>
      <c r="E1662" t="s">
        <v>383</v>
      </c>
      <c r="F1662" s="20">
        <v>2040</v>
      </c>
      <c r="G1662" s="20">
        <v>50</v>
      </c>
      <c r="H1662" s="11">
        <v>6941.7242625327699</v>
      </c>
      <c r="I1662" s="10">
        <v>4000648.3623705702</v>
      </c>
      <c r="J1662" s="34">
        <f t="shared" si="100"/>
        <v>1.7351498141714898E-3</v>
      </c>
      <c r="K1662" s="34">
        <f t="shared" si="101"/>
        <v>1.7336453120373463E-3</v>
      </c>
      <c r="L1662" s="34">
        <f t="shared" si="102"/>
        <v>0.9866010022222258</v>
      </c>
      <c r="M1662" s="34">
        <f t="shared" si="103"/>
        <v>0.98489058601987189</v>
      </c>
    </row>
    <row r="1663" spans="1:13" ht="27.6">
      <c r="A1663" t="s">
        <v>164</v>
      </c>
      <c r="B1663" t="s">
        <v>112</v>
      </c>
      <c r="C1663" s="14" t="s">
        <v>294</v>
      </c>
      <c r="D1663" t="s">
        <v>112</v>
      </c>
      <c r="E1663" t="s">
        <v>383</v>
      </c>
      <c r="F1663" s="20">
        <v>2040</v>
      </c>
      <c r="G1663" s="20">
        <v>51</v>
      </c>
      <c r="H1663" s="11">
        <v>7870.9949152265099</v>
      </c>
      <c r="I1663" s="10">
        <v>3993505.6972754798</v>
      </c>
      <c r="J1663" s="34">
        <f t="shared" si="100"/>
        <v>1.9709487132061436E-3</v>
      </c>
      <c r="K1663" s="34">
        <f t="shared" si="101"/>
        <v>1.969007669233247E-3</v>
      </c>
      <c r="L1663" s="34">
        <f t="shared" si="102"/>
        <v>0.98489058601987189</v>
      </c>
      <c r="M1663" s="34">
        <f t="shared" si="103"/>
        <v>0.98295132890264314</v>
      </c>
    </row>
    <row r="1664" spans="1:13" ht="27.6">
      <c r="A1664" t="s">
        <v>164</v>
      </c>
      <c r="B1664" t="s">
        <v>112</v>
      </c>
      <c r="C1664" s="14" t="s">
        <v>294</v>
      </c>
      <c r="D1664" t="s">
        <v>112</v>
      </c>
      <c r="E1664" t="s">
        <v>383</v>
      </c>
      <c r="F1664" s="20">
        <v>2040</v>
      </c>
      <c r="G1664" s="20">
        <v>52</v>
      </c>
      <c r="H1664" s="11">
        <v>8529.4044962517291</v>
      </c>
      <c r="I1664" s="10">
        <v>3940450.7180125499</v>
      </c>
      <c r="J1664" s="34">
        <f t="shared" si="100"/>
        <v>2.1645758586098284E-3</v>
      </c>
      <c r="K1664" s="34">
        <f t="shared" si="101"/>
        <v>2.1622348536848301E-3</v>
      </c>
      <c r="L1664" s="34">
        <f t="shared" si="102"/>
        <v>0.98295132890264314</v>
      </c>
      <c r="M1664" s="34">
        <f t="shared" si="103"/>
        <v>0.98082595727981403</v>
      </c>
    </row>
    <row r="1665" spans="1:13" ht="27.6">
      <c r="A1665" t="s">
        <v>164</v>
      </c>
      <c r="B1665" t="s">
        <v>112</v>
      </c>
      <c r="C1665" s="14" t="s">
        <v>294</v>
      </c>
      <c r="D1665" t="s">
        <v>112</v>
      </c>
      <c r="E1665" t="s">
        <v>383</v>
      </c>
      <c r="F1665" s="20">
        <v>2040</v>
      </c>
      <c r="G1665" s="20">
        <v>53</v>
      </c>
      <c r="H1665" s="11">
        <v>9201.0316501587004</v>
      </c>
      <c r="I1665" s="10">
        <v>3878176.4674415598</v>
      </c>
      <c r="J1665" s="34">
        <f t="shared" si="100"/>
        <v>2.3725149506228214E-3</v>
      </c>
      <c r="K1665" s="34">
        <f t="shared" si="101"/>
        <v>2.3697027614539845E-3</v>
      </c>
      <c r="L1665" s="34">
        <f t="shared" si="102"/>
        <v>0.98082595727981403</v>
      </c>
      <c r="M1665" s="34">
        <f t="shared" si="103"/>
        <v>0.97850169130034226</v>
      </c>
    </row>
    <row r="1666" spans="1:13" ht="27.6">
      <c r="A1666" t="s">
        <v>164</v>
      </c>
      <c r="B1666" t="s">
        <v>112</v>
      </c>
      <c r="C1666" s="14" t="s">
        <v>294</v>
      </c>
      <c r="D1666" t="s">
        <v>112</v>
      </c>
      <c r="E1666" t="s">
        <v>383</v>
      </c>
      <c r="F1666" s="20">
        <v>2040</v>
      </c>
      <c r="G1666" s="20">
        <v>54</v>
      </c>
      <c r="H1666" s="11">
        <v>10134.418771754001</v>
      </c>
      <c r="I1666" s="10">
        <v>3873983.9974255501</v>
      </c>
      <c r="J1666" s="34">
        <f t="shared" ref="J1666:J1729" si="104">IF(I1666&gt;0,H1666/I1666,0)</f>
        <v>2.6160197818289421E-3</v>
      </c>
      <c r="K1666" s="34">
        <f t="shared" ref="K1666:K1729" si="105">1-EXP(-J1666)</f>
        <v>2.6126009839435582E-3</v>
      </c>
      <c r="L1666" s="34">
        <f t="shared" ref="L1666:L1729" si="106">IF(G1666=30,1,M1665)</f>
        <v>0.97850169130034226</v>
      </c>
      <c r="M1666" s="34">
        <f t="shared" ref="M1666:M1729" si="107">L1666*(1-K1666)</f>
        <v>0.97594525681886057</v>
      </c>
    </row>
    <row r="1667" spans="1:13" ht="27.6">
      <c r="A1667" t="s">
        <v>164</v>
      </c>
      <c r="B1667" t="s">
        <v>112</v>
      </c>
      <c r="C1667" s="14" t="s">
        <v>294</v>
      </c>
      <c r="D1667" t="s">
        <v>112</v>
      </c>
      <c r="E1667" t="s">
        <v>383</v>
      </c>
      <c r="F1667" s="20">
        <v>2040</v>
      </c>
      <c r="G1667" s="20">
        <v>55</v>
      </c>
      <c r="H1667" s="11">
        <v>11322.2011150292</v>
      </c>
      <c r="I1667" s="10">
        <v>3922256.7129827598</v>
      </c>
      <c r="J1667" s="34">
        <f t="shared" si="104"/>
        <v>2.8866547866569911E-3</v>
      </c>
      <c r="K1667" s="34">
        <f t="shared" si="105"/>
        <v>2.8824924048114209E-3</v>
      </c>
      <c r="L1667" s="34">
        <f t="shared" si="106"/>
        <v>0.97594525681886057</v>
      </c>
      <c r="M1667" s="34">
        <f t="shared" si="107"/>
        <v>0.97313210202856848</v>
      </c>
    </row>
    <row r="1668" spans="1:13" ht="27.6">
      <c r="A1668" t="s">
        <v>164</v>
      </c>
      <c r="B1668" t="s">
        <v>112</v>
      </c>
      <c r="C1668" s="14" t="s">
        <v>294</v>
      </c>
      <c r="D1668" t="s">
        <v>112</v>
      </c>
      <c r="E1668" t="s">
        <v>383</v>
      </c>
      <c r="F1668" s="20">
        <v>2040</v>
      </c>
      <c r="G1668" s="20">
        <v>56</v>
      </c>
      <c r="H1668" s="11">
        <v>12454.5462793392</v>
      </c>
      <c r="I1668" s="10">
        <v>3928637.99548491</v>
      </c>
      <c r="J1668" s="34">
        <f t="shared" si="104"/>
        <v>3.1701944270897224E-3</v>
      </c>
      <c r="K1668" s="34">
        <f t="shared" si="105"/>
        <v>3.1651746666768732E-3</v>
      </c>
      <c r="L1668" s="34">
        <f t="shared" si="106"/>
        <v>0.97313210202856848</v>
      </c>
      <c r="M1668" s="34">
        <f t="shared" si="107"/>
        <v>0.9700519689518976</v>
      </c>
    </row>
    <row r="1669" spans="1:13" ht="27.6">
      <c r="A1669" t="s">
        <v>164</v>
      </c>
      <c r="B1669" t="s">
        <v>112</v>
      </c>
      <c r="C1669" s="14" t="s">
        <v>294</v>
      </c>
      <c r="D1669" t="s">
        <v>112</v>
      </c>
      <c r="E1669" t="s">
        <v>383</v>
      </c>
      <c r="F1669" s="20">
        <v>2040</v>
      </c>
      <c r="G1669" s="20">
        <v>57</v>
      </c>
      <c r="H1669" s="11">
        <v>13487.0177727316</v>
      </c>
      <c r="I1669" s="10">
        <v>3878748.8114885902</v>
      </c>
      <c r="J1669" s="34">
        <f t="shared" si="104"/>
        <v>3.4771567915880429E-3</v>
      </c>
      <c r="K1669" s="34">
        <f t="shared" si="105"/>
        <v>3.4711184826545782E-3</v>
      </c>
      <c r="L1669" s="34">
        <f t="shared" si="106"/>
        <v>0.9700519689518976</v>
      </c>
      <c r="M1669" s="34">
        <f t="shared" si="107"/>
        <v>0.9666848036333332</v>
      </c>
    </row>
    <row r="1670" spans="1:13" ht="27.6">
      <c r="A1670" t="s">
        <v>164</v>
      </c>
      <c r="B1670" t="s">
        <v>112</v>
      </c>
      <c r="C1670" s="14" t="s">
        <v>294</v>
      </c>
      <c r="D1670" t="s">
        <v>112</v>
      </c>
      <c r="E1670" t="s">
        <v>383</v>
      </c>
      <c r="F1670" s="20">
        <v>2040</v>
      </c>
      <c r="G1670" s="20">
        <v>58</v>
      </c>
      <c r="H1670" s="11">
        <v>14503.149954136999</v>
      </c>
      <c r="I1670" s="10">
        <v>3804385.6081881602</v>
      </c>
      <c r="J1670" s="34">
        <f t="shared" si="104"/>
        <v>3.8122186991039874E-3</v>
      </c>
      <c r="K1670" s="34">
        <f t="shared" si="105"/>
        <v>3.8049614184417768E-3</v>
      </c>
      <c r="L1670" s="34">
        <f t="shared" si="106"/>
        <v>0.9666848036333332</v>
      </c>
      <c r="M1670" s="34">
        <f t="shared" si="107"/>
        <v>0.96300660525171444</v>
      </c>
    </row>
    <row r="1671" spans="1:13" ht="27.6">
      <c r="A1671" t="s">
        <v>164</v>
      </c>
      <c r="B1671" t="s">
        <v>112</v>
      </c>
      <c r="C1671" s="14" t="s">
        <v>294</v>
      </c>
      <c r="D1671" t="s">
        <v>112</v>
      </c>
      <c r="E1671" t="s">
        <v>383</v>
      </c>
      <c r="F1671" s="20">
        <v>2040</v>
      </c>
      <c r="G1671" s="20">
        <v>59</v>
      </c>
      <c r="H1671" s="11">
        <v>14830.8129220316</v>
      </c>
      <c r="I1671" s="10">
        <v>3722603.2962815999</v>
      </c>
      <c r="J1671" s="34">
        <f t="shared" si="104"/>
        <v>3.983989628130848E-3</v>
      </c>
      <c r="K1671" s="34">
        <f t="shared" si="105"/>
        <v>3.9760640700594596E-3</v>
      </c>
      <c r="L1671" s="34">
        <f t="shared" si="106"/>
        <v>0.96300660525171444</v>
      </c>
      <c r="M1671" s="34">
        <f t="shared" si="107"/>
        <v>0.95917762928934314</v>
      </c>
    </row>
    <row r="1672" spans="1:13" ht="27.6">
      <c r="A1672" t="s">
        <v>164</v>
      </c>
      <c r="B1672" t="s">
        <v>112</v>
      </c>
      <c r="C1672" s="14" t="s">
        <v>294</v>
      </c>
      <c r="D1672" t="s">
        <v>112</v>
      </c>
      <c r="E1672" t="s">
        <v>383</v>
      </c>
      <c r="F1672" s="20">
        <v>2040</v>
      </c>
      <c r="G1672" s="20">
        <v>60</v>
      </c>
      <c r="H1672" s="11">
        <v>15400.2410150914</v>
      </c>
      <c r="I1672" s="10">
        <v>3645231.4319926202</v>
      </c>
      <c r="J1672" s="34">
        <f t="shared" si="104"/>
        <v>4.2247635856341361E-3</v>
      </c>
      <c r="K1672" s="34">
        <f t="shared" si="105"/>
        <v>4.215851826399386E-3</v>
      </c>
      <c r="L1672" s="34">
        <f t="shared" si="106"/>
        <v>0.95917762928934314</v>
      </c>
      <c r="M1672" s="34">
        <f t="shared" si="107"/>
        <v>0.95513387852906217</v>
      </c>
    </row>
    <row r="1673" spans="1:13" ht="27.6">
      <c r="A1673" t="s">
        <v>164</v>
      </c>
      <c r="B1673" t="s">
        <v>112</v>
      </c>
      <c r="C1673" s="14" t="s">
        <v>294</v>
      </c>
      <c r="D1673" t="s">
        <v>112</v>
      </c>
      <c r="E1673" t="s">
        <v>383</v>
      </c>
      <c r="F1673" s="20">
        <v>2040</v>
      </c>
      <c r="G1673" s="20">
        <v>61</v>
      </c>
      <c r="H1673" s="11">
        <v>16066.8324453227</v>
      </c>
      <c r="I1673" s="10">
        <v>3554152.5788068301</v>
      </c>
      <c r="J1673" s="34">
        <f t="shared" si="104"/>
        <v>4.5205803884526873E-3</v>
      </c>
      <c r="K1673" s="34">
        <f t="shared" si="105"/>
        <v>4.5103779443743663E-3</v>
      </c>
      <c r="L1673" s="34">
        <f t="shared" si="106"/>
        <v>0.95513387852906217</v>
      </c>
      <c r="M1673" s="34">
        <f t="shared" si="107"/>
        <v>0.95082586374941991</v>
      </c>
    </row>
    <row r="1674" spans="1:13" ht="27.6">
      <c r="A1674" t="s">
        <v>164</v>
      </c>
      <c r="B1674" t="s">
        <v>112</v>
      </c>
      <c r="C1674" s="14" t="s">
        <v>294</v>
      </c>
      <c r="D1674" t="s">
        <v>112</v>
      </c>
      <c r="E1674" t="s">
        <v>383</v>
      </c>
      <c r="F1674" s="20">
        <v>2040</v>
      </c>
      <c r="G1674" s="20">
        <v>62</v>
      </c>
      <c r="H1674" s="11">
        <v>16793.5116694276</v>
      </c>
      <c r="I1674" s="10">
        <v>3439934.9174786098</v>
      </c>
      <c r="J1674" s="34">
        <f t="shared" si="104"/>
        <v>4.8819271504522655E-3</v>
      </c>
      <c r="K1674" s="34">
        <f t="shared" si="105"/>
        <v>4.870029912457996E-3</v>
      </c>
      <c r="L1674" s="34">
        <f t="shared" si="106"/>
        <v>0.95082586374941991</v>
      </c>
      <c r="M1674" s="34">
        <f t="shared" si="107"/>
        <v>0.94619531335142149</v>
      </c>
    </row>
    <row r="1675" spans="1:13" ht="27.6">
      <c r="A1675" t="s">
        <v>164</v>
      </c>
      <c r="B1675" t="s">
        <v>112</v>
      </c>
      <c r="C1675" s="14" t="s">
        <v>294</v>
      </c>
      <c r="D1675" t="s">
        <v>112</v>
      </c>
      <c r="E1675" t="s">
        <v>383</v>
      </c>
      <c r="F1675" s="20">
        <v>2040</v>
      </c>
      <c r="G1675" s="20">
        <v>63</v>
      </c>
      <c r="H1675" s="11">
        <v>17544.9161529577</v>
      </c>
      <c r="I1675" s="10">
        <v>3328838.8431601501</v>
      </c>
      <c r="J1675" s="34">
        <f t="shared" si="104"/>
        <v>5.2705814188054451E-3</v>
      </c>
      <c r="K1675" s="34">
        <f t="shared" si="105"/>
        <v>5.2567162743786255E-3</v>
      </c>
      <c r="L1675" s="34">
        <f t="shared" si="106"/>
        <v>0.94619531335142149</v>
      </c>
      <c r="M1675" s="34">
        <f t="shared" si="107"/>
        <v>0.94122143304898631</v>
      </c>
    </row>
    <row r="1676" spans="1:13" ht="27.6">
      <c r="A1676" t="s">
        <v>164</v>
      </c>
      <c r="B1676" t="s">
        <v>112</v>
      </c>
      <c r="C1676" s="14" t="s">
        <v>294</v>
      </c>
      <c r="D1676" t="s">
        <v>112</v>
      </c>
      <c r="E1676" t="s">
        <v>383</v>
      </c>
      <c r="F1676" s="20">
        <v>2040</v>
      </c>
      <c r="G1676" s="20">
        <v>64</v>
      </c>
      <c r="H1676" s="11">
        <v>18741.338058253001</v>
      </c>
      <c r="I1676" s="10">
        <v>3229785.4671048899</v>
      </c>
      <c r="J1676" s="34">
        <f t="shared" si="104"/>
        <v>5.8026572504991589E-3</v>
      </c>
      <c r="K1676" s="34">
        <f t="shared" si="105"/>
        <v>5.7858543511141169E-3</v>
      </c>
      <c r="L1676" s="34">
        <f t="shared" si="106"/>
        <v>0.94122143304898631</v>
      </c>
      <c r="M1676" s="34">
        <f t="shared" si="107"/>
        <v>0.93577566292521797</v>
      </c>
    </row>
    <row r="1677" spans="1:13" ht="27.6">
      <c r="A1677" t="s">
        <v>164</v>
      </c>
      <c r="B1677" t="s">
        <v>112</v>
      </c>
      <c r="C1677" s="14" t="s">
        <v>294</v>
      </c>
      <c r="D1677" t="s">
        <v>112</v>
      </c>
      <c r="E1677" t="s">
        <v>383</v>
      </c>
      <c r="F1677" s="20">
        <v>2040</v>
      </c>
      <c r="G1677" s="20">
        <v>65</v>
      </c>
      <c r="H1677" s="11">
        <v>19796.240829667</v>
      </c>
      <c r="I1677" s="10">
        <v>3118131.8936534799</v>
      </c>
      <c r="J1677" s="34">
        <f t="shared" si="104"/>
        <v>6.3487503110306112E-3</v>
      </c>
      <c r="K1677" s="34">
        <f t="shared" si="105"/>
        <v>6.3286395776234183E-3</v>
      </c>
      <c r="L1677" s="34">
        <f t="shared" si="106"/>
        <v>0.93577566292521797</v>
      </c>
      <c r="M1677" s="34">
        <f t="shared" si="107"/>
        <v>0.92985347602905266</v>
      </c>
    </row>
    <row r="1678" spans="1:13" ht="27.6">
      <c r="A1678" t="s">
        <v>164</v>
      </c>
      <c r="B1678" t="s">
        <v>112</v>
      </c>
      <c r="C1678" s="14" t="s">
        <v>294</v>
      </c>
      <c r="D1678" t="s">
        <v>112</v>
      </c>
      <c r="E1678" t="s">
        <v>383</v>
      </c>
      <c r="F1678" s="20">
        <v>2040</v>
      </c>
      <c r="G1678" s="20">
        <v>66</v>
      </c>
      <c r="H1678" s="11">
        <v>20321.402870337501</v>
      </c>
      <c r="I1678" s="10">
        <v>3018134.6112596099</v>
      </c>
      <c r="J1678" s="34">
        <f t="shared" si="104"/>
        <v>6.7331002383145596E-3</v>
      </c>
      <c r="K1678" s="34">
        <f t="shared" si="105"/>
        <v>6.7104837071635393E-3</v>
      </c>
      <c r="L1678" s="34">
        <f t="shared" si="106"/>
        <v>0.92985347602905266</v>
      </c>
      <c r="M1678" s="34">
        <f t="shared" si="107"/>
        <v>0.92361370942811027</v>
      </c>
    </row>
    <row r="1679" spans="1:13" ht="27.6">
      <c r="A1679" t="s">
        <v>164</v>
      </c>
      <c r="B1679" t="s">
        <v>112</v>
      </c>
      <c r="C1679" s="14" t="s">
        <v>294</v>
      </c>
      <c r="D1679" t="s">
        <v>112</v>
      </c>
      <c r="E1679" t="s">
        <v>383</v>
      </c>
      <c r="F1679" s="20">
        <v>2040</v>
      </c>
      <c r="G1679" s="20">
        <v>67</v>
      </c>
      <c r="H1679" s="11">
        <v>21425.190014374501</v>
      </c>
      <c r="I1679" s="10">
        <v>2916371.5116636902</v>
      </c>
      <c r="J1679" s="34">
        <f t="shared" si="104"/>
        <v>7.3465228722359045E-3</v>
      </c>
      <c r="K1679" s="34">
        <f t="shared" si="105"/>
        <v>7.3196031355718949E-3</v>
      </c>
      <c r="L1679" s="34">
        <f t="shared" si="106"/>
        <v>0.92361370942811027</v>
      </c>
      <c r="M1679" s="34">
        <f t="shared" si="107"/>
        <v>0.91685322362452304</v>
      </c>
    </row>
    <row r="1680" spans="1:13" ht="27.6">
      <c r="A1680" t="s">
        <v>164</v>
      </c>
      <c r="B1680" t="s">
        <v>112</v>
      </c>
      <c r="C1680" s="14" t="s">
        <v>294</v>
      </c>
      <c r="D1680" t="s">
        <v>112</v>
      </c>
      <c r="E1680" t="s">
        <v>383</v>
      </c>
      <c r="F1680" s="20">
        <v>2040</v>
      </c>
      <c r="G1680" s="20">
        <v>68</v>
      </c>
      <c r="H1680" s="11">
        <v>22273.616042680798</v>
      </c>
      <c r="I1680" s="10">
        <v>2795441.5276439898</v>
      </c>
      <c r="J1680" s="34">
        <f t="shared" si="104"/>
        <v>7.9678347131993486E-3</v>
      </c>
      <c r="K1680" s="34">
        <f t="shared" si="105"/>
        <v>7.9361756586968646E-3</v>
      </c>
      <c r="L1680" s="34">
        <f t="shared" si="106"/>
        <v>0.91685322362452304</v>
      </c>
      <c r="M1680" s="34">
        <f t="shared" si="107"/>
        <v>0.90957691538859631</v>
      </c>
    </row>
    <row r="1681" spans="1:13" ht="27.6">
      <c r="A1681" t="s">
        <v>164</v>
      </c>
      <c r="B1681" t="s">
        <v>112</v>
      </c>
      <c r="C1681" s="14" t="s">
        <v>294</v>
      </c>
      <c r="D1681" t="s">
        <v>112</v>
      </c>
      <c r="E1681" t="s">
        <v>383</v>
      </c>
      <c r="F1681" s="20">
        <v>2040</v>
      </c>
      <c r="G1681" s="20">
        <v>69</v>
      </c>
      <c r="H1681" s="11">
        <v>22503.179780352399</v>
      </c>
      <c r="I1681" s="10">
        <v>2682891.8724117102</v>
      </c>
      <c r="J1681" s="34">
        <f t="shared" si="104"/>
        <v>8.3876581131552639E-3</v>
      </c>
      <c r="K1681" s="34">
        <f t="shared" si="105"/>
        <v>8.3525798521769667E-3</v>
      </c>
      <c r="L1681" s="34">
        <f t="shared" si="106"/>
        <v>0.90957691538859631</v>
      </c>
      <c r="M1681" s="34">
        <f t="shared" si="107"/>
        <v>0.90197960157111623</v>
      </c>
    </row>
    <row r="1682" spans="1:13" ht="27.6">
      <c r="A1682" t="s">
        <v>164</v>
      </c>
      <c r="B1682" t="s">
        <v>112</v>
      </c>
      <c r="C1682" s="14" t="s">
        <v>294</v>
      </c>
      <c r="D1682" t="s">
        <v>112</v>
      </c>
      <c r="E1682" t="s">
        <v>383</v>
      </c>
      <c r="F1682" s="20">
        <v>2041</v>
      </c>
      <c r="G1682" s="20">
        <v>30</v>
      </c>
      <c r="H1682" s="11">
        <v>751.90375447864403</v>
      </c>
      <c r="I1682" s="10">
        <v>4807096.95505735</v>
      </c>
      <c r="J1682" s="34">
        <f t="shared" si="104"/>
        <v>1.5641535036808377E-4</v>
      </c>
      <c r="K1682" s="34">
        <f t="shared" si="105"/>
        <v>1.5640311812492591E-4</v>
      </c>
      <c r="L1682" s="34">
        <f t="shared" si="106"/>
        <v>1</v>
      </c>
      <c r="M1682" s="34">
        <f t="shared" si="107"/>
        <v>0.99984359688187507</v>
      </c>
    </row>
    <row r="1683" spans="1:13" ht="27.6">
      <c r="A1683" t="s">
        <v>164</v>
      </c>
      <c r="B1683" t="s">
        <v>112</v>
      </c>
      <c r="C1683" s="14" t="s">
        <v>294</v>
      </c>
      <c r="D1683" t="s">
        <v>112</v>
      </c>
      <c r="E1683" t="s">
        <v>383</v>
      </c>
      <c r="F1683" s="20">
        <v>2041</v>
      </c>
      <c r="G1683" s="20">
        <v>31</v>
      </c>
      <c r="H1683" s="11">
        <v>1051.7864980187401</v>
      </c>
      <c r="I1683" s="10">
        <v>4706067.1401615599</v>
      </c>
      <c r="J1683" s="34">
        <f t="shared" si="104"/>
        <v>2.2349585475370674E-4</v>
      </c>
      <c r="K1683" s="34">
        <f t="shared" si="105"/>
        <v>2.2347088141572158E-4</v>
      </c>
      <c r="L1683" s="34">
        <f t="shared" si="106"/>
        <v>0.99984359688187507</v>
      </c>
      <c r="M1683" s="34">
        <f t="shared" si="107"/>
        <v>0.99962016095200201</v>
      </c>
    </row>
    <row r="1684" spans="1:13" ht="27.6">
      <c r="A1684" t="s">
        <v>164</v>
      </c>
      <c r="B1684" t="s">
        <v>112</v>
      </c>
      <c r="C1684" s="14" t="s">
        <v>294</v>
      </c>
      <c r="D1684" t="s">
        <v>112</v>
      </c>
      <c r="E1684" t="s">
        <v>383</v>
      </c>
      <c r="F1684" s="20">
        <v>2041</v>
      </c>
      <c r="G1684" s="20">
        <v>32</v>
      </c>
      <c r="H1684" s="11">
        <v>1082.56822350779</v>
      </c>
      <c r="I1684" s="10">
        <v>4649707.3807715103</v>
      </c>
      <c r="J1684" s="34">
        <f t="shared" si="104"/>
        <v>2.3282502206153091E-4</v>
      </c>
      <c r="K1684" s="34">
        <f t="shared" si="105"/>
        <v>2.3279792041941416E-4</v>
      </c>
      <c r="L1684" s="34">
        <f t="shared" si="106"/>
        <v>0.99962016095200201</v>
      </c>
      <c r="M1684" s="34">
        <f t="shared" si="107"/>
        <v>0.99938745145732311</v>
      </c>
    </row>
    <row r="1685" spans="1:13" ht="27.6">
      <c r="A1685" t="s">
        <v>164</v>
      </c>
      <c r="B1685" t="s">
        <v>112</v>
      </c>
      <c r="C1685" s="14" t="s">
        <v>294</v>
      </c>
      <c r="D1685" t="s">
        <v>112</v>
      </c>
      <c r="E1685" t="s">
        <v>383</v>
      </c>
      <c r="F1685" s="20">
        <v>2041</v>
      </c>
      <c r="G1685" s="20">
        <v>33</v>
      </c>
      <c r="H1685" s="11">
        <v>1140.5385198189499</v>
      </c>
      <c r="I1685" s="10">
        <v>4642108.1274512801</v>
      </c>
      <c r="J1685" s="34">
        <f t="shared" si="104"/>
        <v>2.4569408736395707E-4</v>
      </c>
      <c r="K1685" s="34">
        <f t="shared" si="105"/>
        <v>2.4566390704339192E-4</v>
      </c>
      <c r="L1685" s="34">
        <f t="shared" si="106"/>
        <v>0.99938745145732311</v>
      </c>
      <c r="M1685" s="34">
        <f t="shared" si="107"/>
        <v>0.99914193803134799</v>
      </c>
    </row>
    <row r="1686" spans="1:13" ht="27.6">
      <c r="A1686" t="s">
        <v>164</v>
      </c>
      <c r="B1686" t="s">
        <v>112</v>
      </c>
      <c r="C1686" s="14" t="s">
        <v>294</v>
      </c>
      <c r="D1686" t="s">
        <v>112</v>
      </c>
      <c r="E1686" t="s">
        <v>383</v>
      </c>
      <c r="F1686" s="20">
        <v>2041</v>
      </c>
      <c r="G1686" s="20">
        <v>34</v>
      </c>
      <c r="H1686" s="11">
        <v>1199.3317713705901</v>
      </c>
      <c r="I1686" s="10">
        <v>4614457.1614835197</v>
      </c>
      <c r="J1686" s="34">
        <f t="shared" si="104"/>
        <v>2.5990744510130253E-4</v>
      </c>
      <c r="K1686" s="34">
        <f t="shared" si="105"/>
        <v>2.5987367208735179E-4</v>
      </c>
      <c r="L1686" s="34">
        <f t="shared" si="106"/>
        <v>0.99914193803134799</v>
      </c>
      <c r="M1686" s="34">
        <f t="shared" si="107"/>
        <v>0.99888228734697526</v>
      </c>
    </row>
    <row r="1687" spans="1:13" ht="27.6">
      <c r="A1687" t="s">
        <v>164</v>
      </c>
      <c r="B1687" t="s">
        <v>112</v>
      </c>
      <c r="C1687" s="14" t="s">
        <v>294</v>
      </c>
      <c r="D1687" t="s">
        <v>112</v>
      </c>
      <c r="E1687" t="s">
        <v>383</v>
      </c>
      <c r="F1687" s="20">
        <v>2041</v>
      </c>
      <c r="G1687" s="20">
        <v>35</v>
      </c>
      <c r="H1687" s="11">
        <v>1269.7302805567599</v>
      </c>
      <c r="I1687" s="10">
        <v>4543131.4931945102</v>
      </c>
      <c r="J1687" s="34">
        <f t="shared" si="104"/>
        <v>2.7948349777213847E-4</v>
      </c>
      <c r="K1687" s="34">
        <f t="shared" si="105"/>
        <v>2.7944444589755868E-4</v>
      </c>
      <c r="L1687" s="34">
        <f t="shared" si="106"/>
        <v>0.99888228734697526</v>
      </c>
      <c r="M1687" s="34">
        <f t="shared" si="107"/>
        <v>0.99860315523967069</v>
      </c>
    </row>
    <row r="1688" spans="1:13" ht="27.6">
      <c r="A1688" t="s">
        <v>164</v>
      </c>
      <c r="B1688" t="s">
        <v>112</v>
      </c>
      <c r="C1688" s="14" t="s">
        <v>294</v>
      </c>
      <c r="D1688" t="s">
        <v>112</v>
      </c>
      <c r="E1688" t="s">
        <v>383</v>
      </c>
      <c r="F1688" s="20">
        <v>2041</v>
      </c>
      <c r="G1688" s="20">
        <v>36</v>
      </c>
      <c r="H1688" s="11">
        <v>1596.68223244503</v>
      </c>
      <c r="I1688" s="10">
        <v>4449010.4848125204</v>
      </c>
      <c r="J1688" s="34">
        <f t="shared" si="104"/>
        <v>3.5888479874245869E-4</v>
      </c>
      <c r="K1688" s="34">
        <f t="shared" si="105"/>
        <v>3.5882040729628972E-4</v>
      </c>
      <c r="L1688" s="34">
        <f t="shared" si="106"/>
        <v>0.99860315523967069</v>
      </c>
      <c r="M1688" s="34">
        <f t="shared" si="107"/>
        <v>0.99824483604878023</v>
      </c>
    </row>
    <row r="1689" spans="1:13" ht="27.6">
      <c r="A1689" t="s">
        <v>164</v>
      </c>
      <c r="B1689" t="s">
        <v>112</v>
      </c>
      <c r="C1689" s="14" t="s">
        <v>294</v>
      </c>
      <c r="D1689" t="s">
        <v>112</v>
      </c>
      <c r="E1689" t="s">
        <v>383</v>
      </c>
      <c r="F1689" s="20">
        <v>2041</v>
      </c>
      <c r="G1689" s="20">
        <v>37</v>
      </c>
      <c r="H1689" s="11">
        <v>1713.42242802192</v>
      </c>
      <c r="I1689" s="10">
        <v>4351400.6913098302</v>
      </c>
      <c r="J1689" s="34">
        <f t="shared" si="104"/>
        <v>3.9376342230302788E-4</v>
      </c>
      <c r="K1689" s="34">
        <f t="shared" si="105"/>
        <v>3.9368590766108991E-4</v>
      </c>
      <c r="L1689" s="34">
        <f t="shared" si="106"/>
        <v>0.99824483604878023</v>
      </c>
      <c r="M1689" s="34">
        <f t="shared" si="107"/>
        <v>0.99785184112443237</v>
      </c>
    </row>
    <row r="1690" spans="1:13" ht="27.6">
      <c r="A1690" t="s">
        <v>164</v>
      </c>
      <c r="B1690" t="s">
        <v>112</v>
      </c>
      <c r="C1690" s="14" t="s">
        <v>294</v>
      </c>
      <c r="D1690" t="s">
        <v>112</v>
      </c>
      <c r="E1690" t="s">
        <v>383</v>
      </c>
      <c r="F1690" s="20">
        <v>2041</v>
      </c>
      <c r="G1690" s="20">
        <v>38</v>
      </c>
      <c r="H1690" s="11">
        <v>1895.6897694986701</v>
      </c>
      <c r="I1690" s="10">
        <v>4307519.5466474202</v>
      </c>
      <c r="J1690" s="34">
        <f t="shared" si="104"/>
        <v>4.4008848920351433E-4</v>
      </c>
      <c r="K1690" s="34">
        <f t="shared" si="105"/>
        <v>4.3999166446873073E-4</v>
      </c>
      <c r="L1690" s="34">
        <f t="shared" si="106"/>
        <v>0.99785184112443237</v>
      </c>
      <c r="M1690" s="34">
        <f t="shared" si="107"/>
        <v>0.99741279463196286</v>
      </c>
    </row>
    <row r="1691" spans="1:13" ht="27.6">
      <c r="A1691" t="s">
        <v>164</v>
      </c>
      <c r="B1691" t="s">
        <v>112</v>
      </c>
      <c r="C1691" s="14" t="s">
        <v>294</v>
      </c>
      <c r="D1691" t="s">
        <v>112</v>
      </c>
      <c r="E1691" t="s">
        <v>383</v>
      </c>
      <c r="F1691" s="20">
        <v>2041</v>
      </c>
      <c r="G1691" s="20">
        <v>39</v>
      </c>
      <c r="H1691" s="11">
        <v>2036.3268810909999</v>
      </c>
      <c r="I1691" s="10">
        <v>4286021.23645957</v>
      </c>
      <c r="J1691" s="34">
        <f t="shared" si="104"/>
        <v>4.7510891074657616E-4</v>
      </c>
      <c r="K1691" s="34">
        <f t="shared" si="105"/>
        <v>4.7499606438017317E-4</v>
      </c>
      <c r="L1691" s="34">
        <f t="shared" si="106"/>
        <v>0.99741279463196286</v>
      </c>
      <c r="M1691" s="34">
        <f t="shared" si="107"/>
        <v>0.99693902747995022</v>
      </c>
    </row>
    <row r="1692" spans="1:13" ht="27.6">
      <c r="A1692" t="s">
        <v>164</v>
      </c>
      <c r="B1692" t="s">
        <v>112</v>
      </c>
      <c r="C1692" s="14" t="s">
        <v>294</v>
      </c>
      <c r="D1692" t="s">
        <v>112</v>
      </c>
      <c r="E1692" t="s">
        <v>383</v>
      </c>
      <c r="F1692" s="20">
        <v>2041</v>
      </c>
      <c r="G1692" s="20">
        <v>40</v>
      </c>
      <c r="H1692" s="11">
        <v>2233.8437158133702</v>
      </c>
      <c r="I1692" s="10">
        <v>4264343.7602548897</v>
      </c>
      <c r="J1692" s="34">
        <f t="shared" si="104"/>
        <v>5.2384231698990617E-4</v>
      </c>
      <c r="K1692" s="34">
        <f t="shared" si="105"/>
        <v>5.2370513555821674E-4</v>
      </c>
      <c r="L1692" s="34">
        <f t="shared" si="106"/>
        <v>0.99693902747995022</v>
      </c>
      <c r="M1692" s="34">
        <f t="shared" si="107"/>
        <v>0.99641692539142057</v>
      </c>
    </row>
    <row r="1693" spans="1:13" ht="27.6">
      <c r="A1693" t="s">
        <v>164</v>
      </c>
      <c r="B1693" t="s">
        <v>112</v>
      </c>
      <c r="C1693" s="14" t="s">
        <v>294</v>
      </c>
      <c r="D1693" t="s">
        <v>112</v>
      </c>
      <c r="E1693" t="s">
        <v>383</v>
      </c>
      <c r="F1693" s="20">
        <v>2041</v>
      </c>
      <c r="G1693" s="20">
        <v>41</v>
      </c>
      <c r="H1693" s="11">
        <v>2930.5754585621999</v>
      </c>
      <c r="I1693" s="10">
        <v>4261788.4447523197</v>
      </c>
      <c r="J1693" s="34">
        <f t="shared" si="104"/>
        <v>6.8763982458367064E-4</v>
      </c>
      <c r="K1693" s="34">
        <f t="shared" si="105"/>
        <v>6.874034545018004E-4</v>
      </c>
      <c r="L1693" s="34">
        <f t="shared" si="106"/>
        <v>0.99641692539142057</v>
      </c>
      <c r="M1693" s="34">
        <f t="shared" si="107"/>
        <v>0.99573198495478243</v>
      </c>
    </row>
    <row r="1694" spans="1:13" ht="27.6">
      <c r="A1694" t="s">
        <v>164</v>
      </c>
      <c r="B1694" t="s">
        <v>112</v>
      </c>
      <c r="C1694" s="14" t="s">
        <v>294</v>
      </c>
      <c r="D1694" t="s">
        <v>112</v>
      </c>
      <c r="E1694" t="s">
        <v>383</v>
      </c>
      <c r="F1694" s="20">
        <v>2041</v>
      </c>
      <c r="G1694" s="20">
        <v>42</v>
      </c>
      <c r="H1694" s="11">
        <v>3298.3416356481298</v>
      </c>
      <c r="I1694" s="10">
        <v>4297218.2568978602</v>
      </c>
      <c r="J1694" s="34">
        <f t="shared" si="104"/>
        <v>7.6755273725128076E-4</v>
      </c>
      <c r="K1694" s="34">
        <f t="shared" si="105"/>
        <v>7.6725824400025733E-4</v>
      </c>
      <c r="L1694" s="34">
        <f t="shared" si="106"/>
        <v>0.99573198495478243</v>
      </c>
      <c r="M1694" s="34">
        <f t="shared" si="107"/>
        <v>0.99496800138051111</v>
      </c>
    </row>
    <row r="1695" spans="1:13" ht="27.6">
      <c r="A1695" t="s">
        <v>164</v>
      </c>
      <c r="B1695" t="s">
        <v>112</v>
      </c>
      <c r="C1695" s="14" t="s">
        <v>294</v>
      </c>
      <c r="D1695" t="s">
        <v>112</v>
      </c>
      <c r="E1695" t="s">
        <v>383</v>
      </c>
      <c r="F1695" s="20">
        <v>2041</v>
      </c>
      <c r="G1695" s="20">
        <v>43</v>
      </c>
      <c r="H1695" s="11">
        <v>3711.1947715762299</v>
      </c>
      <c r="I1695" s="10">
        <v>4334680.4957605097</v>
      </c>
      <c r="J1695" s="34">
        <f t="shared" si="104"/>
        <v>8.5616339548114941E-4</v>
      </c>
      <c r="K1695" s="34">
        <f t="shared" si="105"/>
        <v>8.5579699217575023E-4</v>
      </c>
      <c r="L1695" s="34">
        <f t="shared" si="106"/>
        <v>0.99496800138051111</v>
      </c>
      <c r="M1695" s="34">
        <f t="shared" si="107"/>
        <v>0.99411651075761853</v>
      </c>
    </row>
    <row r="1696" spans="1:13" ht="27.6">
      <c r="A1696" t="s">
        <v>164</v>
      </c>
      <c r="B1696" t="s">
        <v>112</v>
      </c>
      <c r="C1696" s="14" t="s">
        <v>294</v>
      </c>
      <c r="D1696" t="s">
        <v>112</v>
      </c>
      <c r="E1696" t="s">
        <v>383</v>
      </c>
      <c r="F1696" s="20">
        <v>2041</v>
      </c>
      <c r="G1696" s="20">
        <v>44</v>
      </c>
      <c r="H1696" s="11">
        <v>3894.8904360023698</v>
      </c>
      <c r="I1696" s="10">
        <v>4325943.1478218399</v>
      </c>
      <c r="J1696" s="34">
        <f t="shared" si="104"/>
        <v>9.0035636227986263E-4</v>
      </c>
      <c r="K1696" s="34">
        <f t="shared" si="105"/>
        <v>8.9995116310737089E-4</v>
      </c>
      <c r="L1696" s="34">
        <f t="shared" si="106"/>
        <v>0.99411651075761853</v>
      </c>
      <c r="M1696" s="34">
        <f t="shared" si="107"/>
        <v>0.993221854447498</v>
      </c>
    </row>
    <row r="1697" spans="1:13" ht="27.6">
      <c r="A1697" t="s">
        <v>164</v>
      </c>
      <c r="B1697" t="s">
        <v>112</v>
      </c>
      <c r="C1697" s="14" t="s">
        <v>294</v>
      </c>
      <c r="D1697" t="s">
        <v>112</v>
      </c>
      <c r="E1697" t="s">
        <v>383</v>
      </c>
      <c r="F1697" s="20">
        <v>2041</v>
      </c>
      <c r="G1697" s="20">
        <v>45</v>
      </c>
      <c r="H1697" s="11">
        <v>4133.6410606318896</v>
      </c>
      <c r="I1697" s="10">
        <v>4258890.6290532099</v>
      </c>
      <c r="J1697" s="34">
        <f t="shared" si="104"/>
        <v>9.7059103430200918E-4</v>
      </c>
      <c r="K1697" s="34">
        <f t="shared" si="105"/>
        <v>9.7012016317754579E-4</v>
      </c>
      <c r="L1697" s="34">
        <f t="shared" si="106"/>
        <v>0.993221854447498</v>
      </c>
      <c r="M1697" s="34">
        <f t="shared" si="107"/>
        <v>0.99225830989998987</v>
      </c>
    </row>
    <row r="1698" spans="1:13" ht="27.6">
      <c r="A1698" t="s">
        <v>164</v>
      </c>
      <c r="B1698" t="s">
        <v>112</v>
      </c>
      <c r="C1698" s="14" t="s">
        <v>294</v>
      </c>
      <c r="D1698" t="s">
        <v>112</v>
      </c>
      <c r="E1698" t="s">
        <v>383</v>
      </c>
      <c r="F1698" s="20">
        <v>2041</v>
      </c>
      <c r="G1698" s="20">
        <v>46</v>
      </c>
      <c r="H1698" s="11">
        <v>5050.6164414509003</v>
      </c>
      <c r="I1698" s="10">
        <v>4189398.2789956601</v>
      </c>
      <c r="J1698" s="34">
        <f t="shared" si="104"/>
        <v>1.2055708493444322E-3</v>
      </c>
      <c r="K1698" s="34">
        <f t="shared" si="105"/>
        <v>1.2048444407497527E-3</v>
      </c>
      <c r="L1698" s="34">
        <f t="shared" si="106"/>
        <v>0.99225830989998987</v>
      </c>
      <c r="M1698" s="34">
        <f t="shared" si="107"/>
        <v>0.99106279299151911</v>
      </c>
    </row>
    <row r="1699" spans="1:13" ht="27.6">
      <c r="A1699" t="s">
        <v>164</v>
      </c>
      <c r="B1699" t="s">
        <v>112</v>
      </c>
      <c r="C1699" s="14" t="s">
        <v>294</v>
      </c>
      <c r="D1699" t="s">
        <v>112</v>
      </c>
      <c r="E1699" t="s">
        <v>383</v>
      </c>
      <c r="F1699" s="20">
        <v>2041</v>
      </c>
      <c r="G1699" s="20">
        <v>47</v>
      </c>
      <c r="H1699" s="11">
        <v>5464.16393015842</v>
      </c>
      <c r="I1699" s="10">
        <v>4128796.3440362099</v>
      </c>
      <c r="J1699" s="34">
        <f t="shared" si="104"/>
        <v>1.3234278164509291E-3</v>
      </c>
      <c r="K1699" s="34">
        <f t="shared" si="105"/>
        <v>1.3225524720525961E-3</v>
      </c>
      <c r="L1699" s="34">
        <f t="shared" si="106"/>
        <v>0.99106279299151911</v>
      </c>
      <c r="M1699" s="34">
        <f t="shared" si="107"/>
        <v>0.98975206044468889</v>
      </c>
    </row>
    <row r="1700" spans="1:13" ht="27.6">
      <c r="A1700" t="s">
        <v>164</v>
      </c>
      <c r="B1700" t="s">
        <v>112</v>
      </c>
      <c r="C1700" s="14" t="s">
        <v>294</v>
      </c>
      <c r="D1700" t="s">
        <v>112</v>
      </c>
      <c r="E1700" t="s">
        <v>383</v>
      </c>
      <c r="F1700" s="20">
        <v>2041</v>
      </c>
      <c r="G1700" s="20">
        <v>48</v>
      </c>
      <c r="H1700" s="11">
        <v>5963.5692572526896</v>
      </c>
      <c r="I1700" s="10">
        <v>4069910.34197459</v>
      </c>
      <c r="J1700" s="34">
        <f t="shared" si="104"/>
        <v>1.4652827104685939E-3</v>
      </c>
      <c r="K1700" s="34">
        <f t="shared" si="105"/>
        <v>1.4642097079058392E-3</v>
      </c>
      <c r="L1700" s="34">
        <f t="shared" si="106"/>
        <v>0.98975206044468889</v>
      </c>
      <c r="M1700" s="34">
        <f t="shared" si="107"/>
        <v>0.98830285586936595</v>
      </c>
    </row>
    <row r="1701" spans="1:13" ht="27.6">
      <c r="A1701" t="s">
        <v>164</v>
      </c>
      <c r="B1701" t="s">
        <v>112</v>
      </c>
      <c r="C1701" s="14" t="s">
        <v>294</v>
      </c>
      <c r="D1701" t="s">
        <v>112</v>
      </c>
      <c r="E1701" t="s">
        <v>383</v>
      </c>
      <c r="F1701" s="20">
        <v>2041</v>
      </c>
      <c r="G1701" s="20">
        <v>49</v>
      </c>
      <c r="H1701" s="11">
        <v>6390.62899859769</v>
      </c>
      <c r="I1701" s="10">
        <v>4044227.1636153501</v>
      </c>
      <c r="J1701" s="34">
        <f t="shared" si="104"/>
        <v>1.5801854693258048E-3</v>
      </c>
      <c r="K1701" s="34">
        <f t="shared" si="105"/>
        <v>1.5789376336242666E-3</v>
      </c>
      <c r="L1701" s="34">
        <f t="shared" si="106"/>
        <v>0.98830285586936595</v>
      </c>
      <c r="M1701" s="34">
        <f t="shared" si="107"/>
        <v>0.98674238729681552</v>
      </c>
    </row>
    <row r="1702" spans="1:13" ht="27.6">
      <c r="A1702" t="s">
        <v>164</v>
      </c>
      <c r="B1702" t="s">
        <v>112</v>
      </c>
      <c r="C1702" s="14" t="s">
        <v>294</v>
      </c>
      <c r="D1702" t="s">
        <v>112</v>
      </c>
      <c r="E1702" t="s">
        <v>383</v>
      </c>
      <c r="F1702" s="20">
        <v>2041</v>
      </c>
      <c r="G1702" s="20">
        <v>50</v>
      </c>
      <c r="H1702" s="11">
        <v>6897.6410052212696</v>
      </c>
      <c r="I1702" s="10">
        <v>4012034.0082326201</v>
      </c>
      <c r="J1702" s="34">
        <f t="shared" si="104"/>
        <v>1.7192379204830858E-3</v>
      </c>
      <c r="K1702" s="34">
        <f t="shared" si="105"/>
        <v>1.7177608775534869E-3</v>
      </c>
      <c r="L1702" s="34">
        <f t="shared" si="106"/>
        <v>0.98674238729681552</v>
      </c>
      <c r="M1702" s="34">
        <f t="shared" si="107"/>
        <v>0.98504739982769329</v>
      </c>
    </row>
    <row r="1703" spans="1:13" ht="27.6">
      <c r="A1703" t="s">
        <v>164</v>
      </c>
      <c r="B1703" t="s">
        <v>112</v>
      </c>
      <c r="C1703" s="14" t="s">
        <v>294</v>
      </c>
      <c r="D1703" t="s">
        <v>112</v>
      </c>
      <c r="E1703" t="s">
        <v>383</v>
      </c>
      <c r="F1703" s="20">
        <v>2041</v>
      </c>
      <c r="G1703" s="20">
        <v>51</v>
      </c>
      <c r="H1703" s="11">
        <v>7761.39142125741</v>
      </c>
      <c r="I1703" s="10">
        <v>3982297.7369445702</v>
      </c>
      <c r="J1703" s="34">
        <f t="shared" si="104"/>
        <v>1.9489731642246219E-3</v>
      </c>
      <c r="K1703" s="34">
        <f t="shared" si="105"/>
        <v>1.9470751492874916E-3</v>
      </c>
      <c r="L1703" s="34">
        <f t="shared" si="106"/>
        <v>0.98504739982769329</v>
      </c>
      <c r="M1703" s="34">
        <f t="shared" si="107"/>
        <v>0.98312943851461854</v>
      </c>
    </row>
    <row r="1704" spans="1:13" ht="27.6">
      <c r="A1704" t="s">
        <v>164</v>
      </c>
      <c r="B1704" t="s">
        <v>112</v>
      </c>
      <c r="C1704" s="14" t="s">
        <v>294</v>
      </c>
      <c r="D1704" t="s">
        <v>112</v>
      </c>
      <c r="E1704" t="s">
        <v>383</v>
      </c>
      <c r="F1704" s="20">
        <v>2041</v>
      </c>
      <c r="G1704" s="20">
        <v>52</v>
      </c>
      <c r="H1704" s="11">
        <v>8434.9471224491608</v>
      </c>
      <c r="I1704" s="10">
        <v>3973660.9318403699</v>
      </c>
      <c r="J1704" s="34">
        <f t="shared" si="104"/>
        <v>2.1227143601662514E-3</v>
      </c>
      <c r="K1704" s="34">
        <f t="shared" si="105"/>
        <v>2.1204629953220921E-3</v>
      </c>
      <c r="L1704" s="34">
        <f t="shared" si="106"/>
        <v>0.98312943851461854</v>
      </c>
      <c r="M1704" s="34">
        <f t="shared" si="107"/>
        <v>0.98104474892063653</v>
      </c>
    </row>
    <row r="1705" spans="1:13" ht="27.6">
      <c r="A1705" t="s">
        <v>164</v>
      </c>
      <c r="B1705" t="s">
        <v>112</v>
      </c>
      <c r="C1705" s="14" t="s">
        <v>294</v>
      </c>
      <c r="D1705" t="s">
        <v>112</v>
      </c>
      <c r="E1705" t="s">
        <v>383</v>
      </c>
      <c r="F1705" s="20">
        <v>2041</v>
      </c>
      <c r="G1705" s="20">
        <v>53</v>
      </c>
      <c r="H1705" s="11">
        <v>9131.5398450889406</v>
      </c>
      <c r="I1705" s="10">
        <v>3918994.73166076</v>
      </c>
      <c r="J1705" s="34">
        <f t="shared" si="104"/>
        <v>2.3300719879302441E-3</v>
      </c>
      <c r="K1705" s="34">
        <f t="shared" si="105"/>
        <v>2.3273594773863815E-3</v>
      </c>
      <c r="L1705" s="34">
        <f t="shared" si="106"/>
        <v>0.98104474892063653</v>
      </c>
      <c r="M1705" s="34">
        <f t="shared" si="107"/>
        <v>0.97876150512649596</v>
      </c>
    </row>
    <row r="1706" spans="1:13" ht="27.6">
      <c r="A1706" t="s">
        <v>164</v>
      </c>
      <c r="B1706" t="s">
        <v>112</v>
      </c>
      <c r="C1706" s="14" t="s">
        <v>294</v>
      </c>
      <c r="D1706" t="s">
        <v>112</v>
      </c>
      <c r="E1706" t="s">
        <v>383</v>
      </c>
      <c r="F1706" s="20">
        <v>2041</v>
      </c>
      <c r="G1706" s="20">
        <v>54</v>
      </c>
      <c r="H1706" s="11">
        <v>9911.8650751342502</v>
      </c>
      <c r="I1706" s="10">
        <v>3855069.00039605</v>
      </c>
      <c r="J1706" s="34">
        <f t="shared" si="104"/>
        <v>2.5711252053117481E-3</v>
      </c>
      <c r="K1706" s="34">
        <f t="shared" si="105"/>
        <v>2.5678226938975479E-3</v>
      </c>
      <c r="L1706" s="34">
        <f t="shared" si="106"/>
        <v>0.97876150512649596</v>
      </c>
      <c r="M1706" s="34">
        <f t="shared" si="107"/>
        <v>0.97624821912171877</v>
      </c>
    </row>
    <row r="1707" spans="1:13" ht="27.6">
      <c r="A1707" t="s">
        <v>164</v>
      </c>
      <c r="B1707" t="s">
        <v>112</v>
      </c>
      <c r="C1707" s="14" t="s">
        <v>294</v>
      </c>
      <c r="D1707" t="s">
        <v>112</v>
      </c>
      <c r="E1707" t="s">
        <v>383</v>
      </c>
      <c r="F1707" s="20">
        <v>2041</v>
      </c>
      <c r="G1707" s="20">
        <v>55</v>
      </c>
      <c r="H1707" s="11">
        <v>10925.8181251811</v>
      </c>
      <c r="I1707" s="10">
        <v>3848680.8718019002</v>
      </c>
      <c r="J1707" s="34">
        <f t="shared" si="104"/>
        <v>2.8388475140225852E-3</v>
      </c>
      <c r="K1707" s="34">
        <f t="shared" si="105"/>
        <v>2.8348217967855138E-3</v>
      </c>
      <c r="L1707" s="34">
        <f t="shared" si="106"/>
        <v>0.97624821912171877</v>
      </c>
      <c r="M1707" s="34">
        <f t="shared" si="107"/>
        <v>0.97348072939107944</v>
      </c>
    </row>
    <row r="1708" spans="1:13" ht="27.6">
      <c r="A1708" t="s">
        <v>164</v>
      </c>
      <c r="B1708" t="s">
        <v>112</v>
      </c>
      <c r="C1708" s="14" t="s">
        <v>294</v>
      </c>
      <c r="D1708" t="s">
        <v>112</v>
      </c>
      <c r="E1708" t="s">
        <v>383</v>
      </c>
      <c r="F1708" s="20">
        <v>2041</v>
      </c>
      <c r="G1708" s="20">
        <v>56</v>
      </c>
      <c r="H1708" s="11">
        <v>12113.895582523301</v>
      </c>
      <c r="I1708" s="10">
        <v>3894175.2491294001</v>
      </c>
      <c r="J1708" s="34">
        <f t="shared" si="104"/>
        <v>3.1107730925133735E-3</v>
      </c>
      <c r="K1708" s="34">
        <f t="shared" si="105"/>
        <v>3.1059396511089465E-3</v>
      </c>
      <c r="L1708" s="34">
        <f t="shared" si="106"/>
        <v>0.97348072939107944</v>
      </c>
      <c r="M1708" s="34">
        <f t="shared" si="107"/>
        <v>0.9704571569940732</v>
      </c>
    </row>
    <row r="1709" spans="1:13" ht="27.6">
      <c r="A1709" t="s">
        <v>164</v>
      </c>
      <c r="B1709" t="s">
        <v>112</v>
      </c>
      <c r="C1709" s="14" t="s">
        <v>294</v>
      </c>
      <c r="D1709" t="s">
        <v>112</v>
      </c>
      <c r="E1709" t="s">
        <v>383</v>
      </c>
      <c r="F1709" s="20">
        <v>2041</v>
      </c>
      <c r="G1709" s="20">
        <v>57</v>
      </c>
      <c r="H1709" s="11">
        <v>13417.574757566799</v>
      </c>
      <c r="I1709" s="10">
        <v>3897809.8126470498</v>
      </c>
      <c r="J1709" s="34">
        <f t="shared" si="104"/>
        <v>3.4423369539558837E-3</v>
      </c>
      <c r="K1709" s="34">
        <f t="shared" si="105"/>
        <v>3.4364189046910409E-3</v>
      </c>
      <c r="L1709" s="34">
        <f t="shared" si="106"/>
        <v>0.9704571569940732</v>
      </c>
      <c r="M1709" s="34">
        <f t="shared" si="107"/>
        <v>0.967122259673586</v>
      </c>
    </row>
    <row r="1710" spans="1:13" ht="27.6">
      <c r="A1710" t="s">
        <v>164</v>
      </c>
      <c r="B1710" t="s">
        <v>112</v>
      </c>
      <c r="C1710" s="14" t="s">
        <v>294</v>
      </c>
      <c r="D1710" t="s">
        <v>112</v>
      </c>
      <c r="E1710" t="s">
        <v>383</v>
      </c>
      <c r="F1710" s="20">
        <v>2041</v>
      </c>
      <c r="G1710" s="20">
        <v>58</v>
      </c>
      <c r="H1710" s="11">
        <v>14520.023275080101</v>
      </c>
      <c r="I1710" s="10">
        <v>3845425.6489646998</v>
      </c>
      <c r="J1710" s="34">
        <f t="shared" si="104"/>
        <v>3.775920951426876E-3</v>
      </c>
      <c r="K1710" s="34">
        <f t="shared" si="105"/>
        <v>3.7688011260295085E-3</v>
      </c>
      <c r="L1710" s="34">
        <f t="shared" si="106"/>
        <v>0.967122259673586</v>
      </c>
      <c r="M1710" s="34">
        <f t="shared" si="107"/>
        <v>0.96347736821232</v>
      </c>
    </row>
    <row r="1711" spans="1:13" ht="27.6">
      <c r="A1711" t="s">
        <v>164</v>
      </c>
      <c r="B1711" t="s">
        <v>112</v>
      </c>
      <c r="C1711" s="14" t="s">
        <v>294</v>
      </c>
      <c r="D1711" t="s">
        <v>112</v>
      </c>
      <c r="E1711" t="s">
        <v>383</v>
      </c>
      <c r="F1711" s="20">
        <v>2041</v>
      </c>
      <c r="G1711" s="20">
        <v>59</v>
      </c>
      <c r="H1711" s="11">
        <v>14932.73697464</v>
      </c>
      <c r="I1711" s="10">
        <v>3768589.92082622</v>
      </c>
      <c r="J1711" s="34">
        <f t="shared" si="104"/>
        <v>3.9624202389646496E-3</v>
      </c>
      <c r="K1711" s="34">
        <f t="shared" si="105"/>
        <v>3.9545802104704597E-3</v>
      </c>
      <c r="L1711" s="34">
        <f t="shared" si="106"/>
        <v>0.96347736821232</v>
      </c>
      <c r="M1711" s="34">
        <f t="shared" si="107"/>
        <v>0.95966721967875135</v>
      </c>
    </row>
    <row r="1712" spans="1:13" ht="27.6">
      <c r="A1712" t="s">
        <v>164</v>
      </c>
      <c r="B1712" t="s">
        <v>112</v>
      </c>
      <c r="C1712" s="14" t="s">
        <v>294</v>
      </c>
      <c r="D1712" t="s">
        <v>112</v>
      </c>
      <c r="E1712" t="s">
        <v>383</v>
      </c>
      <c r="F1712" s="20">
        <v>2041</v>
      </c>
      <c r="G1712" s="20">
        <v>60</v>
      </c>
      <c r="H1712" s="11">
        <v>15496.3761377887</v>
      </c>
      <c r="I1712" s="10">
        <v>3684985.3247647001</v>
      </c>
      <c r="J1712" s="34">
        <f t="shared" si="104"/>
        <v>4.2052748578525756E-3</v>
      </c>
      <c r="K1712" s="34">
        <f t="shared" si="105"/>
        <v>4.1964450711005075E-3</v>
      </c>
      <c r="L1712" s="34">
        <f t="shared" si="106"/>
        <v>0.95966721967875135</v>
      </c>
      <c r="M1712" s="34">
        <f t="shared" si="107"/>
        <v>0.95564002890483368</v>
      </c>
    </row>
    <row r="1713" spans="1:13" ht="27.6">
      <c r="A1713" t="s">
        <v>164</v>
      </c>
      <c r="B1713" t="s">
        <v>112</v>
      </c>
      <c r="C1713" s="14" t="s">
        <v>294</v>
      </c>
      <c r="D1713" t="s">
        <v>112</v>
      </c>
      <c r="E1713" t="s">
        <v>383</v>
      </c>
      <c r="F1713" s="20">
        <v>2041</v>
      </c>
      <c r="G1713" s="20">
        <v>61</v>
      </c>
      <c r="H1713" s="11">
        <v>16187.1229957531</v>
      </c>
      <c r="I1713" s="10">
        <v>3605393.3843801199</v>
      </c>
      <c r="J1713" s="34">
        <f t="shared" si="104"/>
        <v>4.4896967598269926E-3</v>
      </c>
      <c r="K1713" s="34">
        <f t="shared" si="105"/>
        <v>4.4796331378329501E-3</v>
      </c>
      <c r="L1713" s="34">
        <f t="shared" si="106"/>
        <v>0.95564002890483368</v>
      </c>
      <c r="M1713" s="34">
        <f t="shared" si="107"/>
        <v>0.95135911216351199</v>
      </c>
    </row>
    <row r="1714" spans="1:13" ht="27.6">
      <c r="A1714" t="s">
        <v>164</v>
      </c>
      <c r="B1714" t="s">
        <v>112</v>
      </c>
      <c r="C1714" s="14" t="s">
        <v>294</v>
      </c>
      <c r="D1714" t="s">
        <v>112</v>
      </c>
      <c r="E1714" t="s">
        <v>383</v>
      </c>
      <c r="F1714" s="20">
        <v>2041</v>
      </c>
      <c r="G1714" s="20">
        <v>62</v>
      </c>
      <c r="H1714" s="11">
        <v>17029.003934528799</v>
      </c>
      <c r="I1714" s="10">
        <v>3511932.08713208</v>
      </c>
      <c r="J1714" s="34">
        <f t="shared" si="104"/>
        <v>4.8488989855253869E-3</v>
      </c>
      <c r="K1714" s="34">
        <f t="shared" si="105"/>
        <v>4.8371620529026327E-3</v>
      </c>
      <c r="L1714" s="34">
        <f t="shared" si="106"/>
        <v>0.95135911216351199</v>
      </c>
      <c r="M1714" s="34">
        <f t="shared" si="107"/>
        <v>0.94675723396747147</v>
      </c>
    </row>
    <row r="1715" spans="1:13" ht="27.6">
      <c r="A1715" t="s">
        <v>164</v>
      </c>
      <c r="B1715" t="s">
        <v>112</v>
      </c>
      <c r="C1715" s="14" t="s">
        <v>294</v>
      </c>
      <c r="D1715" t="s">
        <v>112</v>
      </c>
      <c r="E1715" t="s">
        <v>383</v>
      </c>
      <c r="F1715" s="20">
        <v>2041</v>
      </c>
      <c r="G1715" s="20">
        <v>63</v>
      </c>
      <c r="H1715" s="11">
        <v>17797.045893486898</v>
      </c>
      <c r="I1715" s="10">
        <v>3395374.2902275301</v>
      </c>
      <c r="J1715" s="34">
        <f t="shared" si="104"/>
        <v>5.2415564153589344E-3</v>
      </c>
      <c r="K1715" s="34">
        <f t="shared" si="105"/>
        <v>5.2278434281248787E-3</v>
      </c>
      <c r="L1715" s="34">
        <f t="shared" si="106"/>
        <v>0.94675723396747147</v>
      </c>
      <c r="M1715" s="34">
        <f t="shared" si="107"/>
        <v>0.94180773538384488</v>
      </c>
    </row>
    <row r="1716" spans="1:13" ht="27.6">
      <c r="A1716" t="s">
        <v>164</v>
      </c>
      <c r="B1716" t="s">
        <v>112</v>
      </c>
      <c r="C1716" s="14" t="s">
        <v>294</v>
      </c>
      <c r="D1716" t="s">
        <v>112</v>
      </c>
      <c r="E1716" t="s">
        <v>383</v>
      </c>
      <c r="F1716" s="20">
        <v>2041</v>
      </c>
      <c r="G1716" s="20">
        <v>64</v>
      </c>
      <c r="H1716" s="11">
        <v>18887.018432742501</v>
      </c>
      <c r="I1716" s="10">
        <v>3281814.7935812799</v>
      </c>
      <c r="J1716" s="34">
        <f t="shared" si="104"/>
        <v>5.7550531095424936E-3</v>
      </c>
      <c r="K1716" s="34">
        <f t="shared" si="105"/>
        <v>5.7385245142443919E-3</v>
      </c>
      <c r="L1716" s="34">
        <f t="shared" si="106"/>
        <v>0.94180773538384488</v>
      </c>
      <c r="M1716" s="34">
        <f t="shared" si="107"/>
        <v>0.93640314860663965</v>
      </c>
    </row>
    <row r="1717" spans="1:13" ht="27.6">
      <c r="A1717" t="s">
        <v>164</v>
      </c>
      <c r="B1717" t="s">
        <v>112</v>
      </c>
      <c r="C1717" s="14" t="s">
        <v>294</v>
      </c>
      <c r="D1717" t="s">
        <v>112</v>
      </c>
      <c r="E1717" t="s">
        <v>383</v>
      </c>
      <c r="F1717" s="20">
        <v>2041</v>
      </c>
      <c r="G1717" s="20">
        <v>65</v>
      </c>
      <c r="H1717" s="11">
        <v>20026.898611221</v>
      </c>
      <c r="I1717" s="10">
        <v>3179693.5073659499</v>
      </c>
      <c r="J1717" s="34">
        <f t="shared" si="104"/>
        <v>6.2983739045374947E-3</v>
      </c>
      <c r="K1717" s="34">
        <f t="shared" si="105"/>
        <v>6.2785807243681546E-3</v>
      </c>
      <c r="L1717" s="34">
        <f t="shared" si="106"/>
        <v>0.93640314860663965</v>
      </c>
      <c r="M1717" s="34">
        <f t="shared" si="107"/>
        <v>0.93052386584756031</v>
      </c>
    </row>
    <row r="1718" spans="1:13" ht="27.6">
      <c r="A1718" t="s">
        <v>164</v>
      </c>
      <c r="B1718" t="s">
        <v>112</v>
      </c>
      <c r="C1718" s="14" t="s">
        <v>294</v>
      </c>
      <c r="D1718" t="s">
        <v>112</v>
      </c>
      <c r="E1718" t="s">
        <v>383</v>
      </c>
      <c r="F1718" s="20">
        <v>2041</v>
      </c>
      <c r="G1718" s="20">
        <v>66</v>
      </c>
      <c r="H1718" s="11">
        <v>20412.229226359901</v>
      </c>
      <c r="I1718" s="10">
        <v>3065164.1334383199</v>
      </c>
      <c r="J1718" s="34">
        <f t="shared" si="104"/>
        <v>6.6594245325005382E-3</v>
      </c>
      <c r="K1718" s="34">
        <f t="shared" si="105"/>
        <v>6.6372997050645477E-3</v>
      </c>
      <c r="L1718" s="34">
        <f t="shared" si="106"/>
        <v>0.93052386584756031</v>
      </c>
      <c r="M1718" s="34">
        <f t="shared" si="107"/>
        <v>0.92434770006721478</v>
      </c>
    </row>
    <row r="1719" spans="1:13" ht="27.6">
      <c r="A1719" t="s">
        <v>164</v>
      </c>
      <c r="B1719" t="s">
        <v>112</v>
      </c>
      <c r="C1719" s="14" t="s">
        <v>294</v>
      </c>
      <c r="D1719" t="s">
        <v>112</v>
      </c>
      <c r="E1719" t="s">
        <v>383</v>
      </c>
      <c r="F1719" s="20">
        <v>2041</v>
      </c>
      <c r="G1719" s="20">
        <v>67</v>
      </c>
      <c r="H1719" s="11">
        <v>21539.9047389384</v>
      </c>
      <c r="I1719" s="10">
        <v>2961569.7558230301</v>
      </c>
      <c r="J1719" s="34">
        <f t="shared" si="104"/>
        <v>7.2731377326455673E-3</v>
      </c>
      <c r="K1719" s="34">
        <f t="shared" si="105"/>
        <v>7.2467524730340793E-3</v>
      </c>
      <c r="L1719" s="34">
        <f t="shared" si="106"/>
        <v>0.92434770006721478</v>
      </c>
      <c r="M1719" s="34">
        <f t="shared" si="107"/>
        <v>0.91764918108580928</v>
      </c>
    </row>
    <row r="1720" spans="1:13" ht="27.6">
      <c r="A1720" t="s">
        <v>164</v>
      </c>
      <c r="B1720" t="s">
        <v>112</v>
      </c>
      <c r="C1720" s="14" t="s">
        <v>294</v>
      </c>
      <c r="D1720" t="s">
        <v>112</v>
      </c>
      <c r="E1720" t="s">
        <v>383</v>
      </c>
      <c r="F1720" s="20">
        <v>2041</v>
      </c>
      <c r="G1720" s="20">
        <v>68</v>
      </c>
      <c r="H1720" s="11">
        <v>22547.795103642002</v>
      </c>
      <c r="I1720" s="10">
        <v>2856596.87502283</v>
      </c>
      <c r="J1720" s="34">
        <f t="shared" si="104"/>
        <v>7.8932366343997338E-3</v>
      </c>
      <c r="K1720" s="34">
        <f t="shared" si="105"/>
        <v>7.862166842930951E-3</v>
      </c>
      <c r="L1720" s="34">
        <f t="shared" si="106"/>
        <v>0.91764918108580928</v>
      </c>
      <c r="M1720" s="34">
        <f t="shared" si="107"/>
        <v>0.91043447012083367</v>
      </c>
    </row>
    <row r="1721" spans="1:13" ht="27.6">
      <c r="A1721" t="s">
        <v>164</v>
      </c>
      <c r="B1721" t="s">
        <v>112</v>
      </c>
      <c r="C1721" s="14" t="s">
        <v>294</v>
      </c>
      <c r="D1721" t="s">
        <v>112</v>
      </c>
      <c r="E1721" t="s">
        <v>383</v>
      </c>
      <c r="F1721" s="20">
        <v>2041</v>
      </c>
      <c r="G1721" s="20">
        <v>69</v>
      </c>
      <c r="H1721" s="11">
        <v>22735.959891639799</v>
      </c>
      <c r="I1721" s="10">
        <v>2732908.3525122502</v>
      </c>
      <c r="J1721" s="34">
        <f t="shared" si="104"/>
        <v>8.3193276023103991E-3</v>
      </c>
      <c r="K1721" s="34">
        <f t="shared" si="105"/>
        <v>8.2848177622975028E-3</v>
      </c>
      <c r="L1721" s="34">
        <f t="shared" si="106"/>
        <v>0.91043447012083367</v>
      </c>
      <c r="M1721" s="34">
        <f t="shared" si="107"/>
        <v>0.90289168645136864</v>
      </c>
    </row>
    <row r="1722" spans="1:13" ht="27.6">
      <c r="A1722" t="s">
        <v>164</v>
      </c>
      <c r="B1722" t="s">
        <v>112</v>
      </c>
      <c r="C1722" s="14" t="s">
        <v>294</v>
      </c>
      <c r="D1722" t="s">
        <v>112</v>
      </c>
      <c r="E1722" t="s">
        <v>383</v>
      </c>
      <c r="F1722" s="20">
        <v>2042</v>
      </c>
      <c r="G1722" s="20">
        <v>30</v>
      </c>
      <c r="H1722" s="11">
        <v>762.65781154277101</v>
      </c>
      <c r="I1722" s="10">
        <v>4881083.3971456001</v>
      </c>
      <c r="J1722" s="34">
        <f t="shared" si="104"/>
        <v>1.5624765026321088E-4</v>
      </c>
      <c r="K1722" s="34">
        <f t="shared" si="105"/>
        <v>1.5623544423482016E-4</v>
      </c>
      <c r="L1722" s="34">
        <f t="shared" si="106"/>
        <v>1</v>
      </c>
      <c r="M1722" s="34">
        <f t="shared" si="107"/>
        <v>0.99984376455576518</v>
      </c>
    </row>
    <row r="1723" spans="1:13" ht="27.6">
      <c r="A1723" t="s">
        <v>164</v>
      </c>
      <c r="B1723" t="s">
        <v>112</v>
      </c>
      <c r="C1723" s="14" t="s">
        <v>294</v>
      </c>
      <c r="D1723" t="s">
        <v>112</v>
      </c>
      <c r="E1723" t="s">
        <v>383</v>
      </c>
      <c r="F1723" s="20">
        <v>2042</v>
      </c>
      <c r="G1723" s="20">
        <v>31</v>
      </c>
      <c r="H1723" s="11">
        <v>1071.0835839767301</v>
      </c>
      <c r="I1723" s="10">
        <v>4801496.9219522197</v>
      </c>
      <c r="J1723" s="34">
        <f t="shared" si="104"/>
        <v>2.2307284611175861E-4</v>
      </c>
      <c r="K1723" s="34">
        <f t="shared" si="105"/>
        <v>2.230479672143959E-4</v>
      </c>
      <c r="L1723" s="34">
        <f t="shared" si="106"/>
        <v>0.99984376455576518</v>
      </c>
      <c r="M1723" s="34">
        <f t="shared" si="107"/>
        <v>0.99962075143654905</v>
      </c>
    </row>
    <row r="1724" spans="1:13" ht="27.6">
      <c r="A1724" t="s">
        <v>164</v>
      </c>
      <c r="B1724" t="s">
        <v>112</v>
      </c>
      <c r="C1724" s="14" t="s">
        <v>294</v>
      </c>
      <c r="D1724" t="s">
        <v>112</v>
      </c>
      <c r="E1724" t="s">
        <v>383</v>
      </c>
      <c r="F1724" s="20">
        <v>2042</v>
      </c>
      <c r="G1724" s="20">
        <v>32</v>
      </c>
      <c r="H1724" s="11">
        <v>1092.89026172081</v>
      </c>
      <c r="I1724" s="10">
        <v>4700589.3623021599</v>
      </c>
      <c r="J1724" s="34">
        <f t="shared" si="104"/>
        <v>2.3250068820850078E-4</v>
      </c>
      <c r="K1724" s="34">
        <f t="shared" si="105"/>
        <v>2.324736620180623E-4</v>
      </c>
      <c r="L1724" s="34">
        <f t="shared" si="106"/>
        <v>0.99962075143654905</v>
      </c>
      <c r="M1724" s="34">
        <f t="shared" si="107"/>
        <v>0.99938836593983338</v>
      </c>
    </row>
    <row r="1725" spans="1:13" ht="27.6">
      <c r="A1725" t="s">
        <v>164</v>
      </c>
      <c r="B1725" t="s">
        <v>112</v>
      </c>
      <c r="C1725" s="14" t="s">
        <v>294</v>
      </c>
      <c r="D1725" t="s">
        <v>112</v>
      </c>
      <c r="E1725" t="s">
        <v>383</v>
      </c>
      <c r="F1725" s="20">
        <v>2042</v>
      </c>
      <c r="G1725" s="20">
        <v>33</v>
      </c>
      <c r="H1725" s="11">
        <v>1139.8363776864401</v>
      </c>
      <c r="I1725" s="10">
        <v>4644081.0029559899</v>
      </c>
      <c r="J1725" s="34">
        <f t="shared" si="104"/>
        <v>2.454385220587079E-4</v>
      </c>
      <c r="K1725" s="34">
        <f t="shared" si="105"/>
        <v>2.4540840448872281E-4</v>
      </c>
      <c r="L1725" s="34">
        <f t="shared" si="106"/>
        <v>0.99938836593983338</v>
      </c>
      <c r="M1725" s="34">
        <f t="shared" si="107"/>
        <v>0.99914310763548353</v>
      </c>
    </row>
    <row r="1726" spans="1:13" ht="27.6">
      <c r="A1726" t="s">
        <v>164</v>
      </c>
      <c r="B1726" t="s">
        <v>112</v>
      </c>
      <c r="C1726" s="14" t="s">
        <v>294</v>
      </c>
      <c r="D1726" t="s">
        <v>112</v>
      </c>
      <c r="E1726" t="s">
        <v>383</v>
      </c>
      <c r="F1726" s="20">
        <v>2042</v>
      </c>
      <c r="G1726" s="20">
        <v>34</v>
      </c>
      <c r="H1726" s="11">
        <v>1204.00458946716</v>
      </c>
      <c r="I1726" s="10">
        <v>4636230.4018530697</v>
      </c>
      <c r="J1726" s="34">
        <f t="shared" si="104"/>
        <v>2.5969472720465482E-4</v>
      </c>
      <c r="K1726" s="34">
        <f t="shared" si="105"/>
        <v>2.5966100944785353E-4</v>
      </c>
      <c r="L1726" s="34">
        <f t="shared" si="106"/>
        <v>0.99914310763548353</v>
      </c>
      <c r="M1726" s="34">
        <f t="shared" si="107"/>
        <v>0.99888366912757198</v>
      </c>
    </row>
    <row r="1727" spans="1:13" ht="27.6">
      <c r="A1727" t="s">
        <v>164</v>
      </c>
      <c r="B1727" t="s">
        <v>112</v>
      </c>
      <c r="C1727" s="14" t="s">
        <v>294</v>
      </c>
      <c r="D1727" t="s">
        <v>112</v>
      </c>
      <c r="E1727" t="s">
        <v>383</v>
      </c>
      <c r="F1727" s="20">
        <v>2042</v>
      </c>
      <c r="G1727" s="20">
        <v>35</v>
      </c>
      <c r="H1727" s="11">
        <v>1286.04018548008</v>
      </c>
      <c r="I1727" s="10">
        <v>4608312.2049537702</v>
      </c>
      <c r="J1727" s="34">
        <f t="shared" si="104"/>
        <v>2.7906967416348942E-4</v>
      </c>
      <c r="K1727" s="34">
        <f t="shared" si="105"/>
        <v>2.7903073784407706E-4</v>
      </c>
      <c r="L1727" s="34">
        <f t="shared" si="106"/>
        <v>0.99888366912757198</v>
      </c>
      <c r="M1727" s="34">
        <f t="shared" si="107"/>
        <v>0.99860494988035486</v>
      </c>
    </row>
    <row r="1728" spans="1:13" ht="27.6">
      <c r="A1728" t="s">
        <v>164</v>
      </c>
      <c r="B1728" t="s">
        <v>112</v>
      </c>
      <c r="C1728" s="14" t="s">
        <v>294</v>
      </c>
      <c r="D1728" t="s">
        <v>112</v>
      </c>
      <c r="E1728" t="s">
        <v>383</v>
      </c>
      <c r="F1728" s="20">
        <v>2042</v>
      </c>
      <c r="G1728" s="20">
        <v>36</v>
      </c>
      <c r="H1728" s="11">
        <v>1621.5242211110201</v>
      </c>
      <c r="I1728" s="10">
        <v>4536717.66711873</v>
      </c>
      <c r="J1728" s="34">
        <f t="shared" si="104"/>
        <v>3.5742233484431274E-4</v>
      </c>
      <c r="K1728" s="34">
        <f t="shared" si="105"/>
        <v>3.5735846709106234E-4</v>
      </c>
      <c r="L1728" s="34">
        <f t="shared" si="106"/>
        <v>0.99860494988035486</v>
      </c>
      <c r="M1728" s="34">
        <f t="shared" si="107"/>
        <v>0.99824808994623604</v>
      </c>
    </row>
    <row r="1729" spans="1:13" ht="27.6">
      <c r="A1729" t="s">
        <v>164</v>
      </c>
      <c r="B1729" t="s">
        <v>112</v>
      </c>
      <c r="C1729" s="14" t="s">
        <v>294</v>
      </c>
      <c r="D1729" t="s">
        <v>112</v>
      </c>
      <c r="E1729" t="s">
        <v>383</v>
      </c>
      <c r="F1729" s="20">
        <v>2042</v>
      </c>
      <c r="G1729" s="20">
        <v>37</v>
      </c>
      <c r="H1729" s="11">
        <v>1727.81705001151</v>
      </c>
      <c r="I1729" s="10">
        <v>4442466.5439259997</v>
      </c>
      <c r="J1729" s="34">
        <f t="shared" si="104"/>
        <v>3.8893192169874247E-4</v>
      </c>
      <c r="K1729" s="34">
        <f t="shared" si="105"/>
        <v>3.8885629748341977E-4</v>
      </c>
      <c r="L1729" s="34">
        <f t="shared" si="106"/>
        <v>0.99824808994623604</v>
      </c>
      <c r="M1729" s="34">
        <f t="shared" si="107"/>
        <v>0.99785991489000969</v>
      </c>
    </row>
    <row r="1730" spans="1:13" ht="27.6">
      <c r="A1730" t="s">
        <v>164</v>
      </c>
      <c r="B1730" t="s">
        <v>112</v>
      </c>
      <c r="C1730" s="14" t="s">
        <v>294</v>
      </c>
      <c r="D1730" t="s">
        <v>112</v>
      </c>
      <c r="E1730" t="s">
        <v>383</v>
      </c>
      <c r="F1730" s="20">
        <v>2042</v>
      </c>
      <c r="G1730" s="20">
        <v>38</v>
      </c>
      <c r="H1730" s="11">
        <v>1865.1086876395</v>
      </c>
      <c r="I1730" s="10">
        <v>4344517.4630874796</v>
      </c>
      <c r="J1730" s="34">
        <f t="shared" ref="J1730:J1793" si="108">IF(I1730&gt;0,H1730/I1730,0)</f>
        <v>4.2930168965508997E-4</v>
      </c>
      <c r="K1730" s="34">
        <f t="shared" ref="K1730:K1793" si="109">1-EXP(-J1730)</f>
        <v>4.2920955287006901E-4</v>
      </c>
      <c r="L1730" s="34">
        <f t="shared" ref="L1730:L1793" si="110">IF(G1730=30,1,M1729)</f>
        <v>0.99785991489000969</v>
      </c>
      <c r="M1730" s="34">
        <f t="shared" ref="M1730:M1793" si="111">L1730*(1-K1730)</f>
        <v>0.99743162388211282</v>
      </c>
    </row>
    <row r="1731" spans="1:13" ht="27.6">
      <c r="A1731" t="s">
        <v>164</v>
      </c>
      <c r="B1731" t="s">
        <v>112</v>
      </c>
      <c r="C1731" s="14" t="s">
        <v>294</v>
      </c>
      <c r="D1731" t="s">
        <v>112</v>
      </c>
      <c r="E1731" t="s">
        <v>383</v>
      </c>
      <c r="F1731" s="20">
        <v>2042</v>
      </c>
      <c r="G1731" s="20">
        <v>39</v>
      </c>
      <c r="H1731" s="11">
        <v>1996.3784783291001</v>
      </c>
      <c r="I1731" s="10">
        <v>4300134.4426963301</v>
      </c>
      <c r="J1731" s="34">
        <f t="shared" si="108"/>
        <v>4.6425954930778932E-4</v>
      </c>
      <c r="K1731" s="34">
        <f t="shared" si="109"/>
        <v>4.6415179751879698E-4</v>
      </c>
      <c r="L1731" s="34">
        <f t="shared" si="110"/>
        <v>0.99743162388211282</v>
      </c>
      <c r="M1731" s="34">
        <f t="shared" si="111"/>
        <v>0.99696866420098584</v>
      </c>
    </row>
    <row r="1732" spans="1:13" ht="27.6">
      <c r="A1732" t="s">
        <v>164</v>
      </c>
      <c r="B1732" t="s">
        <v>112</v>
      </c>
      <c r="C1732" s="14" t="s">
        <v>294</v>
      </c>
      <c r="D1732" t="s">
        <v>112</v>
      </c>
      <c r="E1732" t="s">
        <v>383</v>
      </c>
      <c r="F1732" s="20">
        <v>2042</v>
      </c>
      <c r="G1732" s="20">
        <v>40</v>
      </c>
      <c r="H1732" s="11">
        <v>2194.9738297120398</v>
      </c>
      <c r="I1732" s="10">
        <v>4278119.9409099696</v>
      </c>
      <c r="J1732" s="34">
        <f t="shared" si="108"/>
        <v>5.1306972689624079E-4</v>
      </c>
      <c r="K1732" s="34">
        <f t="shared" si="109"/>
        <v>5.1293812913111303E-4</v>
      </c>
      <c r="L1732" s="34">
        <f t="shared" si="110"/>
        <v>0.99696866420098584</v>
      </c>
      <c r="M1732" s="34">
        <f t="shared" si="111"/>
        <v>0.9964572809595682</v>
      </c>
    </row>
    <row r="1733" spans="1:13" ht="27.6">
      <c r="A1733" t="s">
        <v>164</v>
      </c>
      <c r="B1733" t="s">
        <v>112</v>
      </c>
      <c r="C1733" s="14" t="s">
        <v>294</v>
      </c>
      <c r="D1733" t="s">
        <v>112</v>
      </c>
      <c r="E1733" t="s">
        <v>383</v>
      </c>
      <c r="F1733" s="20">
        <v>2042</v>
      </c>
      <c r="G1733" s="20">
        <v>41</v>
      </c>
      <c r="H1733" s="11">
        <v>2873.6117424095501</v>
      </c>
      <c r="I1733" s="10">
        <v>4255828.7163706403</v>
      </c>
      <c r="J1733" s="34">
        <f t="shared" si="108"/>
        <v>6.7521790323839877E-4</v>
      </c>
      <c r="K1733" s="34">
        <f t="shared" si="109"/>
        <v>6.7498999492876521E-4</v>
      </c>
      <c r="L1733" s="34">
        <f t="shared" si="110"/>
        <v>0.9964572809595682</v>
      </c>
      <c r="M1733" s="34">
        <f t="shared" si="111"/>
        <v>0.99578468226454653</v>
      </c>
    </row>
    <row r="1734" spans="1:13" ht="27.6">
      <c r="A1734" t="s">
        <v>164</v>
      </c>
      <c r="B1734" t="s">
        <v>112</v>
      </c>
      <c r="C1734" s="14" t="s">
        <v>294</v>
      </c>
      <c r="D1734" t="s">
        <v>112</v>
      </c>
      <c r="E1734" t="s">
        <v>383</v>
      </c>
      <c r="F1734" s="20">
        <v>2042</v>
      </c>
      <c r="G1734" s="20">
        <v>42</v>
      </c>
      <c r="H1734" s="11">
        <v>3202.4750300988198</v>
      </c>
      <c r="I1734" s="10">
        <v>4252778.4578541396</v>
      </c>
      <c r="J1734" s="34">
        <f t="shared" si="108"/>
        <v>7.5303123871510577E-4</v>
      </c>
      <c r="K1734" s="34">
        <f t="shared" si="109"/>
        <v>7.5274778184697411E-4</v>
      </c>
      <c r="L1734" s="34">
        <f t="shared" si="110"/>
        <v>0.99578468226454653</v>
      </c>
      <c r="M1734" s="34">
        <f t="shared" si="111"/>
        <v>0.99503510755377467</v>
      </c>
    </row>
    <row r="1735" spans="1:13" ht="27.6">
      <c r="A1735" t="s">
        <v>164</v>
      </c>
      <c r="B1735" t="s">
        <v>112</v>
      </c>
      <c r="C1735" s="14" t="s">
        <v>294</v>
      </c>
      <c r="D1735" t="s">
        <v>112</v>
      </c>
      <c r="E1735" t="s">
        <v>383</v>
      </c>
      <c r="F1735" s="20">
        <v>2042</v>
      </c>
      <c r="G1735" s="20">
        <v>43</v>
      </c>
      <c r="H1735" s="11">
        <v>3629.3340430367898</v>
      </c>
      <c r="I1735" s="10">
        <v>4287292.96404358</v>
      </c>
      <c r="J1735" s="34">
        <f t="shared" si="108"/>
        <v>8.4653278268480325E-4</v>
      </c>
      <c r="K1735" s="34">
        <f t="shared" si="109"/>
        <v>8.4617457489410963E-4</v>
      </c>
      <c r="L1735" s="34">
        <f t="shared" si="110"/>
        <v>0.99503510755377467</v>
      </c>
      <c r="M1735" s="34">
        <f t="shared" si="111"/>
        <v>0.99419313414463562</v>
      </c>
    </row>
    <row r="1736" spans="1:13" ht="27.6">
      <c r="A1736" t="s">
        <v>164</v>
      </c>
      <c r="B1736" t="s">
        <v>112</v>
      </c>
      <c r="C1736" s="14" t="s">
        <v>294</v>
      </c>
      <c r="D1736" t="s">
        <v>112</v>
      </c>
      <c r="E1736" t="s">
        <v>383</v>
      </c>
      <c r="F1736" s="20">
        <v>2042</v>
      </c>
      <c r="G1736" s="20">
        <v>44</v>
      </c>
      <c r="H1736" s="11">
        <v>3853.8261901452702</v>
      </c>
      <c r="I1736" s="10">
        <v>4323720.1626872001</v>
      </c>
      <c r="J1736" s="34">
        <f t="shared" si="108"/>
        <v>8.913218351647693E-4</v>
      </c>
      <c r="K1736" s="34">
        <f t="shared" si="109"/>
        <v>8.9092472585072802E-4</v>
      </c>
      <c r="L1736" s="34">
        <f t="shared" si="110"/>
        <v>0.99419313414463562</v>
      </c>
      <c r="M1736" s="34">
        <f t="shared" si="111"/>
        <v>0.9933073828991551</v>
      </c>
    </row>
    <row r="1737" spans="1:13" ht="27.6">
      <c r="A1737" t="s">
        <v>164</v>
      </c>
      <c r="B1737" t="s">
        <v>112</v>
      </c>
      <c r="C1737" s="14" t="s">
        <v>294</v>
      </c>
      <c r="D1737" t="s">
        <v>112</v>
      </c>
      <c r="E1737" t="s">
        <v>383</v>
      </c>
      <c r="F1737" s="20">
        <v>2042</v>
      </c>
      <c r="G1737" s="20">
        <v>45</v>
      </c>
      <c r="H1737" s="11">
        <v>4158.8729361461901</v>
      </c>
      <c r="I1737" s="10">
        <v>4314189.45480661</v>
      </c>
      <c r="J1737" s="34">
        <f t="shared" si="108"/>
        <v>9.6399867917544145E-4</v>
      </c>
      <c r="K1737" s="34">
        <f t="shared" si="109"/>
        <v>9.6353418171901684E-4</v>
      </c>
      <c r="L1737" s="34">
        <f t="shared" si="110"/>
        <v>0.9933073828991551</v>
      </c>
      <c r="M1737" s="34">
        <f t="shared" si="111"/>
        <v>0.9923502972827779</v>
      </c>
    </row>
    <row r="1738" spans="1:13" ht="27.6">
      <c r="A1738" t="s">
        <v>164</v>
      </c>
      <c r="B1738" t="s">
        <v>112</v>
      </c>
      <c r="C1738" s="14" t="s">
        <v>294</v>
      </c>
      <c r="D1738" t="s">
        <v>112</v>
      </c>
      <c r="E1738" t="s">
        <v>383</v>
      </c>
      <c r="F1738" s="20">
        <v>2042</v>
      </c>
      <c r="G1738" s="20">
        <v>46</v>
      </c>
      <c r="H1738" s="11">
        <v>5085.5247145497797</v>
      </c>
      <c r="I1738" s="10">
        <v>4246324.0742744198</v>
      </c>
      <c r="J1738" s="34">
        <f t="shared" si="108"/>
        <v>1.1976299089745655E-3</v>
      </c>
      <c r="K1738" s="34">
        <f t="shared" si="109"/>
        <v>1.1969130364862801E-3</v>
      </c>
      <c r="L1738" s="34">
        <f t="shared" si="110"/>
        <v>0.9923502972827779</v>
      </c>
      <c r="M1738" s="34">
        <f t="shared" si="111"/>
        <v>0.99116254027519912</v>
      </c>
    </row>
    <row r="1739" spans="1:13" ht="27.6">
      <c r="A1739" t="s">
        <v>164</v>
      </c>
      <c r="B1739" t="s">
        <v>112</v>
      </c>
      <c r="C1739" s="14" t="s">
        <v>294</v>
      </c>
      <c r="D1739" t="s">
        <v>112</v>
      </c>
      <c r="E1739" t="s">
        <v>383</v>
      </c>
      <c r="F1739" s="20">
        <v>2042</v>
      </c>
      <c r="G1739" s="20">
        <v>47</v>
      </c>
      <c r="H1739" s="11">
        <v>5482.5447046683103</v>
      </c>
      <c r="I1739" s="10">
        <v>4176188.2591660302</v>
      </c>
      <c r="J1739" s="34">
        <f t="shared" si="108"/>
        <v>1.3128107174371383E-3</v>
      </c>
      <c r="K1739" s="34">
        <f t="shared" si="109"/>
        <v>1.3119493584222708E-3</v>
      </c>
      <c r="L1739" s="34">
        <f t="shared" si="110"/>
        <v>0.99116254027519912</v>
      </c>
      <c r="M1739" s="34">
        <f t="shared" si="111"/>
        <v>0.98986218521639291</v>
      </c>
    </row>
    <row r="1740" spans="1:13" ht="27.6">
      <c r="A1740" t="s">
        <v>164</v>
      </c>
      <c r="B1740" t="s">
        <v>112</v>
      </c>
      <c r="C1740" s="14" t="s">
        <v>294</v>
      </c>
      <c r="D1740" t="s">
        <v>112</v>
      </c>
      <c r="E1740" t="s">
        <v>383</v>
      </c>
      <c r="F1740" s="20">
        <v>2042</v>
      </c>
      <c r="G1740" s="20">
        <v>48</v>
      </c>
      <c r="H1740" s="11">
        <v>5975.1158637429699</v>
      </c>
      <c r="I1740" s="10">
        <v>4114523.7857711301</v>
      </c>
      <c r="J1740" s="34">
        <f t="shared" si="108"/>
        <v>1.4522010747406906E-3</v>
      </c>
      <c r="K1740" s="34">
        <f t="shared" si="109"/>
        <v>1.4511471409962562E-3</v>
      </c>
      <c r="L1740" s="34">
        <f t="shared" si="110"/>
        <v>0.98986218521639291</v>
      </c>
      <c r="M1740" s="34">
        <f t="shared" si="111"/>
        <v>0.98842574953633588</v>
      </c>
    </row>
    <row r="1741" spans="1:13" ht="27.6">
      <c r="A1741" t="s">
        <v>164</v>
      </c>
      <c r="B1741" t="s">
        <v>112</v>
      </c>
      <c r="C1741" s="14" t="s">
        <v>294</v>
      </c>
      <c r="D1741" t="s">
        <v>112</v>
      </c>
      <c r="E1741" t="s">
        <v>383</v>
      </c>
      <c r="F1741" s="20">
        <v>2042</v>
      </c>
      <c r="G1741" s="20">
        <v>49</v>
      </c>
      <c r="H1741" s="11">
        <v>6357.2768332489604</v>
      </c>
      <c r="I1741" s="10">
        <v>4054426.7146178102</v>
      </c>
      <c r="J1741" s="34">
        <f t="shared" si="108"/>
        <v>1.5679841518231087E-3</v>
      </c>
      <c r="K1741" s="34">
        <f t="shared" si="109"/>
        <v>1.5667555069220906E-3</v>
      </c>
      <c r="L1741" s="34">
        <f t="shared" si="110"/>
        <v>0.98842574953633588</v>
      </c>
      <c r="M1741" s="34">
        <f t="shared" si="111"/>
        <v>0.98687712805006622</v>
      </c>
    </row>
    <row r="1742" spans="1:13" ht="27.6">
      <c r="A1742" t="s">
        <v>164</v>
      </c>
      <c r="B1742" t="s">
        <v>112</v>
      </c>
      <c r="C1742" s="14" t="s">
        <v>294</v>
      </c>
      <c r="D1742" t="s">
        <v>112</v>
      </c>
      <c r="E1742" t="s">
        <v>383</v>
      </c>
      <c r="F1742" s="20">
        <v>2042</v>
      </c>
      <c r="G1742" s="20">
        <v>50</v>
      </c>
      <c r="H1742" s="11">
        <v>6859.6990952190699</v>
      </c>
      <c r="I1742" s="10">
        <v>4027483.9416702399</v>
      </c>
      <c r="J1742" s="34">
        <f t="shared" si="108"/>
        <v>1.7032219605509539E-3</v>
      </c>
      <c r="K1742" s="34">
        <f t="shared" si="109"/>
        <v>1.7017723011748531E-3</v>
      </c>
      <c r="L1742" s="34">
        <f t="shared" si="110"/>
        <v>0.98687712805006622</v>
      </c>
      <c r="M1742" s="34">
        <f t="shared" si="111"/>
        <v>0.98519768788888762</v>
      </c>
    </row>
    <row r="1743" spans="1:13" ht="27.6">
      <c r="A1743" t="s">
        <v>164</v>
      </c>
      <c r="B1743" t="s">
        <v>112</v>
      </c>
      <c r="C1743" s="14" t="s">
        <v>294</v>
      </c>
      <c r="D1743" t="s">
        <v>112</v>
      </c>
      <c r="E1743" t="s">
        <v>383</v>
      </c>
      <c r="F1743" s="20">
        <v>2042</v>
      </c>
      <c r="G1743" s="20">
        <v>51</v>
      </c>
      <c r="H1743" s="11">
        <v>7711.7543435457101</v>
      </c>
      <c r="I1743" s="10">
        <v>3993893.8001873102</v>
      </c>
      <c r="J1743" s="34">
        <f t="shared" si="108"/>
        <v>1.9308861800942318E-3</v>
      </c>
      <c r="K1743" s="34">
        <f t="shared" si="109"/>
        <v>1.9290232186224276E-3</v>
      </c>
      <c r="L1743" s="34">
        <f t="shared" si="110"/>
        <v>0.98519768788888762</v>
      </c>
      <c r="M1743" s="34">
        <f t="shared" si="111"/>
        <v>0.98329721867401687</v>
      </c>
    </row>
    <row r="1744" spans="1:13" ht="27.6">
      <c r="A1744" t="s">
        <v>164</v>
      </c>
      <c r="B1744" t="s">
        <v>112</v>
      </c>
      <c r="C1744" s="14" t="s">
        <v>294</v>
      </c>
      <c r="D1744" t="s">
        <v>112</v>
      </c>
      <c r="E1744" t="s">
        <v>383</v>
      </c>
      <c r="F1744" s="20">
        <v>2042</v>
      </c>
      <c r="G1744" s="20">
        <v>52</v>
      </c>
      <c r="H1744" s="11">
        <v>8326.2464282369292</v>
      </c>
      <c r="I1744" s="10">
        <v>3962800.5731470399</v>
      </c>
      <c r="J1744" s="34">
        <f t="shared" si="108"/>
        <v>2.1011015504180872E-3</v>
      </c>
      <c r="K1744" s="34">
        <f t="shared" si="109"/>
        <v>2.0988957816739928E-3</v>
      </c>
      <c r="L1744" s="34">
        <f t="shared" si="110"/>
        <v>0.98329721867401687</v>
      </c>
      <c r="M1744" s="34">
        <f t="shared" si="111"/>
        <v>0.98123338028961016</v>
      </c>
    </row>
    <row r="1745" spans="1:13" ht="27.6">
      <c r="A1745" t="s">
        <v>164</v>
      </c>
      <c r="B1745" t="s">
        <v>112</v>
      </c>
      <c r="C1745" s="14" t="s">
        <v>294</v>
      </c>
      <c r="D1745" t="s">
        <v>112</v>
      </c>
      <c r="E1745" t="s">
        <v>383</v>
      </c>
      <c r="F1745" s="20">
        <v>2042</v>
      </c>
      <c r="G1745" s="20">
        <v>53</v>
      </c>
      <c r="H1745" s="11">
        <v>9047.1373794417905</v>
      </c>
      <c r="I1745" s="10">
        <v>3952411.8123229002</v>
      </c>
      <c r="J1745" s="34">
        <f t="shared" si="108"/>
        <v>2.2890168861540348E-3</v>
      </c>
      <c r="K1745" s="34">
        <f t="shared" si="109"/>
        <v>2.2863990847795668E-3</v>
      </c>
      <c r="L1745" s="34">
        <f t="shared" si="110"/>
        <v>0.98123338028961016</v>
      </c>
      <c r="M1745" s="34">
        <f t="shared" si="111"/>
        <v>0.97898988918696084</v>
      </c>
    </row>
    <row r="1746" spans="1:13" ht="27.6">
      <c r="A1746" t="s">
        <v>164</v>
      </c>
      <c r="B1746" t="s">
        <v>112</v>
      </c>
      <c r="C1746" s="14" t="s">
        <v>294</v>
      </c>
      <c r="D1746" t="s">
        <v>112</v>
      </c>
      <c r="E1746" t="s">
        <v>383</v>
      </c>
      <c r="F1746" s="20">
        <v>2042</v>
      </c>
      <c r="G1746" s="20">
        <v>54</v>
      </c>
      <c r="H1746" s="11">
        <v>9852.9886861484993</v>
      </c>
      <c r="I1746" s="10">
        <v>3896047.44101658</v>
      </c>
      <c r="J1746" s="34">
        <f t="shared" si="108"/>
        <v>2.5289704079110493E-3</v>
      </c>
      <c r="K1746" s="34">
        <f t="shared" si="109"/>
        <v>2.5257752562978242E-3</v>
      </c>
      <c r="L1746" s="34">
        <f t="shared" si="110"/>
        <v>0.97898988918696084</v>
      </c>
      <c r="M1746" s="34">
        <f t="shared" si="111"/>
        <v>0.97651718074868665</v>
      </c>
    </row>
    <row r="1747" spans="1:13" ht="27.6">
      <c r="A1747" t="s">
        <v>164</v>
      </c>
      <c r="B1747" t="s">
        <v>112</v>
      </c>
      <c r="C1747" s="14" t="s">
        <v>294</v>
      </c>
      <c r="D1747" t="s">
        <v>112</v>
      </c>
      <c r="E1747" t="s">
        <v>383</v>
      </c>
      <c r="F1747" s="20">
        <v>2042</v>
      </c>
      <c r="G1747" s="20">
        <v>55</v>
      </c>
      <c r="H1747" s="11">
        <v>10701.2373969234</v>
      </c>
      <c r="I1747" s="10">
        <v>3830326.2484784201</v>
      </c>
      <c r="J1747" s="34">
        <f t="shared" si="108"/>
        <v>2.7938187774930183E-3</v>
      </c>
      <c r="K1747" s="34">
        <f t="shared" si="109"/>
        <v>2.7899196977648755E-3</v>
      </c>
      <c r="L1747" s="34">
        <f t="shared" si="110"/>
        <v>0.97651718074868665</v>
      </c>
      <c r="M1747" s="34">
        <f t="shared" si="111"/>
        <v>0.9737927762309101</v>
      </c>
    </row>
    <row r="1748" spans="1:13" ht="27.6">
      <c r="A1748" t="s">
        <v>164</v>
      </c>
      <c r="B1748" t="s">
        <v>112</v>
      </c>
      <c r="C1748" s="14" t="s">
        <v>294</v>
      </c>
      <c r="D1748" t="s">
        <v>112</v>
      </c>
      <c r="E1748" t="s">
        <v>383</v>
      </c>
      <c r="F1748" s="20">
        <v>2042</v>
      </c>
      <c r="G1748" s="20">
        <v>56</v>
      </c>
      <c r="H1748" s="11">
        <v>11691.0156765231</v>
      </c>
      <c r="I1748" s="10">
        <v>3821600.2630294501</v>
      </c>
      <c r="J1748" s="34">
        <f t="shared" si="108"/>
        <v>3.0591937596464959E-3</v>
      </c>
      <c r="K1748" s="34">
        <f t="shared" si="109"/>
        <v>3.0545191944322259E-3</v>
      </c>
      <c r="L1748" s="34">
        <f t="shared" si="110"/>
        <v>0.9737927762309101</v>
      </c>
      <c r="M1748" s="34">
        <f t="shared" si="111"/>
        <v>0.97081830750451337</v>
      </c>
    </row>
    <row r="1749" spans="1:13" ht="27.6">
      <c r="A1749" t="s">
        <v>164</v>
      </c>
      <c r="B1749" t="s">
        <v>112</v>
      </c>
      <c r="C1749" s="14" t="s">
        <v>294</v>
      </c>
      <c r="D1749" t="s">
        <v>112</v>
      </c>
      <c r="E1749" t="s">
        <v>383</v>
      </c>
      <c r="F1749" s="20">
        <v>2042</v>
      </c>
      <c r="G1749" s="20">
        <v>57</v>
      </c>
      <c r="H1749" s="11">
        <v>13072.5421228049</v>
      </c>
      <c r="I1749" s="10">
        <v>3864159.00263255</v>
      </c>
      <c r="J1749" s="34">
        <f t="shared" si="108"/>
        <v>3.3830238646750613E-3</v>
      </c>
      <c r="K1749" s="34">
        <f t="shared" si="109"/>
        <v>3.3773078870202866E-3</v>
      </c>
      <c r="L1749" s="34">
        <f t="shared" si="110"/>
        <v>0.97081830750451337</v>
      </c>
      <c r="M1749" s="34">
        <f t="shared" si="111"/>
        <v>0.96753955517771473</v>
      </c>
    </row>
    <row r="1750" spans="1:13" ht="27.6">
      <c r="A1750" t="s">
        <v>164</v>
      </c>
      <c r="B1750" t="s">
        <v>112</v>
      </c>
      <c r="C1750" s="14" t="s">
        <v>294</v>
      </c>
      <c r="D1750" t="s">
        <v>112</v>
      </c>
      <c r="E1750" t="s">
        <v>383</v>
      </c>
      <c r="F1750" s="20">
        <v>2042</v>
      </c>
      <c r="G1750" s="20">
        <v>58</v>
      </c>
      <c r="H1750" s="11">
        <v>14454.4642656657</v>
      </c>
      <c r="I1750" s="10">
        <v>3864827.8030906599</v>
      </c>
      <c r="J1750" s="34">
        <f t="shared" si="108"/>
        <v>3.7400021429432446E-3</v>
      </c>
      <c r="K1750" s="34">
        <f t="shared" si="109"/>
        <v>3.73301704573481E-3</v>
      </c>
      <c r="L1750" s="34">
        <f t="shared" si="110"/>
        <v>0.96753955517771473</v>
      </c>
      <c r="M1750" s="34">
        <f t="shared" si="111"/>
        <v>0.96392771352581363</v>
      </c>
    </row>
    <row r="1751" spans="1:13" ht="27.6">
      <c r="A1751" t="s">
        <v>164</v>
      </c>
      <c r="B1751" t="s">
        <v>112</v>
      </c>
      <c r="C1751" s="14" t="s">
        <v>294</v>
      </c>
      <c r="D1751" t="s">
        <v>112</v>
      </c>
      <c r="E1751" t="s">
        <v>383</v>
      </c>
      <c r="F1751" s="20">
        <v>2042</v>
      </c>
      <c r="G1751" s="20">
        <v>59</v>
      </c>
      <c r="H1751" s="11">
        <v>14962.447255937301</v>
      </c>
      <c r="I1751" s="10">
        <v>3809782.0050316602</v>
      </c>
      <c r="J1751" s="34">
        <f t="shared" si="108"/>
        <v>3.9273762215728033E-3</v>
      </c>
      <c r="K1751" s="34">
        <f t="shared" si="109"/>
        <v>3.9196741658358292E-3</v>
      </c>
      <c r="L1751" s="34">
        <f t="shared" si="110"/>
        <v>0.96392771352581363</v>
      </c>
      <c r="M1751" s="34">
        <f t="shared" si="111"/>
        <v>0.96014943096937333</v>
      </c>
    </row>
    <row r="1752" spans="1:13" ht="27.6">
      <c r="A1752" t="s">
        <v>164</v>
      </c>
      <c r="B1752" t="s">
        <v>112</v>
      </c>
      <c r="C1752" s="14" t="s">
        <v>294</v>
      </c>
      <c r="D1752" t="s">
        <v>112</v>
      </c>
      <c r="E1752" t="s">
        <v>383</v>
      </c>
      <c r="F1752" s="20">
        <v>2042</v>
      </c>
      <c r="G1752" s="20">
        <v>60</v>
      </c>
      <c r="H1752" s="11">
        <v>15608.265950109</v>
      </c>
      <c r="I1752" s="10">
        <v>3731014.3305571098</v>
      </c>
      <c r="J1752" s="34">
        <f t="shared" si="108"/>
        <v>4.1833840793043522E-3</v>
      </c>
      <c r="K1752" s="34">
        <f t="shared" si="109"/>
        <v>4.1746459174026862E-3</v>
      </c>
      <c r="L1752" s="34">
        <f t="shared" si="110"/>
        <v>0.96014943096937333</v>
      </c>
      <c r="M1752" s="34">
        <f t="shared" si="111"/>
        <v>0.95614114706728048</v>
      </c>
    </row>
    <row r="1753" spans="1:13" ht="27.6">
      <c r="A1753" t="s">
        <v>164</v>
      </c>
      <c r="B1753" t="s">
        <v>112</v>
      </c>
      <c r="C1753" s="14" t="s">
        <v>294</v>
      </c>
      <c r="D1753" t="s">
        <v>112</v>
      </c>
      <c r="E1753" t="s">
        <v>383</v>
      </c>
      <c r="F1753" s="20">
        <v>2042</v>
      </c>
      <c r="G1753" s="20">
        <v>61</v>
      </c>
      <c r="H1753" s="11">
        <v>16274.312055529101</v>
      </c>
      <c r="I1753" s="10">
        <v>3645236.5442031301</v>
      </c>
      <c r="J1753" s="34">
        <f t="shared" si="108"/>
        <v>4.4645421108293979E-3</v>
      </c>
      <c r="K1753" s="34">
        <f t="shared" si="109"/>
        <v>4.4545908574710191E-3</v>
      </c>
      <c r="L1753" s="34">
        <f t="shared" si="110"/>
        <v>0.95614114706728048</v>
      </c>
      <c r="M1753" s="34">
        <f t="shared" si="111"/>
        <v>0.95188192945510275</v>
      </c>
    </row>
    <row r="1754" spans="1:13" ht="27.6">
      <c r="A1754" t="s">
        <v>164</v>
      </c>
      <c r="B1754" t="s">
        <v>112</v>
      </c>
      <c r="C1754" s="14" t="s">
        <v>294</v>
      </c>
      <c r="D1754" t="s">
        <v>112</v>
      </c>
      <c r="E1754" t="s">
        <v>383</v>
      </c>
      <c r="F1754" s="20">
        <v>2042</v>
      </c>
      <c r="G1754" s="20">
        <v>62</v>
      </c>
      <c r="H1754" s="11">
        <v>17165.734104557399</v>
      </c>
      <c r="I1754" s="10">
        <v>3563133.3502093302</v>
      </c>
      <c r="J1754" s="34">
        <f t="shared" si="108"/>
        <v>4.8175951942828442E-3</v>
      </c>
      <c r="K1754" s="34">
        <f t="shared" si="109"/>
        <v>4.8060091955725026E-3</v>
      </c>
      <c r="L1754" s="34">
        <f t="shared" si="110"/>
        <v>0.95188192945510275</v>
      </c>
      <c r="M1754" s="34">
        <f t="shared" si="111"/>
        <v>0.94730717614904225</v>
      </c>
    </row>
    <row r="1755" spans="1:13" ht="27.6">
      <c r="A1755" t="s">
        <v>164</v>
      </c>
      <c r="B1755" t="s">
        <v>112</v>
      </c>
      <c r="C1755" s="14" t="s">
        <v>294</v>
      </c>
      <c r="D1755" t="s">
        <v>112</v>
      </c>
      <c r="E1755" t="s">
        <v>383</v>
      </c>
      <c r="F1755" s="20">
        <v>2042</v>
      </c>
      <c r="G1755" s="20">
        <v>63</v>
      </c>
      <c r="H1755" s="11">
        <v>18058.583745457599</v>
      </c>
      <c r="I1755" s="10">
        <v>3467015.87787061</v>
      </c>
      <c r="J1755" s="34">
        <f t="shared" si="108"/>
        <v>5.2086821582567758E-3</v>
      </c>
      <c r="K1755" s="34">
        <f t="shared" si="109"/>
        <v>5.1951404949522884E-3</v>
      </c>
      <c r="L1755" s="34">
        <f t="shared" si="110"/>
        <v>0.94730717614904225</v>
      </c>
      <c r="M1755" s="34">
        <f t="shared" si="111"/>
        <v>0.94238578227707148</v>
      </c>
    </row>
    <row r="1756" spans="1:13" ht="27.6">
      <c r="A1756" t="s">
        <v>164</v>
      </c>
      <c r="B1756" t="s">
        <v>112</v>
      </c>
      <c r="C1756" s="14" t="s">
        <v>294</v>
      </c>
      <c r="D1756" t="s">
        <v>112</v>
      </c>
      <c r="E1756" t="s">
        <v>383</v>
      </c>
      <c r="F1756" s="20">
        <v>2042</v>
      </c>
      <c r="G1756" s="20">
        <v>64</v>
      </c>
      <c r="H1756" s="11">
        <v>19167.127536804499</v>
      </c>
      <c r="I1756" s="10">
        <v>3347983.0182464798</v>
      </c>
      <c r="J1756" s="34">
        <f t="shared" si="108"/>
        <v>5.7249775259742399E-3</v>
      </c>
      <c r="K1756" s="34">
        <f t="shared" si="109"/>
        <v>5.7086210704702101E-3</v>
      </c>
      <c r="L1756" s="34">
        <f t="shared" si="110"/>
        <v>0.94238578227707148</v>
      </c>
      <c r="M1756" s="34">
        <f t="shared" si="111"/>
        <v>0.93700605894385303</v>
      </c>
    </row>
    <row r="1757" spans="1:13" ht="27.6">
      <c r="A1757" t="s">
        <v>164</v>
      </c>
      <c r="B1757" t="s">
        <v>112</v>
      </c>
      <c r="C1757" s="14" t="s">
        <v>294</v>
      </c>
      <c r="D1757" t="s">
        <v>112</v>
      </c>
      <c r="E1757" t="s">
        <v>383</v>
      </c>
      <c r="F1757" s="20">
        <v>2042</v>
      </c>
      <c r="G1757" s="20">
        <v>65</v>
      </c>
      <c r="H1757" s="11">
        <v>20197.445348187</v>
      </c>
      <c r="I1757" s="10">
        <v>3231532.8527200599</v>
      </c>
      <c r="J1757" s="34">
        <f t="shared" si="108"/>
        <v>6.2501129552764156E-3</v>
      </c>
      <c r="K1757" s="34">
        <f t="shared" si="109"/>
        <v>6.230621628106392E-3</v>
      </c>
      <c r="L1757" s="34">
        <f t="shared" si="110"/>
        <v>0.93700605894385303</v>
      </c>
      <c r="M1757" s="34">
        <f t="shared" si="111"/>
        <v>0.93116792872733067</v>
      </c>
    </row>
    <row r="1758" spans="1:13" ht="27.6">
      <c r="A1758" t="s">
        <v>164</v>
      </c>
      <c r="B1758" t="s">
        <v>112</v>
      </c>
      <c r="C1758" s="14" t="s">
        <v>294</v>
      </c>
      <c r="D1758" t="s">
        <v>112</v>
      </c>
      <c r="E1758" t="s">
        <v>383</v>
      </c>
      <c r="F1758" s="20">
        <v>2042</v>
      </c>
      <c r="G1758" s="20">
        <v>66</v>
      </c>
      <c r="H1758" s="11">
        <v>20644.207277044901</v>
      </c>
      <c r="I1758" s="10">
        <v>3126323.8580557299</v>
      </c>
      <c r="J1758" s="34">
        <f t="shared" si="108"/>
        <v>6.6033489217216272E-3</v>
      </c>
      <c r="K1758" s="34">
        <f t="shared" si="109"/>
        <v>6.5815947230897232E-3</v>
      </c>
      <c r="L1758" s="34">
        <f t="shared" si="110"/>
        <v>0.93116792872733067</v>
      </c>
      <c r="M1758" s="34">
        <f t="shared" si="111"/>
        <v>0.9250393588013085</v>
      </c>
    </row>
    <row r="1759" spans="1:13" ht="27.6">
      <c r="A1759" t="s">
        <v>164</v>
      </c>
      <c r="B1759" t="s">
        <v>112</v>
      </c>
      <c r="C1759" s="14" t="s">
        <v>294</v>
      </c>
      <c r="D1759" t="s">
        <v>112</v>
      </c>
      <c r="E1759" t="s">
        <v>383</v>
      </c>
      <c r="F1759" s="20">
        <v>2042</v>
      </c>
      <c r="G1759" s="20">
        <v>67</v>
      </c>
      <c r="H1759" s="11">
        <v>21657.760757969099</v>
      </c>
      <c r="I1759" s="10">
        <v>3008440.5065861698</v>
      </c>
      <c r="J1759" s="34">
        <f t="shared" si="108"/>
        <v>7.1989991859753482E-3</v>
      </c>
      <c r="K1759" s="34">
        <f t="shared" si="109"/>
        <v>7.1731484616468499E-3</v>
      </c>
      <c r="L1759" s="34">
        <f t="shared" si="110"/>
        <v>0.9250393588013085</v>
      </c>
      <c r="M1759" s="34">
        <f t="shared" si="111"/>
        <v>0.91840391414776013</v>
      </c>
    </row>
    <row r="1760" spans="1:13" ht="27.6">
      <c r="A1760" t="s">
        <v>164</v>
      </c>
      <c r="B1760" t="s">
        <v>112</v>
      </c>
      <c r="C1760" s="14" t="s">
        <v>294</v>
      </c>
      <c r="D1760" t="s">
        <v>112</v>
      </c>
      <c r="E1760" t="s">
        <v>383</v>
      </c>
      <c r="F1760" s="20">
        <v>2042</v>
      </c>
      <c r="G1760" s="20">
        <v>68</v>
      </c>
      <c r="H1760" s="11">
        <v>22689.3085816042</v>
      </c>
      <c r="I1760" s="10">
        <v>2901580.5317814001</v>
      </c>
      <c r="J1760" s="34">
        <f t="shared" si="108"/>
        <v>7.8196377226429411E-3</v>
      </c>
      <c r="K1760" s="34">
        <f t="shared" si="109"/>
        <v>7.789143890925887E-3</v>
      </c>
      <c r="L1760" s="34">
        <f t="shared" si="110"/>
        <v>0.91840391414776013</v>
      </c>
      <c r="M1760" s="34">
        <f t="shared" si="111"/>
        <v>0.91125033391047372</v>
      </c>
    </row>
    <row r="1761" spans="1:13" ht="27.6">
      <c r="A1761" t="s">
        <v>164</v>
      </c>
      <c r="B1761" t="s">
        <v>112</v>
      </c>
      <c r="C1761" s="14" t="s">
        <v>294</v>
      </c>
      <c r="D1761" t="s">
        <v>112</v>
      </c>
      <c r="E1761" t="s">
        <v>383</v>
      </c>
      <c r="F1761" s="20">
        <v>2042</v>
      </c>
      <c r="G1761" s="20">
        <v>69</v>
      </c>
      <c r="H1761" s="11">
        <v>23045.059624951002</v>
      </c>
      <c r="I1761" s="10">
        <v>2793428.4085399401</v>
      </c>
      <c r="J1761" s="34">
        <f t="shared" si="108"/>
        <v>8.2497405533997984E-3</v>
      </c>
      <c r="K1761" s="34">
        <f t="shared" si="109"/>
        <v>8.2158048282303664E-3</v>
      </c>
      <c r="L1761" s="34">
        <f t="shared" si="110"/>
        <v>0.91125033391047372</v>
      </c>
      <c r="M1761" s="34">
        <f t="shared" si="111"/>
        <v>0.90376367901740551</v>
      </c>
    </row>
    <row r="1762" spans="1:13" ht="27.6">
      <c r="A1762" t="s">
        <v>164</v>
      </c>
      <c r="B1762" t="s">
        <v>112</v>
      </c>
      <c r="C1762" s="14" t="s">
        <v>294</v>
      </c>
      <c r="D1762" t="s">
        <v>112</v>
      </c>
      <c r="E1762" t="s">
        <v>383</v>
      </c>
      <c r="F1762" s="20">
        <v>2043</v>
      </c>
      <c r="G1762" s="20">
        <v>30</v>
      </c>
      <c r="H1762" s="11">
        <v>753.45678497102494</v>
      </c>
      <c r="I1762" s="10">
        <v>4831770.57599351</v>
      </c>
      <c r="J1762" s="34">
        <f t="shared" si="108"/>
        <v>1.5593802998729902E-4</v>
      </c>
      <c r="K1762" s="34">
        <f t="shared" si="109"/>
        <v>1.5592587228463461E-4</v>
      </c>
      <c r="L1762" s="34">
        <f t="shared" si="110"/>
        <v>1</v>
      </c>
      <c r="M1762" s="34">
        <f t="shared" si="111"/>
        <v>0.99984407412771537</v>
      </c>
    </row>
    <row r="1763" spans="1:13" ht="27.6">
      <c r="A1763" t="s">
        <v>164</v>
      </c>
      <c r="B1763" t="s">
        <v>112</v>
      </c>
      <c r="C1763" s="14" t="s">
        <v>294</v>
      </c>
      <c r="D1763" t="s">
        <v>112</v>
      </c>
      <c r="E1763" t="s">
        <v>383</v>
      </c>
      <c r="F1763" s="20">
        <v>2043</v>
      </c>
      <c r="G1763" s="20">
        <v>31</v>
      </c>
      <c r="H1763" s="11">
        <v>1084.84832267004</v>
      </c>
      <c r="I1763" s="10">
        <v>4875449.4504581401</v>
      </c>
      <c r="J1763" s="34">
        <f t="shared" si="108"/>
        <v>2.2251247473565708E-4</v>
      </c>
      <c r="K1763" s="34">
        <f t="shared" si="109"/>
        <v>2.224877206710163E-4</v>
      </c>
      <c r="L1763" s="34">
        <f t="shared" si="110"/>
        <v>0.99984407412771537</v>
      </c>
      <c r="M1763" s="34">
        <f t="shared" si="111"/>
        <v>0.99962162109863628</v>
      </c>
    </row>
    <row r="1764" spans="1:13" ht="27.6">
      <c r="A1764" t="s">
        <v>164</v>
      </c>
      <c r="B1764" t="s">
        <v>112</v>
      </c>
      <c r="C1764" s="14" t="s">
        <v>294</v>
      </c>
      <c r="D1764" t="s">
        <v>112</v>
      </c>
      <c r="E1764" t="s">
        <v>383</v>
      </c>
      <c r="F1764" s="20">
        <v>2043</v>
      </c>
      <c r="G1764" s="20">
        <v>32</v>
      </c>
      <c r="H1764" s="11">
        <v>1112.38783651938</v>
      </c>
      <c r="I1764" s="10">
        <v>4795962.4735838203</v>
      </c>
      <c r="J1764" s="34">
        <f t="shared" si="108"/>
        <v>2.3194256473990706E-4</v>
      </c>
      <c r="K1764" s="34">
        <f t="shared" si="109"/>
        <v>2.3191566814273479E-4</v>
      </c>
      <c r="L1764" s="34">
        <f t="shared" si="110"/>
        <v>0.99962162109863628</v>
      </c>
      <c r="M1764" s="34">
        <f t="shared" si="111"/>
        <v>0.99938979318248922</v>
      </c>
    </row>
    <row r="1765" spans="1:13" ht="27.6">
      <c r="A1765" t="s">
        <v>164</v>
      </c>
      <c r="B1765" t="s">
        <v>112</v>
      </c>
      <c r="C1765" s="14" t="s">
        <v>294</v>
      </c>
      <c r="D1765" t="s">
        <v>112</v>
      </c>
      <c r="E1765" t="s">
        <v>383</v>
      </c>
      <c r="F1765" s="20">
        <v>2043</v>
      </c>
      <c r="G1765" s="20">
        <v>33</v>
      </c>
      <c r="H1765" s="11">
        <v>1150.08398119704</v>
      </c>
      <c r="I1765" s="10">
        <v>4694956.9990954604</v>
      </c>
      <c r="J1765" s="34">
        <f t="shared" si="108"/>
        <v>2.4496155799054545E-4</v>
      </c>
      <c r="K1765" s="34">
        <f t="shared" si="109"/>
        <v>2.4493155735783034E-4</v>
      </c>
      <c r="L1765" s="34">
        <f t="shared" si="110"/>
        <v>0.99938979318248922</v>
      </c>
      <c r="M1765" s="34">
        <f t="shared" si="111"/>
        <v>0.99914501108403753</v>
      </c>
    </row>
    <row r="1766" spans="1:13" ht="27.6">
      <c r="A1766" t="s">
        <v>164</v>
      </c>
      <c r="B1766" t="s">
        <v>112</v>
      </c>
      <c r="C1766" s="14" t="s">
        <v>294</v>
      </c>
      <c r="D1766" t="s">
        <v>112</v>
      </c>
      <c r="E1766" t="s">
        <v>383</v>
      </c>
      <c r="F1766" s="20">
        <v>2043</v>
      </c>
      <c r="G1766" s="20">
        <v>34</v>
      </c>
      <c r="H1766" s="11">
        <v>1202.58073205145</v>
      </c>
      <c r="I1766" s="10">
        <v>4638258.8369653802</v>
      </c>
      <c r="J1766" s="34">
        <f t="shared" si="108"/>
        <v>2.5927417471126915E-4</v>
      </c>
      <c r="K1766" s="34">
        <f t="shared" si="109"/>
        <v>2.5924056606707602E-4</v>
      </c>
      <c r="L1766" s="34">
        <f t="shared" si="110"/>
        <v>0.99914501108403753</v>
      </c>
      <c r="M1766" s="34">
        <f t="shared" si="111"/>
        <v>0.998885992165781</v>
      </c>
    </row>
    <row r="1767" spans="1:13" ht="27.6">
      <c r="A1767" t="s">
        <v>164</v>
      </c>
      <c r="B1767" t="s">
        <v>112</v>
      </c>
      <c r="C1767" s="14" t="s">
        <v>294</v>
      </c>
      <c r="D1767" t="s">
        <v>112</v>
      </c>
      <c r="E1767" t="s">
        <v>383</v>
      </c>
      <c r="F1767" s="20">
        <v>2043</v>
      </c>
      <c r="G1767" s="20">
        <v>35</v>
      </c>
      <c r="H1767" s="11">
        <v>1290.27261274236</v>
      </c>
      <c r="I1767" s="10">
        <v>4630118.4230800197</v>
      </c>
      <c r="J1767" s="34">
        <f t="shared" si="108"/>
        <v>2.786694626017908E-4</v>
      </c>
      <c r="K1767" s="34">
        <f t="shared" si="109"/>
        <v>2.7863063787358922E-4</v>
      </c>
      <c r="L1767" s="34">
        <f t="shared" si="110"/>
        <v>0.998885992165781</v>
      </c>
      <c r="M1767" s="34">
        <f t="shared" si="111"/>
        <v>0.99860767192462085</v>
      </c>
    </row>
    <row r="1768" spans="1:13" ht="27.6">
      <c r="A1768" t="s">
        <v>164</v>
      </c>
      <c r="B1768" t="s">
        <v>112</v>
      </c>
      <c r="C1768" s="14" t="s">
        <v>294</v>
      </c>
      <c r="D1768" t="s">
        <v>112</v>
      </c>
      <c r="E1768" t="s">
        <v>383</v>
      </c>
      <c r="F1768" s="20">
        <v>2043</v>
      </c>
      <c r="G1768" s="20">
        <v>36</v>
      </c>
      <c r="H1768" s="11">
        <v>1637.1692882868199</v>
      </c>
      <c r="I1768" s="10">
        <v>4601873.8258400001</v>
      </c>
      <c r="J1768" s="34">
        <f t="shared" si="108"/>
        <v>3.5576144636863884E-4</v>
      </c>
      <c r="K1768" s="34">
        <f t="shared" si="109"/>
        <v>3.5569817076919197E-4</v>
      </c>
      <c r="L1768" s="34">
        <f t="shared" si="110"/>
        <v>0.99860767192462085</v>
      </c>
      <c r="M1768" s="34">
        <f t="shared" si="111"/>
        <v>0.99825246900240117</v>
      </c>
    </row>
    <row r="1769" spans="1:13" ht="27.6">
      <c r="A1769" t="s">
        <v>164</v>
      </c>
      <c r="B1769" t="s">
        <v>112</v>
      </c>
      <c r="C1769" s="14" t="s">
        <v>294</v>
      </c>
      <c r="D1769" t="s">
        <v>112</v>
      </c>
      <c r="E1769" t="s">
        <v>383</v>
      </c>
      <c r="F1769" s="20">
        <v>2043</v>
      </c>
      <c r="G1769" s="20">
        <v>37</v>
      </c>
      <c r="H1769" s="11">
        <v>1754.12191767331</v>
      </c>
      <c r="I1769" s="10">
        <v>4530115.7035092702</v>
      </c>
      <c r="J1769" s="34">
        <f t="shared" si="108"/>
        <v>3.8721349132748935E-4</v>
      </c>
      <c r="K1769" s="34">
        <f t="shared" si="109"/>
        <v>3.8713853385874408E-4</v>
      </c>
      <c r="L1769" s="34">
        <f t="shared" si="110"/>
        <v>0.99825246900240117</v>
      </c>
      <c r="M1769" s="34">
        <f t="shared" si="111"/>
        <v>0.99786600700513073</v>
      </c>
    </row>
    <row r="1770" spans="1:13" ht="27.6">
      <c r="A1770" t="s">
        <v>164</v>
      </c>
      <c r="B1770" t="s">
        <v>112</v>
      </c>
      <c r="C1770" s="14" t="s">
        <v>294</v>
      </c>
      <c r="D1770" t="s">
        <v>112</v>
      </c>
      <c r="E1770" t="s">
        <v>383</v>
      </c>
      <c r="F1770" s="20">
        <v>2043</v>
      </c>
      <c r="G1770" s="20">
        <v>38</v>
      </c>
      <c r="H1770" s="11">
        <v>1881.68958439261</v>
      </c>
      <c r="I1770" s="10">
        <v>4435535.70558793</v>
      </c>
      <c r="J1770" s="34">
        <f t="shared" si="108"/>
        <v>4.2423051222923076E-4</v>
      </c>
      <c r="K1770" s="34">
        <f t="shared" si="109"/>
        <v>4.2414053918904404E-4</v>
      </c>
      <c r="L1770" s="34">
        <f t="shared" si="110"/>
        <v>0.99786600700513073</v>
      </c>
      <c r="M1770" s="34">
        <f t="shared" si="111"/>
        <v>0.99744277157888117</v>
      </c>
    </row>
    <row r="1771" spans="1:13" ht="27.6">
      <c r="A1771" t="s">
        <v>164</v>
      </c>
      <c r="B1771" t="s">
        <v>112</v>
      </c>
      <c r="C1771" s="14" t="s">
        <v>294</v>
      </c>
      <c r="D1771" t="s">
        <v>112</v>
      </c>
      <c r="E1771" t="s">
        <v>383</v>
      </c>
      <c r="F1771" s="20">
        <v>2043</v>
      </c>
      <c r="G1771" s="20">
        <v>39</v>
      </c>
      <c r="H1771" s="11">
        <v>1967.8921084430999</v>
      </c>
      <c r="I1771" s="10">
        <v>4337197.1899591004</v>
      </c>
      <c r="J1771" s="34">
        <f t="shared" si="108"/>
        <v>4.5372438057437206E-4</v>
      </c>
      <c r="K1771" s="34">
        <f t="shared" si="109"/>
        <v>4.5362146323357777E-4</v>
      </c>
      <c r="L1771" s="34">
        <f t="shared" si="110"/>
        <v>0.99744277157888117</v>
      </c>
      <c r="M1771" s="34">
        <f t="shared" si="111"/>
        <v>0.9969903101293458</v>
      </c>
    </row>
    <row r="1772" spans="1:13" ht="27.6">
      <c r="A1772" t="s">
        <v>164</v>
      </c>
      <c r="B1772" t="s">
        <v>112</v>
      </c>
      <c r="C1772" s="14" t="s">
        <v>294</v>
      </c>
      <c r="D1772" t="s">
        <v>112</v>
      </c>
      <c r="E1772" t="s">
        <v>383</v>
      </c>
      <c r="F1772" s="20">
        <v>2043</v>
      </c>
      <c r="G1772" s="20">
        <v>40</v>
      </c>
      <c r="H1772" s="11">
        <v>2155.7993074893998</v>
      </c>
      <c r="I1772" s="10">
        <v>4292339.6819472397</v>
      </c>
      <c r="J1772" s="34">
        <f t="shared" si="108"/>
        <v>5.0224340737902915E-4</v>
      </c>
      <c r="K1772" s="34">
        <f t="shared" si="109"/>
        <v>5.0211730427129897E-4</v>
      </c>
      <c r="L1772" s="34">
        <f t="shared" si="110"/>
        <v>0.9969903101293458</v>
      </c>
      <c r="M1772" s="34">
        <f t="shared" si="111"/>
        <v>0.99648970404243908</v>
      </c>
    </row>
    <row r="1773" spans="1:13" ht="27.6">
      <c r="A1773" t="s">
        <v>164</v>
      </c>
      <c r="B1773" t="s">
        <v>112</v>
      </c>
      <c r="C1773" s="14" t="s">
        <v>294</v>
      </c>
      <c r="D1773" t="s">
        <v>112</v>
      </c>
      <c r="E1773" t="s">
        <v>383</v>
      </c>
      <c r="F1773" s="20">
        <v>2043</v>
      </c>
      <c r="G1773" s="20">
        <v>41</v>
      </c>
      <c r="H1773" s="11">
        <v>2827.2578257957798</v>
      </c>
      <c r="I1773" s="10">
        <v>4269713.5387882497</v>
      </c>
      <c r="J1773" s="34">
        <f t="shared" si="108"/>
        <v>6.621656933448887E-4</v>
      </c>
      <c r="K1773" s="34">
        <f t="shared" si="109"/>
        <v>6.6194651002338123E-4</v>
      </c>
      <c r="L1773" s="34">
        <f t="shared" si="110"/>
        <v>0.99648970404243908</v>
      </c>
      <c r="M1773" s="34">
        <f t="shared" si="111"/>
        <v>0.99583008116057392</v>
      </c>
    </row>
    <row r="1774" spans="1:13" ht="27.6">
      <c r="A1774" t="s">
        <v>164</v>
      </c>
      <c r="B1774" t="s">
        <v>112</v>
      </c>
      <c r="C1774" s="14" t="s">
        <v>294</v>
      </c>
      <c r="D1774" t="s">
        <v>112</v>
      </c>
      <c r="E1774" t="s">
        <v>383</v>
      </c>
      <c r="F1774" s="20">
        <v>2043</v>
      </c>
      <c r="G1774" s="20">
        <v>42</v>
      </c>
      <c r="H1774" s="11">
        <v>3144.2346203509601</v>
      </c>
      <c r="I1774" s="10">
        <v>4246975.5828293702</v>
      </c>
      <c r="J1774" s="34">
        <f t="shared" si="108"/>
        <v>7.4034676183757221E-4</v>
      </c>
      <c r="K1774" s="34">
        <f t="shared" si="109"/>
        <v>7.400727727935319E-4</v>
      </c>
      <c r="L1774" s="34">
        <f t="shared" si="110"/>
        <v>0.99583008116057392</v>
      </c>
      <c r="M1774" s="34">
        <f t="shared" si="111"/>
        <v>0.99509309443117822</v>
      </c>
    </row>
    <row r="1775" spans="1:13" ht="27.6">
      <c r="A1775" t="s">
        <v>164</v>
      </c>
      <c r="B1775" t="s">
        <v>112</v>
      </c>
      <c r="C1775" s="14" t="s">
        <v>294</v>
      </c>
      <c r="D1775" t="s">
        <v>112</v>
      </c>
      <c r="E1775" t="s">
        <v>383</v>
      </c>
      <c r="F1775" s="20">
        <v>2043</v>
      </c>
      <c r="G1775" s="20">
        <v>43</v>
      </c>
      <c r="H1775" s="11">
        <v>3528.4431329496701</v>
      </c>
      <c r="I1775" s="10">
        <v>4243117.4614442904</v>
      </c>
      <c r="J1775" s="34">
        <f t="shared" si="108"/>
        <v>8.3156857310960315E-4</v>
      </c>
      <c r="K1775" s="34">
        <f t="shared" si="109"/>
        <v>8.3122291578296981E-4</v>
      </c>
      <c r="L1775" s="34">
        <f t="shared" si="110"/>
        <v>0.99509309443117822</v>
      </c>
      <c r="M1775" s="34">
        <f t="shared" si="111"/>
        <v>0.99426595024774966</v>
      </c>
    </row>
    <row r="1776" spans="1:13" ht="27.6">
      <c r="A1776" t="s">
        <v>164</v>
      </c>
      <c r="B1776" t="s">
        <v>112</v>
      </c>
      <c r="C1776" s="14" t="s">
        <v>294</v>
      </c>
      <c r="D1776" t="s">
        <v>112</v>
      </c>
      <c r="E1776" t="s">
        <v>383</v>
      </c>
      <c r="F1776" s="20">
        <v>2043</v>
      </c>
      <c r="G1776" s="20">
        <v>44</v>
      </c>
      <c r="H1776" s="11">
        <v>3770.5711736304002</v>
      </c>
      <c r="I1776" s="10">
        <v>4276609.0147668002</v>
      </c>
      <c r="J1776" s="34">
        <f t="shared" si="108"/>
        <v>8.8167311077793395E-4</v>
      </c>
      <c r="K1776" s="34">
        <f t="shared" si="109"/>
        <v>8.8128455124336647E-4</v>
      </c>
      <c r="L1776" s="34">
        <f t="shared" si="110"/>
        <v>0.99426595024774966</v>
      </c>
      <c r="M1776" s="34">
        <f t="shared" si="111"/>
        <v>0.99338971902596906</v>
      </c>
    </row>
    <row r="1777" spans="1:13" ht="27.6">
      <c r="A1777" t="s">
        <v>164</v>
      </c>
      <c r="B1777" t="s">
        <v>112</v>
      </c>
      <c r="C1777" s="14" t="s">
        <v>294</v>
      </c>
      <c r="D1777" t="s">
        <v>112</v>
      </c>
      <c r="E1777" t="s">
        <v>383</v>
      </c>
      <c r="F1777" s="20">
        <v>2043</v>
      </c>
      <c r="G1777" s="20">
        <v>45</v>
      </c>
      <c r="H1777" s="11">
        <v>4116.5538453604704</v>
      </c>
      <c r="I1777" s="10">
        <v>4312139.6508823903</v>
      </c>
      <c r="J1777" s="34">
        <f t="shared" si="108"/>
        <v>9.5464297973700887E-4</v>
      </c>
      <c r="K1777" s="34">
        <f t="shared" si="109"/>
        <v>9.5418745309427955E-4</v>
      </c>
      <c r="L1777" s="34">
        <f t="shared" si="110"/>
        <v>0.99338971902596906</v>
      </c>
      <c r="M1777" s="34">
        <f t="shared" si="111"/>
        <v>0.99244183902004168</v>
      </c>
    </row>
    <row r="1778" spans="1:13" ht="27.6">
      <c r="A1778" t="s">
        <v>164</v>
      </c>
      <c r="B1778" t="s">
        <v>112</v>
      </c>
      <c r="C1778" s="14" t="s">
        <v>294</v>
      </c>
      <c r="D1778" t="s">
        <v>112</v>
      </c>
      <c r="E1778" t="s">
        <v>383</v>
      </c>
      <c r="F1778" s="20">
        <v>2043</v>
      </c>
      <c r="G1778" s="20">
        <v>46</v>
      </c>
      <c r="H1778" s="11">
        <v>5113.8278983663104</v>
      </c>
      <c r="I1778" s="10">
        <v>4301634.3276074398</v>
      </c>
      <c r="J1778" s="34">
        <f t="shared" si="108"/>
        <v>1.1888104633967368E-3</v>
      </c>
      <c r="K1778" s="34">
        <f t="shared" si="109"/>
        <v>1.1881041081730492E-3</v>
      </c>
      <c r="L1778" s="34">
        <f t="shared" si="110"/>
        <v>0.99244183902004168</v>
      </c>
      <c r="M1778" s="34">
        <f t="shared" si="111"/>
        <v>0.9912627147939792</v>
      </c>
    </row>
    <row r="1779" spans="1:13" ht="27.6">
      <c r="A1779" t="s">
        <v>164</v>
      </c>
      <c r="B1779" t="s">
        <v>112</v>
      </c>
      <c r="C1779" s="14" t="s">
        <v>294</v>
      </c>
      <c r="D1779" t="s">
        <v>112</v>
      </c>
      <c r="E1779" t="s">
        <v>383</v>
      </c>
      <c r="F1779" s="20">
        <v>2043</v>
      </c>
      <c r="G1779" s="20">
        <v>47</v>
      </c>
      <c r="H1779" s="11">
        <v>5521.1562385068801</v>
      </c>
      <c r="I1779" s="10">
        <v>4233120.5507179704</v>
      </c>
      <c r="J1779" s="34">
        <f t="shared" si="108"/>
        <v>1.3042756926850215E-3</v>
      </c>
      <c r="K1779" s="34">
        <f t="shared" si="109"/>
        <v>1.3034254948147694E-3</v>
      </c>
      <c r="L1779" s="34">
        <f t="shared" si="110"/>
        <v>0.9912627147939792</v>
      </c>
      <c r="M1779" s="34">
        <f t="shared" si="111"/>
        <v>0.98997067769945746</v>
      </c>
    </row>
    <row r="1780" spans="1:13" ht="27.6">
      <c r="A1780" t="s">
        <v>164</v>
      </c>
      <c r="B1780" t="s">
        <v>112</v>
      </c>
      <c r="C1780" s="14" t="s">
        <v>294</v>
      </c>
      <c r="D1780" t="s">
        <v>112</v>
      </c>
      <c r="E1780" t="s">
        <v>383</v>
      </c>
      <c r="F1780" s="20">
        <v>2043</v>
      </c>
      <c r="G1780" s="20">
        <v>48</v>
      </c>
      <c r="H1780" s="11">
        <v>5997.4614525712504</v>
      </c>
      <c r="I1780" s="10">
        <v>4161965.6103463601</v>
      </c>
      <c r="J1780" s="34">
        <f t="shared" si="108"/>
        <v>1.4410165806420826E-3</v>
      </c>
      <c r="K1780" s="34">
        <f t="shared" si="109"/>
        <v>1.4399788147884118E-3</v>
      </c>
      <c r="L1780" s="34">
        <f t="shared" si="110"/>
        <v>0.98997067769945746</v>
      </c>
      <c r="M1780" s="34">
        <f t="shared" si="111"/>
        <v>0.98854514089630852</v>
      </c>
    </row>
    <row r="1781" spans="1:13" ht="27.6">
      <c r="A1781" t="s">
        <v>164</v>
      </c>
      <c r="B1781" t="s">
        <v>112</v>
      </c>
      <c r="C1781" s="14" t="s">
        <v>294</v>
      </c>
      <c r="D1781" t="s">
        <v>112</v>
      </c>
      <c r="E1781" t="s">
        <v>383</v>
      </c>
      <c r="F1781" s="20">
        <v>2043</v>
      </c>
      <c r="G1781" s="20">
        <v>49</v>
      </c>
      <c r="H1781" s="11">
        <v>6373.6949782967604</v>
      </c>
      <c r="I1781" s="10">
        <v>4099102.84283912</v>
      </c>
      <c r="J1781" s="34">
        <f t="shared" si="108"/>
        <v>1.554899992185171E-3</v>
      </c>
      <c r="K1781" s="34">
        <f t="shared" si="109"/>
        <v>1.5536917614994428E-3</v>
      </c>
      <c r="L1781" s="34">
        <f t="shared" si="110"/>
        <v>0.98854514089630852</v>
      </c>
      <c r="M1781" s="34">
        <f t="shared" si="111"/>
        <v>0.98700924645502763</v>
      </c>
    </row>
    <row r="1782" spans="1:13" ht="27.6">
      <c r="A1782" t="s">
        <v>164</v>
      </c>
      <c r="B1782" t="s">
        <v>112</v>
      </c>
      <c r="C1782" s="14" t="s">
        <v>294</v>
      </c>
      <c r="D1782" t="s">
        <v>112</v>
      </c>
      <c r="E1782" t="s">
        <v>383</v>
      </c>
      <c r="F1782" s="20">
        <v>2043</v>
      </c>
      <c r="G1782" s="20">
        <v>50</v>
      </c>
      <c r="H1782" s="11">
        <v>6827.8945510407902</v>
      </c>
      <c r="I1782" s="10">
        <v>4037882.4047033601</v>
      </c>
      <c r="J1782" s="34">
        <f t="shared" si="108"/>
        <v>1.6909592372198854E-3</v>
      </c>
      <c r="K1782" s="34">
        <f t="shared" si="109"/>
        <v>1.6895303711471632E-3</v>
      </c>
      <c r="L1782" s="34">
        <f t="shared" si="110"/>
        <v>0.98700924645502763</v>
      </c>
      <c r="M1782" s="34">
        <f t="shared" si="111"/>
        <v>0.9853416643565388</v>
      </c>
    </row>
    <row r="1783" spans="1:13" ht="27.6">
      <c r="A1783" t="s">
        <v>164</v>
      </c>
      <c r="B1783" t="s">
        <v>112</v>
      </c>
      <c r="C1783" s="14" t="s">
        <v>294</v>
      </c>
      <c r="D1783" t="s">
        <v>112</v>
      </c>
      <c r="E1783" t="s">
        <v>383</v>
      </c>
      <c r="F1783" s="20">
        <v>2043</v>
      </c>
      <c r="G1783" s="20">
        <v>51</v>
      </c>
      <c r="H1783" s="11">
        <v>7668.7918120369604</v>
      </c>
      <c r="I1783" s="10">
        <v>4009538.2200296</v>
      </c>
      <c r="J1783" s="34">
        <f t="shared" si="108"/>
        <v>1.9126371644813368E-3</v>
      </c>
      <c r="K1783" s="34">
        <f t="shared" si="109"/>
        <v>1.9108092395913046E-3</v>
      </c>
      <c r="L1783" s="34">
        <f t="shared" si="110"/>
        <v>0.9853416643565388</v>
      </c>
      <c r="M1783" s="34">
        <f t="shared" si="111"/>
        <v>0.98345886440013208</v>
      </c>
    </row>
    <row r="1784" spans="1:13" ht="27.6">
      <c r="A1784" t="s">
        <v>164</v>
      </c>
      <c r="B1784" t="s">
        <v>112</v>
      </c>
      <c r="C1784" s="14" t="s">
        <v>294</v>
      </c>
      <c r="D1784" t="s">
        <v>112</v>
      </c>
      <c r="E1784" t="s">
        <v>383</v>
      </c>
      <c r="F1784" s="20">
        <v>2043</v>
      </c>
      <c r="G1784" s="20">
        <v>52</v>
      </c>
      <c r="H1784" s="11">
        <v>8279.5066617950706</v>
      </c>
      <c r="I1784" s="10">
        <v>3974614.1937654102</v>
      </c>
      <c r="J1784" s="34">
        <f t="shared" si="108"/>
        <v>2.0830969392657845E-3</v>
      </c>
      <c r="K1784" s="34">
        <f t="shared" si="109"/>
        <v>2.0809287985803504E-3</v>
      </c>
      <c r="L1784" s="34">
        <f t="shared" si="110"/>
        <v>0.98345886440013208</v>
      </c>
      <c r="M1784" s="34">
        <f t="shared" si="111"/>
        <v>0.98141235652698267</v>
      </c>
    </row>
    <row r="1785" spans="1:13" ht="27.6">
      <c r="A1785" t="s">
        <v>164</v>
      </c>
      <c r="B1785" t="s">
        <v>112</v>
      </c>
      <c r="C1785" s="14" t="s">
        <v>294</v>
      </c>
      <c r="D1785" t="s">
        <v>112</v>
      </c>
      <c r="E1785" t="s">
        <v>383</v>
      </c>
      <c r="F1785" s="20">
        <v>2043</v>
      </c>
      <c r="G1785" s="20">
        <v>53</v>
      </c>
      <c r="H1785" s="11">
        <v>8937.9187766007199</v>
      </c>
      <c r="I1785" s="10">
        <v>3941916.1286989399</v>
      </c>
      <c r="J1785" s="34">
        <f t="shared" si="108"/>
        <v>2.2674046034436429E-3</v>
      </c>
      <c r="K1785" s="34">
        <f t="shared" si="109"/>
        <v>2.264835983359581E-3</v>
      </c>
      <c r="L1785" s="34">
        <f t="shared" si="110"/>
        <v>0.98141235652698267</v>
      </c>
      <c r="M1785" s="34">
        <f t="shared" si="111"/>
        <v>0.9791896185074066</v>
      </c>
    </row>
    <row r="1786" spans="1:13" ht="27.6">
      <c r="A1786" t="s">
        <v>164</v>
      </c>
      <c r="B1786" t="s">
        <v>112</v>
      </c>
      <c r="C1786" s="14" t="s">
        <v>294</v>
      </c>
      <c r="D1786" t="s">
        <v>112</v>
      </c>
      <c r="E1786" t="s">
        <v>383</v>
      </c>
      <c r="F1786" s="20">
        <v>2043</v>
      </c>
      <c r="G1786" s="20">
        <v>54</v>
      </c>
      <c r="H1786" s="11">
        <v>9777.0081811919899</v>
      </c>
      <c r="I1786" s="10">
        <v>3929671.2703557699</v>
      </c>
      <c r="J1786" s="34">
        <f t="shared" si="108"/>
        <v>2.48799645276864E-3</v>
      </c>
      <c r="K1786" s="34">
        <f t="shared" si="109"/>
        <v>2.4849039548338059E-3</v>
      </c>
      <c r="L1786" s="34">
        <f t="shared" si="110"/>
        <v>0.9791896185074066</v>
      </c>
      <c r="M1786" s="34">
        <f t="shared" si="111"/>
        <v>0.97675642635184534</v>
      </c>
    </row>
    <row r="1787" spans="1:13" ht="27.6">
      <c r="A1787" t="s">
        <v>164</v>
      </c>
      <c r="B1787" t="s">
        <v>112</v>
      </c>
      <c r="C1787" s="14" t="s">
        <v>294</v>
      </c>
      <c r="D1787" t="s">
        <v>112</v>
      </c>
      <c r="E1787" t="s">
        <v>383</v>
      </c>
      <c r="F1787" s="20">
        <v>2043</v>
      </c>
      <c r="G1787" s="20">
        <v>55</v>
      </c>
      <c r="H1787" s="11">
        <v>10652.0410651697</v>
      </c>
      <c r="I1787" s="10">
        <v>3871464.15920649</v>
      </c>
      <c r="J1787" s="34">
        <f t="shared" si="108"/>
        <v>2.7514244293954625E-3</v>
      </c>
      <c r="K1787" s="34">
        <f t="shared" si="109"/>
        <v>2.7476427303482209E-3</v>
      </c>
      <c r="L1787" s="34">
        <f t="shared" si="110"/>
        <v>0.97675642635184534</v>
      </c>
      <c r="M1787" s="34">
        <f t="shared" si="111"/>
        <v>0.97407264865765875</v>
      </c>
    </row>
    <row r="1788" spans="1:13" ht="27.6">
      <c r="A1788" t="s">
        <v>164</v>
      </c>
      <c r="B1788" t="s">
        <v>112</v>
      </c>
      <c r="C1788" s="14" t="s">
        <v>294</v>
      </c>
      <c r="D1788" t="s">
        <v>112</v>
      </c>
      <c r="E1788" t="s">
        <v>383</v>
      </c>
      <c r="F1788" s="20">
        <v>2043</v>
      </c>
      <c r="G1788" s="20">
        <v>56</v>
      </c>
      <c r="H1788" s="11">
        <v>11450.6898550607</v>
      </c>
      <c r="I1788" s="10">
        <v>3803835.5995107898</v>
      </c>
      <c r="J1788" s="34">
        <f t="shared" si="108"/>
        <v>3.0103009332299664E-3</v>
      </c>
      <c r="K1788" s="34">
        <f t="shared" si="109"/>
        <v>3.005774520469684E-3</v>
      </c>
      <c r="L1788" s="34">
        <f t="shared" si="110"/>
        <v>0.97407264865765875</v>
      </c>
      <c r="M1788" s="34">
        <f t="shared" si="111"/>
        <v>0.97114480590923713</v>
      </c>
    </row>
    <row r="1789" spans="1:13" ht="27.6">
      <c r="A1789" t="s">
        <v>164</v>
      </c>
      <c r="B1789" t="s">
        <v>112</v>
      </c>
      <c r="C1789" s="14" t="s">
        <v>294</v>
      </c>
      <c r="D1789" t="s">
        <v>112</v>
      </c>
      <c r="E1789" t="s">
        <v>383</v>
      </c>
      <c r="F1789" s="20">
        <v>2043</v>
      </c>
      <c r="G1789" s="20">
        <v>57</v>
      </c>
      <c r="H1789" s="11">
        <v>12633.3206358918</v>
      </c>
      <c r="I1789" s="10">
        <v>3792639.5643879501</v>
      </c>
      <c r="J1789" s="34">
        <f t="shared" si="108"/>
        <v>3.3310100845110346E-3</v>
      </c>
      <c r="K1789" s="34">
        <f t="shared" si="109"/>
        <v>3.3254684252347344E-3</v>
      </c>
      <c r="L1789" s="34">
        <f t="shared" si="110"/>
        <v>0.97114480590923713</v>
      </c>
      <c r="M1789" s="34">
        <f t="shared" si="111"/>
        <v>0.96791529452085523</v>
      </c>
    </row>
    <row r="1790" spans="1:13" ht="27.6">
      <c r="A1790" t="s">
        <v>164</v>
      </c>
      <c r="B1790" t="s">
        <v>112</v>
      </c>
      <c r="C1790" s="14" t="s">
        <v>294</v>
      </c>
      <c r="D1790" t="s">
        <v>112</v>
      </c>
      <c r="E1790" t="s">
        <v>383</v>
      </c>
      <c r="F1790" s="20">
        <v>2043</v>
      </c>
      <c r="G1790" s="20">
        <v>58</v>
      </c>
      <c r="H1790" s="11">
        <v>14103.636867097401</v>
      </c>
      <c r="I1790" s="10">
        <v>3832029.8485865602</v>
      </c>
      <c r="J1790" s="34">
        <f t="shared" si="108"/>
        <v>3.6804611196594702E-3</v>
      </c>
      <c r="K1790" s="34">
        <f t="shared" si="109"/>
        <v>3.6736965241210839E-3</v>
      </c>
      <c r="L1790" s="34">
        <f t="shared" si="110"/>
        <v>0.96791529452085523</v>
      </c>
      <c r="M1790" s="34">
        <f t="shared" si="111"/>
        <v>0.96435946746773038</v>
      </c>
    </row>
    <row r="1791" spans="1:13" ht="27.6">
      <c r="A1791" t="s">
        <v>164</v>
      </c>
      <c r="B1791" t="s">
        <v>112</v>
      </c>
      <c r="C1791" s="14" t="s">
        <v>294</v>
      </c>
      <c r="D1791" t="s">
        <v>112</v>
      </c>
      <c r="E1791" t="s">
        <v>383</v>
      </c>
      <c r="F1791" s="20">
        <v>2043</v>
      </c>
      <c r="G1791" s="20">
        <v>59</v>
      </c>
      <c r="H1791" s="11">
        <v>14906.245380833599</v>
      </c>
      <c r="I1791" s="10">
        <v>3829543.6007778002</v>
      </c>
      <c r="J1791" s="34">
        <f t="shared" si="108"/>
        <v>3.8924339124396085E-3</v>
      </c>
      <c r="K1791" s="34">
        <f t="shared" si="109"/>
        <v>3.8848682110723676E-3</v>
      </c>
      <c r="L1791" s="34">
        <f t="shared" si="110"/>
        <v>0.96435946746773038</v>
      </c>
      <c r="M1791" s="34">
        <f t="shared" si="111"/>
        <v>0.96061305802851826</v>
      </c>
    </row>
    <row r="1792" spans="1:13" ht="27.6">
      <c r="A1792" t="s">
        <v>164</v>
      </c>
      <c r="B1792" t="s">
        <v>112</v>
      </c>
      <c r="C1792" s="14" t="s">
        <v>294</v>
      </c>
      <c r="D1792" t="s">
        <v>112</v>
      </c>
      <c r="E1792" t="s">
        <v>383</v>
      </c>
      <c r="F1792" s="20">
        <v>2043</v>
      </c>
      <c r="G1792" s="20">
        <v>60</v>
      </c>
      <c r="H1792" s="11">
        <v>15649.914724918301</v>
      </c>
      <c r="I1792" s="10">
        <v>3772358.2389305099</v>
      </c>
      <c r="J1792" s="34">
        <f t="shared" si="108"/>
        <v>4.1485759659334901E-3</v>
      </c>
      <c r="K1792" s="34">
        <f t="shared" si="109"/>
        <v>4.1399825122998557E-3</v>
      </c>
      <c r="L1792" s="34">
        <f t="shared" si="110"/>
        <v>0.96061305802851826</v>
      </c>
      <c r="M1792" s="34">
        <f t="shared" si="111"/>
        <v>0.95663613676719328</v>
      </c>
    </row>
    <row r="1793" spans="1:13" ht="27.6">
      <c r="A1793" t="s">
        <v>164</v>
      </c>
      <c r="B1793" t="s">
        <v>112</v>
      </c>
      <c r="C1793" s="14" t="s">
        <v>294</v>
      </c>
      <c r="D1793" t="s">
        <v>112</v>
      </c>
      <c r="E1793" t="s">
        <v>383</v>
      </c>
      <c r="F1793" s="20">
        <v>2043</v>
      </c>
      <c r="G1793" s="20">
        <v>61</v>
      </c>
      <c r="H1793" s="11">
        <v>16378.022328597401</v>
      </c>
      <c r="I1793" s="10">
        <v>3691307.3782376298</v>
      </c>
      <c r="J1793" s="34">
        <f t="shared" si="108"/>
        <v>4.4369164229332994E-3</v>
      </c>
      <c r="K1793" s="34">
        <f t="shared" si="109"/>
        <v>4.4270878508186895E-3</v>
      </c>
      <c r="L1793" s="34">
        <f t="shared" si="110"/>
        <v>0.95663613676719328</v>
      </c>
      <c r="M1793" s="34">
        <f t="shared" si="111"/>
        <v>0.9524010245484571</v>
      </c>
    </row>
    <row r="1794" spans="1:13" ht="27.6">
      <c r="A1794" t="s">
        <v>164</v>
      </c>
      <c r="B1794" t="s">
        <v>112</v>
      </c>
      <c r="C1794" s="14" t="s">
        <v>294</v>
      </c>
      <c r="D1794" t="s">
        <v>112</v>
      </c>
      <c r="E1794" t="s">
        <v>383</v>
      </c>
      <c r="F1794" s="20">
        <v>2043</v>
      </c>
      <c r="G1794" s="20">
        <v>62</v>
      </c>
      <c r="H1794" s="11">
        <v>17264.010576503199</v>
      </c>
      <c r="I1794" s="10">
        <v>3603052.79037514</v>
      </c>
      <c r="J1794" s="34">
        <f t="shared" ref="J1794:J1857" si="112">IF(I1794&gt;0,H1794/I1794,0)</f>
        <v>4.7914953182536402E-3</v>
      </c>
      <c r="K1794" s="34">
        <f t="shared" ref="K1794:K1857" si="113">1-EXP(-J1794)</f>
        <v>4.780034416819734E-3</v>
      </c>
      <c r="L1794" s="34">
        <f t="shared" ref="L1794:L1857" si="114">IF(G1794=30,1,M1793)</f>
        <v>0.9524010245484571</v>
      </c>
      <c r="M1794" s="34">
        <f t="shared" ref="M1794:M1857" si="115">L1794*(1-K1794)</f>
        <v>0.9478485148725011</v>
      </c>
    </row>
    <row r="1795" spans="1:13" ht="27.6">
      <c r="A1795" t="s">
        <v>164</v>
      </c>
      <c r="B1795" t="s">
        <v>112</v>
      </c>
      <c r="C1795" s="14" t="s">
        <v>294</v>
      </c>
      <c r="D1795" t="s">
        <v>112</v>
      </c>
      <c r="E1795" t="s">
        <v>383</v>
      </c>
      <c r="F1795" s="20">
        <v>2043</v>
      </c>
      <c r="G1795" s="20">
        <v>63</v>
      </c>
      <c r="H1795" s="11">
        <v>18211.236526839501</v>
      </c>
      <c r="I1795" s="10">
        <v>3518161.0624148999</v>
      </c>
      <c r="J1795" s="34">
        <f t="shared" si="112"/>
        <v>5.1763509980805511E-3</v>
      </c>
      <c r="K1795" s="34">
        <f t="shared" si="113"/>
        <v>5.1629767797533033E-3</v>
      </c>
      <c r="L1795" s="34">
        <f t="shared" si="114"/>
        <v>0.9478485148725011</v>
      </c>
      <c r="M1795" s="34">
        <f t="shared" si="115"/>
        <v>0.94295479499949075</v>
      </c>
    </row>
    <row r="1796" spans="1:13" ht="27.6">
      <c r="A1796" t="s">
        <v>164</v>
      </c>
      <c r="B1796" t="s">
        <v>112</v>
      </c>
      <c r="C1796" s="14" t="s">
        <v>294</v>
      </c>
      <c r="D1796" t="s">
        <v>112</v>
      </c>
      <c r="E1796" t="s">
        <v>383</v>
      </c>
      <c r="F1796" s="20">
        <v>2043</v>
      </c>
      <c r="G1796" s="20">
        <v>64</v>
      </c>
      <c r="H1796" s="11">
        <v>19457.220590716701</v>
      </c>
      <c r="I1796" s="10">
        <v>3419229.72465199</v>
      </c>
      <c r="J1796" s="34">
        <f t="shared" si="112"/>
        <v>5.690527445533675E-3</v>
      </c>
      <c r="K1796" s="34">
        <f t="shared" si="113"/>
        <v>5.6743670624613829E-3</v>
      </c>
      <c r="L1796" s="34">
        <f t="shared" si="114"/>
        <v>0.94295479499949075</v>
      </c>
      <c r="M1796" s="34">
        <f t="shared" si="115"/>
        <v>0.93760412336935561</v>
      </c>
    </row>
    <row r="1797" spans="1:13" ht="27.6">
      <c r="A1797" t="s">
        <v>164</v>
      </c>
      <c r="B1797" t="s">
        <v>112</v>
      </c>
      <c r="C1797" s="14" t="s">
        <v>294</v>
      </c>
      <c r="D1797" t="s">
        <v>112</v>
      </c>
      <c r="E1797" t="s">
        <v>383</v>
      </c>
      <c r="F1797" s="20">
        <v>2043</v>
      </c>
      <c r="G1797" s="20">
        <v>65</v>
      </c>
      <c r="H1797" s="11">
        <v>20503.597714805899</v>
      </c>
      <c r="I1797" s="10">
        <v>3297293.6465585302</v>
      </c>
      <c r="J1797" s="34">
        <f t="shared" si="112"/>
        <v>6.2183111098418637E-3</v>
      </c>
      <c r="K1797" s="34">
        <f t="shared" si="113"/>
        <v>6.1990174254045183E-3</v>
      </c>
      <c r="L1797" s="34">
        <f t="shared" si="114"/>
        <v>0.93760412336935561</v>
      </c>
      <c r="M1797" s="34">
        <f t="shared" si="115"/>
        <v>0.9317918990704579</v>
      </c>
    </row>
    <row r="1798" spans="1:13" ht="27.6">
      <c r="A1798" t="s">
        <v>164</v>
      </c>
      <c r="B1798" t="s">
        <v>112</v>
      </c>
      <c r="C1798" s="14" t="s">
        <v>294</v>
      </c>
      <c r="D1798" t="s">
        <v>112</v>
      </c>
      <c r="E1798" t="s">
        <v>383</v>
      </c>
      <c r="F1798" s="20">
        <v>2043</v>
      </c>
      <c r="G1798" s="20">
        <v>66</v>
      </c>
      <c r="H1798" s="11">
        <v>20811.664145169001</v>
      </c>
      <c r="I1798" s="10">
        <v>3177942.0569984401</v>
      </c>
      <c r="J1798" s="34">
        <f t="shared" si="112"/>
        <v>6.5487865328877574E-3</v>
      </c>
      <c r="K1798" s="34">
        <f t="shared" si="113"/>
        <v>6.52738996302904E-3</v>
      </c>
      <c r="L1798" s="34">
        <f t="shared" si="114"/>
        <v>0.9317918990704579</v>
      </c>
      <c r="M1798" s="34">
        <f t="shared" si="115"/>
        <v>0.92570972998083367</v>
      </c>
    </row>
    <row r="1799" spans="1:13" ht="27.6">
      <c r="A1799" t="s">
        <v>164</v>
      </c>
      <c r="B1799" t="s">
        <v>112</v>
      </c>
      <c r="C1799" s="14" t="s">
        <v>294</v>
      </c>
      <c r="D1799" t="s">
        <v>112</v>
      </c>
      <c r="E1799" t="s">
        <v>383</v>
      </c>
      <c r="F1799" s="20">
        <v>2043</v>
      </c>
      <c r="G1799" s="20">
        <v>67</v>
      </c>
      <c r="H1799" s="11">
        <v>21918.888071584301</v>
      </c>
      <c r="I1799" s="10">
        <v>3069146.5763852899</v>
      </c>
      <c r="J1799" s="34">
        <f t="shared" si="112"/>
        <v>7.1416882596071493E-3</v>
      </c>
      <c r="K1799" s="34">
        <f t="shared" si="113"/>
        <v>7.1162470045398329E-3</v>
      </c>
      <c r="L1799" s="34">
        <f t="shared" si="114"/>
        <v>0.92570972998083367</v>
      </c>
      <c r="M1799" s="34">
        <f t="shared" si="115"/>
        <v>0.91912215088778415</v>
      </c>
    </row>
    <row r="1800" spans="1:13" ht="27.6">
      <c r="A1800" t="s">
        <v>164</v>
      </c>
      <c r="B1800" t="s">
        <v>112</v>
      </c>
      <c r="C1800" s="14" t="s">
        <v>294</v>
      </c>
      <c r="D1800" t="s">
        <v>112</v>
      </c>
      <c r="E1800" t="s">
        <v>383</v>
      </c>
      <c r="F1800" s="20">
        <v>2043</v>
      </c>
      <c r="G1800" s="20">
        <v>68</v>
      </c>
      <c r="H1800" s="11">
        <v>22831.644744657398</v>
      </c>
      <c r="I1800" s="10">
        <v>2948255.7141934498</v>
      </c>
      <c r="J1800" s="34">
        <f t="shared" si="112"/>
        <v>7.7441195601662457E-3</v>
      </c>
      <c r="K1800" s="34">
        <f t="shared" si="113"/>
        <v>7.7142111209261843E-3</v>
      </c>
      <c r="L1800" s="34">
        <f t="shared" si="114"/>
        <v>0.91912215088778415</v>
      </c>
      <c r="M1800" s="34">
        <f t="shared" si="115"/>
        <v>0.91203184856991604</v>
      </c>
    </row>
    <row r="1801" spans="1:13" ht="27.6">
      <c r="A1801" t="s">
        <v>164</v>
      </c>
      <c r="B1801" t="s">
        <v>112</v>
      </c>
      <c r="C1801" s="14" t="s">
        <v>294</v>
      </c>
      <c r="D1801" t="s">
        <v>112</v>
      </c>
      <c r="E1801" t="s">
        <v>383</v>
      </c>
      <c r="F1801" s="20">
        <v>2043</v>
      </c>
      <c r="G1801" s="20">
        <v>69</v>
      </c>
      <c r="H1801" s="11">
        <v>23216.750554355702</v>
      </c>
      <c r="I1801" s="10">
        <v>2838159.6061969702</v>
      </c>
      <c r="J1801" s="34">
        <f t="shared" si="112"/>
        <v>8.18021315773192E-3</v>
      </c>
      <c r="K1801" s="34">
        <f t="shared" si="113"/>
        <v>8.1468462588484281E-3</v>
      </c>
      <c r="L1801" s="34">
        <f t="shared" si="114"/>
        <v>0.91203184856991604</v>
      </c>
      <c r="M1801" s="34">
        <f t="shared" si="115"/>
        <v>0.90460166531644359</v>
      </c>
    </row>
    <row r="1802" spans="1:13" ht="27.6">
      <c r="A1802" t="s">
        <v>164</v>
      </c>
      <c r="B1802" t="s">
        <v>112</v>
      </c>
      <c r="C1802" s="14" t="s">
        <v>294</v>
      </c>
      <c r="D1802" t="s">
        <v>112</v>
      </c>
      <c r="E1802" t="s">
        <v>383</v>
      </c>
      <c r="F1802" s="20">
        <v>2044</v>
      </c>
      <c r="G1802" s="20">
        <v>30</v>
      </c>
      <c r="H1802" s="11">
        <v>736.753940987173</v>
      </c>
      <c r="I1802" s="10">
        <v>4734779.2019512895</v>
      </c>
      <c r="J1802" s="34">
        <f t="shared" si="112"/>
        <v>1.5560470922985027E-4</v>
      </c>
      <c r="K1802" s="34">
        <f t="shared" si="113"/>
        <v>1.5559260344499837E-4</v>
      </c>
      <c r="L1802" s="34">
        <f t="shared" si="114"/>
        <v>1</v>
      </c>
      <c r="M1802" s="34">
        <f t="shared" si="115"/>
        <v>0.999844407396555</v>
      </c>
    </row>
    <row r="1803" spans="1:13" ht="27.6">
      <c r="A1803" t="s">
        <v>164</v>
      </c>
      <c r="B1803" t="s">
        <v>112</v>
      </c>
      <c r="C1803" s="14" t="s">
        <v>294</v>
      </c>
      <c r="D1803" t="s">
        <v>112</v>
      </c>
      <c r="E1803" t="s">
        <v>383</v>
      </c>
      <c r="F1803" s="20">
        <v>2044</v>
      </c>
      <c r="G1803" s="20">
        <v>31</v>
      </c>
      <c r="H1803" s="11">
        <v>1070.76173745861</v>
      </c>
      <c r="I1803" s="10">
        <v>4826247.5102797002</v>
      </c>
      <c r="J1803" s="34">
        <f t="shared" si="112"/>
        <v>2.2186216831563931E-4</v>
      </c>
      <c r="K1803" s="34">
        <f t="shared" si="113"/>
        <v>2.2183755872473565E-4</v>
      </c>
      <c r="L1803" s="34">
        <f t="shared" si="114"/>
        <v>0.999844407396555</v>
      </c>
      <c r="M1803" s="34">
        <f t="shared" si="115"/>
        <v>0.99962260435411354</v>
      </c>
    </row>
    <row r="1804" spans="1:13" ht="27.6">
      <c r="A1804" t="s">
        <v>164</v>
      </c>
      <c r="B1804" t="s">
        <v>112</v>
      </c>
      <c r="C1804" s="14" t="s">
        <v>294</v>
      </c>
      <c r="D1804" t="s">
        <v>112</v>
      </c>
      <c r="E1804" t="s">
        <v>383</v>
      </c>
      <c r="F1804" s="20">
        <v>2044</v>
      </c>
      <c r="G1804" s="20">
        <v>32</v>
      </c>
      <c r="H1804" s="11">
        <v>1126.6542893657399</v>
      </c>
      <c r="I1804" s="10">
        <v>4869886.8092532903</v>
      </c>
      <c r="J1804" s="34">
        <f t="shared" si="112"/>
        <v>2.3135122714248305E-4</v>
      </c>
      <c r="K1804" s="34">
        <f t="shared" si="113"/>
        <v>2.3132446751095159E-4</v>
      </c>
      <c r="L1804" s="34">
        <f t="shared" si="114"/>
        <v>0.99962260435411354</v>
      </c>
      <c r="M1804" s="34">
        <f t="shared" si="115"/>
        <v>0.99939136718744936</v>
      </c>
    </row>
    <row r="1805" spans="1:13" ht="27.6">
      <c r="A1805" t="s">
        <v>164</v>
      </c>
      <c r="B1805" t="s">
        <v>112</v>
      </c>
      <c r="C1805" s="14" t="s">
        <v>294</v>
      </c>
      <c r="D1805" t="s">
        <v>112</v>
      </c>
      <c r="E1805" t="s">
        <v>383</v>
      </c>
      <c r="F1805" s="20">
        <v>2044</v>
      </c>
      <c r="G1805" s="20">
        <v>33</v>
      </c>
      <c r="H1805" s="11">
        <v>1170.5219531575401</v>
      </c>
      <c r="I1805" s="10">
        <v>4790274.5936901905</v>
      </c>
      <c r="J1805" s="34">
        <f t="shared" si="112"/>
        <v>2.4435383197016854E-4</v>
      </c>
      <c r="K1805" s="34">
        <f t="shared" si="113"/>
        <v>2.4432398000406863E-4</v>
      </c>
      <c r="L1805" s="34">
        <f t="shared" si="114"/>
        <v>0.99939136718744936</v>
      </c>
      <c r="M1805" s="34">
        <f t="shared" si="115"/>
        <v>0.9991471919110364</v>
      </c>
    </row>
    <row r="1806" spans="1:13" ht="27.6">
      <c r="A1806" t="s">
        <v>164</v>
      </c>
      <c r="B1806" t="s">
        <v>112</v>
      </c>
      <c r="C1806" s="14" t="s">
        <v>294</v>
      </c>
      <c r="D1806" t="s">
        <v>112</v>
      </c>
      <c r="E1806" t="s">
        <v>383</v>
      </c>
      <c r="F1806" s="20">
        <v>2044</v>
      </c>
      <c r="G1806" s="20">
        <v>34</v>
      </c>
      <c r="H1806" s="11">
        <v>1213.25989124445</v>
      </c>
      <c r="I1806" s="10">
        <v>4689131.6712974198</v>
      </c>
      <c r="J1806" s="34">
        <f t="shared" si="112"/>
        <v>2.5873871247227259E-4</v>
      </c>
      <c r="K1806" s="34">
        <f t="shared" si="113"/>
        <v>2.5870524249838045E-4</v>
      </c>
      <c r="L1806" s="34">
        <f t="shared" si="114"/>
        <v>0.9991471919110364</v>
      </c>
      <c r="M1806" s="34">
        <f t="shared" si="115"/>
        <v>0.99888870729446144</v>
      </c>
    </row>
    <row r="1807" spans="1:13" ht="27.6">
      <c r="A1807" t="s">
        <v>164</v>
      </c>
      <c r="B1807" t="s">
        <v>112</v>
      </c>
      <c r="C1807" s="14" t="s">
        <v>294</v>
      </c>
      <c r="D1807" t="s">
        <v>112</v>
      </c>
      <c r="E1807" t="s">
        <v>383</v>
      </c>
      <c r="F1807" s="20">
        <v>2044</v>
      </c>
      <c r="G1807" s="20">
        <v>35</v>
      </c>
      <c r="H1807" s="11">
        <v>1288.5247985846499</v>
      </c>
      <c r="I1807" s="10">
        <v>4632208.1138474001</v>
      </c>
      <c r="J1807" s="34">
        <f t="shared" si="112"/>
        <v>2.7816643097981026E-4</v>
      </c>
      <c r="K1807" s="34">
        <f t="shared" si="113"/>
        <v>2.7812774628510617E-4</v>
      </c>
      <c r="L1807" s="34">
        <f t="shared" si="114"/>
        <v>0.99888870729446144</v>
      </c>
      <c r="M1807" s="34">
        <f t="shared" si="115"/>
        <v>0.99861088862951197</v>
      </c>
    </row>
    <row r="1808" spans="1:13" ht="27.6">
      <c r="A1808" t="s">
        <v>164</v>
      </c>
      <c r="B1808" t="s">
        <v>112</v>
      </c>
      <c r="C1808" s="14" t="s">
        <v>294</v>
      </c>
      <c r="D1808" t="s">
        <v>112</v>
      </c>
      <c r="E1808" t="s">
        <v>383</v>
      </c>
      <c r="F1808" s="20">
        <v>2044</v>
      </c>
      <c r="G1808" s="20">
        <v>36</v>
      </c>
      <c r="H1808" s="11">
        <v>1638.35701736896</v>
      </c>
      <c r="I1808" s="10">
        <v>4623718.3329942897</v>
      </c>
      <c r="J1808" s="34">
        <f t="shared" si="112"/>
        <v>3.5433754813260233E-4</v>
      </c>
      <c r="K1808" s="34">
        <f t="shared" si="113"/>
        <v>3.5427477799776508E-4</v>
      </c>
      <c r="L1808" s="34">
        <f t="shared" si="114"/>
        <v>0.99861088862951197</v>
      </c>
      <c r="M1808" s="34">
        <f t="shared" si="115"/>
        <v>0.99825710597863659</v>
      </c>
    </row>
    <row r="1809" spans="1:13" ht="27.6">
      <c r="A1809" t="s">
        <v>164</v>
      </c>
      <c r="B1809" t="s">
        <v>112</v>
      </c>
      <c r="C1809" s="14" t="s">
        <v>294</v>
      </c>
      <c r="D1809" t="s">
        <v>112</v>
      </c>
      <c r="E1809" t="s">
        <v>383</v>
      </c>
      <c r="F1809" s="20">
        <v>2044</v>
      </c>
      <c r="G1809" s="20">
        <v>37</v>
      </c>
      <c r="H1809" s="11">
        <v>1771.17459231012</v>
      </c>
      <c r="I1809" s="10">
        <v>4595250.8939965898</v>
      </c>
      <c r="J1809" s="34">
        <f t="shared" si="112"/>
        <v>3.8543588438752057E-4</v>
      </c>
      <c r="K1809" s="34">
        <f t="shared" si="113"/>
        <v>3.8536161351954146E-4</v>
      </c>
      <c r="L1809" s="34">
        <f t="shared" si="114"/>
        <v>0.99825710597863659</v>
      </c>
      <c r="M1809" s="34">
        <f t="shared" si="115"/>
        <v>0.99787241600956933</v>
      </c>
    </row>
    <row r="1810" spans="1:13" ht="27.6">
      <c r="A1810" t="s">
        <v>164</v>
      </c>
      <c r="B1810" t="s">
        <v>112</v>
      </c>
      <c r="C1810" s="14" t="s">
        <v>294</v>
      </c>
      <c r="D1810" t="s">
        <v>112</v>
      </c>
      <c r="E1810" t="s">
        <v>383</v>
      </c>
      <c r="F1810" s="20">
        <v>2044</v>
      </c>
      <c r="G1810" s="20">
        <v>38</v>
      </c>
      <c r="H1810" s="11">
        <v>1910.5071071401901</v>
      </c>
      <c r="I1810" s="10">
        <v>4523127.1101062698</v>
      </c>
      <c r="J1810" s="34">
        <f t="shared" si="112"/>
        <v>4.2238634038637557E-4</v>
      </c>
      <c r="K1810" s="34">
        <f t="shared" si="113"/>
        <v>4.222971478344828E-4</v>
      </c>
      <c r="L1810" s="34">
        <f t="shared" si="114"/>
        <v>0.99787241600956933</v>
      </c>
      <c r="M1810" s="34">
        <f t="shared" si="115"/>
        <v>0.99745101733438579</v>
      </c>
    </row>
    <row r="1811" spans="1:13" ht="27.6">
      <c r="A1811" t="s">
        <v>164</v>
      </c>
      <c r="B1811" t="s">
        <v>112</v>
      </c>
      <c r="C1811" s="14" t="s">
        <v>294</v>
      </c>
      <c r="D1811" t="s">
        <v>112</v>
      </c>
      <c r="E1811" t="s">
        <v>383</v>
      </c>
      <c r="F1811" s="20">
        <v>2044</v>
      </c>
      <c r="G1811" s="20">
        <v>39</v>
      </c>
      <c r="H1811" s="11">
        <v>1987.33044254125</v>
      </c>
      <c r="I1811" s="10">
        <v>4428166.8507350897</v>
      </c>
      <c r="J1811" s="34">
        <f t="shared" si="112"/>
        <v>4.4879303547727586E-4</v>
      </c>
      <c r="K1811" s="34">
        <f t="shared" si="113"/>
        <v>4.4869234294686589E-4</v>
      </c>
      <c r="L1811" s="34">
        <f t="shared" si="114"/>
        <v>0.99745101733438579</v>
      </c>
      <c r="M1811" s="34">
        <f t="shared" si="115"/>
        <v>0.99700346870044332</v>
      </c>
    </row>
    <row r="1812" spans="1:13" ht="27.6">
      <c r="A1812" t="s">
        <v>164</v>
      </c>
      <c r="B1812" t="s">
        <v>112</v>
      </c>
      <c r="C1812" s="14" t="s">
        <v>294</v>
      </c>
      <c r="D1812" t="s">
        <v>112</v>
      </c>
      <c r="E1812" t="s">
        <v>383</v>
      </c>
      <c r="F1812" s="20">
        <v>2044</v>
      </c>
      <c r="G1812" s="20">
        <v>40</v>
      </c>
      <c r="H1812" s="11">
        <v>2129.6098794740001</v>
      </c>
      <c r="I1812" s="10">
        <v>4329469.5042187897</v>
      </c>
      <c r="J1812" s="34">
        <f t="shared" si="112"/>
        <v>4.9188702620467286E-4</v>
      </c>
      <c r="K1812" s="34">
        <f t="shared" si="113"/>
        <v>4.9176606961454095E-4</v>
      </c>
      <c r="L1812" s="34">
        <f t="shared" si="114"/>
        <v>0.99700346870044332</v>
      </c>
      <c r="M1812" s="34">
        <f t="shared" si="115"/>
        <v>0.99651317622324842</v>
      </c>
    </row>
    <row r="1813" spans="1:13" ht="27.6">
      <c r="A1813" t="s">
        <v>164</v>
      </c>
      <c r="B1813" t="s">
        <v>112</v>
      </c>
      <c r="C1813" s="14" t="s">
        <v>294</v>
      </c>
      <c r="D1813" t="s">
        <v>112</v>
      </c>
      <c r="E1813" t="s">
        <v>383</v>
      </c>
      <c r="F1813" s="20">
        <v>2044</v>
      </c>
      <c r="G1813" s="20">
        <v>41</v>
      </c>
      <c r="H1813" s="11">
        <v>2781.41329030628</v>
      </c>
      <c r="I1813" s="10">
        <v>4284045.34298582</v>
      </c>
      <c r="J1813" s="34">
        <f t="shared" si="112"/>
        <v>6.4924926503409479E-4</v>
      </c>
      <c r="K1813" s="34">
        <f t="shared" si="113"/>
        <v>6.4903854833509023E-4</v>
      </c>
      <c r="L1813" s="34">
        <f t="shared" si="114"/>
        <v>0.99651317622324842</v>
      </c>
      <c r="M1813" s="34">
        <f t="shared" si="115"/>
        <v>0.99586640075795574</v>
      </c>
    </row>
    <row r="1814" spans="1:13" ht="27.6">
      <c r="A1814" t="s">
        <v>164</v>
      </c>
      <c r="B1814" t="s">
        <v>112</v>
      </c>
      <c r="C1814" s="14" t="s">
        <v>294</v>
      </c>
      <c r="D1814" t="s">
        <v>112</v>
      </c>
      <c r="E1814" t="s">
        <v>383</v>
      </c>
      <c r="F1814" s="20">
        <v>2044</v>
      </c>
      <c r="G1814" s="20">
        <v>42</v>
      </c>
      <c r="H1814" s="11">
        <v>3098.9445273567899</v>
      </c>
      <c r="I1814" s="10">
        <v>4260981.8065044498</v>
      </c>
      <c r="J1814" s="34">
        <f t="shared" si="112"/>
        <v>7.2728414907245243E-4</v>
      </c>
      <c r="K1814" s="34">
        <f t="shared" si="113"/>
        <v>7.270197420592428E-4</v>
      </c>
      <c r="L1814" s="34">
        <f t="shared" si="114"/>
        <v>0.99586640075795574</v>
      </c>
      <c r="M1814" s="34">
        <f t="shared" si="115"/>
        <v>0.99514238622415119</v>
      </c>
    </row>
    <row r="1815" spans="1:13" ht="27.6">
      <c r="A1815" t="s">
        <v>164</v>
      </c>
      <c r="B1815" t="s">
        <v>112</v>
      </c>
      <c r="C1815" s="14" t="s">
        <v>294</v>
      </c>
      <c r="D1815" t="s">
        <v>112</v>
      </c>
      <c r="E1815" t="s">
        <v>383</v>
      </c>
      <c r="F1815" s="20">
        <v>2044</v>
      </c>
      <c r="G1815" s="20">
        <v>43</v>
      </c>
      <c r="H1815" s="11">
        <v>3469.1889294513198</v>
      </c>
      <c r="I1815" s="10">
        <v>4237481.7919697296</v>
      </c>
      <c r="J1815" s="34">
        <f t="shared" si="112"/>
        <v>8.1869117078582642E-4</v>
      </c>
      <c r="K1815" s="34">
        <f t="shared" si="113"/>
        <v>8.1835613460590206E-4</v>
      </c>
      <c r="L1815" s="34">
        <f t="shared" si="114"/>
        <v>0.99514238622415119</v>
      </c>
      <c r="M1815" s="34">
        <f t="shared" si="115"/>
        <v>0.99432800534757826</v>
      </c>
    </row>
    <row r="1816" spans="1:13" ht="27.6">
      <c r="A1816" t="s">
        <v>164</v>
      </c>
      <c r="B1816" t="s">
        <v>112</v>
      </c>
      <c r="C1816" s="14" t="s">
        <v>294</v>
      </c>
      <c r="D1816" t="s">
        <v>112</v>
      </c>
      <c r="E1816" t="s">
        <v>383</v>
      </c>
      <c r="F1816" s="20">
        <v>2044</v>
      </c>
      <c r="G1816" s="20">
        <v>44</v>
      </c>
      <c r="H1816" s="11">
        <v>3671.1551695397902</v>
      </c>
      <c r="I1816" s="10">
        <v>4232717.23698257</v>
      </c>
      <c r="J1816" s="34">
        <f t="shared" si="112"/>
        <v>8.6732823479531373E-4</v>
      </c>
      <c r="K1816" s="34">
        <f t="shared" si="113"/>
        <v>8.6695221438082282E-4</v>
      </c>
      <c r="L1816" s="34">
        <f t="shared" si="114"/>
        <v>0.99432800534757826</v>
      </c>
      <c r="M1816" s="34">
        <f t="shared" si="115"/>
        <v>0.9934659704815213</v>
      </c>
    </row>
    <row r="1817" spans="1:13" ht="27.6">
      <c r="A1817" t="s">
        <v>164</v>
      </c>
      <c r="B1817" t="s">
        <v>112</v>
      </c>
      <c r="C1817" s="14" t="s">
        <v>294</v>
      </c>
      <c r="D1817" t="s">
        <v>112</v>
      </c>
      <c r="E1817" t="s">
        <v>383</v>
      </c>
      <c r="F1817" s="20">
        <v>2044</v>
      </c>
      <c r="G1817" s="20">
        <v>45</v>
      </c>
      <c r="H1817" s="11">
        <v>4030.6248308137601</v>
      </c>
      <c r="I1817" s="10">
        <v>4265323.4071780397</v>
      </c>
      <c r="J1817" s="34">
        <f t="shared" si="112"/>
        <v>9.4497519790192014E-4</v>
      </c>
      <c r="K1817" s="34">
        <f t="shared" si="113"/>
        <v>9.4452884944673521E-4</v>
      </c>
      <c r="L1817" s="34">
        <f t="shared" si="114"/>
        <v>0.9934659704815213</v>
      </c>
      <c r="M1817" s="34">
        <f t="shared" si="115"/>
        <v>0.99252761321145788</v>
      </c>
    </row>
    <row r="1818" spans="1:13" ht="27.6">
      <c r="A1818" t="s">
        <v>164</v>
      </c>
      <c r="B1818" t="s">
        <v>112</v>
      </c>
      <c r="C1818" s="14" t="s">
        <v>294</v>
      </c>
      <c r="D1818" t="s">
        <v>112</v>
      </c>
      <c r="E1818" t="s">
        <v>383</v>
      </c>
      <c r="F1818" s="20">
        <v>2044</v>
      </c>
      <c r="G1818" s="20">
        <v>46</v>
      </c>
      <c r="H1818" s="11">
        <v>5062.6167372533801</v>
      </c>
      <c r="I1818" s="10">
        <v>4299773.2341914596</v>
      </c>
      <c r="J1818" s="34">
        <f t="shared" si="112"/>
        <v>1.1774148220180191E-3</v>
      </c>
      <c r="K1818" s="34">
        <f t="shared" si="113"/>
        <v>1.1767219411492613E-3</v>
      </c>
      <c r="L1818" s="34">
        <f t="shared" si="114"/>
        <v>0.99252761321145788</v>
      </c>
      <c r="M1818" s="34">
        <f t="shared" si="115"/>
        <v>0.99135968419179543</v>
      </c>
    </row>
    <row r="1819" spans="1:13" ht="27.6">
      <c r="A1819" t="s">
        <v>164</v>
      </c>
      <c r="B1819" t="s">
        <v>112</v>
      </c>
      <c r="C1819" s="14" t="s">
        <v>294</v>
      </c>
      <c r="D1819" t="s">
        <v>112</v>
      </c>
      <c r="E1819" t="s">
        <v>383</v>
      </c>
      <c r="F1819" s="20">
        <v>2044</v>
      </c>
      <c r="G1819" s="20">
        <v>47</v>
      </c>
      <c r="H1819" s="11">
        <v>5554.5678982018298</v>
      </c>
      <c r="I1819" s="10">
        <v>4288451.0048509696</v>
      </c>
      <c r="J1819" s="34">
        <f t="shared" si="112"/>
        <v>1.2952387451596547E-3</v>
      </c>
      <c r="K1819" s="34">
        <f t="shared" si="113"/>
        <v>1.2944002854970993E-3</v>
      </c>
      <c r="L1819" s="34">
        <f t="shared" si="114"/>
        <v>0.99135968419179543</v>
      </c>
      <c r="M1819" s="34">
        <f t="shared" si="115"/>
        <v>0.99007646793354731</v>
      </c>
    </row>
    <row r="1820" spans="1:13" ht="27.6">
      <c r="A1820" t="s">
        <v>164</v>
      </c>
      <c r="B1820" t="s">
        <v>112</v>
      </c>
      <c r="C1820" s="14" t="s">
        <v>294</v>
      </c>
      <c r="D1820" t="s">
        <v>112</v>
      </c>
      <c r="E1820" t="s">
        <v>383</v>
      </c>
      <c r="F1820" s="20">
        <v>2044</v>
      </c>
      <c r="G1820" s="20">
        <v>48</v>
      </c>
      <c r="H1820" s="11">
        <v>6042.4047079238499</v>
      </c>
      <c r="I1820" s="10">
        <v>4218908.5692444099</v>
      </c>
      <c r="J1820" s="34">
        <f t="shared" si="112"/>
        <v>1.432219876005993E-3</v>
      </c>
      <c r="K1820" s="34">
        <f t="shared" si="113"/>
        <v>1.4311947385852175E-3</v>
      </c>
      <c r="L1820" s="34">
        <f t="shared" si="114"/>
        <v>0.99007646793354731</v>
      </c>
      <c r="M1820" s="34">
        <f t="shared" si="115"/>
        <v>0.98865947570184376</v>
      </c>
    </row>
    <row r="1821" spans="1:13" ht="27.6">
      <c r="A1821" t="s">
        <v>164</v>
      </c>
      <c r="B1821" t="s">
        <v>112</v>
      </c>
      <c r="C1821" s="14" t="s">
        <v>294</v>
      </c>
      <c r="D1821" t="s">
        <v>112</v>
      </c>
      <c r="E1821" t="s">
        <v>383</v>
      </c>
      <c r="F1821" s="20">
        <v>2044</v>
      </c>
      <c r="G1821" s="20">
        <v>49</v>
      </c>
      <c r="H1821" s="11">
        <v>6401.8864373843999</v>
      </c>
      <c r="I1821" s="10">
        <v>4146599.8434881</v>
      </c>
      <c r="J1821" s="34">
        <f t="shared" si="112"/>
        <v>1.5438881683840424E-3</v>
      </c>
      <c r="K1821" s="34">
        <f t="shared" si="113"/>
        <v>1.542696986142067E-3</v>
      </c>
      <c r="L1821" s="34">
        <f t="shared" si="114"/>
        <v>0.98865947570184376</v>
      </c>
      <c r="M1821" s="34">
        <f t="shared" si="115"/>
        <v>0.98713427370835771</v>
      </c>
    </row>
    <row r="1822" spans="1:13" ht="27.6">
      <c r="A1822" t="s">
        <v>164</v>
      </c>
      <c r="B1822" t="s">
        <v>112</v>
      </c>
      <c r="C1822" s="14" t="s">
        <v>294</v>
      </c>
      <c r="D1822" t="s">
        <v>112</v>
      </c>
      <c r="E1822" t="s">
        <v>383</v>
      </c>
      <c r="F1822" s="20">
        <v>2044</v>
      </c>
      <c r="G1822" s="20">
        <v>50</v>
      </c>
      <c r="H1822" s="11">
        <v>6851.45124207957</v>
      </c>
      <c r="I1822" s="10">
        <v>4082624.7149613998</v>
      </c>
      <c r="J1822" s="34">
        <f t="shared" si="112"/>
        <v>1.6781976596995027E-3</v>
      </c>
      <c r="K1822" s="34">
        <f t="shared" si="113"/>
        <v>1.6767902734078355E-3</v>
      </c>
      <c r="L1822" s="34">
        <f t="shared" si="114"/>
        <v>0.98713427370835771</v>
      </c>
      <c r="M1822" s="34">
        <f t="shared" si="115"/>
        <v>0.98547905655965606</v>
      </c>
    </row>
    <row r="1823" spans="1:13" ht="27.6">
      <c r="A1823" t="s">
        <v>164</v>
      </c>
      <c r="B1823" t="s">
        <v>112</v>
      </c>
      <c r="C1823" s="14" t="s">
        <v>294</v>
      </c>
      <c r="D1823" t="s">
        <v>112</v>
      </c>
      <c r="E1823" t="s">
        <v>383</v>
      </c>
      <c r="F1823" s="20">
        <v>2044</v>
      </c>
      <c r="G1823" s="20">
        <v>51</v>
      </c>
      <c r="H1823" s="11">
        <v>7631.5087607265896</v>
      </c>
      <c r="I1823" s="10">
        <v>4020148.2630747198</v>
      </c>
      <c r="J1823" s="34">
        <f t="shared" si="112"/>
        <v>1.898315251410604E-3</v>
      </c>
      <c r="K1823" s="34">
        <f t="shared" si="113"/>
        <v>1.8965145906012504E-3</v>
      </c>
      <c r="L1823" s="34">
        <f t="shared" si="114"/>
        <v>0.98547905655965606</v>
      </c>
      <c r="M1823" s="34">
        <f t="shared" si="115"/>
        <v>0.98361008115015869</v>
      </c>
    </row>
    <row r="1824" spans="1:13" ht="27.6">
      <c r="A1824" t="s">
        <v>164</v>
      </c>
      <c r="B1824" t="s">
        <v>112</v>
      </c>
      <c r="C1824" s="14" t="s">
        <v>294</v>
      </c>
      <c r="D1824" t="s">
        <v>112</v>
      </c>
      <c r="E1824" t="s">
        <v>383</v>
      </c>
      <c r="F1824" s="20">
        <v>2044</v>
      </c>
      <c r="G1824" s="20">
        <v>52</v>
      </c>
      <c r="H1824" s="11">
        <v>8241.8557638384791</v>
      </c>
      <c r="I1824" s="10">
        <v>3990460.1066853302</v>
      </c>
      <c r="J1824" s="34">
        <f t="shared" si="112"/>
        <v>2.0653898406428539E-3</v>
      </c>
      <c r="K1824" s="34">
        <f t="shared" si="113"/>
        <v>2.0632583907235214E-3</v>
      </c>
      <c r="L1824" s="34">
        <f t="shared" si="114"/>
        <v>0.98361008115015869</v>
      </c>
      <c r="M1824" s="34">
        <f t="shared" si="115"/>
        <v>0.98158063939702533</v>
      </c>
    </row>
    <row r="1825" spans="1:13" ht="27.6">
      <c r="A1825" t="s">
        <v>164</v>
      </c>
      <c r="B1825" t="s">
        <v>112</v>
      </c>
      <c r="C1825" s="14" t="s">
        <v>294</v>
      </c>
      <c r="D1825" t="s">
        <v>112</v>
      </c>
      <c r="E1825" t="s">
        <v>383</v>
      </c>
      <c r="F1825" s="20">
        <v>2044</v>
      </c>
      <c r="G1825" s="20">
        <v>53</v>
      </c>
      <c r="H1825" s="11">
        <v>8895.3553421427696</v>
      </c>
      <c r="I1825" s="10">
        <v>3953958.2429913199</v>
      </c>
      <c r="J1825" s="34">
        <f t="shared" si="112"/>
        <v>2.2497342651279732E-3</v>
      </c>
      <c r="K1825" s="34">
        <f t="shared" si="113"/>
        <v>2.2472055096941501E-3</v>
      </c>
      <c r="L1825" s="34">
        <f t="shared" si="114"/>
        <v>0.98158063939702533</v>
      </c>
      <c r="M1825" s="34">
        <f t="shared" si="115"/>
        <v>0.97937482597596326</v>
      </c>
    </row>
    <row r="1826" spans="1:13" ht="27.6">
      <c r="A1826" t="s">
        <v>164</v>
      </c>
      <c r="B1826" t="s">
        <v>112</v>
      </c>
      <c r="C1826" s="14" t="s">
        <v>294</v>
      </c>
      <c r="D1826" t="s">
        <v>112</v>
      </c>
      <c r="E1826" t="s">
        <v>383</v>
      </c>
      <c r="F1826" s="20">
        <v>2044</v>
      </c>
      <c r="G1826" s="20">
        <v>54</v>
      </c>
      <c r="H1826" s="11">
        <v>9667.3527682324402</v>
      </c>
      <c r="I1826" s="10">
        <v>3919561.5521448301</v>
      </c>
      <c r="J1826" s="34">
        <f t="shared" si="112"/>
        <v>2.4664372888703206E-3</v>
      </c>
      <c r="K1826" s="34">
        <f t="shared" si="113"/>
        <v>2.463398131564154E-3</v>
      </c>
      <c r="L1826" s="34">
        <f t="shared" si="114"/>
        <v>0.97937482597596326</v>
      </c>
      <c r="M1826" s="34">
        <f t="shared" si="115"/>
        <v>0.97696223585955311</v>
      </c>
    </row>
    <row r="1827" spans="1:13" ht="27.6">
      <c r="A1827" t="s">
        <v>164</v>
      </c>
      <c r="B1827" t="s">
        <v>112</v>
      </c>
      <c r="C1827" s="14" t="s">
        <v>294</v>
      </c>
      <c r="D1827" t="s">
        <v>112</v>
      </c>
      <c r="E1827" t="s">
        <v>383</v>
      </c>
      <c r="F1827" s="20">
        <v>2044</v>
      </c>
      <c r="G1827" s="20">
        <v>55</v>
      </c>
      <c r="H1827" s="11">
        <v>10586.103029268501</v>
      </c>
      <c r="I1827" s="10">
        <v>3905299.29464796</v>
      </c>
      <c r="J1827" s="34">
        <f t="shared" si="112"/>
        <v>2.710702107717144E-3</v>
      </c>
      <c r="K1827" s="34">
        <f t="shared" si="113"/>
        <v>2.707031472174326E-3</v>
      </c>
      <c r="L1827" s="34">
        <f t="shared" si="114"/>
        <v>0.97696223585955311</v>
      </c>
      <c r="M1827" s="34">
        <f t="shared" si="115"/>
        <v>0.97431756833995553</v>
      </c>
    </row>
    <row r="1828" spans="1:13" ht="27.6">
      <c r="A1828" t="s">
        <v>164</v>
      </c>
      <c r="B1828" t="s">
        <v>112</v>
      </c>
      <c r="C1828" s="14" t="s">
        <v>294</v>
      </c>
      <c r="D1828" t="s">
        <v>112</v>
      </c>
      <c r="E1828" t="s">
        <v>383</v>
      </c>
      <c r="F1828" s="20">
        <v>2044</v>
      </c>
      <c r="G1828" s="20">
        <v>56</v>
      </c>
      <c r="H1828" s="11">
        <v>11400.975053262</v>
      </c>
      <c r="I1828" s="10">
        <v>3845136.6842392501</v>
      </c>
      <c r="J1828" s="34">
        <f t="shared" si="112"/>
        <v>2.9650376539261183E-3</v>
      </c>
      <c r="K1828" s="34">
        <f t="shared" si="113"/>
        <v>2.9606462710588533E-3</v>
      </c>
      <c r="L1828" s="34">
        <f t="shared" si="114"/>
        <v>0.97431756833995553</v>
      </c>
      <c r="M1828" s="34">
        <f t="shared" si="115"/>
        <v>0.9714329586644227</v>
      </c>
    </row>
    <row r="1829" spans="1:13" ht="27.6">
      <c r="A1829" t="s">
        <v>164</v>
      </c>
      <c r="B1829" t="s">
        <v>112</v>
      </c>
      <c r="C1829" s="14" t="s">
        <v>294</v>
      </c>
      <c r="D1829" t="s">
        <v>112</v>
      </c>
      <c r="E1829" t="s">
        <v>383</v>
      </c>
      <c r="F1829" s="20">
        <v>2044</v>
      </c>
      <c r="G1829" s="20">
        <v>57</v>
      </c>
      <c r="H1829" s="11">
        <v>12392.3134868858</v>
      </c>
      <c r="I1829" s="10">
        <v>3775494.6175359199</v>
      </c>
      <c r="J1829" s="34">
        <f t="shared" si="112"/>
        <v>3.2823019874873125E-3</v>
      </c>
      <c r="K1829" s="34">
        <f t="shared" si="113"/>
        <v>3.2769211231359341E-3</v>
      </c>
      <c r="L1829" s="34">
        <f t="shared" si="114"/>
        <v>0.9714329586644227</v>
      </c>
      <c r="M1829" s="34">
        <f t="shared" si="115"/>
        <v>0.96824964948246484</v>
      </c>
    </row>
    <row r="1830" spans="1:13" ht="27.6">
      <c r="A1830" t="s">
        <v>164</v>
      </c>
      <c r="B1830" t="s">
        <v>112</v>
      </c>
      <c r="C1830" s="14" t="s">
        <v>294</v>
      </c>
      <c r="D1830" t="s">
        <v>112</v>
      </c>
      <c r="E1830" t="s">
        <v>383</v>
      </c>
      <c r="F1830" s="20">
        <v>2044</v>
      </c>
      <c r="G1830" s="20">
        <v>58</v>
      </c>
      <c r="H1830" s="11">
        <v>13649.7942871633</v>
      </c>
      <c r="I1830" s="10">
        <v>3761630.8128413698</v>
      </c>
      <c r="J1830" s="34">
        <f t="shared" si="112"/>
        <v>3.6286905776521032E-3</v>
      </c>
      <c r="K1830" s="34">
        <f t="shared" si="113"/>
        <v>3.6221148361795796E-3</v>
      </c>
      <c r="L1830" s="34">
        <f t="shared" si="114"/>
        <v>0.96824964948246484</v>
      </c>
      <c r="M1830" s="34">
        <f t="shared" si="115"/>
        <v>0.96474253806194876</v>
      </c>
    </row>
    <row r="1831" spans="1:13" ht="27.6">
      <c r="A1831" t="s">
        <v>164</v>
      </c>
      <c r="B1831" t="s">
        <v>112</v>
      </c>
      <c r="C1831" s="14" t="s">
        <v>294</v>
      </c>
      <c r="D1831" t="s">
        <v>112</v>
      </c>
      <c r="E1831" t="s">
        <v>383</v>
      </c>
      <c r="F1831" s="20">
        <v>2044</v>
      </c>
      <c r="G1831" s="20">
        <v>59</v>
      </c>
      <c r="H1831" s="11">
        <v>14570.5870131967</v>
      </c>
      <c r="I1831" s="10">
        <v>3797643.8809462702</v>
      </c>
      <c r="J1831" s="34">
        <f t="shared" si="112"/>
        <v>3.8367439048987667E-3</v>
      </c>
      <c r="K1831" s="34">
        <f t="shared" si="113"/>
        <v>3.8293930071786608E-3</v>
      </c>
      <c r="L1831" s="34">
        <f t="shared" si="114"/>
        <v>0.96474253806194876</v>
      </c>
      <c r="M1831" s="34">
        <f t="shared" si="115"/>
        <v>0.96104815973296653</v>
      </c>
    </row>
    <row r="1832" spans="1:13" ht="27.6">
      <c r="A1832" t="s">
        <v>164</v>
      </c>
      <c r="B1832" t="s">
        <v>112</v>
      </c>
      <c r="C1832" s="14" t="s">
        <v>294</v>
      </c>
      <c r="D1832" t="s">
        <v>112</v>
      </c>
      <c r="E1832" t="s">
        <v>383</v>
      </c>
      <c r="F1832" s="20">
        <v>2044</v>
      </c>
      <c r="G1832" s="20">
        <v>60</v>
      </c>
      <c r="H1832" s="11">
        <v>15605.1998006373</v>
      </c>
      <c r="I1832" s="10">
        <v>3792492.51953327</v>
      </c>
      <c r="J1832" s="34">
        <f t="shared" si="112"/>
        <v>4.1147608651203827E-3</v>
      </c>
      <c r="K1832" s="34">
        <f t="shared" si="113"/>
        <v>4.1063068360427391E-3</v>
      </c>
      <c r="L1832" s="34">
        <f t="shared" si="114"/>
        <v>0.96104815973296653</v>
      </c>
      <c r="M1832" s="34">
        <f t="shared" si="115"/>
        <v>0.95710180110488874</v>
      </c>
    </row>
    <row r="1833" spans="1:13" ht="27.6">
      <c r="A1833" t="s">
        <v>164</v>
      </c>
      <c r="B1833" t="s">
        <v>112</v>
      </c>
      <c r="C1833" s="14" t="s">
        <v>294</v>
      </c>
      <c r="D1833" t="s">
        <v>112</v>
      </c>
      <c r="E1833" t="s">
        <v>383</v>
      </c>
      <c r="F1833" s="20">
        <v>2044</v>
      </c>
      <c r="G1833" s="20">
        <v>61</v>
      </c>
      <c r="H1833" s="11">
        <v>16415.469728095799</v>
      </c>
      <c r="I1833" s="10">
        <v>3732804.9566205102</v>
      </c>
      <c r="J1833" s="34">
        <f t="shared" si="112"/>
        <v>4.3976232133375436E-3</v>
      </c>
      <c r="K1833" s="34">
        <f t="shared" si="113"/>
        <v>4.3879678271431244E-3</v>
      </c>
      <c r="L1833" s="34">
        <f t="shared" si="114"/>
        <v>0.95710180110488874</v>
      </c>
      <c r="M1833" s="34">
        <f t="shared" si="115"/>
        <v>0.95290206919433973</v>
      </c>
    </row>
    <row r="1834" spans="1:13" ht="27.6">
      <c r="A1834" t="s">
        <v>164</v>
      </c>
      <c r="B1834" t="s">
        <v>112</v>
      </c>
      <c r="C1834" s="14" t="s">
        <v>294</v>
      </c>
      <c r="D1834" t="s">
        <v>112</v>
      </c>
      <c r="E1834" t="s">
        <v>383</v>
      </c>
      <c r="F1834" s="20">
        <v>2044</v>
      </c>
      <c r="G1834" s="20">
        <v>62</v>
      </c>
      <c r="H1834" s="11">
        <v>17385.1964957237</v>
      </c>
      <c r="I1834" s="10">
        <v>3649152.7242061002</v>
      </c>
      <c r="J1834" s="34">
        <f t="shared" si="112"/>
        <v>4.7641734423450243E-3</v>
      </c>
      <c r="K1834" s="34">
        <f t="shared" si="113"/>
        <v>4.7528427689566E-3</v>
      </c>
      <c r="L1834" s="34">
        <f t="shared" si="114"/>
        <v>0.95290206919433973</v>
      </c>
      <c r="M1834" s="34">
        <f t="shared" si="115"/>
        <v>0.94837307548524563</v>
      </c>
    </row>
    <row r="1835" spans="1:13" ht="27.6">
      <c r="A1835" t="s">
        <v>164</v>
      </c>
      <c r="B1835" t="s">
        <v>112</v>
      </c>
      <c r="C1835" s="14" t="s">
        <v>294</v>
      </c>
      <c r="D1835" t="s">
        <v>112</v>
      </c>
      <c r="E1835" t="s">
        <v>383</v>
      </c>
      <c r="F1835" s="20">
        <v>2044</v>
      </c>
      <c r="G1835" s="20">
        <v>63</v>
      </c>
      <c r="H1835" s="11">
        <v>18325.479857181599</v>
      </c>
      <c r="I1835" s="10">
        <v>3558154.3657088298</v>
      </c>
      <c r="J1835" s="34">
        <f t="shared" si="112"/>
        <v>5.1502767934383667E-3</v>
      </c>
      <c r="K1835" s="34">
        <f t="shared" si="113"/>
        <v>5.137036857444266E-3</v>
      </c>
      <c r="L1835" s="34">
        <f t="shared" si="114"/>
        <v>0.94837307548524563</v>
      </c>
      <c r="M1835" s="34">
        <f t="shared" si="115"/>
        <v>0.94350124804187019</v>
      </c>
    </row>
    <row r="1836" spans="1:13" ht="27.6">
      <c r="A1836" t="s">
        <v>164</v>
      </c>
      <c r="B1836" t="s">
        <v>112</v>
      </c>
      <c r="C1836" s="14" t="s">
        <v>294</v>
      </c>
      <c r="D1836" t="s">
        <v>112</v>
      </c>
      <c r="E1836" t="s">
        <v>383</v>
      </c>
      <c r="F1836" s="20">
        <v>2044</v>
      </c>
      <c r="G1836" s="20">
        <v>64</v>
      </c>
      <c r="H1836" s="11">
        <v>19631.6322969906</v>
      </c>
      <c r="I1836" s="10">
        <v>3470304.9888226199</v>
      </c>
      <c r="J1836" s="34">
        <f t="shared" si="112"/>
        <v>5.6570337074756871E-3</v>
      </c>
      <c r="K1836" s="34">
        <f t="shared" si="113"/>
        <v>5.6410628224288217E-3</v>
      </c>
      <c r="L1836" s="34">
        <f t="shared" si="114"/>
        <v>0.94350124804187019</v>
      </c>
      <c r="M1836" s="34">
        <f t="shared" si="115"/>
        <v>0.93817889822862599</v>
      </c>
    </row>
    <row r="1837" spans="1:13" ht="27.6">
      <c r="A1837" t="s">
        <v>164</v>
      </c>
      <c r="B1837" t="s">
        <v>112</v>
      </c>
      <c r="C1837" s="14" t="s">
        <v>294</v>
      </c>
      <c r="D1837" t="s">
        <v>112</v>
      </c>
      <c r="E1837" t="s">
        <v>383</v>
      </c>
      <c r="F1837" s="20">
        <v>2044</v>
      </c>
      <c r="G1837" s="20">
        <v>65</v>
      </c>
      <c r="H1837" s="11">
        <v>20826.552381726298</v>
      </c>
      <c r="I1837" s="10">
        <v>3368106.3721209601</v>
      </c>
      <c r="J1837" s="34">
        <f t="shared" si="112"/>
        <v>6.1834604019977623E-3</v>
      </c>
      <c r="K1837" s="34">
        <f t="shared" si="113"/>
        <v>6.1643821541772503E-3</v>
      </c>
      <c r="L1837" s="34">
        <f t="shared" si="114"/>
        <v>0.93817889822862599</v>
      </c>
      <c r="M1837" s="34">
        <f t="shared" si="115"/>
        <v>0.93239560497095975</v>
      </c>
    </row>
    <row r="1838" spans="1:13" ht="27.6">
      <c r="A1838" t="s">
        <v>164</v>
      </c>
      <c r="B1838" t="s">
        <v>112</v>
      </c>
      <c r="C1838" s="14" t="s">
        <v>294</v>
      </c>
      <c r="D1838" t="s">
        <v>112</v>
      </c>
      <c r="E1838" t="s">
        <v>383</v>
      </c>
      <c r="F1838" s="20">
        <v>2044</v>
      </c>
      <c r="G1838" s="20">
        <v>66</v>
      </c>
      <c r="H1838" s="11">
        <v>21120.272281259699</v>
      </c>
      <c r="I1838" s="10">
        <v>3243260.7706604698</v>
      </c>
      <c r="J1838" s="34">
        <f t="shared" si="112"/>
        <v>6.5120487604080901E-3</v>
      </c>
      <c r="K1838" s="34">
        <f t="shared" si="113"/>
        <v>6.4908913218815201E-3</v>
      </c>
      <c r="L1838" s="34">
        <f t="shared" si="114"/>
        <v>0.93239560497095975</v>
      </c>
      <c r="M1838" s="34">
        <f t="shared" si="115"/>
        <v>0.92634352643009332</v>
      </c>
    </row>
    <row r="1839" spans="1:13" ht="27.6">
      <c r="A1839" t="s">
        <v>164</v>
      </c>
      <c r="B1839" t="s">
        <v>112</v>
      </c>
      <c r="C1839" s="14" t="s">
        <v>294</v>
      </c>
      <c r="D1839" t="s">
        <v>112</v>
      </c>
      <c r="E1839" t="s">
        <v>383</v>
      </c>
      <c r="F1839" s="20">
        <v>2044</v>
      </c>
      <c r="G1839" s="20">
        <v>67</v>
      </c>
      <c r="H1839" s="11">
        <v>22116.651699066999</v>
      </c>
      <c r="I1839" s="10">
        <v>3120511.8388215299</v>
      </c>
      <c r="J1839" s="34">
        <f t="shared" si="112"/>
        <v>7.0875077043192425E-3</v>
      </c>
      <c r="K1839" s="34">
        <f t="shared" si="113"/>
        <v>7.0624505541185822E-3</v>
      </c>
      <c r="L1839" s="34">
        <f t="shared" si="114"/>
        <v>0.92634352643009332</v>
      </c>
      <c r="M1839" s="34">
        <f t="shared" si="115"/>
        <v>0.91980127107855292</v>
      </c>
    </row>
    <row r="1840" spans="1:13" ht="27.6">
      <c r="A1840" t="s">
        <v>164</v>
      </c>
      <c r="B1840" t="s">
        <v>112</v>
      </c>
      <c r="C1840" s="14" t="s">
        <v>294</v>
      </c>
      <c r="D1840" t="s">
        <v>112</v>
      </c>
      <c r="E1840" t="s">
        <v>383</v>
      </c>
      <c r="F1840" s="20">
        <v>2044</v>
      </c>
      <c r="G1840" s="20">
        <v>68</v>
      </c>
      <c r="H1840" s="11">
        <v>23126.8826290748</v>
      </c>
      <c r="I1840" s="10">
        <v>3008464.96605939</v>
      </c>
      <c r="J1840" s="34">
        <f t="shared" si="112"/>
        <v>7.6872700496716552E-3</v>
      </c>
      <c r="K1840" s="34">
        <f t="shared" si="113"/>
        <v>7.6577985560595252E-3</v>
      </c>
      <c r="L1840" s="34">
        <f t="shared" si="114"/>
        <v>0.91980127107855292</v>
      </c>
      <c r="M1840" s="34">
        <f t="shared" si="115"/>
        <v>0.91275761823302581</v>
      </c>
    </row>
    <row r="1841" spans="1:13" ht="27.6">
      <c r="A1841" t="s">
        <v>164</v>
      </c>
      <c r="B1841" t="s">
        <v>112</v>
      </c>
      <c r="C1841" s="14" t="s">
        <v>294</v>
      </c>
      <c r="D1841" t="s">
        <v>112</v>
      </c>
      <c r="E1841" t="s">
        <v>383</v>
      </c>
      <c r="F1841" s="20">
        <v>2044</v>
      </c>
      <c r="G1841" s="20">
        <v>69</v>
      </c>
      <c r="H1841" s="11">
        <v>23396.063227016399</v>
      </c>
      <c r="I1841" s="10">
        <v>2884608.68041057</v>
      </c>
      <c r="J1841" s="34">
        <f t="shared" si="112"/>
        <v>8.1106541022009284E-3</v>
      </c>
      <c r="K1841" s="34">
        <f t="shared" si="113"/>
        <v>8.0778514906710841E-3</v>
      </c>
      <c r="L1841" s="34">
        <f t="shared" si="114"/>
        <v>0.91275761823302581</v>
      </c>
      <c r="M1841" s="34">
        <f t="shared" si="115"/>
        <v>0.90538449774596075</v>
      </c>
    </row>
    <row r="1842" spans="1:13" ht="27.6">
      <c r="A1842" t="s">
        <v>164</v>
      </c>
      <c r="B1842" t="s">
        <v>112</v>
      </c>
      <c r="C1842" s="14" t="s">
        <v>294</v>
      </c>
      <c r="D1842" t="s">
        <v>112</v>
      </c>
      <c r="E1842" t="s">
        <v>383</v>
      </c>
      <c r="F1842" s="20">
        <v>2045</v>
      </c>
      <c r="G1842" s="20">
        <v>30</v>
      </c>
      <c r="H1842" s="11">
        <v>718.15783090726802</v>
      </c>
      <c r="I1842" s="10">
        <v>4657591.8599795904</v>
      </c>
      <c r="J1842" s="34">
        <f t="shared" si="112"/>
        <v>1.5419080342312668E-4</v>
      </c>
      <c r="K1842" s="34">
        <f t="shared" si="113"/>
        <v>1.5417891663216388E-4</v>
      </c>
      <c r="L1842" s="34">
        <f t="shared" si="114"/>
        <v>1</v>
      </c>
      <c r="M1842" s="34">
        <f t="shared" si="115"/>
        <v>0.99984582108336784</v>
      </c>
    </row>
    <row r="1843" spans="1:13" ht="27.6">
      <c r="A1843" t="s">
        <v>164</v>
      </c>
      <c r="B1843" t="s">
        <v>112</v>
      </c>
      <c r="C1843" s="14" t="s">
        <v>294</v>
      </c>
      <c r="D1843" t="s">
        <v>112</v>
      </c>
      <c r="E1843" t="s">
        <v>383</v>
      </c>
      <c r="F1843" s="20">
        <v>2045</v>
      </c>
      <c r="G1843" s="20">
        <v>31</v>
      </c>
      <c r="H1843" s="11">
        <v>1045.87789785069</v>
      </c>
      <c r="I1843" s="10">
        <v>4729418.4847619198</v>
      </c>
      <c r="J1843" s="34">
        <f t="shared" si="112"/>
        <v>2.2114302238646996E-4</v>
      </c>
      <c r="K1843" s="34">
        <f t="shared" si="113"/>
        <v>2.2111857207063323E-4</v>
      </c>
      <c r="L1843" s="34">
        <f t="shared" si="114"/>
        <v>0.99984582108336784</v>
      </c>
      <c r="M1843" s="34">
        <f t="shared" si="115"/>
        <v>0.99962473660311912</v>
      </c>
    </row>
    <row r="1844" spans="1:13" ht="27.6">
      <c r="A1844" t="s">
        <v>164</v>
      </c>
      <c r="B1844" t="s">
        <v>112</v>
      </c>
      <c r="C1844" s="14" t="s">
        <v>294</v>
      </c>
      <c r="D1844" t="s">
        <v>112</v>
      </c>
      <c r="E1844" t="s">
        <v>383</v>
      </c>
      <c r="F1844" s="20">
        <v>2045</v>
      </c>
      <c r="G1844" s="20">
        <v>32</v>
      </c>
      <c r="H1844" s="11">
        <v>1111.7984699670801</v>
      </c>
      <c r="I1844" s="10">
        <v>4820796.5584124401</v>
      </c>
      <c r="J1844" s="34">
        <f t="shared" si="112"/>
        <v>2.3062546956621871E-4</v>
      </c>
      <c r="K1844" s="34">
        <f t="shared" si="113"/>
        <v>2.3059887755694231E-4</v>
      </c>
      <c r="L1844" s="34">
        <f t="shared" si="114"/>
        <v>0.99962473660311912</v>
      </c>
      <c r="M1844" s="34">
        <f t="shared" si="115"/>
        <v>0.99939422426088032</v>
      </c>
    </row>
    <row r="1845" spans="1:13" ht="27.6">
      <c r="A1845" t="s">
        <v>164</v>
      </c>
      <c r="B1845" t="s">
        <v>112</v>
      </c>
      <c r="C1845" s="14" t="s">
        <v>294</v>
      </c>
      <c r="D1845" t="s">
        <v>112</v>
      </c>
      <c r="E1845" t="s">
        <v>383</v>
      </c>
      <c r="F1845" s="20">
        <v>2045</v>
      </c>
      <c r="G1845" s="20">
        <v>33</v>
      </c>
      <c r="H1845" s="11">
        <v>1185.2179125873899</v>
      </c>
      <c r="I1845" s="10">
        <v>4864169.5060925297</v>
      </c>
      <c r="J1845" s="34">
        <f t="shared" si="112"/>
        <v>2.4366295440626939E-4</v>
      </c>
      <c r="K1845" s="34">
        <f t="shared" si="113"/>
        <v>2.4363327099952148E-4</v>
      </c>
      <c r="L1845" s="34">
        <f t="shared" si="114"/>
        <v>0.99939422426088032</v>
      </c>
      <c r="M1845" s="34">
        <f t="shared" si="115"/>
        <v>0.99915073857700565</v>
      </c>
    </row>
    <row r="1846" spans="1:13" ht="27.6">
      <c r="A1846" t="s">
        <v>164</v>
      </c>
      <c r="B1846" t="s">
        <v>112</v>
      </c>
      <c r="C1846" s="14" t="s">
        <v>294</v>
      </c>
      <c r="D1846" t="s">
        <v>112</v>
      </c>
      <c r="E1846" t="s">
        <v>383</v>
      </c>
      <c r="F1846" s="20">
        <v>2045</v>
      </c>
      <c r="G1846" s="20">
        <v>34</v>
      </c>
      <c r="H1846" s="11">
        <v>1234.52871408651</v>
      </c>
      <c r="I1846" s="10">
        <v>4784391.7136979802</v>
      </c>
      <c r="J1846" s="34">
        <f t="shared" si="112"/>
        <v>2.5803253327941054E-4</v>
      </c>
      <c r="K1846" s="34">
        <f t="shared" si="113"/>
        <v>2.5799924574843036E-4</v>
      </c>
      <c r="L1846" s="34">
        <f t="shared" si="114"/>
        <v>0.99915073857700565</v>
      </c>
      <c r="M1846" s="34">
        <f t="shared" si="115"/>
        <v>0.99889295844006376</v>
      </c>
    </row>
    <row r="1847" spans="1:13" ht="27.6">
      <c r="A1847" t="s">
        <v>164</v>
      </c>
      <c r="B1847" t="s">
        <v>112</v>
      </c>
      <c r="C1847" s="14" t="s">
        <v>294</v>
      </c>
      <c r="D1847" t="s">
        <v>112</v>
      </c>
      <c r="E1847" t="s">
        <v>383</v>
      </c>
      <c r="F1847" s="20">
        <v>2045</v>
      </c>
      <c r="G1847" s="20">
        <v>35</v>
      </c>
      <c r="H1847" s="11">
        <v>1299.61541474102</v>
      </c>
      <c r="I1847" s="10">
        <v>4683077.9489781503</v>
      </c>
      <c r="J1847" s="34">
        <f t="shared" si="112"/>
        <v>2.7751308624375911E-4</v>
      </c>
      <c r="K1847" s="34">
        <f t="shared" si="113"/>
        <v>2.7747458304905326E-4</v>
      </c>
      <c r="L1847" s="34">
        <f t="shared" si="114"/>
        <v>0.99889295844006376</v>
      </c>
      <c r="M1847" s="34">
        <f t="shared" si="115"/>
        <v>0.99861579103290998</v>
      </c>
    </row>
    <row r="1848" spans="1:13" ht="27.6">
      <c r="A1848" t="s">
        <v>164</v>
      </c>
      <c r="B1848" t="s">
        <v>112</v>
      </c>
      <c r="C1848" s="14" t="s">
        <v>294</v>
      </c>
      <c r="D1848" t="s">
        <v>112</v>
      </c>
      <c r="E1848" t="s">
        <v>383</v>
      </c>
      <c r="F1848" s="20">
        <v>2045</v>
      </c>
      <c r="G1848" s="20">
        <v>36</v>
      </c>
      <c r="H1848" s="11">
        <v>1632.01882230723</v>
      </c>
      <c r="I1848" s="10">
        <v>4625872.6712591201</v>
      </c>
      <c r="J1848" s="34">
        <f t="shared" si="112"/>
        <v>3.5280236579944807E-4</v>
      </c>
      <c r="K1848" s="34">
        <f t="shared" si="113"/>
        <v>3.5274013836295026E-4</v>
      </c>
      <c r="L1848" s="34">
        <f t="shared" si="114"/>
        <v>0.99861579103290998</v>
      </c>
      <c r="M1848" s="34">
        <f t="shared" si="115"/>
        <v>0.99826353916060961</v>
      </c>
    </row>
    <row r="1849" spans="1:13" ht="27.6">
      <c r="A1849" t="s">
        <v>164</v>
      </c>
      <c r="B1849" t="s">
        <v>112</v>
      </c>
      <c r="C1849" s="14" t="s">
        <v>294</v>
      </c>
      <c r="D1849" t="s">
        <v>112</v>
      </c>
      <c r="E1849" t="s">
        <v>383</v>
      </c>
      <c r="F1849" s="20">
        <v>2045</v>
      </c>
      <c r="G1849" s="20">
        <v>37</v>
      </c>
      <c r="H1849" s="11">
        <v>1772.2349592038399</v>
      </c>
      <c r="I1849" s="10">
        <v>4617135.4940034803</v>
      </c>
      <c r="J1849" s="34">
        <f t="shared" si="112"/>
        <v>3.8383862927686137E-4</v>
      </c>
      <c r="K1849" s="34">
        <f t="shared" si="113"/>
        <v>3.8376497265457665E-4</v>
      </c>
      <c r="L1849" s="34">
        <f t="shared" si="114"/>
        <v>0.99826353916060961</v>
      </c>
      <c r="M1849" s="34">
        <f t="shared" si="115"/>
        <v>0.99788044058080161</v>
      </c>
    </row>
    <row r="1850" spans="1:13" ht="27.6">
      <c r="A1850" t="s">
        <v>164</v>
      </c>
      <c r="B1850" t="s">
        <v>112</v>
      </c>
      <c r="C1850" s="14" t="s">
        <v>294</v>
      </c>
      <c r="D1850" t="s">
        <v>112</v>
      </c>
      <c r="E1850" t="s">
        <v>383</v>
      </c>
      <c r="F1850" s="20">
        <v>2045</v>
      </c>
      <c r="G1850" s="20">
        <v>38</v>
      </c>
      <c r="H1850" s="11">
        <v>1929.15242696785</v>
      </c>
      <c r="I1850" s="10">
        <v>4588240.5546320304</v>
      </c>
      <c r="J1850" s="34">
        <f t="shared" si="112"/>
        <v>4.2045581612330373E-4</v>
      </c>
      <c r="K1850" s="34">
        <f t="shared" si="113"/>
        <v>4.2036743696360901E-4</v>
      </c>
      <c r="L1850" s="34">
        <f t="shared" si="114"/>
        <v>0.99788044058080161</v>
      </c>
      <c r="M1850" s="34">
        <f t="shared" si="115"/>
        <v>0.99746096413759855</v>
      </c>
    </row>
    <row r="1851" spans="1:13" ht="27.6">
      <c r="A1851" t="s">
        <v>164</v>
      </c>
      <c r="B1851" t="s">
        <v>112</v>
      </c>
      <c r="C1851" s="14" t="s">
        <v>294</v>
      </c>
      <c r="D1851" t="s">
        <v>112</v>
      </c>
      <c r="E1851" t="s">
        <v>383</v>
      </c>
      <c r="F1851" s="20">
        <v>2045</v>
      </c>
      <c r="G1851" s="20">
        <v>39</v>
      </c>
      <c r="H1851" s="11">
        <v>2018.1263135065799</v>
      </c>
      <c r="I1851" s="10">
        <v>4515696.8390053604</v>
      </c>
      <c r="J1851" s="34">
        <f t="shared" si="112"/>
        <v>4.4691359616406355E-4</v>
      </c>
      <c r="K1851" s="34">
        <f t="shared" si="113"/>
        <v>4.4681374515831429E-4</v>
      </c>
      <c r="L1851" s="34">
        <f t="shared" si="114"/>
        <v>0.99746096413759855</v>
      </c>
      <c r="M1851" s="34">
        <f t="shared" si="115"/>
        <v>0.99701528486856306</v>
      </c>
    </row>
    <row r="1852" spans="1:13" ht="27.6">
      <c r="A1852" t="s">
        <v>164</v>
      </c>
      <c r="B1852" t="s">
        <v>112</v>
      </c>
      <c r="C1852" s="14" t="s">
        <v>294</v>
      </c>
      <c r="D1852" t="s">
        <v>112</v>
      </c>
      <c r="E1852" t="s">
        <v>383</v>
      </c>
      <c r="F1852" s="20">
        <v>2045</v>
      </c>
      <c r="G1852" s="20">
        <v>40</v>
      </c>
      <c r="H1852" s="11">
        <v>2152.5667108272901</v>
      </c>
      <c r="I1852" s="10">
        <v>4420385.7931084502</v>
      </c>
      <c r="J1852" s="34">
        <f t="shared" si="112"/>
        <v>4.8696353928727747E-4</v>
      </c>
      <c r="K1852" s="34">
        <f t="shared" si="113"/>
        <v>4.8684499178652807E-4</v>
      </c>
      <c r="L1852" s="34">
        <f t="shared" si="114"/>
        <v>0.99701528486856306</v>
      </c>
      <c r="M1852" s="34">
        <f t="shared" si="115"/>
        <v>0.99652989297039019</v>
      </c>
    </row>
    <row r="1853" spans="1:13" ht="27.6">
      <c r="A1853" t="s">
        <v>164</v>
      </c>
      <c r="B1853" t="s">
        <v>112</v>
      </c>
      <c r="C1853" s="14" t="s">
        <v>294</v>
      </c>
      <c r="D1853" t="s">
        <v>112</v>
      </c>
      <c r="E1853" t="s">
        <v>383</v>
      </c>
      <c r="F1853" s="20">
        <v>2045</v>
      </c>
      <c r="G1853" s="20">
        <v>41</v>
      </c>
      <c r="H1853" s="11">
        <v>2752.1408675163102</v>
      </c>
      <c r="I1853" s="10">
        <v>4321241.74620842</v>
      </c>
      <c r="J1853" s="34">
        <f t="shared" si="112"/>
        <v>6.3688657778313755E-4</v>
      </c>
      <c r="K1853" s="34">
        <f t="shared" si="113"/>
        <v>6.3668380857595519E-4</v>
      </c>
      <c r="L1853" s="34">
        <f t="shared" si="114"/>
        <v>0.99652989297039019</v>
      </c>
      <c r="M1853" s="34">
        <f t="shared" si="115"/>
        <v>0.99589541852277397</v>
      </c>
    </row>
    <row r="1854" spans="1:13" ht="27.6">
      <c r="A1854" t="s">
        <v>164</v>
      </c>
      <c r="B1854" t="s">
        <v>112</v>
      </c>
      <c r="C1854" s="14" t="s">
        <v>294</v>
      </c>
      <c r="D1854" t="s">
        <v>112</v>
      </c>
      <c r="E1854" t="s">
        <v>383</v>
      </c>
      <c r="F1854" s="20">
        <v>2045</v>
      </c>
      <c r="G1854" s="20">
        <v>42</v>
      </c>
      <c r="H1854" s="11">
        <v>3054.08761688399</v>
      </c>
      <c r="I1854" s="10">
        <v>4275435.4066463001</v>
      </c>
      <c r="J1854" s="34">
        <f t="shared" si="112"/>
        <v>7.1433370555343061E-4</v>
      </c>
      <c r="K1854" s="34">
        <f t="shared" si="113"/>
        <v>7.1407862997197036E-4</v>
      </c>
      <c r="L1854" s="34">
        <f t="shared" si="114"/>
        <v>0.99589541852277397</v>
      </c>
      <c r="M1854" s="34">
        <f t="shared" si="115"/>
        <v>0.9951842708867199</v>
      </c>
    </row>
    <row r="1855" spans="1:13" ht="27.6">
      <c r="A1855" t="s">
        <v>164</v>
      </c>
      <c r="B1855" t="s">
        <v>112</v>
      </c>
      <c r="C1855" s="14" t="s">
        <v>294</v>
      </c>
      <c r="D1855" t="s">
        <v>112</v>
      </c>
      <c r="E1855" t="s">
        <v>383</v>
      </c>
      <c r="F1855" s="20">
        <v>2045</v>
      </c>
      <c r="G1855" s="20">
        <v>43</v>
      </c>
      <c r="H1855" s="11">
        <v>3424.4768543240598</v>
      </c>
      <c r="I1855" s="10">
        <v>4251613.0052013705</v>
      </c>
      <c r="J1855" s="34">
        <f t="shared" si="112"/>
        <v>8.0545356553726722E-4</v>
      </c>
      <c r="K1855" s="34">
        <f t="shared" si="113"/>
        <v>8.0512927488696207E-4</v>
      </c>
      <c r="L1855" s="34">
        <f t="shared" si="114"/>
        <v>0.9951842708867199</v>
      </c>
      <c r="M1855" s="34">
        <f t="shared" si="115"/>
        <v>0.99438301889632197</v>
      </c>
    </row>
    <row r="1856" spans="1:13" ht="27.6">
      <c r="A1856" t="s">
        <v>164</v>
      </c>
      <c r="B1856" t="s">
        <v>112</v>
      </c>
      <c r="C1856" s="14" t="s">
        <v>294</v>
      </c>
      <c r="D1856" t="s">
        <v>112</v>
      </c>
      <c r="E1856" t="s">
        <v>383</v>
      </c>
      <c r="F1856" s="20">
        <v>2045</v>
      </c>
      <c r="G1856" s="20">
        <v>44</v>
      </c>
      <c r="H1856" s="11">
        <v>3614.2178202588898</v>
      </c>
      <c r="I1856" s="10">
        <v>4227257.36004881</v>
      </c>
      <c r="J1856" s="34">
        <f t="shared" si="112"/>
        <v>8.5497936662582525E-4</v>
      </c>
      <c r="K1856" s="34">
        <f t="shared" si="113"/>
        <v>8.5461397590835819E-4</v>
      </c>
      <c r="L1856" s="34">
        <f t="shared" si="114"/>
        <v>0.99438301889632197</v>
      </c>
      <c r="M1856" s="34">
        <f t="shared" si="115"/>
        <v>0.99353320527096722</v>
      </c>
    </row>
    <row r="1857" spans="1:13" ht="27.6">
      <c r="A1857" t="s">
        <v>164</v>
      </c>
      <c r="B1857" t="s">
        <v>112</v>
      </c>
      <c r="C1857" s="14" t="s">
        <v>294</v>
      </c>
      <c r="D1857" t="s">
        <v>112</v>
      </c>
      <c r="E1857" t="s">
        <v>383</v>
      </c>
      <c r="F1857" s="20">
        <v>2045</v>
      </c>
      <c r="G1857" s="20">
        <v>45</v>
      </c>
      <c r="H1857" s="11">
        <v>3929.9530126725299</v>
      </c>
      <c r="I1857" s="10">
        <v>4221727.0458207903</v>
      </c>
      <c r="J1857" s="34">
        <f t="shared" si="112"/>
        <v>9.3088751831147017E-4</v>
      </c>
      <c r="K1857" s="34">
        <f t="shared" si="113"/>
        <v>9.304543769379503E-4</v>
      </c>
      <c r="L1857" s="34">
        <f t="shared" si="114"/>
        <v>0.99353320527096722</v>
      </c>
      <c r="M1857" s="34">
        <f t="shared" si="115"/>
        <v>0.99260876795148967</v>
      </c>
    </row>
    <row r="1858" spans="1:13" ht="27.6">
      <c r="A1858" t="s">
        <v>164</v>
      </c>
      <c r="B1858" t="s">
        <v>112</v>
      </c>
      <c r="C1858" s="14" t="s">
        <v>294</v>
      </c>
      <c r="D1858" t="s">
        <v>112</v>
      </c>
      <c r="E1858" t="s">
        <v>383</v>
      </c>
      <c r="F1858" s="20">
        <v>2045</v>
      </c>
      <c r="G1858" s="20">
        <v>46</v>
      </c>
      <c r="H1858" s="11">
        <v>4958.7643955744898</v>
      </c>
      <c r="I1858" s="10">
        <v>4253270.67121452</v>
      </c>
      <c r="J1858" s="34">
        <f t="shared" ref="J1858:J1921" si="116">IF(I1858&gt;0,H1858/I1858,0)</f>
        <v>1.1658708741803436E-3</v>
      </c>
      <c r="K1858" s="34">
        <f t="shared" ref="K1858:K1921" si="117">1-EXP(-J1858)</f>
        <v>1.1651915107749877E-3</v>
      </c>
      <c r="L1858" s="34">
        <f t="shared" ref="L1858:L1921" si="118">IF(G1858=30,1,M1857)</f>
        <v>0.99260876795148967</v>
      </c>
      <c r="M1858" s="34">
        <f t="shared" ref="M1858:M1921" si="119">L1858*(1-K1858)</f>
        <v>0.99145218864155182</v>
      </c>
    </row>
    <row r="1859" spans="1:13" ht="27.6">
      <c r="A1859" t="s">
        <v>164</v>
      </c>
      <c r="B1859" t="s">
        <v>112</v>
      </c>
      <c r="C1859" s="14" t="s">
        <v>294</v>
      </c>
      <c r="D1859" t="s">
        <v>112</v>
      </c>
      <c r="E1859" t="s">
        <v>383</v>
      </c>
      <c r="F1859" s="20">
        <v>2045</v>
      </c>
      <c r="G1859" s="20">
        <v>47</v>
      </c>
      <c r="H1859" s="11">
        <v>5503.7184905213899</v>
      </c>
      <c r="I1859" s="10">
        <v>4286791.4048427697</v>
      </c>
      <c r="J1859" s="34">
        <f t="shared" si="116"/>
        <v>1.2838783068156437E-3</v>
      </c>
      <c r="K1859" s="34">
        <f t="shared" si="117"/>
        <v>1.2830544876611949E-3</v>
      </c>
      <c r="L1859" s="34">
        <f t="shared" si="118"/>
        <v>0.99145218864155182</v>
      </c>
      <c r="M1859" s="34">
        <f t="shared" si="119"/>
        <v>0.99018010146161373</v>
      </c>
    </row>
    <row r="1860" spans="1:13" ht="27.6">
      <c r="A1860" t="s">
        <v>164</v>
      </c>
      <c r="B1860" t="s">
        <v>112</v>
      </c>
      <c r="C1860" s="14" t="s">
        <v>294</v>
      </c>
      <c r="D1860" t="s">
        <v>112</v>
      </c>
      <c r="E1860" t="s">
        <v>383</v>
      </c>
      <c r="F1860" s="20">
        <v>2045</v>
      </c>
      <c r="G1860" s="20">
        <v>48</v>
      </c>
      <c r="H1860" s="11">
        <v>6083.0829892185802</v>
      </c>
      <c r="I1860" s="10">
        <v>4274258.9371860903</v>
      </c>
      <c r="J1860" s="34">
        <f t="shared" si="116"/>
        <v>1.4231900964856632E-3</v>
      </c>
      <c r="K1860" s="34">
        <f t="shared" si="117"/>
        <v>1.422177841727601E-3</v>
      </c>
      <c r="L1860" s="34">
        <f t="shared" si="118"/>
        <v>0.99018010146161373</v>
      </c>
      <c r="M1860" s="34">
        <f t="shared" si="119"/>
        <v>0.98877188926199544</v>
      </c>
    </row>
    <row r="1861" spans="1:13" ht="27.6">
      <c r="A1861" t="s">
        <v>164</v>
      </c>
      <c r="B1861" t="s">
        <v>112</v>
      </c>
      <c r="C1861" s="14" t="s">
        <v>294</v>
      </c>
      <c r="D1861" t="s">
        <v>112</v>
      </c>
      <c r="E1861" t="s">
        <v>383</v>
      </c>
      <c r="F1861" s="20">
        <v>2045</v>
      </c>
      <c r="G1861" s="20">
        <v>49</v>
      </c>
      <c r="H1861" s="11">
        <v>6454.1589685515701</v>
      </c>
      <c r="I1861" s="10">
        <v>4203551.3650443703</v>
      </c>
      <c r="J1861" s="34">
        <f t="shared" si="116"/>
        <v>1.5354062334583709E-3</v>
      </c>
      <c r="K1861" s="34">
        <f t="shared" si="117"/>
        <v>1.5342281003556391E-3</v>
      </c>
      <c r="L1861" s="34">
        <f t="shared" si="118"/>
        <v>0.98877188926199544</v>
      </c>
      <c r="M1861" s="34">
        <f t="shared" si="119"/>
        <v>0.98725488764464797</v>
      </c>
    </row>
    <row r="1862" spans="1:13" ht="27.6">
      <c r="A1862" t="s">
        <v>164</v>
      </c>
      <c r="B1862" t="s">
        <v>112</v>
      </c>
      <c r="C1862" s="14" t="s">
        <v>294</v>
      </c>
      <c r="D1862" t="s">
        <v>112</v>
      </c>
      <c r="E1862" t="s">
        <v>383</v>
      </c>
      <c r="F1862" s="20">
        <v>2045</v>
      </c>
      <c r="G1862" s="20">
        <v>50</v>
      </c>
      <c r="H1862" s="11">
        <v>6887.7113218593104</v>
      </c>
      <c r="I1862" s="10">
        <v>4130175.4509363002</v>
      </c>
      <c r="J1862" s="34">
        <f t="shared" si="116"/>
        <v>1.6676558668465001E-3</v>
      </c>
      <c r="K1862" s="34">
        <f t="shared" si="117"/>
        <v>1.6662661014589242E-3</v>
      </c>
      <c r="L1862" s="34">
        <f t="shared" si="118"/>
        <v>0.98725488764464797</v>
      </c>
      <c r="M1862" s="34">
        <f t="shared" si="119"/>
        <v>0.98560985829186609</v>
      </c>
    </row>
    <row r="1863" spans="1:13" ht="27.6">
      <c r="A1863" t="s">
        <v>164</v>
      </c>
      <c r="B1863" t="s">
        <v>112</v>
      </c>
      <c r="C1863" s="14" t="s">
        <v>294</v>
      </c>
      <c r="D1863" t="s">
        <v>112</v>
      </c>
      <c r="E1863" t="s">
        <v>383</v>
      </c>
      <c r="F1863" s="20">
        <v>2045</v>
      </c>
      <c r="G1863" s="20">
        <v>51</v>
      </c>
      <c r="H1863" s="11">
        <v>7658.1490801469999</v>
      </c>
      <c r="I1863" s="10">
        <v>4064953.7533179801</v>
      </c>
      <c r="J1863" s="34">
        <f t="shared" si="116"/>
        <v>1.8839449462115302E-3</v>
      </c>
      <c r="K1863" s="34">
        <f t="shared" si="117"/>
        <v>1.8821714358381314E-3</v>
      </c>
      <c r="L1863" s="34">
        <f t="shared" si="118"/>
        <v>0.98560985829186609</v>
      </c>
      <c r="M1863" s="34">
        <f t="shared" si="119"/>
        <v>0.9837547715697087</v>
      </c>
    </row>
    <row r="1864" spans="1:13" ht="27.6">
      <c r="A1864" t="s">
        <v>164</v>
      </c>
      <c r="B1864" t="s">
        <v>112</v>
      </c>
      <c r="C1864" s="14" t="s">
        <v>294</v>
      </c>
      <c r="D1864" t="s">
        <v>112</v>
      </c>
      <c r="E1864" t="s">
        <v>383</v>
      </c>
      <c r="F1864" s="20">
        <v>2045</v>
      </c>
      <c r="G1864" s="20">
        <v>52</v>
      </c>
      <c r="H1864" s="11">
        <v>8210.6667688746402</v>
      </c>
      <c r="I1864" s="10">
        <v>4001287.23826415</v>
      </c>
      <c r="J1864" s="34">
        <f t="shared" si="116"/>
        <v>2.0520063369498598E-3</v>
      </c>
      <c r="K1864" s="34">
        <f t="shared" si="117"/>
        <v>2.0499024112821118E-3</v>
      </c>
      <c r="L1864" s="34">
        <f t="shared" si="118"/>
        <v>0.9837547715697087</v>
      </c>
      <c r="M1864" s="34">
        <f t="shared" si="119"/>
        <v>0.98173817029135768</v>
      </c>
    </row>
    <row r="1865" spans="1:13" ht="27.6">
      <c r="A1865" t="s">
        <v>164</v>
      </c>
      <c r="B1865" t="s">
        <v>112</v>
      </c>
      <c r="C1865" s="14" t="s">
        <v>294</v>
      </c>
      <c r="D1865" t="s">
        <v>112</v>
      </c>
      <c r="E1865" t="s">
        <v>383</v>
      </c>
      <c r="F1865" s="20">
        <v>2045</v>
      </c>
      <c r="G1865" s="20">
        <v>53</v>
      </c>
      <c r="H1865" s="11">
        <v>8864.6132234360794</v>
      </c>
      <c r="I1865" s="10">
        <v>3970008.95334118</v>
      </c>
      <c r="J1865" s="34">
        <f t="shared" si="116"/>
        <v>2.2328950205453757E-3</v>
      </c>
      <c r="K1865" s="34">
        <f t="shared" si="117"/>
        <v>2.2304039648924912E-3</v>
      </c>
      <c r="L1865" s="34">
        <f t="shared" si="118"/>
        <v>0.98173817029135768</v>
      </c>
      <c r="M1865" s="34">
        <f t="shared" si="119"/>
        <v>0.97954849758385354</v>
      </c>
    </row>
    <row r="1866" spans="1:13" ht="27.6">
      <c r="A1866" t="s">
        <v>164</v>
      </c>
      <c r="B1866" t="s">
        <v>112</v>
      </c>
      <c r="C1866" s="14" t="s">
        <v>294</v>
      </c>
      <c r="D1866" t="s">
        <v>112</v>
      </c>
      <c r="E1866" t="s">
        <v>383</v>
      </c>
      <c r="F1866" s="20">
        <v>2045</v>
      </c>
      <c r="G1866" s="20">
        <v>54</v>
      </c>
      <c r="H1866" s="11">
        <v>9630.4243687345897</v>
      </c>
      <c r="I1866" s="10">
        <v>3931838.9430628899</v>
      </c>
      <c r="J1866" s="34">
        <f t="shared" si="116"/>
        <v>2.4493435535364325E-3</v>
      </c>
      <c r="K1866" s="34">
        <f t="shared" si="117"/>
        <v>2.4463463591670731E-3</v>
      </c>
      <c r="L1866" s="34">
        <f t="shared" si="118"/>
        <v>0.97954849758385354</v>
      </c>
      <c r="M1866" s="34">
        <f t="shared" si="119"/>
        <v>0.97715218268316173</v>
      </c>
    </row>
    <row r="1867" spans="1:13" ht="27.6">
      <c r="A1867" t="s">
        <v>164</v>
      </c>
      <c r="B1867" t="s">
        <v>112</v>
      </c>
      <c r="C1867" s="14" t="s">
        <v>294</v>
      </c>
      <c r="D1867" t="s">
        <v>112</v>
      </c>
      <c r="E1867" t="s">
        <v>383</v>
      </c>
      <c r="F1867" s="20">
        <v>2045</v>
      </c>
      <c r="G1867" s="20">
        <v>55</v>
      </c>
      <c r="H1867" s="11">
        <v>10477.653632285401</v>
      </c>
      <c r="I1867" s="10">
        <v>3895594.22059158</v>
      </c>
      <c r="J1867" s="34">
        <f t="shared" si="116"/>
        <v>2.6896162790523591E-3</v>
      </c>
      <c r="K1867" s="34">
        <f t="shared" si="117"/>
        <v>2.6860025018055067E-3</v>
      </c>
      <c r="L1867" s="34">
        <f t="shared" si="118"/>
        <v>0.97715218268316173</v>
      </c>
      <c r="M1867" s="34">
        <f t="shared" si="119"/>
        <v>0.97452754947583009</v>
      </c>
    </row>
    <row r="1868" spans="1:13" ht="27.6">
      <c r="A1868" t="s">
        <v>164</v>
      </c>
      <c r="B1868" t="s">
        <v>112</v>
      </c>
      <c r="C1868" s="14" t="s">
        <v>294</v>
      </c>
      <c r="D1868" t="s">
        <v>112</v>
      </c>
      <c r="E1868" t="s">
        <v>383</v>
      </c>
      <c r="F1868" s="20">
        <v>2045</v>
      </c>
      <c r="G1868" s="20">
        <v>56</v>
      </c>
      <c r="H1868" s="11">
        <v>11336.7466128622</v>
      </c>
      <c r="I1868" s="10">
        <v>3879183.3440060699</v>
      </c>
      <c r="J1868" s="34">
        <f t="shared" si="116"/>
        <v>2.9224570244608837E-3</v>
      </c>
      <c r="K1868" s="34">
        <f t="shared" si="117"/>
        <v>2.9181908038916626E-3</v>
      </c>
      <c r="L1868" s="34">
        <f t="shared" si="118"/>
        <v>0.97452754947583009</v>
      </c>
      <c r="M1868" s="34">
        <f t="shared" si="119"/>
        <v>0.9716836921428107</v>
      </c>
    </row>
    <row r="1869" spans="1:13" ht="27.6">
      <c r="A1869" t="s">
        <v>164</v>
      </c>
      <c r="B1869" t="s">
        <v>112</v>
      </c>
      <c r="C1869" s="14" t="s">
        <v>294</v>
      </c>
      <c r="D1869" t="s">
        <v>112</v>
      </c>
      <c r="E1869" t="s">
        <v>383</v>
      </c>
      <c r="F1869" s="20">
        <v>2045</v>
      </c>
      <c r="G1869" s="20">
        <v>57</v>
      </c>
      <c r="H1869" s="11">
        <v>12360.420277732501</v>
      </c>
      <c r="I1869" s="10">
        <v>3816950.3087694501</v>
      </c>
      <c r="J1869" s="34">
        <f t="shared" si="116"/>
        <v>3.2382974044315991E-3</v>
      </c>
      <c r="K1869" s="34">
        <f t="shared" si="117"/>
        <v>3.2330597745848788E-3</v>
      </c>
      <c r="L1869" s="34">
        <f t="shared" si="118"/>
        <v>0.9716836921428107</v>
      </c>
      <c r="M1869" s="34">
        <f t="shared" si="119"/>
        <v>0.96854218068412368</v>
      </c>
    </row>
    <row r="1870" spans="1:13" ht="27.6">
      <c r="A1870" t="s">
        <v>164</v>
      </c>
      <c r="B1870" t="s">
        <v>112</v>
      </c>
      <c r="C1870" s="14" t="s">
        <v>294</v>
      </c>
      <c r="D1870" t="s">
        <v>112</v>
      </c>
      <c r="E1870" t="s">
        <v>383</v>
      </c>
      <c r="F1870" s="20">
        <v>2045</v>
      </c>
      <c r="G1870" s="20">
        <v>58</v>
      </c>
      <c r="H1870" s="11">
        <v>13412.8052976126</v>
      </c>
      <c r="I1870" s="10">
        <v>3745132.5242814701</v>
      </c>
      <c r="J1870" s="34">
        <f t="shared" si="116"/>
        <v>3.5813967091020207E-3</v>
      </c>
      <c r="K1870" s="34">
        <f t="shared" si="117"/>
        <v>3.5749911571306692E-3</v>
      </c>
      <c r="L1870" s="34">
        <f t="shared" si="118"/>
        <v>0.96854218068412368</v>
      </c>
      <c r="M1870" s="34">
        <f t="shared" si="119"/>
        <v>0.96507965095286985</v>
      </c>
    </row>
    <row r="1871" spans="1:13" ht="27.6">
      <c r="A1871" t="s">
        <v>164</v>
      </c>
      <c r="B1871" t="s">
        <v>112</v>
      </c>
      <c r="C1871" s="14" t="s">
        <v>294</v>
      </c>
      <c r="D1871" t="s">
        <v>112</v>
      </c>
      <c r="E1871" t="s">
        <v>383</v>
      </c>
      <c r="F1871" s="20">
        <v>2045</v>
      </c>
      <c r="G1871" s="20">
        <v>59</v>
      </c>
      <c r="H1871" s="11">
        <v>14128.853705936601</v>
      </c>
      <c r="I1871" s="10">
        <v>3728424.6151492102</v>
      </c>
      <c r="J1871" s="34">
        <f t="shared" si="116"/>
        <v>3.7894969496040541E-3</v>
      </c>
      <c r="K1871" s="34">
        <f t="shared" si="117"/>
        <v>3.7823258671633164E-3</v>
      </c>
      <c r="L1871" s="34">
        <f t="shared" si="118"/>
        <v>0.96507965095286985</v>
      </c>
      <c r="M1871" s="34">
        <f t="shared" si="119"/>
        <v>0.96142940522519782</v>
      </c>
    </row>
    <row r="1872" spans="1:13" ht="27.6">
      <c r="A1872" t="s">
        <v>164</v>
      </c>
      <c r="B1872" t="s">
        <v>112</v>
      </c>
      <c r="C1872" s="14" t="s">
        <v>294</v>
      </c>
      <c r="D1872" t="s">
        <v>112</v>
      </c>
      <c r="E1872" t="s">
        <v>383</v>
      </c>
      <c r="F1872" s="20">
        <v>2045</v>
      </c>
      <c r="G1872" s="20">
        <v>60</v>
      </c>
      <c r="H1872" s="11">
        <v>15284.1510404527</v>
      </c>
      <c r="I1872" s="10">
        <v>3761508.6858628402</v>
      </c>
      <c r="J1872" s="34">
        <f t="shared" si="116"/>
        <v>4.063303402141877E-3</v>
      </c>
      <c r="K1872" s="34">
        <f t="shared" si="117"/>
        <v>4.0550593546748726E-3</v>
      </c>
      <c r="L1872" s="34">
        <f t="shared" si="118"/>
        <v>0.96142940522519782</v>
      </c>
      <c r="M1872" s="34">
        <f t="shared" si="119"/>
        <v>0.95753075192167991</v>
      </c>
    </row>
    <row r="1873" spans="1:13" ht="27.6">
      <c r="A1873" t="s">
        <v>164</v>
      </c>
      <c r="B1873" t="s">
        <v>112</v>
      </c>
      <c r="C1873" s="14" t="s">
        <v>294</v>
      </c>
      <c r="D1873" t="s">
        <v>112</v>
      </c>
      <c r="E1873" t="s">
        <v>383</v>
      </c>
      <c r="F1873" s="20">
        <v>2045</v>
      </c>
      <c r="G1873" s="20">
        <v>61</v>
      </c>
      <c r="H1873" s="11">
        <v>16368.356610429</v>
      </c>
      <c r="I1873" s="10">
        <v>3753315.8175797402</v>
      </c>
      <c r="J1873" s="34">
        <f t="shared" si="116"/>
        <v>4.3610389868507914E-3</v>
      </c>
      <c r="K1873" s="34">
        <f t="shared" si="117"/>
        <v>4.3515434647907192E-3</v>
      </c>
      <c r="L1873" s="34">
        <f t="shared" si="118"/>
        <v>0.95753075192167991</v>
      </c>
      <c r="M1873" s="34">
        <f t="shared" si="119"/>
        <v>0.95336401523581893</v>
      </c>
    </row>
    <row r="1874" spans="1:13" ht="27.6">
      <c r="A1874" t="s">
        <v>164</v>
      </c>
      <c r="B1874" t="s">
        <v>112</v>
      </c>
      <c r="C1874" s="14" t="s">
        <v>294</v>
      </c>
      <c r="D1874" t="s">
        <v>112</v>
      </c>
      <c r="E1874" t="s">
        <v>383</v>
      </c>
      <c r="F1874" s="20">
        <v>2045</v>
      </c>
      <c r="G1874" s="20">
        <v>62</v>
      </c>
      <c r="H1874" s="11">
        <v>17448.562963208999</v>
      </c>
      <c r="I1874" s="10">
        <v>3690782.6816986199</v>
      </c>
      <c r="J1874" s="34">
        <f t="shared" si="116"/>
        <v>4.7276050821769312E-3</v>
      </c>
      <c r="K1874" s="34">
        <f t="shared" si="117"/>
        <v>4.7164475470019562E-3</v>
      </c>
      <c r="L1874" s="34">
        <f t="shared" si="118"/>
        <v>0.95336401523581893</v>
      </c>
      <c r="M1874" s="34">
        <f t="shared" si="119"/>
        <v>0.94886752386476003</v>
      </c>
    </row>
    <row r="1875" spans="1:13" ht="27.6">
      <c r="A1875" t="s">
        <v>164</v>
      </c>
      <c r="B1875" t="s">
        <v>112</v>
      </c>
      <c r="C1875" s="14" t="s">
        <v>294</v>
      </c>
      <c r="D1875" t="s">
        <v>112</v>
      </c>
      <c r="E1875" t="s">
        <v>383</v>
      </c>
      <c r="F1875" s="20">
        <v>2045</v>
      </c>
      <c r="G1875" s="20">
        <v>63</v>
      </c>
      <c r="H1875" s="11">
        <v>18472.156048487301</v>
      </c>
      <c r="I1875" s="10">
        <v>3604265.0201900601</v>
      </c>
      <c r="J1875" s="34">
        <f t="shared" si="116"/>
        <v>5.1250826298875288E-3</v>
      </c>
      <c r="K1875" s="34">
        <f t="shared" si="117"/>
        <v>5.1119718014949189E-3</v>
      </c>
      <c r="L1875" s="34">
        <f t="shared" si="118"/>
        <v>0.94886752386476003</v>
      </c>
      <c r="M1875" s="34">
        <f t="shared" si="119"/>
        <v>0.94401693983940904</v>
      </c>
    </row>
    <row r="1876" spans="1:13" ht="27.6">
      <c r="A1876" t="s">
        <v>164</v>
      </c>
      <c r="B1876" t="s">
        <v>112</v>
      </c>
      <c r="C1876" s="14" t="s">
        <v>294</v>
      </c>
      <c r="D1876" t="s">
        <v>112</v>
      </c>
      <c r="E1876" t="s">
        <v>383</v>
      </c>
      <c r="F1876" s="20">
        <v>2045</v>
      </c>
      <c r="G1876" s="20">
        <v>64</v>
      </c>
      <c r="H1876" s="11">
        <v>19770.655571832802</v>
      </c>
      <c r="I1876" s="10">
        <v>3510357.0004946301</v>
      </c>
      <c r="J1876" s="34">
        <f t="shared" si="116"/>
        <v>5.6320925675214795E-3</v>
      </c>
      <c r="K1876" s="34">
        <f t="shared" si="117"/>
        <v>5.6162620677336905E-3</v>
      </c>
      <c r="L1876" s="34">
        <f t="shared" si="118"/>
        <v>0.94401693983940904</v>
      </c>
      <c r="M1876" s="34">
        <f t="shared" si="119"/>
        <v>0.93871509330889091</v>
      </c>
    </row>
    <row r="1877" spans="1:13" ht="27.6">
      <c r="A1877" t="s">
        <v>164</v>
      </c>
      <c r="B1877" t="s">
        <v>112</v>
      </c>
      <c r="C1877" s="14" t="s">
        <v>294</v>
      </c>
      <c r="D1877" t="s">
        <v>112</v>
      </c>
      <c r="E1877" t="s">
        <v>383</v>
      </c>
      <c r="F1877" s="20">
        <v>2045</v>
      </c>
      <c r="G1877" s="20">
        <v>65</v>
      </c>
      <c r="H1877" s="11">
        <v>21032.1315070948</v>
      </c>
      <c r="I1877" s="10">
        <v>3419084.3694384098</v>
      </c>
      <c r="J1877" s="34">
        <f t="shared" si="116"/>
        <v>6.1513929562812637E-3</v>
      </c>
      <c r="K1877" s="34">
        <f t="shared" si="117"/>
        <v>6.1325118734544271E-3</v>
      </c>
      <c r="L1877" s="34">
        <f t="shared" si="118"/>
        <v>0.93871509330889091</v>
      </c>
      <c r="M1877" s="34">
        <f t="shared" si="119"/>
        <v>0.93295841185338324</v>
      </c>
    </row>
    <row r="1878" spans="1:13" ht="27.6">
      <c r="A1878" t="s">
        <v>164</v>
      </c>
      <c r="B1878" t="s">
        <v>112</v>
      </c>
      <c r="C1878" s="14" t="s">
        <v>294</v>
      </c>
      <c r="D1878" t="s">
        <v>112</v>
      </c>
      <c r="E1878" t="s">
        <v>383</v>
      </c>
      <c r="F1878" s="20">
        <v>2045</v>
      </c>
      <c r="G1878" s="20">
        <v>66</v>
      </c>
      <c r="H1878" s="11">
        <v>21456.300459345399</v>
      </c>
      <c r="I1878" s="10">
        <v>3313587.8350156602</v>
      </c>
      <c r="J1878" s="34">
        <f t="shared" si="116"/>
        <v>6.4752472328061875E-3</v>
      </c>
      <c r="K1878" s="34">
        <f t="shared" si="117"/>
        <v>6.4543279962067102E-3</v>
      </c>
      <c r="L1878" s="34">
        <f t="shared" si="118"/>
        <v>0.93295841185338324</v>
      </c>
      <c r="M1878" s="34">
        <f t="shared" si="119"/>
        <v>0.92693679225646142</v>
      </c>
    </row>
    <row r="1879" spans="1:13" ht="27.6">
      <c r="A1879" t="s">
        <v>164</v>
      </c>
      <c r="B1879" t="s">
        <v>112</v>
      </c>
      <c r="C1879" s="14" t="s">
        <v>294</v>
      </c>
      <c r="D1879" t="s">
        <v>112</v>
      </c>
      <c r="E1879" t="s">
        <v>383</v>
      </c>
      <c r="F1879" s="20">
        <v>2045</v>
      </c>
      <c r="G1879" s="20">
        <v>67</v>
      </c>
      <c r="H1879" s="11">
        <v>22467.8876793565</v>
      </c>
      <c r="I1879" s="10">
        <v>3185335.8195130299</v>
      </c>
      <c r="J1879" s="34">
        <f t="shared" si="116"/>
        <v>7.053538136142695E-3</v>
      </c>
      <c r="K1879" s="34">
        <f t="shared" si="117"/>
        <v>7.0287203214401961E-3</v>
      </c>
      <c r="L1879" s="34">
        <f t="shared" si="118"/>
        <v>0.92693679225646142</v>
      </c>
      <c r="M1879" s="34">
        <f t="shared" si="119"/>
        <v>0.9204216127880378</v>
      </c>
    </row>
    <row r="1880" spans="1:13" ht="27.6">
      <c r="A1880" t="s">
        <v>164</v>
      </c>
      <c r="B1880" t="s">
        <v>112</v>
      </c>
      <c r="C1880" s="14" t="s">
        <v>294</v>
      </c>
      <c r="D1880" t="s">
        <v>112</v>
      </c>
      <c r="E1880" t="s">
        <v>383</v>
      </c>
      <c r="F1880" s="20">
        <v>2045</v>
      </c>
      <c r="G1880" s="20">
        <v>68</v>
      </c>
      <c r="H1880" s="11">
        <v>23364.194259209002</v>
      </c>
      <c r="I1880" s="10">
        <v>3059531.7578003402</v>
      </c>
      <c r="J1880" s="34">
        <f t="shared" si="116"/>
        <v>7.6365261447741148E-3</v>
      </c>
      <c r="K1880" s="34">
        <f t="shared" si="117"/>
        <v>7.607441960129302E-3</v>
      </c>
      <c r="L1880" s="34">
        <f t="shared" si="118"/>
        <v>0.9204216127880378</v>
      </c>
      <c r="M1880" s="34">
        <f t="shared" si="119"/>
        <v>0.91341955878990422</v>
      </c>
    </row>
    <row r="1881" spans="1:13" ht="27.6">
      <c r="A1881" t="s">
        <v>164</v>
      </c>
      <c r="B1881" t="s">
        <v>112</v>
      </c>
      <c r="C1881" s="14" t="s">
        <v>294</v>
      </c>
      <c r="D1881" t="s">
        <v>112</v>
      </c>
      <c r="E1881" t="s">
        <v>383</v>
      </c>
      <c r="F1881" s="20">
        <v>2045</v>
      </c>
      <c r="G1881" s="20">
        <v>69</v>
      </c>
      <c r="H1881" s="11">
        <v>23735.832986353798</v>
      </c>
      <c r="I1881" s="10">
        <v>2944262.3404693999</v>
      </c>
      <c r="J1881" s="34">
        <f t="shared" si="116"/>
        <v>8.0617248877929894E-3</v>
      </c>
      <c r="K1881" s="34">
        <f t="shared" si="117"/>
        <v>8.0293163318068128E-3</v>
      </c>
      <c r="L1881" s="34">
        <f t="shared" si="118"/>
        <v>0.91341955878990422</v>
      </c>
      <c r="M1881" s="34">
        <f t="shared" si="119"/>
        <v>0.90608542420872062</v>
      </c>
    </row>
    <row r="1882" spans="1:13" ht="27.6">
      <c r="A1882" t="s">
        <v>164</v>
      </c>
      <c r="B1882" t="s">
        <v>112</v>
      </c>
      <c r="C1882" s="14" t="s">
        <v>294</v>
      </c>
      <c r="D1882" t="s">
        <v>112</v>
      </c>
      <c r="E1882" t="s">
        <v>383</v>
      </c>
      <c r="F1882" s="20">
        <v>2046</v>
      </c>
      <c r="G1882" s="20">
        <v>30</v>
      </c>
      <c r="H1882" s="11">
        <v>701.27746796755105</v>
      </c>
      <c r="I1882" s="10">
        <v>4588841.9041028703</v>
      </c>
      <c r="J1882" s="34">
        <f t="shared" si="116"/>
        <v>1.5282232045094884E-4</v>
      </c>
      <c r="K1882" s="34">
        <f t="shared" si="117"/>
        <v>1.5281064371497344E-4</v>
      </c>
      <c r="L1882" s="34">
        <f t="shared" si="118"/>
        <v>1</v>
      </c>
      <c r="M1882" s="34">
        <f t="shared" si="119"/>
        <v>0.99984718935628503</v>
      </c>
    </row>
    <row r="1883" spans="1:13" ht="27.6">
      <c r="A1883" t="s">
        <v>164</v>
      </c>
      <c r="B1883" t="s">
        <v>112</v>
      </c>
      <c r="C1883" s="14" t="s">
        <v>294</v>
      </c>
      <c r="D1883" t="s">
        <v>112</v>
      </c>
      <c r="E1883" t="s">
        <v>383</v>
      </c>
      <c r="F1883" s="20">
        <v>2046</v>
      </c>
      <c r="G1883" s="20">
        <v>31</v>
      </c>
      <c r="H1883" s="11">
        <v>1019.70468469388</v>
      </c>
      <c r="I1883" s="10">
        <v>4652374.4754315801</v>
      </c>
      <c r="J1883" s="34">
        <f t="shared" si="116"/>
        <v>2.1917940829543531E-4</v>
      </c>
      <c r="K1883" s="34">
        <f t="shared" si="117"/>
        <v>2.1915539024375263E-4</v>
      </c>
      <c r="L1883" s="34">
        <f t="shared" si="118"/>
        <v>0.99984718935628503</v>
      </c>
      <c r="M1883" s="34">
        <f t="shared" si="119"/>
        <v>0.99962806745531751</v>
      </c>
    </row>
    <row r="1884" spans="1:13" ht="27.6">
      <c r="A1884" t="s">
        <v>164</v>
      </c>
      <c r="B1884" t="s">
        <v>112</v>
      </c>
      <c r="C1884" s="14" t="s">
        <v>294</v>
      </c>
      <c r="D1884" t="s">
        <v>112</v>
      </c>
      <c r="E1884" t="s">
        <v>383</v>
      </c>
      <c r="F1884" s="20">
        <v>2046</v>
      </c>
      <c r="G1884" s="20">
        <v>32</v>
      </c>
      <c r="H1884" s="11">
        <v>1086.22633643516</v>
      </c>
      <c r="I1884" s="10">
        <v>4724131.8303708602</v>
      </c>
      <c r="J1884" s="34">
        <f t="shared" si="116"/>
        <v>2.2993141924023902E-4</v>
      </c>
      <c r="K1884" s="34">
        <f t="shared" si="117"/>
        <v>2.2990498703734374E-4</v>
      </c>
      <c r="L1884" s="34">
        <f t="shared" si="118"/>
        <v>0.99962806745531751</v>
      </c>
      <c r="M1884" s="34">
        <f t="shared" si="119"/>
        <v>0.99939824797742705</v>
      </c>
    </row>
    <row r="1885" spans="1:13" ht="27.6">
      <c r="A1885" t="s">
        <v>164</v>
      </c>
      <c r="B1885" t="s">
        <v>112</v>
      </c>
      <c r="C1885" s="14" t="s">
        <v>294</v>
      </c>
      <c r="D1885" t="s">
        <v>112</v>
      </c>
      <c r="E1885" t="s">
        <v>383</v>
      </c>
      <c r="F1885" s="20">
        <v>2046</v>
      </c>
      <c r="G1885" s="20">
        <v>33</v>
      </c>
      <c r="H1885" s="11">
        <v>1169.8203351116999</v>
      </c>
      <c r="I1885" s="10">
        <v>4815195.4697925597</v>
      </c>
      <c r="J1885" s="34">
        <f t="shared" si="116"/>
        <v>2.429434780893944E-4</v>
      </c>
      <c r="K1885" s="34">
        <f t="shared" si="117"/>
        <v>2.4291396971232171E-4</v>
      </c>
      <c r="L1885" s="34">
        <f t="shared" si="118"/>
        <v>0.99939824797742705</v>
      </c>
      <c r="M1885" s="34">
        <f t="shared" si="119"/>
        <v>0.99915548018168732</v>
      </c>
    </row>
    <row r="1886" spans="1:13" ht="27.6">
      <c r="A1886" t="s">
        <v>164</v>
      </c>
      <c r="B1886" t="s">
        <v>112</v>
      </c>
      <c r="C1886" s="14" t="s">
        <v>294</v>
      </c>
      <c r="D1886" t="s">
        <v>112</v>
      </c>
      <c r="E1886" t="s">
        <v>383</v>
      </c>
      <c r="F1886" s="20">
        <v>2046</v>
      </c>
      <c r="G1886" s="20">
        <v>34</v>
      </c>
      <c r="H1886" s="11">
        <v>1250.2060678334799</v>
      </c>
      <c r="I1886" s="10">
        <v>4858257.8610567199</v>
      </c>
      <c r="J1886" s="34">
        <f t="shared" si="116"/>
        <v>2.5733629288288693E-4</v>
      </c>
      <c r="K1886" s="34">
        <f t="shared" si="117"/>
        <v>2.5730318473915492E-4</v>
      </c>
      <c r="L1886" s="34">
        <f t="shared" si="118"/>
        <v>0.99915548018168732</v>
      </c>
      <c r="M1886" s="34">
        <f t="shared" si="119"/>
        <v>0.99889839429458704</v>
      </c>
    </row>
    <row r="1887" spans="1:13" ht="27.6">
      <c r="A1887" t="s">
        <v>164</v>
      </c>
      <c r="B1887" t="s">
        <v>112</v>
      </c>
      <c r="C1887" s="14" t="s">
        <v>294</v>
      </c>
      <c r="D1887" t="s">
        <v>112</v>
      </c>
      <c r="E1887" t="s">
        <v>383</v>
      </c>
      <c r="F1887" s="20">
        <v>2046</v>
      </c>
      <c r="G1887" s="20">
        <v>35</v>
      </c>
      <c r="H1887" s="11">
        <v>1322.52018963921</v>
      </c>
      <c r="I1887" s="10">
        <v>4778280.0474672103</v>
      </c>
      <c r="J1887" s="34">
        <f t="shared" si="116"/>
        <v>2.7677745475387721E-4</v>
      </c>
      <c r="K1887" s="34">
        <f t="shared" si="117"/>
        <v>2.7673915540771254E-4</v>
      </c>
      <c r="L1887" s="34">
        <f t="shared" si="118"/>
        <v>0.99889839429458704</v>
      </c>
      <c r="M1887" s="34">
        <f t="shared" si="119"/>
        <v>0.99862195999661185</v>
      </c>
    </row>
    <row r="1888" spans="1:13" ht="27.6">
      <c r="A1888" t="s">
        <v>164</v>
      </c>
      <c r="B1888" t="s">
        <v>112</v>
      </c>
      <c r="C1888" s="14" t="s">
        <v>294</v>
      </c>
      <c r="D1888" t="s">
        <v>112</v>
      </c>
      <c r="E1888" t="s">
        <v>383</v>
      </c>
      <c r="F1888" s="20">
        <v>2046</v>
      </c>
      <c r="G1888" s="20">
        <v>36</v>
      </c>
      <c r="H1888" s="11">
        <v>1642.6985760339601</v>
      </c>
      <c r="I1888" s="10">
        <v>4676741.2632541005</v>
      </c>
      <c r="J1888" s="34">
        <f t="shared" si="116"/>
        <v>3.5124854756043571E-4</v>
      </c>
      <c r="K1888" s="34">
        <f t="shared" si="117"/>
        <v>3.5118686701129942E-4</v>
      </c>
      <c r="L1888" s="34">
        <f t="shared" si="118"/>
        <v>0.99862195999661185</v>
      </c>
      <c r="M1888" s="34">
        <f t="shared" si="119"/>
        <v>0.99827125707915199</v>
      </c>
    </row>
    <row r="1889" spans="1:13" ht="27.6">
      <c r="A1889" t="s">
        <v>164</v>
      </c>
      <c r="B1889" t="s">
        <v>112</v>
      </c>
      <c r="C1889" s="14" t="s">
        <v>294</v>
      </c>
      <c r="D1889" t="s">
        <v>112</v>
      </c>
      <c r="E1889" t="s">
        <v>383</v>
      </c>
      <c r="F1889" s="20">
        <v>2046</v>
      </c>
      <c r="G1889" s="20">
        <v>37</v>
      </c>
      <c r="H1889" s="11">
        <v>1765.6940185671499</v>
      </c>
      <c r="I1889" s="10">
        <v>4619358.08161972</v>
      </c>
      <c r="J1889" s="34">
        <f t="shared" si="116"/>
        <v>3.8223796193518548E-4</v>
      </c>
      <c r="K1889" s="34">
        <f t="shared" si="117"/>
        <v>3.8216491831244426E-4</v>
      </c>
      <c r="L1889" s="34">
        <f t="shared" si="118"/>
        <v>0.99827125707915199</v>
      </c>
      <c r="M1889" s="34">
        <f t="shared" si="119"/>
        <v>0.99788975282573666</v>
      </c>
    </row>
    <row r="1890" spans="1:13" ht="27.6">
      <c r="A1890" t="s">
        <v>164</v>
      </c>
      <c r="B1890" t="s">
        <v>112</v>
      </c>
      <c r="C1890" s="14" t="s">
        <v>294</v>
      </c>
      <c r="D1890" t="s">
        <v>112</v>
      </c>
      <c r="E1890" t="s">
        <v>383</v>
      </c>
      <c r="F1890" s="20">
        <v>2046</v>
      </c>
      <c r="G1890" s="20">
        <v>38</v>
      </c>
      <c r="H1890" s="11">
        <v>1930.69189669514</v>
      </c>
      <c r="I1890" s="10">
        <v>4610169.0493239304</v>
      </c>
      <c r="J1890" s="34">
        <f t="shared" si="116"/>
        <v>4.1878982658526831E-4</v>
      </c>
      <c r="K1890" s="34">
        <f t="shared" si="117"/>
        <v>4.1870214636607894E-4</v>
      </c>
      <c r="L1890" s="34">
        <f t="shared" si="118"/>
        <v>0.99788975282573666</v>
      </c>
      <c r="M1890" s="34">
        <f t="shared" si="119"/>
        <v>0.99747193424439184</v>
      </c>
    </row>
    <row r="1891" spans="1:13" ht="27.6">
      <c r="A1891" t="s">
        <v>164</v>
      </c>
      <c r="B1891" t="s">
        <v>112</v>
      </c>
      <c r="C1891" s="14" t="s">
        <v>294</v>
      </c>
      <c r="D1891" t="s">
        <v>112</v>
      </c>
      <c r="E1891" t="s">
        <v>383</v>
      </c>
      <c r="F1891" s="20">
        <v>2046</v>
      </c>
      <c r="G1891" s="20">
        <v>39</v>
      </c>
      <c r="H1891" s="11">
        <v>2038.64906992171</v>
      </c>
      <c r="I1891" s="10">
        <v>4580787.7760543805</v>
      </c>
      <c r="J1891" s="34">
        <f t="shared" si="116"/>
        <v>4.4504333524869854E-4</v>
      </c>
      <c r="K1891" s="34">
        <f t="shared" si="117"/>
        <v>4.4494431815311764E-4</v>
      </c>
      <c r="L1891" s="34">
        <f t="shared" si="118"/>
        <v>0.99747193424439184</v>
      </c>
      <c r="M1891" s="34">
        <f t="shared" si="119"/>
        <v>0.99702811477473263</v>
      </c>
    </row>
    <row r="1892" spans="1:13" ht="27.6">
      <c r="A1892" t="s">
        <v>164</v>
      </c>
      <c r="B1892" t="s">
        <v>112</v>
      </c>
      <c r="C1892" s="14" t="s">
        <v>294</v>
      </c>
      <c r="D1892" t="s">
        <v>112</v>
      </c>
      <c r="E1892" t="s">
        <v>383</v>
      </c>
      <c r="F1892" s="20">
        <v>2046</v>
      </c>
      <c r="G1892" s="20">
        <v>40</v>
      </c>
      <c r="H1892" s="11">
        <v>2186.7808416114799</v>
      </c>
      <c r="I1892" s="10">
        <v>4507851.2056976203</v>
      </c>
      <c r="J1892" s="34">
        <f t="shared" si="116"/>
        <v>4.8510492956101484E-4</v>
      </c>
      <c r="K1892" s="34">
        <f t="shared" si="117"/>
        <v>4.8498728518875378E-4</v>
      </c>
      <c r="L1892" s="34">
        <f t="shared" si="118"/>
        <v>0.99702811477473263</v>
      </c>
      <c r="M1892" s="34">
        <f t="shared" si="119"/>
        <v>0.99654456881609121</v>
      </c>
    </row>
    <row r="1893" spans="1:13" ht="27.6">
      <c r="A1893" t="s">
        <v>164</v>
      </c>
      <c r="B1893" t="s">
        <v>112</v>
      </c>
      <c r="C1893" s="14" t="s">
        <v>294</v>
      </c>
      <c r="D1893" t="s">
        <v>112</v>
      </c>
      <c r="E1893" t="s">
        <v>383</v>
      </c>
      <c r="F1893" s="20">
        <v>2046</v>
      </c>
      <c r="G1893" s="20">
        <v>41</v>
      </c>
      <c r="H1893" s="11">
        <v>2782.9033192080201</v>
      </c>
      <c r="I1893" s="10">
        <v>4412098.9813929498</v>
      </c>
      <c r="J1893" s="34">
        <f t="shared" si="116"/>
        <v>6.3074362813352524E-4</v>
      </c>
      <c r="K1893" s="34">
        <f t="shared" si="117"/>
        <v>6.3054475118695663E-4</v>
      </c>
      <c r="L1893" s="34">
        <f t="shared" si="118"/>
        <v>0.99654456881609121</v>
      </c>
      <c r="M1893" s="34">
        <f t="shared" si="119"/>
        <v>0.99591620286890037</v>
      </c>
    </row>
    <row r="1894" spans="1:13" ht="27.6">
      <c r="A1894" t="s">
        <v>164</v>
      </c>
      <c r="B1894" t="s">
        <v>112</v>
      </c>
      <c r="C1894" s="14" t="s">
        <v>294</v>
      </c>
      <c r="D1894" t="s">
        <v>112</v>
      </c>
      <c r="E1894" t="s">
        <v>383</v>
      </c>
      <c r="F1894" s="20">
        <v>2046</v>
      </c>
      <c r="G1894" s="20">
        <v>42</v>
      </c>
      <c r="H1894" s="11">
        <v>3027.8343555626998</v>
      </c>
      <c r="I1894" s="10">
        <v>4312706.2571081603</v>
      </c>
      <c r="J1894" s="34">
        <f t="shared" si="116"/>
        <v>7.020729386733105E-4</v>
      </c>
      <c r="K1894" s="34">
        <f t="shared" si="117"/>
        <v>7.0182654313366566E-4</v>
      </c>
      <c r="L1894" s="34">
        <f t="shared" si="118"/>
        <v>0.99591620286890037</v>
      </c>
      <c r="M1894" s="34">
        <f t="shared" si="119"/>
        <v>0.99521724244299004</v>
      </c>
    </row>
    <row r="1895" spans="1:13" ht="27.6">
      <c r="A1895" t="s">
        <v>164</v>
      </c>
      <c r="B1895" t="s">
        <v>112</v>
      </c>
      <c r="C1895" s="14" t="s">
        <v>294</v>
      </c>
      <c r="D1895" t="s">
        <v>112</v>
      </c>
      <c r="E1895" t="s">
        <v>383</v>
      </c>
      <c r="F1895" s="20">
        <v>2046</v>
      </c>
      <c r="G1895" s="20">
        <v>43</v>
      </c>
      <c r="H1895" s="11">
        <v>3380.7982669152598</v>
      </c>
      <c r="I1895" s="10">
        <v>4266191.7935411399</v>
      </c>
      <c r="J1895" s="34">
        <f t="shared" si="116"/>
        <v>7.9246279364037647E-4</v>
      </c>
      <c r="K1895" s="34">
        <f t="shared" si="117"/>
        <v>7.9214887792833366E-4</v>
      </c>
      <c r="L1895" s="34">
        <f t="shared" si="118"/>
        <v>0.99521724244299004</v>
      </c>
      <c r="M1895" s="34">
        <f t="shared" si="119"/>
        <v>0.99442888222109393</v>
      </c>
    </row>
    <row r="1896" spans="1:13" ht="27.6">
      <c r="A1896" t="s">
        <v>164</v>
      </c>
      <c r="B1896" t="s">
        <v>112</v>
      </c>
      <c r="C1896" s="14" t="s">
        <v>294</v>
      </c>
      <c r="D1896" t="s">
        <v>112</v>
      </c>
      <c r="E1896" t="s">
        <v>383</v>
      </c>
      <c r="F1896" s="20">
        <v>2046</v>
      </c>
      <c r="G1896" s="20">
        <v>44</v>
      </c>
      <c r="H1896" s="11">
        <v>3573.11149622737</v>
      </c>
      <c r="I1896" s="10">
        <v>4241518.1405164804</v>
      </c>
      <c r="J1896" s="34">
        <f t="shared" si="116"/>
        <v>8.4241334773409225E-4</v>
      </c>
      <c r="K1896" s="34">
        <f t="shared" si="117"/>
        <v>8.4205861722674857E-4</v>
      </c>
      <c r="L1896" s="34">
        <f t="shared" si="118"/>
        <v>0.99442888222109393</v>
      </c>
      <c r="M1896" s="34">
        <f t="shared" si="119"/>
        <v>0.99359151481160046</v>
      </c>
    </row>
    <row r="1897" spans="1:13" ht="27.6">
      <c r="A1897" t="s">
        <v>164</v>
      </c>
      <c r="B1897" t="s">
        <v>112</v>
      </c>
      <c r="C1897" s="14" t="s">
        <v>294</v>
      </c>
      <c r="D1897" t="s">
        <v>112</v>
      </c>
      <c r="E1897" t="s">
        <v>383</v>
      </c>
      <c r="F1897" s="20">
        <v>2046</v>
      </c>
      <c r="G1897" s="20">
        <v>45</v>
      </c>
      <c r="H1897" s="11">
        <v>3874.0977734776902</v>
      </c>
      <c r="I1897" s="10">
        <v>4216448.7093864903</v>
      </c>
      <c r="J1897" s="34">
        <f t="shared" si="116"/>
        <v>9.1880585784272152E-4</v>
      </c>
      <c r="K1897" s="34">
        <f t="shared" si="117"/>
        <v>9.1838388498743928E-4</v>
      </c>
      <c r="L1897" s="34">
        <f t="shared" si="118"/>
        <v>0.99359151481160046</v>
      </c>
      <c r="M1897" s="34">
        <f t="shared" si="119"/>
        <v>0.9926790163761372</v>
      </c>
    </row>
    <row r="1898" spans="1:13" ht="27.6">
      <c r="A1898" t="s">
        <v>164</v>
      </c>
      <c r="B1898" t="s">
        <v>112</v>
      </c>
      <c r="C1898" s="14" t="s">
        <v>294</v>
      </c>
      <c r="D1898" t="s">
        <v>112</v>
      </c>
      <c r="E1898" t="s">
        <v>383</v>
      </c>
      <c r="F1898" s="20">
        <v>2046</v>
      </c>
      <c r="G1898" s="20">
        <v>46</v>
      </c>
      <c r="H1898" s="11">
        <v>4841.0182829024097</v>
      </c>
      <c r="I1898" s="10">
        <v>4209984.8577316403</v>
      </c>
      <c r="J1898" s="34">
        <f t="shared" si="116"/>
        <v>1.1498897137389643E-3</v>
      </c>
      <c r="K1898" s="34">
        <f t="shared" si="117"/>
        <v>1.1492288438954557E-3</v>
      </c>
      <c r="L1898" s="34">
        <f t="shared" si="118"/>
        <v>0.9926790163761372</v>
      </c>
      <c r="M1898" s="34">
        <f t="shared" si="119"/>
        <v>0.991538201017788</v>
      </c>
    </row>
    <row r="1899" spans="1:13" ht="27.6">
      <c r="A1899" t="s">
        <v>164</v>
      </c>
      <c r="B1899" t="s">
        <v>112</v>
      </c>
      <c r="C1899" s="14" t="s">
        <v>294</v>
      </c>
      <c r="D1899" t="s">
        <v>112</v>
      </c>
      <c r="E1899" t="s">
        <v>383</v>
      </c>
      <c r="F1899" s="20">
        <v>2046</v>
      </c>
      <c r="G1899" s="20">
        <v>47</v>
      </c>
      <c r="H1899" s="11">
        <v>5395.8520819898804</v>
      </c>
      <c r="I1899" s="10">
        <v>4240619.2855461799</v>
      </c>
      <c r="J1899" s="34">
        <f t="shared" si="116"/>
        <v>1.2724207759893045E-3</v>
      </c>
      <c r="K1899" s="34">
        <f t="shared" si="117"/>
        <v>1.2716115919176874E-3</v>
      </c>
      <c r="L1899" s="34">
        <f t="shared" si="118"/>
        <v>0.991538201017788</v>
      </c>
      <c r="M1899" s="34">
        <f t="shared" si="119"/>
        <v>0.99027734954754454</v>
      </c>
    </row>
    <row r="1900" spans="1:13" ht="27.6">
      <c r="A1900" t="s">
        <v>164</v>
      </c>
      <c r="B1900" t="s">
        <v>112</v>
      </c>
      <c r="C1900" s="14" t="s">
        <v>294</v>
      </c>
      <c r="D1900" t="s">
        <v>112</v>
      </c>
      <c r="E1900" t="s">
        <v>383</v>
      </c>
      <c r="F1900" s="20">
        <v>2046</v>
      </c>
      <c r="G1900" s="20">
        <v>48</v>
      </c>
      <c r="H1900" s="11">
        <v>6032.6108478899896</v>
      </c>
      <c r="I1900" s="10">
        <v>4272810.5620268099</v>
      </c>
      <c r="J1900" s="34">
        <f t="shared" si="116"/>
        <v>1.4118601235221665E-3</v>
      </c>
      <c r="K1900" s="34">
        <f t="shared" si="117"/>
        <v>1.4108639179074567E-3</v>
      </c>
      <c r="L1900" s="34">
        <f t="shared" si="118"/>
        <v>0.99027734954754454</v>
      </c>
      <c r="M1900" s="34">
        <f t="shared" si="119"/>
        <v>0.98888020296634693</v>
      </c>
    </row>
    <row r="1901" spans="1:13" ht="27.6">
      <c r="A1901" t="s">
        <v>164</v>
      </c>
      <c r="B1901" t="s">
        <v>112</v>
      </c>
      <c r="C1901" s="14" t="s">
        <v>294</v>
      </c>
      <c r="D1901" t="s">
        <v>112</v>
      </c>
      <c r="E1901" t="s">
        <v>383</v>
      </c>
      <c r="F1901" s="20">
        <v>2046</v>
      </c>
      <c r="G1901" s="20">
        <v>49</v>
      </c>
      <c r="H1901" s="11">
        <v>6501.9618333794497</v>
      </c>
      <c r="I1901" s="10">
        <v>4258916.4904474104</v>
      </c>
      <c r="J1901" s="34">
        <f t="shared" si="116"/>
        <v>1.526670421447123E-3</v>
      </c>
      <c r="K1901" s="34">
        <f t="shared" si="117"/>
        <v>1.5255056529738242E-3</v>
      </c>
      <c r="L1901" s="34">
        <f t="shared" si="118"/>
        <v>0.98888020296634693</v>
      </c>
      <c r="M1901" s="34">
        <f t="shared" si="119"/>
        <v>0.98737166062660786</v>
      </c>
    </row>
    <row r="1902" spans="1:13" ht="27.6">
      <c r="A1902" t="s">
        <v>164</v>
      </c>
      <c r="B1902" t="s">
        <v>112</v>
      </c>
      <c r="C1902" s="14" t="s">
        <v>294</v>
      </c>
      <c r="D1902" t="s">
        <v>112</v>
      </c>
      <c r="E1902" t="s">
        <v>383</v>
      </c>
      <c r="F1902" s="20">
        <v>2046</v>
      </c>
      <c r="G1902" s="20">
        <v>50</v>
      </c>
      <c r="H1902" s="11">
        <v>6948.2096480643404</v>
      </c>
      <c r="I1902" s="10">
        <v>4187128.3431222499</v>
      </c>
      <c r="J1902" s="34">
        <f t="shared" si="116"/>
        <v>1.6594212258808415E-3</v>
      </c>
      <c r="K1902" s="34">
        <f t="shared" si="117"/>
        <v>1.6580451477480329E-3</v>
      </c>
      <c r="L1902" s="34">
        <f t="shared" si="118"/>
        <v>0.98737166062660786</v>
      </c>
      <c r="M1902" s="34">
        <f t="shared" si="119"/>
        <v>0.98573455383568198</v>
      </c>
    </row>
    <row r="1903" spans="1:13" ht="27.6">
      <c r="A1903" t="s">
        <v>164</v>
      </c>
      <c r="B1903" t="s">
        <v>112</v>
      </c>
      <c r="C1903" s="14" t="s">
        <v>294</v>
      </c>
      <c r="D1903" t="s">
        <v>112</v>
      </c>
      <c r="E1903" t="s">
        <v>383</v>
      </c>
      <c r="F1903" s="20">
        <v>2046</v>
      </c>
      <c r="G1903" s="20">
        <v>51</v>
      </c>
      <c r="H1903" s="11">
        <v>7695.6279098901796</v>
      </c>
      <c r="I1903" s="10">
        <v>4112550.8891956201</v>
      </c>
      <c r="J1903" s="34">
        <f t="shared" si="116"/>
        <v>1.8712541479080345E-3</v>
      </c>
      <c r="K1903" s="34">
        <f t="shared" si="117"/>
        <v>1.8695044434157149E-3</v>
      </c>
      <c r="L1903" s="34">
        <f t="shared" si="118"/>
        <v>0.98573455383568198</v>
      </c>
      <c r="M1903" s="34">
        <f t="shared" si="119"/>
        <v>0.98389171870725778</v>
      </c>
    </row>
    <row r="1904" spans="1:13" ht="27.6">
      <c r="A1904" t="s">
        <v>164</v>
      </c>
      <c r="B1904" t="s">
        <v>112</v>
      </c>
      <c r="C1904" s="14" t="s">
        <v>294</v>
      </c>
      <c r="D1904" t="s">
        <v>112</v>
      </c>
      <c r="E1904" t="s">
        <v>383</v>
      </c>
      <c r="F1904" s="20">
        <v>2046</v>
      </c>
      <c r="G1904" s="20">
        <v>52</v>
      </c>
      <c r="H1904" s="11">
        <v>8247.4303795997694</v>
      </c>
      <c r="I1904" s="10">
        <v>4046146.9301181501</v>
      </c>
      <c r="J1904" s="34">
        <f t="shared" si="116"/>
        <v>2.0383417908550689E-3</v>
      </c>
      <c r="K1904" s="34">
        <f t="shared" si="117"/>
        <v>2.0362657830043096E-3</v>
      </c>
      <c r="L1904" s="34">
        <f t="shared" si="118"/>
        <v>0.98389171870725778</v>
      </c>
      <c r="M1904" s="34">
        <f t="shared" si="119"/>
        <v>0.98188825366627286</v>
      </c>
    </row>
    <row r="1905" spans="1:13" ht="27.6">
      <c r="A1905" t="s">
        <v>164</v>
      </c>
      <c r="B1905" t="s">
        <v>112</v>
      </c>
      <c r="C1905" s="14" t="s">
        <v>294</v>
      </c>
      <c r="D1905" t="s">
        <v>112</v>
      </c>
      <c r="E1905" t="s">
        <v>383</v>
      </c>
      <c r="F1905" s="20">
        <v>2046</v>
      </c>
      <c r="G1905" s="20">
        <v>53</v>
      </c>
      <c r="H1905" s="11">
        <v>8838.1493476449905</v>
      </c>
      <c r="I1905" s="10">
        <v>3981053.1871318398</v>
      </c>
      <c r="J1905" s="34">
        <f t="shared" si="116"/>
        <v>2.2200530694272032E-3</v>
      </c>
      <c r="K1905" s="34">
        <f t="shared" si="117"/>
        <v>2.2175905742387592E-3</v>
      </c>
      <c r="L1905" s="34">
        <f t="shared" si="118"/>
        <v>0.98188825366627286</v>
      </c>
      <c r="M1905" s="34">
        <f t="shared" si="119"/>
        <v>0.97971082752998673</v>
      </c>
    </row>
    <row r="1906" spans="1:13" ht="27.6">
      <c r="A1906" t="s">
        <v>164</v>
      </c>
      <c r="B1906" t="s">
        <v>112</v>
      </c>
      <c r="C1906" s="14" t="s">
        <v>294</v>
      </c>
      <c r="D1906" t="s">
        <v>112</v>
      </c>
      <c r="E1906" t="s">
        <v>383</v>
      </c>
      <c r="F1906" s="20">
        <v>2046</v>
      </c>
      <c r="G1906" s="20">
        <v>54</v>
      </c>
      <c r="H1906" s="11">
        <v>9604.6959134529698</v>
      </c>
      <c r="I1906" s="10">
        <v>3948093.0454148101</v>
      </c>
      <c r="J1906" s="34">
        <f t="shared" si="116"/>
        <v>2.4327430491050757E-3</v>
      </c>
      <c r="K1906" s="34">
        <f t="shared" si="117"/>
        <v>2.4297863278672782E-3</v>
      </c>
      <c r="L1906" s="34">
        <f t="shared" si="118"/>
        <v>0.97971082752998673</v>
      </c>
      <c r="M1906" s="34">
        <f t="shared" si="119"/>
        <v>0.9773303395559908</v>
      </c>
    </row>
    <row r="1907" spans="1:13" ht="27.6">
      <c r="A1907" t="s">
        <v>164</v>
      </c>
      <c r="B1907" t="s">
        <v>112</v>
      </c>
      <c r="C1907" s="14" t="s">
        <v>294</v>
      </c>
      <c r="D1907" t="s">
        <v>112</v>
      </c>
      <c r="E1907" t="s">
        <v>383</v>
      </c>
      <c r="F1907" s="20">
        <v>2046</v>
      </c>
      <c r="G1907" s="20">
        <v>55</v>
      </c>
      <c r="H1907" s="11">
        <v>10444.191050461601</v>
      </c>
      <c r="I1907" s="10">
        <v>3908108.9065598198</v>
      </c>
      <c r="J1907" s="34">
        <f t="shared" si="116"/>
        <v>2.6724411474129775E-3</v>
      </c>
      <c r="K1907" s="34">
        <f t="shared" si="117"/>
        <v>2.6688733555154665E-3</v>
      </c>
      <c r="L1907" s="34">
        <f t="shared" si="118"/>
        <v>0.9773303395559908</v>
      </c>
      <c r="M1907" s="34">
        <f t="shared" si="119"/>
        <v>0.97472196865321292</v>
      </c>
    </row>
    <row r="1908" spans="1:13" ht="27.6">
      <c r="A1908" t="s">
        <v>164</v>
      </c>
      <c r="B1908" t="s">
        <v>112</v>
      </c>
      <c r="C1908" s="14" t="s">
        <v>294</v>
      </c>
      <c r="D1908" t="s">
        <v>112</v>
      </c>
      <c r="E1908" t="s">
        <v>383</v>
      </c>
      <c r="F1908" s="20">
        <v>2046</v>
      </c>
      <c r="G1908" s="20">
        <v>56</v>
      </c>
      <c r="H1908" s="11">
        <v>11215.9087503675</v>
      </c>
      <c r="I1908" s="10">
        <v>3869896.4968767501</v>
      </c>
      <c r="J1908" s="34">
        <f t="shared" si="116"/>
        <v>2.898245149300361E-3</v>
      </c>
      <c r="K1908" s="34">
        <f t="shared" si="117"/>
        <v>2.8940492913480664E-3</v>
      </c>
      <c r="L1908" s="34">
        <f t="shared" si="118"/>
        <v>0.97472196865321292</v>
      </c>
      <c r="M1908" s="34">
        <f t="shared" si="119"/>
        <v>0.97190107523057068</v>
      </c>
    </row>
    <row r="1909" spans="1:13" ht="27.6">
      <c r="A1909" t="s">
        <v>164</v>
      </c>
      <c r="B1909" t="s">
        <v>112</v>
      </c>
      <c r="C1909" s="14" t="s">
        <v>294</v>
      </c>
      <c r="D1909" t="s">
        <v>112</v>
      </c>
      <c r="E1909" t="s">
        <v>383</v>
      </c>
      <c r="F1909" s="20">
        <v>2046</v>
      </c>
      <c r="G1909" s="20">
        <v>57</v>
      </c>
      <c r="H1909" s="11">
        <v>12308.911405558199</v>
      </c>
      <c r="I1909" s="10">
        <v>3851193.7983894502</v>
      </c>
      <c r="J1909" s="34">
        <f t="shared" si="116"/>
        <v>3.196128797960187E-3</v>
      </c>
      <c r="K1909" s="34">
        <f t="shared" si="117"/>
        <v>3.1910266155051881E-3</v>
      </c>
      <c r="L1909" s="34">
        <f t="shared" si="118"/>
        <v>0.97190107523057068</v>
      </c>
      <c r="M1909" s="34">
        <f t="shared" si="119"/>
        <v>0.96879971303187185</v>
      </c>
    </row>
    <row r="1910" spans="1:13" ht="27.6">
      <c r="A1910" t="s">
        <v>164</v>
      </c>
      <c r="B1910" t="s">
        <v>112</v>
      </c>
      <c r="C1910" s="14" t="s">
        <v>294</v>
      </c>
      <c r="D1910" t="s">
        <v>112</v>
      </c>
      <c r="E1910" t="s">
        <v>383</v>
      </c>
      <c r="F1910" s="20">
        <v>2046</v>
      </c>
      <c r="G1910" s="20">
        <v>58</v>
      </c>
      <c r="H1910" s="11">
        <v>13397.116884953501</v>
      </c>
      <c r="I1910" s="10">
        <v>3786726.07086728</v>
      </c>
      <c r="J1910" s="34">
        <f t="shared" si="116"/>
        <v>3.5379155064905808E-3</v>
      </c>
      <c r="K1910" s="34">
        <f t="shared" si="117"/>
        <v>3.5316644574923117E-3</v>
      </c>
      <c r="L1910" s="34">
        <f t="shared" si="118"/>
        <v>0.96879971303187185</v>
      </c>
      <c r="M1910" s="34">
        <f t="shared" si="119"/>
        <v>0.96537823751892848</v>
      </c>
    </row>
    <row r="1911" spans="1:13" ht="27.6">
      <c r="A1911" t="s">
        <v>164</v>
      </c>
      <c r="B1911" t="s">
        <v>112</v>
      </c>
      <c r="C1911" s="14" t="s">
        <v>294</v>
      </c>
      <c r="D1911" t="s">
        <v>112</v>
      </c>
      <c r="E1911" t="s">
        <v>383</v>
      </c>
      <c r="F1911" s="20">
        <v>2046</v>
      </c>
      <c r="G1911" s="20">
        <v>59</v>
      </c>
      <c r="H1911" s="11">
        <v>13905.1834538601</v>
      </c>
      <c r="I1911" s="10">
        <v>3712587.23045961</v>
      </c>
      <c r="J1911" s="34">
        <f t="shared" si="116"/>
        <v>3.745415956768959E-3</v>
      </c>
      <c r="K1911" s="34">
        <f t="shared" si="117"/>
        <v>3.7384106351012747E-3</v>
      </c>
      <c r="L1911" s="34">
        <f t="shared" si="118"/>
        <v>0.96537823751892848</v>
      </c>
      <c r="M1911" s="34">
        <f t="shared" si="119"/>
        <v>0.9617692572488924</v>
      </c>
    </row>
    <row r="1912" spans="1:13" ht="27.6">
      <c r="A1912" t="s">
        <v>164</v>
      </c>
      <c r="B1912" t="s">
        <v>112</v>
      </c>
      <c r="C1912" s="14" t="s">
        <v>294</v>
      </c>
      <c r="D1912" t="s">
        <v>112</v>
      </c>
      <c r="E1912" t="s">
        <v>383</v>
      </c>
      <c r="F1912" s="20">
        <v>2046</v>
      </c>
      <c r="G1912" s="20">
        <v>60</v>
      </c>
      <c r="H1912" s="11">
        <v>14842.6168019704</v>
      </c>
      <c r="I1912" s="10">
        <v>3693491.98814415</v>
      </c>
      <c r="J1912" s="34">
        <f t="shared" si="116"/>
        <v>4.0185864351714199E-3</v>
      </c>
      <c r="K1912" s="34">
        <f t="shared" si="117"/>
        <v>4.0105227218955042E-3</v>
      </c>
      <c r="L1912" s="34">
        <f t="shared" si="118"/>
        <v>0.9617692572488924</v>
      </c>
      <c r="M1912" s="34">
        <f t="shared" si="119"/>
        <v>0.95791205978947513</v>
      </c>
    </row>
    <row r="1913" spans="1:13" ht="27.6">
      <c r="A1913" t="s">
        <v>164</v>
      </c>
      <c r="B1913" t="s">
        <v>112</v>
      </c>
      <c r="C1913" s="14" t="s">
        <v>294</v>
      </c>
      <c r="D1913" t="s">
        <v>112</v>
      </c>
      <c r="E1913" t="s">
        <v>383</v>
      </c>
      <c r="F1913" s="20">
        <v>2046</v>
      </c>
      <c r="G1913" s="20">
        <v>61</v>
      </c>
      <c r="H1913" s="11">
        <v>16030.192495282199</v>
      </c>
      <c r="I1913" s="10">
        <v>3723255.5137453899</v>
      </c>
      <c r="J1913" s="34">
        <f t="shared" si="116"/>
        <v>4.3054236906659967E-3</v>
      </c>
      <c r="K1913" s="34">
        <f t="shared" si="117"/>
        <v>4.2961686411552291E-3</v>
      </c>
      <c r="L1913" s="34">
        <f t="shared" si="118"/>
        <v>0.95791205978947513</v>
      </c>
      <c r="M1913" s="34">
        <f t="shared" si="119"/>
        <v>0.95379670803722316</v>
      </c>
    </row>
    <row r="1914" spans="1:13" ht="27.6">
      <c r="A1914" t="s">
        <v>164</v>
      </c>
      <c r="B1914" t="s">
        <v>112</v>
      </c>
      <c r="C1914" s="14" t="s">
        <v>294</v>
      </c>
      <c r="D1914" t="s">
        <v>112</v>
      </c>
      <c r="E1914" t="s">
        <v>383</v>
      </c>
      <c r="F1914" s="20">
        <v>2046</v>
      </c>
      <c r="G1914" s="20">
        <v>62</v>
      </c>
      <c r="H1914" s="11">
        <v>17416.227906661199</v>
      </c>
      <c r="I1914" s="10">
        <v>3711645.5641217199</v>
      </c>
      <c r="J1914" s="34">
        <f t="shared" si="116"/>
        <v>4.6923197826359182E-3</v>
      </c>
      <c r="K1914" s="34">
        <f t="shared" si="117"/>
        <v>4.6813280491280196E-3</v>
      </c>
      <c r="L1914" s="34">
        <f t="shared" si="118"/>
        <v>0.95379670803722316</v>
      </c>
      <c r="M1914" s="34">
        <f t="shared" si="119"/>
        <v>0.94933167275472252</v>
      </c>
    </row>
    <row r="1915" spans="1:13" ht="27.6">
      <c r="A1915" t="s">
        <v>164</v>
      </c>
      <c r="B1915" t="s">
        <v>112</v>
      </c>
      <c r="C1915" s="14" t="s">
        <v>294</v>
      </c>
      <c r="D1915" t="s">
        <v>112</v>
      </c>
      <c r="E1915" t="s">
        <v>383</v>
      </c>
      <c r="F1915" s="20">
        <v>2046</v>
      </c>
      <c r="G1915" s="20">
        <v>63</v>
      </c>
      <c r="H1915" s="11">
        <v>18557.081643826801</v>
      </c>
      <c r="I1915" s="10">
        <v>3645988.72405395</v>
      </c>
      <c r="J1915" s="34">
        <f t="shared" si="116"/>
        <v>5.0897254622316295E-3</v>
      </c>
      <c r="K1915" s="34">
        <f t="shared" si="117"/>
        <v>5.0767947568064464E-3</v>
      </c>
      <c r="L1915" s="34">
        <f t="shared" si="118"/>
        <v>0.94933167275472252</v>
      </c>
      <c r="M1915" s="34">
        <f t="shared" si="119"/>
        <v>0.94451211069601104</v>
      </c>
    </row>
    <row r="1916" spans="1:13" ht="27.6">
      <c r="A1916" t="s">
        <v>164</v>
      </c>
      <c r="B1916" t="s">
        <v>112</v>
      </c>
      <c r="C1916" s="14" t="s">
        <v>294</v>
      </c>
      <c r="D1916" t="s">
        <v>112</v>
      </c>
      <c r="E1916" t="s">
        <v>383</v>
      </c>
      <c r="F1916" s="20">
        <v>2046</v>
      </c>
      <c r="G1916" s="20">
        <v>64</v>
      </c>
      <c r="H1916" s="11">
        <v>19939.3295815891</v>
      </c>
      <c r="I1916" s="10">
        <v>3556435.9732311401</v>
      </c>
      <c r="J1916" s="34">
        <f t="shared" si="116"/>
        <v>5.6065481655426953E-3</v>
      </c>
      <c r="K1916" s="34">
        <f t="shared" si="117"/>
        <v>5.5908608053821807E-3</v>
      </c>
      <c r="L1916" s="34">
        <f t="shared" si="118"/>
        <v>0.94451211069601104</v>
      </c>
      <c r="M1916" s="34">
        <f t="shared" si="119"/>
        <v>0.93923147495611192</v>
      </c>
    </row>
    <row r="1917" spans="1:13" ht="27.6">
      <c r="A1917" t="s">
        <v>164</v>
      </c>
      <c r="B1917" t="s">
        <v>112</v>
      </c>
      <c r="C1917" s="14" t="s">
        <v>294</v>
      </c>
      <c r="D1917" t="s">
        <v>112</v>
      </c>
      <c r="E1917" t="s">
        <v>383</v>
      </c>
      <c r="F1917" s="20">
        <v>2046</v>
      </c>
      <c r="G1917" s="20">
        <v>65</v>
      </c>
      <c r="H1917" s="11">
        <v>21191.479927606699</v>
      </c>
      <c r="I1917" s="10">
        <v>3459154.9188806401</v>
      </c>
      <c r="J1917" s="34">
        <f t="shared" si="116"/>
        <v>6.1262014638142088E-3</v>
      </c>
      <c r="K1917" s="34">
        <f t="shared" si="117"/>
        <v>6.1074745527516239E-3</v>
      </c>
      <c r="L1917" s="34">
        <f t="shared" si="118"/>
        <v>0.93923147495611192</v>
      </c>
      <c r="M1917" s="34">
        <f t="shared" si="119"/>
        <v>0.93349514262367406</v>
      </c>
    </row>
    <row r="1918" spans="1:13" ht="27.6">
      <c r="A1918" t="s">
        <v>164</v>
      </c>
      <c r="B1918" t="s">
        <v>112</v>
      </c>
      <c r="C1918" s="14" t="s">
        <v>294</v>
      </c>
      <c r="D1918" t="s">
        <v>112</v>
      </c>
      <c r="E1918" t="s">
        <v>383</v>
      </c>
      <c r="F1918" s="20">
        <v>2046</v>
      </c>
      <c r="G1918" s="20">
        <v>66</v>
      </c>
      <c r="H1918" s="11">
        <v>21667.719596353701</v>
      </c>
      <c r="I1918" s="10">
        <v>3364414.1489503901</v>
      </c>
      <c r="J1918" s="34">
        <f t="shared" si="116"/>
        <v>6.4402652696944184E-3</v>
      </c>
      <c r="K1918" s="34">
        <f t="shared" si="117"/>
        <v>6.4195712102320668E-3</v>
      </c>
      <c r="L1918" s="34">
        <f t="shared" si="118"/>
        <v>0.93349514262367406</v>
      </c>
      <c r="M1918" s="34">
        <f t="shared" si="119"/>
        <v>0.92750250408119561</v>
      </c>
    </row>
    <row r="1919" spans="1:13" ht="27.6">
      <c r="A1919" t="s">
        <v>164</v>
      </c>
      <c r="B1919" t="s">
        <v>112</v>
      </c>
      <c r="C1919" s="14" t="s">
        <v>294</v>
      </c>
      <c r="D1919" t="s">
        <v>112</v>
      </c>
      <c r="E1919" t="s">
        <v>383</v>
      </c>
      <c r="F1919" s="20">
        <v>2046</v>
      </c>
      <c r="G1919" s="20">
        <v>67</v>
      </c>
      <c r="H1919" s="11">
        <v>22841.888680105101</v>
      </c>
      <c r="I1919" s="10">
        <v>3255092.0923563102</v>
      </c>
      <c r="J1919" s="34">
        <f t="shared" si="116"/>
        <v>7.017278784137322E-3</v>
      </c>
      <c r="K1919" s="34">
        <f t="shared" si="117"/>
        <v>6.9927151735214021E-3</v>
      </c>
      <c r="L1919" s="34">
        <f t="shared" si="118"/>
        <v>0.92750250408119561</v>
      </c>
      <c r="M1919" s="34">
        <f t="shared" si="119"/>
        <v>0.92101674324742799</v>
      </c>
    </row>
    <row r="1920" spans="1:13" ht="27.6">
      <c r="A1920" t="s">
        <v>164</v>
      </c>
      <c r="B1920" t="s">
        <v>112</v>
      </c>
      <c r="C1920" s="14" t="s">
        <v>294</v>
      </c>
      <c r="D1920" t="s">
        <v>112</v>
      </c>
      <c r="E1920" t="s">
        <v>383</v>
      </c>
      <c r="F1920" s="20">
        <v>2046</v>
      </c>
      <c r="G1920" s="20">
        <v>68</v>
      </c>
      <c r="H1920" s="11">
        <v>23751.055551418802</v>
      </c>
      <c r="I1920" s="10">
        <v>3123775.0461539798</v>
      </c>
      <c r="J1920" s="34">
        <f t="shared" si="116"/>
        <v>7.6033181648791637E-3</v>
      </c>
      <c r="K1920" s="34">
        <f t="shared" si="117"/>
        <v>7.5744860608175646E-3</v>
      </c>
      <c r="L1920" s="34">
        <f t="shared" si="118"/>
        <v>0.92101674324742799</v>
      </c>
      <c r="M1920" s="34">
        <f t="shared" si="119"/>
        <v>0.91404051476392079</v>
      </c>
    </row>
    <row r="1921" spans="1:13" ht="27.6">
      <c r="A1921" t="s">
        <v>164</v>
      </c>
      <c r="B1921" t="s">
        <v>112</v>
      </c>
      <c r="C1921" s="14" t="s">
        <v>294</v>
      </c>
      <c r="D1921" t="s">
        <v>112</v>
      </c>
      <c r="E1921" t="s">
        <v>383</v>
      </c>
      <c r="F1921" s="20">
        <v>2046</v>
      </c>
      <c r="G1921" s="20">
        <v>69</v>
      </c>
      <c r="H1921" s="11">
        <v>24007.854762708099</v>
      </c>
      <c r="I1921" s="10">
        <v>2994952.2053023102</v>
      </c>
      <c r="J1921" s="34">
        <f t="shared" si="116"/>
        <v>8.0161061402596739E-3</v>
      </c>
      <c r="K1921" s="34">
        <f t="shared" si="117"/>
        <v>7.9840628394320934E-3</v>
      </c>
      <c r="L1921" s="34">
        <f t="shared" si="118"/>
        <v>0.91404051476392079</v>
      </c>
      <c r="M1921" s="34">
        <f t="shared" si="119"/>
        <v>0.9067427578562588</v>
      </c>
    </row>
    <row r="1922" spans="1:13" ht="27.6">
      <c r="A1922" t="s">
        <v>164</v>
      </c>
      <c r="B1922" t="s">
        <v>112</v>
      </c>
      <c r="C1922" s="14" t="s">
        <v>294</v>
      </c>
      <c r="D1922" t="s">
        <v>112</v>
      </c>
      <c r="E1922" t="s">
        <v>383</v>
      </c>
      <c r="F1922" s="20">
        <v>2047</v>
      </c>
      <c r="G1922" s="20">
        <v>30</v>
      </c>
      <c r="H1922" s="11">
        <v>652.06794991848199</v>
      </c>
      <c r="I1922" s="10">
        <v>4346899.76708862</v>
      </c>
      <c r="J1922" s="34">
        <f t="shared" ref="J1922:J1985" si="120">IF(I1922&gt;0,H1922/I1922,0)</f>
        <v>1.5000758813337237E-4</v>
      </c>
      <c r="K1922" s="34">
        <f t="shared" ref="K1922:K1985" si="121">1-EXP(-J1922)</f>
        <v>1.4999633755763409E-4</v>
      </c>
      <c r="L1922" s="34">
        <f t="shared" ref="L1922:L1985" si="122">IF(G1922=30,1,M1921)</f>
        <v>1</v>
      </c>
      <c r="M1922" s="34">
        <f t="shared" ref="M1922:M1985" si="123">L1922*(1-K1922)</f>
        <v>0.99985000366244237</v>
      </c>
    </row>
    <row r="1923" spans="1:13" ht="27.6">
      <c r="A1923" t="s">
        <v>164</v>
      </c>
      <c r="B1923" t="s">
        <v>112</v>
      </c>
      <c r="C1923" s="14" t="s">
        <v>294</v>
      </c>
      <c r="D1923" t="s">
        <v>112</v>
      </c>
      <c r="E1923" t="s">
        <v>383</v>
      </c>
      <c r="F1923" s="20">
        <v>2047</v>
      </c>
      <c r="G1923" s="20">
        <v>31</v>
      </c>
      <c r="H1923" s="11">
        <v>995.48287931082405</v>
      </c>
      <c r="I1923" s="10">
        <v>4583753.7947031604</v>
      </c>
      <c r="J1923" s="34">
        <f t="shared" si="120"/>
        <v>2.1717634146519219E-4</v>
      </c>
      <c r="K1923" s="34">
        <f t="shared" si="121"/>
        <v>2.1715276039069309E-4</v>
      </c>
      <c r="L1923" s="34">
        <f t="shared" si="122"/>
        <v>0.99985000366244237</v>
      </c>
      <c r="M1923" s="34">
        <f t="shared" si="123"/>
        <v>0.99963288347417045</v>
      </c>
    </row>
    <row r="1924" spans="1:13" ht="27.6">
      <c r="A1924" t="s">
        <v>164</v>
      </c>
      <c r="B1924" t="s">
        <v>112</v>
      </c>
      <c r="C1924" s="14" t="s">
        <v>294</v>
      </c>
      <c r="D1924" t="s">
        <v>112</v>
      </c>
      <c r="E1924" t="s">
        <v>383</v>
      </c>
      <c r="F1924" s="20">
        <v>2047</v>
      </c>
      <c r="G1924" s="20">
        <v>32</v>
      </c>
      <c r="H1924" s="11">
        <v>1058.9478386874</v>
      </c>
      <c r="I1924" s="10">
        <v>4647231.2742299996</v>
      </c>
      <c r="J1924" s="34">
        <f t="shared" si="120"/>
        <v>2.2786639532220337E-4</v>
      </c>
      <c r="K1924" s="34">
        <f t="shared" si="121"/>
        <v>2.2784043574697321E-4</v>
      </c>
      <c r="L1924" s="34">
        <f t="shared" si="122"/>
        <v>0.99963288347417045</v>
      </c>
      <c r="M1924" s="34">
        <f t="shared" si="123"/>
        <v>0.99940512668241266</v>
      </c>
    </row>
    <row r="1925" spans="1:13" ht="27.6">
      <c r="A1925" t="s">
        <v>164</v>
      </c>
      <c r="B1925" t="s">
        <v>112</v>
      </c>
      <c r="C1925" s="14" t="s">
        <v>294</v>
      </c>
      <c r="D1925" t="s">
        <v>112</v>
      </c>
      <c r="E1925" t="s">
        <v>383</v>
      </c>
      <c r="F1925" s="20">
        <v>2047</v>
      </c>
      <c r="G1925" s="20">
        <v>33</v>
      </c>
      <c r="H1925" s="11">
        <v>1142.3827608502099</v>
      </c>
      <c r="I1925" s="10">
        <v>4718697.8410231303</v>
      </c>
      <c r="J1925" s="34">
        <f t="shared" si="120"/>
        <v>2.4209703594890771E-4</v>
      </c>
      <c r="K1925" s="34">
        <f t="shared" si="121"/>
        <v>2.4206773282631211E-4</v>
      </c>
      <c r="L1925" s="34">
        <f t="shared" si="122"/>
        <v>0.99940512668241266</v>
      </c>
      <c r="M1925" s="34">
        <f t="shared" si="123"/>
        <v>0.99916320294922167</v>
      </c>
    </row>
    <row r="1926" spans="1:13" ht="27.6">
      <c r="A1926" t="s">
        <v>164</v>
      </c>
      <c r="B1926" t="s">
        <v>112</v>
      </c>
      <c r="C1926" s="14" t="s">
        <v>294</v>
      </c>
      <c r="D1926" t="s">
        <v>112</v>
      </c>
      <c r="E1926" t="s">
        <v>383</v>
      </c>
      <c r="F1926" s="20">
        <v>2047</v>
      </c>
      <c r="G1926" s="20">
        <v>34</v>
      </c>
      <c r="H1926" s="11">
        <v>1233.4626863583801</v>
      </c>
      <c r="I1926" s="10">
        <v>4809402.4535154104</v>
      </c>
      <c r="J1926" s="34">
        <f t="shared" si="120"/>
        <v>2.5646901008602143E-4</v>
      </c>
      <c r="K1926" s="34">
        <f t="shared" si="121"/>
        <v>2.5643612472092681E-4</v>
      </c>
      <c r="L1926" s="34">
        <f t="shared" si="122"/>
        <v>0.99916320294922167</v>
      </c>
      <c r="M1926" s="34">
        <f t="shared" si="123"/>
        <v>0.99890698140949363</v>
      </c>
    </row>
    <row r="1927" spans="1:13" ht="27.6">
      <c r="A1927" t="s">
        <v>164</v>
      </c>
      <c r="B1927" t="s">
        <v>112</v>
      </c>
      <c r="C1927" s="14" t="s">
        <v>294</v>
      </c>
      <c r="D1927" t="s">
        <v>112</v>
      </c>
      <c r="E1927" t="s">
        <v>383</v>
      </c>
      <c r="F1927" s="20">
        <v>2047</v>
      </c>
      <c r="G1927" s="20">
        <v>35</v>
      </c>
      <c r="H1927" s="11">
        <v>1338.6773982713901</v>
      </c>
      <c r="I1927" s="10">
        <v>4852115.1545054596</v>
      </c>
      <c r="J1927" s="34">
        <f t="shared" si="120"/>
        <v>2.7589563636558654E-4</v>
      </c>
      <c r="K1927" s="34">
        <f t="shared" si="121"/>
        <v>2.7585758066439592E-4</v>
      </c>
      <c r="L1927" s="34">
        <f t="shared" si="122"/>
        <v>0.99890698140949363</v>
      </c>
      <c r="M1927" s="34">
        <f t="shared" si="123"/>
        <v>0.99863142534629323</v>
      </c>
    </row>
    <row r="1928" spans="1:13" ht="27.6">
      <c r="A1928" t="s">
        <v>164</v>
      </c>
      <c r="B1928" t="s">
        <v>112</v>
      </c>
      <c r="C1928" s="14" t="s">
        <v>294</v>
      </c>
      <c r="D1928" t="s">
        <v>112</v>
      </c>
      <c r="E1928" t="s">
        <v>383</v>
      </c>
      <c r="F1928" s="20">
        <v>2047</v>
      </c>
      <c r="G1928" s="20">
        <v>36</v>
      </c>
      <c r="H1928" s="11">
        <v>1667.0133973556699</v>
      </c>
      <c r="I1928" s="10">
        <v>4771881.6852488704</v>
      </c>
      <c r="J1928" s="34">
        <f t="shared" si="120"/>
        <v>3.4934089051470881E-4</v>
      </c>
      <c r="K1928" s="34">
        <f t="shared" si="121"/>
        <v>3.492798780907469E-4</v>
      </c>
      <c r="L1928" s="34">
        <f t="shared" si="122"/>
        <v>0.99863142534629323</v>
      </c>
      <c r="M1928" s="34">
        <f t="shared" si="123"/>
        <v>0.99828262348379071</v>
      </c>
    </row>
    <row r="1929" spans="1:13" ht="27.6">
      <c r="A1929" t="s">
        <v>164</v>
      </c>
      <c r="B1929" t="s">
        <v>112</v>
      </c>
      <c r="C1929" s="14" t="s">
        <v>294</v>
      </c>
      <c r="D1929" t="s">
        <v>112</v>
      </c>
      <c r="E1929" t="s">
        <v>383</v>
      </c>
      <c r="F1929" s="20">
        <v>2047</v>
      </c>
      <c r="G1929" s="20">
        <v>37</v>
      </c>
      <c r="H1929" s="11">
        <v>1776.6626951845601</v>
      </c>
      <c r="I1929" s="10">
        <v>4670224.4275182597</v>
      </c>
      <c r="J1929" s="34">
        <f t="shared" si="120"/>
        <v>3.8042340850173495E-4</v>
      </c>
      <c r="K1929" s="34">
        <f t="shared" si="121"/>
        <v>3.8035105669198543E-4</v>
      </c>
      <c r="L1929" s="34">
        <f t="shared" si="122"/>
        <v>0.99828262348379071</v>
      </c>
      <c r="M1929" s="34">
        <f t="shared" si="123"/>
        <v>0.99790292563307137</v>
      </c>
    </row>
    <row r="1930" spans="1:13" ht="27.6">
      <c r="A1930" t="s">
        <v>164</v>
      </c>
      <c r="B1930" t="s">
        <v>112</v>
      </c>
      <c r="C1930" s="14" t="s">
        <v>294</v>
      </c>
      <c r="D1930" t="s">
        <v>112</v>
      </c>
      <c r="E1930" t="s">
        <v>383</v>
      </c>
      <c r="F1930" s="20">
        <v>2047</v>
      </c>
      <c r="G1930" s="20">
        <v>38</v>
      </c>
      <c r="H1930" s="11">
        <v>1923.0246722714301</v>
      </c>
      <c r="I1930" s="10">
        <v>4612462.8537806598</v>
      </c>
      <c r="J1930" s="34">
        <f t="shared" si="120"/>
        <v>4.1691927571735349E-4</v>
      </c>
      <c r="K1930" s="34">
        <f t="shared" si="121"/>
        <v>4.1683237695311348E-4</v>
      </c>
      <c r="L1930" s="34">
        <f t="shared" si="122"/>
        <v>0.99790292563307137</v>
      </c>
      <c r="M1930" s="34">
        <f t="shared" si="123"/>
        <v>0.99748696738461129</v>
      </c>
    </row>
    <row r="1931" spans="1:13" ht="27.6">
      <c r="A1931" t="s">
        <v>164</v>
      </c>
      <c r="B1931" t="s">
        <v>112</v>
      </c>
      <c r="C1931" s="14" t="s">
        <v>294</v>
      </c>
      <c r="D1931" t="s">
        <v>112</v>
      </c>
      <c r="E1931" t="s">
        <v>383</v>
      </c>
      <c r="F1931" s="20">
        <v>2047</v>
      </c>
      <c r="G1931" s="20">
        <v>39</v>
      </c>
      <c r="H1931" s="11">
        <v>2040.06163107526</v>
      </c>
      <c r="I1931" s="10">
        <v>4602761.4066037899</v>
      </c>
      <c r="J1931" s="34">
        <f t="shared" si="120"/>
        <v>4.4322558804553533E-4</v>
      </c>
      <c r="K1931" s="34">
        <f t="shared" si="121"/>
        <v>4.4312737809482083E-4</v>
      </c>
      <c r="L1931" s="34">
        <f t="shared" si="122"/>
        <v>0.99748696738461129</v>
      </c>
      <c r="M1931" s="34">
        <f t="shared" si="123"/>
        <v>0.99704495360007039</v>
      </c>
    </row>
    <row r="1932" spans="1:13" ht="27.6">
      <c r="A1932" t="s">
        <v>164</v>
      </c>
      <c r="B1932" t="s">
        <v>112</v>
      </c>
      <c r="C1932" s="14" t="s">
        <v>294</v>
      </c>
      <c r="D1932" t="s">
        <v>112</v>
      </c>
      <c r="E1932" t="s">
        <v>383</v>
      </c>
      <c r="F1932" s="20">
        <v>2047</v>
      </c>
      <c r="G1932" s="20">
        <v>40</v>
      </c>
      <c r="H1932" s="11">
        <v>2208.89721646521</v>
      </c>
      <c r="I1932" s="10">
        <v>4572916.412335</v>
      </c>
      <c r="J1932" s="34">
        <f t="shared" si="120"/>
        <v>4.8303905370037449E-4</v>
      </c>
      <c r="K1932" s="34">
        <f t="shared" si="121"/>
        <v>4.8292240911873563E-4</v>
      </c>
      <c r="L1932" s="34">
        <f t="shared" si="122"/>
        <v>0.99704495360007039</v>
      </c>
      <c r="M1932" s="34">
        <f t="shared" si="123"/>
        <v>0.99656345824907822</v>
      </c>
    </row>
    <row r="1933" spans="1:13" ht="27.6">
      <c r="A1933" t="s">
        <v>164</v>
      </c>
      <c r="B1933" t="s">
        <v>112</v>
      </c>
      <c r="C1933" s="14" t="s">
        <v>294</v>
      </c>
      <c r="D1933" t="s">
        <v>112</v>
      </c>
      <c r="E1933" t="s">
        <v>383</v>
      </c>
      <c r="F1933" s="20">
        <v>2047</v>
      </c>
      <c r="G1933" s="20">
        <v>41</v>
      </c>
      <c r="H1933" s="11">
        <v>2824.5622834010401</v>
      </c>
      <c r="I1933" s="10">
        <v>4499492.8422964197</v>
      </c>
      <c r="J1933" s="34">
        <f t="shared" si="120"/>
        <v>6.2775125606366329E-4</v>
      </c>
      <c r="K1933" s="34">
        <f t="shared" si="121"/>
        <v>6.2755426146732241E-4</v>
      </c>
      <c r="L1933" s="34">
        <f t="shared" si="122"/>
        <v>0.99656345824907822</v>
      </c>
      <c r="M1933" s="34">
        <f t="shared" si="123"/>
        <v>0.99593806060403145</v>
      </c>
    </row>
    <row r="1934" spans="1:13" ht="27.6">
      <c r="A1934" t="s">
        <v>164</v>
      </c>
      <c r="B1934" t="s">
        <v>112</v>
      </c>
      <c r="C1934" s="14" t="s">
        <v>294</v>
      </c>
      <c r="D1934" t="s">
        <v>112</v>
      </c>
      <c r="E1934" t="s">
        <v>383</v>
      </c>
      <c r="F1934" s="20">
        <v>2047</v>
      </c>
      <c r="G1934" s="20">
        <v>42</v>
      </c>
      <c r="H1934" s="11">
        <v>3063.3088588934402</v>
      </c>
      <c r="I1934" s="10">
        <v>4403503.57996652</v>
      </c>
      <c r="J1934" s="34">
        <f t="shared" si="120"/>
        <v>6.9565263278762465E-4</v>
      </c>
      <c r="K1934" s="34">
        <f t="shared" si="121"/>
        <v>6.9541072259327041E-4</v>
      </c>
      <c r="L1934" s="34">
        <f t="shared" si="122"/>
        <v>0.99593806060403145</v>
      </c>
      <c r="M1934" s="34">
        <f t="shared" si="123"/>
        <v>0.99524547459764867</v>
      </c>
    </row>
    <row r="1935" spans="1:13" ht="27.6">
      <c r="A1935" t="s">
        <v>164</v>
      </c>
      <c r="B1935" t="s">
        <v>112</v>
      </c>
      <c r="C1935" s="14" t="s">
        <v>294</v>
      </c>
      <c r="D1935" t="s">
        <v>112</v>
      </c>
      <c r="E1935" t="s">
        <v>383</v>
      </c>
      <c r="F1935" s="20">
        <v>2047</v>
      </c>
      <c r="G1935" s="20">
        <v>43</v>
      </c>
      <c r="H1935" s="11">
        <v>3356.0071150021199</v>
      </c>
      <c r="I1935" s="10">
        <v>4303535.1553534698</v>
      </c>
      <c r="J1935" s="34">
        <f t="shared" si="120"/>
        <v>7.7982565352750679E-4</v>
      </c>
      <c r="K1935" s="34">
        <f t="shared" si="121"/>
        <v>7.7952166852612859E-4</v>
      </c>
      <c r="L1935" s="34">
        <f t="shared" si="122"/>
        <v>0.99524547459764867</v>
      </c>
      <c r="M1935" s="34">
        <f t="shared" si="123"/>
        <v>0.99446965918469721</v>
      </c>
    </row>
    <row r="1936" spans="1:13" ht="27.6">
      <c r="A1936" t="s">
        <v>164</v>
      </c>
      <c r="B1936" t="s">
        <v>112</v>
      </c>
      <c r="C1936" s="14" t="s">
        <v>294</v>
      </c>
      <c r="D1936" t="s">
        <v>112</v>
      </c>
      <c r="E1936" t="s">
        <v>383</v>
      </c>
      <c r="F1936" s="20">
        <v>2047</v>
      </c>
      <c r="G1936" s="20">
        <v>44</v>
      </c>
      <c r="H1936" s="11">
        <v>3531.4723303431001</v>
      </c>
      <c r="I1936" s="10">
        <v>4256224.8132065497</v>
      </c>
      <c r="J1936" s="34">
        <f t="shared" si="120"/>
        <v>8.2971940753349526E-4</v>
      </c>
      <c r="K1936" s="34">
        <f t="shared" si="121"/>
        <v>8.2937528556736861E-4</v>
      </c>
      <c r="L1936" s="34">
        <f t="shared" si="122"/>
        <v>0.99446965918469721</v>
      </c>
      <c r="M1936" s="34">
        <f t="shared" si="123"/>
        <v>0.99364487062712281</v>
      </c>
    </row>
    <row r="1937" spans="1:13" ht="27.6">
      <c r="A1937" t="s">
        <v>164</v>
      </c>
      <c r="B1937" t="s">
        <v>112</v>
      </c>
      <c r="C1937" s="14" t="s">
        <v>294</v>
      </c>
      <c r="D1937" t="s">
        <v>112</v>
      </c>
      <c r="E1937" t="s">
        <v>383</v>
      </c>
      <c r="F1937" s="20">
        <v>2047</v>
      </c>
      <c r="G1937" s="20">
        <v>45</v>
      </c>
      <c r="H1937" s="11">
        <v>3834.0513869010801</v>
      </c>
      <c r="I1937" s="10">
        <v>4230840.32435368</v>
      </c>
      <c r="J1937" s="34">
        <f t="shared" si="120"/>
        <v>9.0621509983050122E-4</v>
      </c>
      <c r="K1937" s="34">
        <f t="shared" si="121"/>
        <v>9.058046109333695E-4</v>
      </c>
      <c r="L1937" s="34">
        <f t="shared" si="122"/>
        <v>0.99364487062712281</v>
      </c>
      <c r="M1937" s="34">
        <f t="shared" si="123"/>
        <v>0.9927448225216785</v>
      </c>
    </row>
    <row r="1938" spans="1:13" ht="27.6">
      <c r="A1938" t="s">
        <v>164</v>
      </c>
      <c r="B1938" t="s">
        <v>112</v>
      </c>
      <c r="C1938" s="14" t="s">
        <v>294</v>
      </c>
      <c r="D1938" t="s">
        <v>112</v>
      </c>
      <c r="E1938" t="s">
        <v>383</v>
      </c>
      <c r="F1938" s="20">
        <v>2047</v>
      </c>
      <c r="G1938" s="20">
        <v>46</v>
      </c>
      <c r="H1938" s="11">
        <v>4775.6826498547898</v>
      </c>
      <c r="I1938" s="10">
        <v>4204895.3860479603</v>
      </c>
      <c r="J1938" s="34">
        <f t="shared" si="120"/>
        <v>1.1357435111705105E-3</v>
      </c>
      <c r="K1938" s="34">
        <f t="shared" si="121"/>
        <v>1.1350987986080696E-3</v>
      </c>
      <c r="L1938" s="34">
        <f t="shared" si="122"/>
        <v>0.9927448225216785</v>
      </c>
      <c r="M1938" s="34">
        <f t="shared" si="123"/>
        <v>0.99161795906630978</v>
      </c>
    </row>
    <row r="1939" spans="1:13" ht="27.6">
      <c r="A1939" t="s">
        <v>164</v>
      </c>
      <c r="B1939" t="s">
        <v>112</v>
      </c>
      <c r="C1939" s="14" t="s">
        <v>294</v>
      </c>
      <c r="D1939" t="s">
        <v>112</v>
      </c>
      <c r="E1939" t="s">
        <v>383</v>
      </c>
      <c r="F1939" s="20">
        <v>2047</v>
      </c>
      <c r="G1939" s="20">
        <v>47</v>
      </c>
      <c r="H1939" s="11">
        <v>5273.0790149204804</v>
      </c>
      <c r="I1939" s="10">
        <v>4197659.8393963203</v>
      </c>
      <c r="J1939" s="34">
        <f t="shared" si="120"/>
        <v>1.2561949316214293E-3</v>
      </c>
      <c r="K1939" s="34">
        <f t="shared" si="121"/>
        <v>1.2554062490491846E-3</v>
      </c>
      <c r="L1939" s="34">
        <f t="shared" si="122"/>
        <v>0.99161795906630978</v>
      </c>
      <c r="M1939" s="34">
        <f t="shared" si="123"/>
        <v>0.99037307568382849</v>
      </c>
    </row>
    <row r="1940" spans="1:13" ht="27.6">
      <c r="A1940" t="s">
        <v>164</v>
      </c>
      <c r="B1940" t="s">
        <v>112</v>
      </c>
      <c r="C1940" s="14" t="s">
        <v>294</v>
      </c>
      <c r="D1940" t="s">
        <v>112</v>
      </c>
      <c r="E1940" t="s">
        <v>383</v>
      </c>
      <c r="F1940" s="20">
        <v>2047</v>
      </c>
      <c r="G1940" s="20">
        <v>48</v>
      </c>
      <c r="H1940" s="11">
        <v>5918.3789092516899</v>
      </c>
      <c r="I1940" s="10">
        <v>4226988.6229884401</v>
      </c>
      <c r="J1940" s="34">
        <f t="shared" si="120"/>
        <v>1.400140723602765E-3</v>
      </c>
      <c r="K1940" s="34">
        <f t="shared" si="121"/>
        <v>1.3991609838910346E-3</v>
      </c>
      <c r="L1940" s="34">
        <f t="shared" si="122"/>
        <v>0.99037307568382849</v>
      </c>
      <c r="M1940" s="34">
        <f t="shared" si="123"/>
        <v>0.98898738431683553</v>
      </c>
    </row>
    <row r="1941" spans="1:13" ht="27.6">
      <c r="A1941" t="s">
        <v>164</v>
      </c>
      <c r="B1941" t="s">
        <v>112</v>
      </c>
      <c r="C1941" s="14" t="s">
        <v>294</v>
      </c>
      <c r="D1941" t="s">
        <v>112</v>
      </c>
      <c r="E1941" t="s">
        <v>383</v>
      </c>
      <c r="F1941" s="20">
        <v>2047</v>
      </c>
      <c r="G1941" s="20">
        <v>49</v>
      </c>
      <c r="H1941" s="11">
        <v>6452.1891182028003</v>
      </c>
      <c r="I1941" s="10">
        <v>4257689.5366746401</v>
      </c>
      <c r="J1941" s="34">
        <f t="shared" si="120"/>
        <v>1.5154202913634982E-3</v>
      </c>
      <c r="K1941" s="34">
        <f t="shared" si="121"/>
        <v>1.5142726218408953E-3</v>
      </c>
      <c r="L1941" s="34">
        <f t="shared" si="122"/>
        <v>0.98898738431683553</v>
      </c>
      <c r="M1941" s="34">
        <f t="shared" si="123"/>
        <v>0.98748978779741847</v>
      </c>
    </row>
    <row r="1942" spans="1:13" ht="27.6">
      <c r="A1942" t="s">
        <v>164</v>
      </c>
      <c r="B1942" t="s">
        <v>112</v>
      </c>
      <c r="C1942" s="14" t="s">
        <v>294</v>
      </c>
      <c r="D1942" t="s">
        <v>112</v>
      </c>
      <c r="E1942" t="s">
        <v>383</v>
      </c>
      <c r="F1942" s="20">
        <v>2047</v>
      </c>
      <c r="G1942" s="20">
        <v>50</v>
      </c>
      <c r="H1942" s="11">
        <v>7002.9909107173798</v>
      </c>
      <c r="I1942" s="10">
        <v>4242502.4157431396</v>
      </c>
      <c r="J1942" s="34">
        <f t="shared" si="120"/>
        <v>1.6506745841158698E-3</v>
      </c>
      <c r="K1942" s="34">
        <f t="shared" si="121"/>
        <v>1.649312970121497E-3</v>
      </c>
      <c r="L1942" s="34">
        <f t="shared" si="122"/>
        <v>0.98748978779741847</v>
      </c>
      <c r="M1942" s="34">
        <f t="shared" si="123"/>
        <v>0.98586110808254168</v>
      </c>
    </row>
    <row r="1943" spans="1:13" ht="27.6">
      <c r="A1943" t="s">
        <v>164</v>
      </c>
      <c r="B1943" t="s">
        <v>112</v>
      </c>
      <c r="C1943" s="14" t="s">
        <v>294</v>
      </c>
      <c r="D1943" t="s">
        <v>112</v>
      </c>
      <c r="E1943" t="s">
        <v>383</v>
      </c>
      <c r="F1943" s="20">
        <v>2047</v>
      </c>
      <c r="G1943" s="20">
        <v>51</v>
      </c>
      <c r="H1943" s="11">
        <v>7757.9797823109802</v>
      </c>
      <c r="I1943" s="10">
        <v>4169497.24096969</v>
      </c>
      <c r="J1943" s="34">
        <f t="shared" si="120"/>
        <v>1.8606511370437375E-3</v>
      </c>
      <c r="K1943" s="34">
        <f t="shared" si="121"/>
        <v>1.8589211988203624E-3</v>
      </c>
      <c r="L1943" s="34">
        <f t="shared" si="122"/>
        <v>0.98586110808254168</v>
      </c>
      <c r="M1943" s="34">
        <f t="shared" si="123"/>
        <v>0.98402846996963456</v>
      </c>
    </row>
    <row r="1944" spans="1:13" ht="27.6">
      <c r="A1944" t="s">
        <v>164</v>
      </c>
      <c r="B1944" t="s">
        <v>112</v>
      </c>
      <c r="C1944" s="14" t="s">
        <v>294</v>
      </c>
      <c r="D1944" t="s">
        <v>112</v>
      </c>
      <c r="E1944" t="s">
        <v>383</v>
      </c>
      <c r="F1944" s="20">
        <v>2047</v>
      </c>
      <c r="G1944" s="20">
        <v>52</v>
      </c>
      <c r="H1944" s="11">
        <v>8293.3000771584593</v>
      </c>
      <c r="I1944" s="10">
        <v>4093786.1228767</v>
      </c>
      <c r="J1944" s="34">
        <f t="shared" si="120"/>
        <v>2.0258264179494469E-3</v>
      </c>
      <c r="K1944" s="34">
        <f t="shared" si="121"/>
        <v>2.023775816566209E-3</v>
      </c>
      <c r="L1944" s="34">
        <f t="shared" si="122"/>
        <v>0.98402846996963456</v>
      </c>
      <c r="M1944" s="34">
        <f t="shared" si="123"/>
        <v>0.98203701694929735</v>
      </c>
    </row>
    <row r="1945" spans="1:13" ht="27.6">
      <c r="A1945" t="s">
        <v>164</v>
      </c>
      <c r="B1945" t="s">
        <v>112</v>
      </c>
      <c r="C1945" s="14" t="s">
        <v>294</v>
      </c>
      <c r="D1945" t="s">
        <v>112</v>
      </c>
      <c r="E1945" t="s">
        <v>383</v>
      </c>
      <c r="F1945" s="20">
        <v>2047</v>
      </c>
      <c r="G1945" s="20">
        <v>53</v>
      </c>
      <c r="H1945" s="11">
        <v>8883.3608864202797</v>
      </c>
      <c r="I1945" s="10">
        <v>4025957.9561410402</v>
      </c>
      <c r="J1945" s="34">
        <f t="shared" si="120"/>
        <v>2.2065210275904511E-3</v>
      </c>
      <c r="K1945" s="34">
        <f t="shared" si="121"/>
        <v>2.2040884495749813E-3</v>
      </c>
      <c r="L1945" s="34">
        <f t="shared" si="122"/>
        <v>0.98203701694929735</v>
      </c>
      <c r="M1945" s="34">
        <f t="shared" si="123"/>
        <v>0.9798725205031843</v>
      </c>
    </row>
    <row r="1946" spans="1:13" ht="27.6">
      <c r="A1946" t="s">
        <v>164</v>
      </c>
      <c r="B1946" t="s">
        <v>112</v>
      </c>
      <c r="C1946" s="14" t="s">
        <v>294</v>
      </c>
      <c r="D1946" t="s">
        <v>112</v>
      </c>
      <c r="E1946" t="s">
        <v>383</v>
      </c>
      <c r="F1946" s="20">
        <v>2047</v>
      </c>
      <c r="G1946" s="20">
        <v>54</v>
      </c>
      <c r="H1946" s="11">
        <v>9580.1319990780594</v>
      </c>
      <c r="I1946" s="10">
        <v>3959358.5862686802</v>
      </c>
      <c r="J1946" s="34">
        <f t="shared" si="120"/>
        <v>2.4196171653415267E-3</v>
      </c>
      <c r="K1946" s="34">
        <f t="shared" si="121"/>
        <v>2.4166922512611766E-3</v>
      </c>
      <c r="L1946" s="34">
        <f t="shared" si="122"/>
        <v>0.9798725205031843</v>
      </c>
      <c r="M1946" s="34">
        <f t="shared" si="123"/>
        <v>0.97750447017566044</v>
      </c>
    </row>
    <row r="1947" spans="1:13" ht="27.6">
      <c r="A1947" t="s">
        <v>164</v>
      </c>
      <c r="B1947" t="s">
        <v>112</v>
      </c>
      <c r="C1947" s="14" t="s">
        <v>294</v>
      </c>
      <c r="D1947" t="s">
        <v>112</v>
      </c>
      <c r="E1947" t="s">
        <v>383</v>
      </c>
      <c r="F1947" s="20">
        <v>2047</v>
      </c>
      <c r="G1947" s="20">
        <v>55</v>
      </c>
      <c r="H1947" s="11">
        <v>10421.2034053026</v>
      </c>
      <c r="I1947" s="10">
        <v>3924570.4734823098</v>
      </c>
      <c r="J1947" s="34">
        <f t="shared" si="120"/>
        <v>2.6553742570599743E-3</v>
      </c>
      <c r="K1947" s="34">
        <f t="shared" si="121"/>
        <v>2.6518518692798532E-3</v>
      </c>
      <c r="L1947" s="34">
        <f t="shared" si="122"/>
        <v>0.97750447017566044</v>
      </c>
      <c r="M1947" s="34">
        <f t="shared" si="123"/>
        <v>0.9749122731191957</v>
      </c>
    </row>
    <row r="1948" spans="1:13" ht="27.6">
      <c r="A1948" t="s">
        <v>164</v>
      </c>
      <c r="B1948" t="s">
        <v>112</v>
      </c>
      <c r="C1948" s="14" t="s">
        <v>294</v>
      </c>
      <c r="D1948" t="s">
        <v>112</v>
      </c>
      <c r="E1948" t="s">
        <v>383</v>
      </c>
      <c r="F1948" s="20">
        <v>2047</v>
      </c>
      <c r="G1948" s="20">
        <v>56</v>
      </c>
      <c r="H1948" s="11">
        <v>11172.8326728103</v>
      </c>
      <c r="I1948" s="10">
        <v>3882657.3038468198</v>
      </c>
      <c r="J1948" s="34">
        <f t="shared" si="120"/>
        <v>2.8776252443759574E-3</v>
      </c>
      <c r="K1948" s="34">
        <f t="shared" si="121"/>
        <v>2.8734888494684752E-3</v>
      </c>
      <c r="L1948" s="34">
        <f t="shared" si="122"/>
        <v>0.9749122731191957</v>
      </c>
      <c r="M1948" s="34">
        <f t="shared" si="123"/>
        <v>0.97211087357317771</v>
      </c>
    </row>
    <row r="1949" spans="1:13" ht="27.6">
      <c r="A1949" t="s">
        <v>164</v>
      </c>
      <c r="B1949" t="s">
        <v>112</v>
      </c>
      <c r="C1949" s="14" t="s">
        <v>294</v>
      </c>
      <c r="D1949" t="s">
        <v>112</v>
      </c>
      <c r="E1949" t="s">
        <v>383</v>
      </c>
      <c r="F1949" s="20">
        <v>2047</v>
      </c>
      <c r="G1949" s="20">
        <v>57</v>
      </c>
      <c r="H1949" s="11">
        <v>12186.000029387</v>
      </c>
      <c r="I1949" s="10">
        <v>3842342.09112977</v>
      </c>
      <c r="J1949" s="34">
        <f t="shared" si="120"/>
        <v>3.1715031458336212E-3</v>
      </c>
      <c r="K1949" s="34">
        <f t="shared" si="121"/>
        <v>3.1664792422436694E-3</v>
      </c>
      <c r="L1949" s="34">
        <f t="shared" si="122"/>
        <v>0.97211087357317771</v>
      </c>
      <c r="M1949" s="34">
        <f t="shared" si="123"/>
        <v>0.9690327046708489</v>
      </c>
    </row>
    <row r="1950" spans="1:13" ht="27.6">
      <c r="A1950" t="s">
        <v>164</v>
      </c>
      <c r="B1950" t="s">
        <v>112</v>
      </c>
      <c r="C1950" s="14" t="s">
        <v>294</v>
      </c>
      <c r="D1950" t="s">
        <v>112</v>
      </c>
      <c r="E1950" t="s">
        <v>383</v>
      </c>
      <c r="F1950" s="20">
        <v>2047</v>
      </c>
      <c r="G1950" s="20">
        <v>58</v>
      </c>
      <c r="H1950" s="11">
        <v>13358.5329150711</v>
      </c>
      <c r="I1950" s="10">
        <v>3821161.58766384</v>
      </c>
      <c r="J1950" s="34">
        <f t="shared" si="120"/>
        <v>3.4959350994727663E-3</v>
      </c>
      <c r="K1950" s="34">
        <f t="shared" si="121"/>
        <v>3.4898314331083258E-3</v>
      </c>
      <c r="L1950" s="34">
        <f t="shared" si="122"/>
        <v>0.9690327046708489</v>
      </c>
      <c r="M1950" s="34">
        <f t="shared" si="123"/>
        <v>0.96565094387837858</v>
      </c>
    </row>
    <row r="1951" spans="1:13" ht="27.6">
      <c r="A1951" t="s">
        <v>164</v>
      </c>
      <c r="B1951" t="s">
        <v>112</v>
      </c>
      <c r="C1951" s="14" t="s">
        <v>294</v>
      </c>
      <c r="D1951" t="s">
        <v>112</v>
      </c>
      <c r="E1951" t="s">
        <v>383</v>
      </c>
      <c r="F1951" s="20">
        <v>2047</v>
      </c>
      <c r="G1951" s="20">
        <v>59</v>
      </c>
      <c r="H1951" s="11">
        <v>13908.7044924604</v>
      </c>
      <c r="I1951" s="10">
        <v>3754307.50392173</v>
      </c>
      <c r="J1951" s="34">
        <f t="shared" si="120"/>
        <v>3.7047323582129169E-3</v>
      </c>
      <c r="K1951" s="34">
        <f t="shared" si="121"/>
        <v>3.6978783040477747E-3</v>
      </c>
      <c r="L1951" s="34">
        <f t="shared" si="122"/>
        <v>0.96565094387837858</v>
      </c>
      <c r="M1951" s="34">
        <f t="shared" si="123"/>
        <v>0.96208008420372748</v>
      </c>
    </row>
    <row r="1952" spans="1:13" ht="27.6">
      <c r="A1952" t="s">
        <v>164</v>
      </c>
      <c r="B1952" t="s">
        <v>112</v>
      </c>
      <c r="C1952" s="14" t="s">
        <v>294</v>
      </c>
      <c r="D1952" t="s">
        <v>112</v>
      </c>
      <c r="E1952" t="s">
        <v>383</v>
      </c>
      <c r="F1952" s="20">
        <v>2047</v>
      </c>
      <c r="G1952" s="20">
        <v>60</v>
      </c>
      <c r="H1952" s="11">
        <v>14627.631800467499</v>
      </c>
      <c r="I1952" s="10">
        <v>3678324.9908592501</v>
      </c>
      <c r="J1952" s="34">
        <f t="shared" si="120"/>
        <v>3.976710007086816E-3</v>
      </c>
      <c r="K1952" s="34">
        <f t="shared" si="121"/>
        <v>3.9688133668639436E-3</v>
      </c>
      <c r="L1952" s="34">
        <f t="shared" si="122"/>
        <v>0.96208008420372748</v>
      </c>
      <c r="M1952" s="34">
        <f t="shared" si="123"/>
        <v>0.95826176790554618</v>
      </c>
    </row>
    <row r="1953" spans="1:13" ht="27.6">
      <c r="A1953" t="s">
        <v>164</v>
      </c>
      <c r="B1953" t="s">
        <v>112</v>
      </c>
      <c r="C1953" s="14" t="s">
        <v>294</v>
      </c>
      <c r="D1953" t="s">
        <v>112</v>
      </c>
      <c r="E1953" t="s">
        <v>383</v>
      </c>
      <c r="F1953" s="20">
        <v>2047</v>
      </c>
      <c r="G1953" s="20">
        <v>61</v>
      </c>
      <c r="H1953" s="11">
        <v>15564.9091169166</v>
      </c>
      <c r="I1953" s="10">
        <v>3656483.9198024501</v>
      </c>
      <c r="J1953" s="34">
        <f t="shared" si="120"/>
        <v>4.2567968185560981E-3</v>
      </c>
      <c r="K1953" s="34">
        <f t="shared" si="121"/>
        <v>4.2477495010622146E-3</v>
      </c>
      <c r="L1953" s="34">
        <f t="shared" si="122"/>
        <v>0.95826176790554618</v>
      </c>
      <c r="M1953" s="34">
        <f t="shared" si="123"/>
        <v>0.95419131195903839</v>
      </c>
    </row>
    <row r="1954" spans="1:13" ht="27.6">
      <c r="A1954" t="s">
        <v>164</v>
      </c>
      <c r="B1954" t="s">
        <v>112</v>
      </c>
      <c r="C1954" s="14" t="s">
        <v>294</v>
      </c>
      <c r="D1954" t="s">
        <v>112</v>
      </c>
      <c r="E1954" t="s">
        <v>383</v>
      </c>
      <c r="F1954" s="20">
        <v>2047</v>
      </c>
      <c r="G1954" s="20">
        <v>62</v>
      </c>
      <c r="H1954" s="11">
        <v>17083.201472676101</v>
      </c>
      <c r="I1954" s="10">
        <v>3682527.52703341</v>
      </c>
      <c r="J1954" s="34">
        <f t="shared" si="120"/>
        <v>4.6389881262986991E-3</v>
      </c>
      <c r="K1954" s="34">
        <f t="shared" si="121"/>
        <v>4.6282446402691191E-3</v>
      </c>
      <c r="L1954" s="34">
        <f t="shared" si="122"/>
        <v>0.95419131195903839</v>
      </c>
      <c r="M1954" s="34">
        <f t="shared" si="123"/>
        <v>0.94977508113367259</v>
      </c>
    </row>
    <row r="1955" spans="1:13" ht="27.6">
      <c r="A1955" t="s">
        <v>164</v>
      </c>
      <c r="B1955" t="s">
        <v>112</v>
      </c>
      <c r="C1955" s="14" t="s">
        <v>294</v>
      </c>
      <c r="D1955" t="s">
        <v>112</v>
      </c>
      <c r="E1955" t="s">
        <v>383</v>
      </c>
      <c r="F1955" s="20">
        <v>2047</v>
      </c>
      <c r="G1955" s="20">
        <v>63</v>
      </c>
      <c r="H1955" s="11">
        <v>18539.002758686798</v>
      </c>
      <c r="I1955" s="10">
        <v>3667194.3560694498</v>
      </c>
      <c r="J1955" s="34">
        <f t="shared" si="120"/>
        <v>5.0553641172586122E-3</v>
      </c>
      <c r="K1955" s="34">
        <f t="shared" si="121"/>
        <v>5.0426072699687463E-3</v>
      </c>
      <c r="L1955" s="34">
        <f t="shared" si="122"/>
        <v>0.94977508113367259</v>
      </c>
      <c r="M1955" s="34">
        <f t="shared" si="123"/>
        <v>0.94498573840471278</v>
      </c>
    </row>
    <row r="1956" spans="1:13" ht="27.6">
      <c r="A1956" t="s">
        <v>164</v>
      </c>
      <c r="B1956" t="s">
        <v>112</v>
      </c>
      <c r="C1956" s="14" t="s">
        <v>294</v>
      </c>
      <c r="D1956" t="s">
        <v>112</v>
      </c>
      <c r="E1956" t="s">
        <v>383</v>
      </c>
      <c r="F1956" s="20">
        <v>2047</v>
      </c>
      <c r="G1956" s="20">
        <v>64</v>
      </c>
      <c r="H1956" s="11">
        <v>20044.856525267001</v>
      </c>
      <c r="I1956" s="10">
        <v>3598225.43956412</v>
      </c>
      <c r="J1956" s="34">
        <f t="shared" si="120"/>
        <v>5.570761716279563E-3</v>
      </c>
      <c r="K1956" s="34">
        <f t="shared" si="121"/>
        <v>5.5552737964130738E-3</v>
      </c>
      <c r="L1956" s="34">
        <f t="shared" si="122"/>
        <v>0.94498573840471278</v>
      </c>
      <c r="M1956" s="34">
        <f t="shared" si="123"/>
        <v>0.93973608389416907</v>
      </c>
    </row>
    <row r="1957" spans="1:13" ht="27.6">
      <c r="A1957" t="s">
        <v>164</v>
      </c>
      <c r="B1957" t="s">
        <v>112</v>
      </c>
      <c r="C1957" s="14" t="s">
        <v>294</v>
      </c>
      <c r="D1957" t="s">
        <v>112</v>
      </c>
      <c r="E1957" t="s">
        <v>383</v>
      </c>
      <c r="F1957" s="20">
        <v>2047</v>
      </c>
      <c r="G1957" s="20">
        <v>65</v>
      </c>
      <c r="H1957" s="11">
        <v>21381.6754284663</v>
      </c>
      <c r="I1957" s="10">
        <v>3505170.7431287998</v>
      </c>
      <c r="J1957" s="34">
        <f t="shared" si="120"/>
        <v>6.1000381993889692E-3</v>
      </c>
      <c r="K1957" s="34">
        <f t="shared" si="121"/>
        <v>6.0814707396271706E-3</v>
      </c>
      <c r="L1957" s="34">
        <f t="shared" si="122"/>
        <v>0.93973608389416907</v>
      </c>
      <c r="M1957" s="34">
        <f t="shared" si="123"/>
        <v>0.93402110639699487</v>
      </c>
    </row>
    <row r="1958" spans="1:13" ht="27.6">
      <c r="A1958" t="s">
        <v>164</v>
      </c>
      <c r="B1958" t="s">
        <v>112</v>
      </c>
      <c r="C1958" s="14" t="s">
        <v>294</v>
      </c>
      <c r="D1958" t="s">
        <v>112</v>
      </c>
      <c r="E1958" t="s">
        <v>383</v>
      </c>
      <c r="F1958" s="20">
        <v>2047</v>
      </c>
      <c r="G1958" s="20">
        <v>66</v>
      </c>
      <c r="H1958" s="11">
        <v>21828.574427657401</v>
      </c>
      <c r="I1958" s="10">
        <v>3404475.9384163902</v>
      </c>
      <c r="J1958" s="34">
        <f t="shared" si="120"/>
        <v>6.4117282138322516E-3</v>
      </c>
      <c r="K1958" s="34">
        <f t="shared" si="121"/>
        <v>6.3912169454604095E-3</v>
      </c>
      <c r="L1958" s="34">
        <f t="shared" si="122"/>
        <v>0.93402110639699487</v>
      </c>
      <c r="M1958" s="34">
        <f t="shared" si="123"/>
        <v>0.92805157487437273</v>
      </c>
    </row>
    <row r="1959" spans="1:13" ht="27.6">
      <c r="A1959" t="s">
        <v>164</v>
      </c>
      <c r="B1959" t="s">
        <v>112</v>
      </c>
      <c r="C1959" s="14" t="s">
        <v>294</v>
      </c>
      <c r="D1959" t="s">
        <v>112</v>
      </c>
      <c r="E1959" t="s">
        <v>383</v>
      </c>
      <c r="F1959" s="20">
        <v>2047</v>
      </c>
      <c r="G1959" s="20">
        <v>67</v>
      </c>
      <c r="H1959" s="11">
        <v>23080.046623591399</v>
      </c>
      <c r="I1959" s="10">
        <v>3305722.4116827101</v>
      </c>
      <c r="J1959" s="34">
        <f t="shared" si="120"/>
        <v>6.981846552518902E-3</v>
      </c>
      <c r="K1959" s="34">
        <f t="shared" si="121"/>
        <v>6.957530086067254E-3</v>
      </c>
      <c r="L1959" s="34">
        <f t="shared" si="122"/>
        <v>0.92805157487437273</v>
      </c>
      <c r="M1959" s="34">
        <f t="shared" si="123"/>
        <v>0.9215946281207622</v>
      </c>
    </row>
    <row r="1960" spans="1:13" ht="27.6">
      <c r="A1960" t="s">
        <v>164</v>
      </c>
      <c r="B1960" t="s">
        <v>112</v>
      </c>
      <c r="C1960" s="14" t="s">
        <v>294</v>
      </c>
      <c r="D1960" t="s">
        <v>112</v>
      </c>
      <c r="E1960" t="s">
        <v>383</v>
      </c>
      <c r="F1960" s="20">
        <v>2047</v>
      </c>
      <c r="G1960" s="20">
        <v>68</v>
      </c>
      <c r="H1960" s="11">
        <v>24160.732874038302</v>
      </c>
      <c r="I1960" s="10">
        <v>3192887.2257126002</v>
      </c>
      <c r="J1960" s="34">
        <f t="shared" si="120"/>
        <v>7.5670486196536494E-3</v>
      </c>
      <c r="K1960" s="34">
        <f t="shared" si="121"/>
        <v>7.5384905859909868E-3</v>
      </c>
      <c r="L1960" s="34">
        <f t="shared" si="122"/>
        <v>0.9215946281207622</v>
      </c>
      <c r="M1960" s="34">
        <f t="shared" si="123"/>
        <v>0.91464719569257402</v>
      </c>
    </row>
    <row r="1961" spans="1:13" ht="27.6">
      <c r="A1961" t="s">
        <v>164</v>
      </c>
      <c r="B1961" t="s">
        <v>112</v>
      </c>
      <c r="C1961" s="14" t="s">
        <v>294</v>
      </c>
      <c r="D1961" t="s">
        <v>112</v>
      </c>
      <c r="E1961" t="s">
        <v>383</v>
      </c>
      <c r="F1961" s="20">
        <v>2047</v>
      </c>
      <c r="G1961" s="20">
        <v>69</v>
      </c>
      <c r="H1961" s="11">
        <v>24424.774501827102</v>
      </c>
      <c r="I1961" s="10">
        <v>3058543.6111898702</v>
      </c>
      <c r="J1961" s="34">
        <f t="shared" si="120"/>
        <v>7.9857532233536116E-3</v>
      </c>
      <c r="K1961" s="34">
        <f t="shared" si="121"/>
        <v>7.953951805145465E-3</v>
      </c>
      <c r="L1961" s="34">
        <f t="shared" si="122"/>
        <v>0.91464719569257402</v>
      </c>
      <c r="M1961" s="34">
        <f t="shared" si="123"/>
        <v>0.90737213597932387</v>
      </c>
    </row>
    <row r="1962" spans="1:13" ht="27.6">
      <c r="A1962" t="s">
        <v>164</v>
      </c>
      <c r="B1962" t="s">
        <v>112</v>
      </c>
      <c r="C1962" s="14" t="s">
        <v>294</v>
      </c>
      <c r="D1962" t="s">
        <v>112</v>
      </c>
      <c r="E1962" t="s">
        <v>383</v>
      </c>
      <c r="F1962" s="20">
        <v>2048</v>
      </c>
      <c r="G1962" s="20">
        <v>30</v>
      </c>
      <c r="H1962" s="11">
        <v>641.62519917932696</v>
      </c>
      <c r="I1962" s="10">
        <v>4276359.9467050601</v>
      </c>
      <c r="J1962" s="34">
        <f t="shared" si="120"/>
        <v>1.5004003572564089E-4</v>
      </c>
      <c r="K1962" s="34">
        <f t="shared" si="121"/>
        <v>1.5002878028236299E-4</v>
      </c>
      <c r="L1962" s="34">
        <f t="shared" si="122"/>
        <v>1</v>
      </c>
      <c r="M1962" s="34">
        <f t="shared" si="123"/>
        <v>0.99984997121971764</v>
      </c>
    </row>
    <row r="1963" spans="1:13" ht="27.6">
      <c r="A1963" t="s">
        <v>164</v>
      </c>
      <c r="B1963" t="s">
        <v>112</v>
      </c>
      <c r="C1963" s="14" t="s">
        <v>294</v>
      </c>
      <c r="D1963" t="s">
        <v>112</v>
      </c>
      <c r="E1963" t="s">
        <v>383</v>
      </c>
      <c r="F1963" s="20">
        <v>2048</v>
      </c>
      <c r="G1963" s="20">
        <v>31</v>
      </c>
      <c r="H1963" s="11">
        <v>927.82922761284499</v>
      </c>
      <c r="I1963" s="10">
        <v>4342141.4524094202</v>
      </c>
      <c r="J1963" s="34">
        <f t="shared" si="120"/>
        <v>2.1368010180736969E-4</v>
      </c>
      <c r="K1963" s="34">
        <f t="shared" si="121"/>
        <v>2.1365727384037303E-4</v>
      </c>
      <c r="L1963" s="34">
        <f t="shared" si="122"/>
        <v>0.99984997121971764</v>
      </c>
      <c r="M1963" s="34">
        <f t="shared" si="123"/>
        <v>0.99963634600061746</v>
      </c>
    </row>
    <row r="1964" spans="1:13" ht="27.6">
      <c r="A1964" t="s">
        <v>164</v>
      </c>
      <c r="B1964" t="s">
        <v>112</v>
      </c>
      <c r="C1964" s="14" t="s">
        <v>294</v>
      </c>
      <c r="D1964" t="s">
        <v>112</v>
      </c>
      <c r="E1964" t="s">
        <v>383</v>
      </c>
      <c r="F1964" s="20">
        <v>2048</v>
      </c>
      <c r="G1964" s="20">
        <v>32</v>
      </c>
      <c r="H1964" s="11">
        <v>1034.2190043570299</v>
      </c>
      <c r="I1964" s="10">
        <v>4578744.1811877703</v>
      </c>
      <c r="J1964" s="34">
        <f t="shared" si="120"/>
        <v>2.2587394347258413E-4</v>
      </c>
      <c r="K1964" s="34">
        <f t="shared" si="121"/>
        <v>2.2584843587392101E-4</v>
      </c>
      <c r="L1964" s="34">
        <f t="shared" si="122"/>
        <v>0.99963634600061746</v>
      </c>
      <c r="M1964" s="34">
        <f t="shared" si="123"/>
        <v>0.99941057969543046</v>
      </c>
    </row>
    <row r="1965" spans="1:13" ht="27.6">
      <c r="A1965" t="s">
        <v>164</v>
      </c>
      <c r="B1965" t="s">
        <v>112</v>
      </c>
      <c r="C1965" s="14" t="s">
        <v>294</v>
      </c>
      <c r="D1965" t="s">
        <v>112</v>
      </c>
      <c r="E1965" t="s">
        <v>383</v>
      </c>
      <c r="F1965" s="20">
        <v>2048</v>
      </c>
      <c r="G1965" s="20">
        <v>33</v>
      </c>
      <c r="H1965" s="11">
        <v>1114.14809575092</v>
      </c>
      <c r="I1965" s="10">
        <v>4641947.1566466503</v>
      </c>
      <c r="J1965" s="34">
        <f t="shared" si="120"/>
        <v>2.4001740178269981E-4</v>
      </c>
      <c r="K1965" s="34">
        <f t="shared" si="121"/>
        <v>2.3998859991047894E-4</v>
      </c>
      <c r="L1965" s="34">
        <f t="shared" si="122"/>
        <v>0.99941057969543046</v>
      </c>
      <c r="M1965" s="34">
        <f t="shared" si="123"/>
        <v>0.99917073254967359</v>
      </c>
    </row>
    <row r="1966" spans="1:13" ht="27.6">
      <c r="A1966" t="s">
        <v>164</v>
      </c>
      <c r="B1966" t="s">
        <v>112</v>
      </c>
      <c r="C1966" s="14" t="s">
        <v>294</v>
      </c>
      <c r="D1966" t="s">
        <v>112</v>
      </c>
      <c r="E1966" t="s">
        <v>383</v>
      </c>
      <c r="F1966" s="20">
        <v>2048</v>
      </c>
      <c r="G1966" s="20">
        <v>34</v>
      </c>
      <c r="H1966" s="11">
        <v>1204.5834501518</v>
      </c>
      <c r="I1966" s="10">
        <v>4713080.6944271401</v>
      </c>
      <c r="J1966" s="34">
        <f t="shared" si="120"/>
        <v>2.5558303119573754E-4</v>
      </c>
      <c r="K1966" s="34">
        <f t="shared" si="121"/>
        <v>2.5555037263524927E-4</v>
      </c>
      <c r="L1966" s="34">
        <f t="shared" si="122"/>
        <v>0.99917073254967359</v>
      </c>
      <c r="M1966" s="34">
        <f t="shared" si="123"/>
        <v>0.99891539409664432</v>
      </c>
    </row>
    <row r="1967" spans="1:13" ht="27.6">
      <c r="A1967" t="s">
        <v>164</v>
      </c>
      <c r="B1967" t="s">
        <v>112</v>
      </c>
      <c r="C1967" s="14" t="s">
        <v>294</v>
      </c>
      <c r="D1967" t="s">
        <v>112</v>
      </c>
      <c r="E1967" t="s">
        <v>383</v>
      </c>
      <c r="F1967" s="20">
        <v>2048</v>
      </c>
      <c r="G1967" s="20">
        <v>35</v>
      </c>
      <c r="H1967" s="11">
        <v>1320.70865137232</v>
      </c>
      <c r="I1967" s="10">
        <v>4803386.3944418896</v>
      </c>
      <c r="J1967" s="34">
        <f t="shared" si="120"/>
        <v>2.749536562164857E-4</v>
      </c>
      <c r="K1967" s="34">
        <f t="shared" si="121"/>
        <v>2.749158599241186E-4</v>
      </c>
      <c r="L1967" s="34">
        <f t="shared" si="122"/>
        <v>0.99891539409664432</v>
      </c>
      <c r="M1967" s="34">
        <f t="shared" si="123"/>
        <v>0.99864077641208482</v>
      </c>
    </row>
    <row r="1968" spans="1:13" ht="27.6">
      <c r="A1968" t="s">
        <v>164</v>
      </c>
      <c r="B1968" t="s">
        <v>112</v>
      </c>
      <c r="C1968" s="14" t="s">
        <v>294</v>
      </c>
      <c r="D1968" t="s">
        <v>112</v>
      </c>
      <c r="E1968" t="s">
        <v>383</v>
      </c>
      <c r="F1968" s="20">
        <v>2048</v>
      </c>
      <c r="G1968" s="20">
        <v>36</v>
      </c>
      <c r="H1968" s="11">
        <v>1683.4418944574099</v>
      </c>
      <c r="I1968" s="10">
        <v>4845687.9121002601</v>
      </c>
      <c r="J1968" s="34">
        <f t="shared" si="120"/>
        <v>3.4741030066209069E-4</v>
      </c>
      <c r="K1968" s="34">
        <f t="shared" si="121"/>
        <v>3.4734996069141211E-4</v>
      </c>
      <c r="L1968" s="34">
        <f t="shared" si="122"/>
        <v>0.99864077641208482</v>
      </c>
      <c r="M1968" s="34">
        <f t="shared" si="123"/>
        <v>0.99829389857765327</v>
      </c>
    </row>
    <row r="1969" spans="1:13" ht="27.6">
      <c r="A1969" t="s">
        <v>164</v>
      </c>
      <c r="B1969" t="s">
        <v>112</v>
      </c>
      <c r="C1969" s="14" t="s">
        <v>294</v>
      </c>
      <c r="D1969" t="s">
        <v>112</v>
      </c>
      <c r="E1969" t="s">
        <v>383</v>
      </c>
      <c r="F1969" s="20">
        <v>2048</v>
      </c>
      <c r="G1969" s="20">
        <v>37</v>
      </c>
      <c r="H1969" s="11">
        <v>1803.06015424364</v>
      </c>
      <c r="I1969" s="10">
        <v>4765305.4970547697</v>
      </c>
      <c r="J1969" s="34">
        <f t="shared" si="120"/>
        <v>3.7837241607238697E-4</v>
      </c>
      <c r="K1969" s="34">
        <f t="shared" si="121"/>
        <v>3.783008422572065E-4</v>
      </c>
      <c r="L1969" s="34">
        <f t="shared" si="122"/>
        <v>0.99829389857765327</v>
      </c>
      <c r="M1969" s="34">
        <f t="shared" si="123"/>
        <v>0.99791624315500116</v>
      </c>
    </row>
    <row r="1970" spans="1:13" ht="27.6">
      <c r="A1970" t="s">
        <v>164</v>
      </c>
      <c r="B1970" t="s">
        <v>112</v>
      </c>
      <c r="C1970" s="14" t="s">
        <v>294</v>
      </c>
      <c r="D1970" t="s">
        <v>112</v>
      </c>
      <c r="E1970" t="s">
        <v>383</v>
      </c>
      <c r="F1970" s="20">
        <v>2048</v>
      </c>
      <c r="G1970" s="20">
        <v>38</v>
      </c>
      <c r="H1970" s="11">
        <v>1935.0084824221501</v>
      </c>
      <c r="I1970" s="10">
        <v>4663330.20847286</v>
      </c>
      <c r="J1970" s="34">
        <f t="shared" si="120"/>
        <v>4.1494133932579131E-4</v>
      </c>
      <c r="K1970" s="34">
        <f t="shared" si="121"/>
        <v>4.1485526307416531E-4</v>
      </c>
      <c r="L1970" s="34">
        <f t="shared" si="122"/>
        <v>0.99791624315500116</v>
      </c>
      <c r="M1970" s="34">
        <f t="shared" si="123"/>
        <v>0.99750225234942114</v>
      </c>
    </row>
    <row r="1971" spans="1:13" ht="27.6">
      <c r="A1971" t="s">
        <v>164</v>
      </c>
      <c r="B1971" t="s">
        <v>112</v>
      </c>
      <c r="C1971" s="14" t="s">
        <v>294</v>
      </c>
      <c r="D1971" t="s">
        <v>112</v>
      </c>
      <c r="E1971" t="s">
        <v>383</v>
      </c>
      <c r="F1971" s="20">
        <v>2048</v>
      </c>
      <c r="G1971" s="20">
        <v>39</v>
      </c>
      <c r="H1971" s="11">
        <v>2032.2857980163601</v>
      </c>
      <c r="I1971" s="10">
        <v>4605133.8205394801</v>
      </c>
      <c r="J1971" s="34">
        <f t="shared" si="120"/>
        <v>4.4130873872809254E-4</v>
      </c>
      <c r="K1971" s="34">
        <f t="shared" si="121"/>
        <v>4.4121137634944851E-4</v>
      </c>
      <c r="L1971" s="34">
        <f t="shared" si="122"/>
        <v>0.99750225234942114</v>
      </c>
      <c r="M1971" s="34">
        <f t="shared" si="123"/>
        <v>0.99706214300775042</v>
      </c>
    </row>
    <row r="1972" spans="1:13" ht="27.6">
      <c r="A1972" t="s">
        <v>164</v>
      </c>
      <c r="B1972" t="s">
        <v>112</v>
      </c>
      <c r="C1972" s="14" t="s">
        <v>294</v>
      </c>
      <c r="D1972" t="s">
        <v>112</v>
      </c>
      <c r="E1972" t="s">
        <v>383</v>
      </c>
      <c r="F1972" s="20">
        <v>2048</v>
      </c>
      <c r="G1972" s="20">
        <v>40</v>
      </c>
      <c r="H1972" s="11">
        <v>2210.7119211508102</v>
      </c>
      <c r="I1972" s="10">
        <v>4594940.3768202998</v>
      </c>
      <c r="J1972" s="34">
        <f t="shared" si="120"/>
        <v>4.8111873927744492E-4</v>
      </c>
      <c r="K1972" s="34">
        <f t="shared" si="121"/>
        <v>4.8100302021569785E-4</v>
      </c>
      <c r="L1972" s="34">
        <f t="shared" si="122"/>
        <v>0.99706214300775042</v>
      </c>
      <c r="M1972" s="34">
        <f t="shared" si="123"/>
        <v>0.99658255310562094</v>
      </c>
    </row>
    <row r="1973" spans="1:13" ht="27.6">
      <c r="A1973" t="s">
        <v>164</v>
      </c>
      <c r="B1973" t="s">
        <v>112</v>
      </c>
      <c r="C1973" s="14" t="s">
        <v>294</v>
      </c>
      <c r="D1973" t="s">
        <v>112</v>
      </c>
      <c r="E1973" t="s">
        <v>383</v>
      </c>
      <c r="F1973" s="20">
        <v>2048</v>
      </c>
      <c r="G1973" s="20">
        <v>41</v>
      </c>
      <c r="H1973" s="11">
        <v>2851.3394983251901</v>
      </c>
      <c r="I1973" s="10">
        <v>4564532.59246537</v>
      </c>
      <c r="J1973" s="34">
        <f t="shared" si="120"/>
        <v>6.2467283135010773E-4</v>
      </c>
      <c r="K1973" s="34">
        <f t="shared" si="121"/>
        <v>6.2447776389684684E-4</v>
      </c>
      <c r="L1973" s="34">
        <f t="shared" si="122"/>
        <v>0.99658255310562094</v>
      </c>
      <c r="M1973" s="34">
        <f t="shared" si="123"/>
        <v>0.99596020946131891</v>
      </c>
    </row>
    <row r="1974" spans="1:13" ht="27.6">
      <c r="A1974" t="s">
        <v>164</v>
      </c>
      <c r="B1974" t="s">
        <v>112</v>
      </c>
      <c r="C1974" s="14" t="s">
        <v>294</v>
      </c>
      <c r="D1974" t="s">
        <v>112</v>
      </c>
      <c r="E1974" t="s">
        <v>383</v>
      </c>
      <c r="F1974" s="20">
        <v>2048</v>
      </c>
      <c r="G1974" s="20">
        <v>42</v>
      </c>
      <c r="H1974" s="11">
        <v>3109.6731763614298</v>
      </c>
      <c r="I1974" s="10">
        <v>4490827.0851123398</v>
      </c>
      <c r="J1974" s="34">
        <f t="shared" si="120"/>
        <v>6.9244999137695366E-4</v>
      </c>
      <c r="K1974" s="34">
        <f t="shared" si="121"/>
        <v>6.9221030320887333E-4</v>
      </c>
      <c r="L1974" s="34">
        <f t="shared" si="122"/>
        <v>0.99596020946131891</v>
      </c>
      <c r="M1974" s="34">
        <f t="shared" si="123"/>
        <v>0.99527079554274367</v>
      </c>
    </row>
    <row r="1975" spans="1:13" ht="27.6">
      <c r="A1975" t="s">
        <v>164</v>
      </c>
      <c r="B1975" t="s">
        <v>112</v>
      </c>
      <c r="C1975" s="14" t="s">
        <v>294</v>
      </c>
      <c r="D1975" t="s">
        <v>112</v>
      </c>
      <c r="E1975" t="s">
        <v>383</v>
      </c>
      <c r="F1975" s="20">
        <v>2048</v>
      </c>
      <c r="G1975" s="20">
        <v>43</v>
      </c>
      <c r="H1975" s="11">
        <v>3397.2790763911698</v>
      </c>
      <c r="I1975" s="10">
        <v>4394268.0141116399</v>
      </c>
      <c r="J1975" s="34">
        <f t="shared" si="120"/>
        <v>7.7311603786597329E-4</v>
      </c>
      <c r="K1975" s="34">
        <f t="shared" si="121"/>
        <v>7.7281726066336098E-4</v>
      </c>
      <c r="L1975" s="34">
        <f t="shared" si="122"/>
        <v>0.99527079554274367</v>
      </c>
      <c r="M1975" s="34">
        <f t="shared" si="123"/>
        <v>0.99450163309291406</v>
      </c>
    </row>
    <row r="1976" spans="1:13" ht="27.6">
      <c r="A1976" t="s">
        <v>164</v>
      </c>
      <c r="B1976" t="s">
        <v>112</v>
      </c>
      <c r="C1976" s="14" t="s">
        <v>294</v>
      </c>
      <c r="D1976" t="s">
        <v>112</v>
      </c>
      <c r="E1976" t="s">
        <v>383</v>
      </c>
      <c r="F1976" s="20">
        <v>2048</v>
      </c>
      <c r="G1976" s="20">
        <v>44</v>
      </c>
      <c r="H1976" s="11">
        <v>3509.78687545499</v>
      </c>
      <c r="I1976" s="10">
        <v>4293644.5457159402</v>
      </c>
      <c r="J1976" s="34">
        <f t="shared" si="120"/>
        <v>8.1743768914381652E-4</v>
      </c>
      <c r="K1976" s="34">
        <f t="shared" si="121"/>
        <v>8.1710367797327432E-4</v>
      </c>
      <c r="L1976" s="34">
        <f t="shared" si="122"/>
        <v>0.99450163309291406</v>
      </c>
      <c r="M1976" s="34">
        <f t="shared" si="123"/>
        <v>0.99368902215076338</v>
      </c>
    </row>
    <row r="1977" spans="1:13" ht="27.6">
      <c r="A1977" t="s">
        <v>164</v>
      </c>
      <c r="B1977" t="s">
        <v>112</v>
      </c>
      <c r="C1977" s="14" t="s">
        <v>294</v>
      </c>
      <c r="D1977" t="s">
        <v>112</v>
      </c>
      <c r="E1977" t="s">
        <v>383</v>
      </c>
      <c r="F1977" s="20">
        <v>2048</v>
      </c>
      <c r="G1977" s="20">
        <v>45</v>
      </c>
      <c r="H1977" s="11">
        <v>3793.5765132043998</v>
      </c>
      <c r="I1977" s="10">
        <v>4245681.2024605898</v>
      </c>
      <c r="J1977" s="34">
        <f t="shared" si="120"/>
        <v>8.9351421651861845E-4</v>
      </c>
      <c r="K1977" s="34">
        <f t="shared" si="121"/>
        <v>8.93115151556656E-4</v>
      </c>
      <c r="L1977" s="34">
        <f t="shared" si="122"/>
        <v>0.99368902215076338</v>
      </c>
      <c r="M1977" s="34">
        <f t="shared" si="123"/>
        <v>0.99280154342914506</v>
      </c>
    </row>
    <row r="1978" spans="1:13" ht="27.6">
      <c r="A1978" t="s">
        <v>164</v>
      </c>
      <c r="B1978" t="s">
        <v>112</v>
      </c>
      <c r="C1978" s="14" t="s">
        <v>294</v>
      </c>
      <c r="D1978" t="s">
        <v>112</v>
      </c>
      <c r="E1978" t="s">
        <v>383</v>
      </c>
      <c r="F1978" s="20">
        <v>2048</v>
      </c>
      <c r="G1978" s="20">
        <v>46</v>
      </c>
      <c r="H1978" s="11">
        <v>4730.4265342079798</v>
      </c>
      <c r="I1978" s="10">
        <v>4219426.1848615501</v>
      </c>
      <c r="J1978" s="34">
        <f t="shared" si="120"/>
        <v>1.1211065976648189E-3</v>
      </c>
      <c r="K1978" s="34">
        <f t="shared" si="121"/>
        <v>1.1204783924467776E-3</v>
      </c>
      <c r="L1978" s="34">
        <f t="shared" si="122"/>
        <v>0.99280154342914506</v>
      </c>
      <c r="M1978" s="34">
        <f t="shared" si="123"/>
        <v>0.99168913075174492</v>
      </c>
    </row>
    <row r="1979" spans="1:13" ht="27.6">
      <c r="A1979" t="s">
        <v>164</v>
      </c>
      <c r="B1979" t="s">
        <v>112</v>
      </c>
      <c r="C1979" s="14" t="s">
        <v>294</v>
      </c>
      <c r="D1979" t="s">
        <v>112</v>
      </c>
      <c r="E1979" t="s">
        <v>383</v>
      </c>
      <c r="F1979" s="20">
        <v>2048</v>
      </c>
      <c r="G1979" s="20">
        <v>47</v>
      </c>
      <c r="H1979" s="11">
        <v>5206.1530372109301</v>
      </c>
      <c r="I1979" s="10">
        <v>4192773.11537216</v>
      </c>
      <c r="J1979" s="34">
        <f t="shared" si="120"/>
        <v>1.2416968182998903E-3</v>
      </c>
      <c r="K1979" s="34">
        <f t="shared" si="121"/>
        <v>1.2409262317835124E-3</v>
      </c>
      <c r="L1979" s="34">
        <f t="shared" si="122"/>
        <v>0.99168913075174492</v>
      </c>
      <c r="M1979" s="34">
        <f t="shared" si="123"/>
        <v>0.99045851769562054</v>
      </c>
    </row>
    <row r="1980" spans="1:13" ht="27.6">
      <c r="A1980" t="s">
        <v>164</v>
      </c>
      <c r="B1980" t="s">
        <v>112</v>
      </c>
      <c r="C1980" s="14" t="s">
        <v>294</v>
      </c>
      <c r="D1980" t="s">
        <v>112</v>
      </c>
      <c r="E1980" t="s">
        <v>383</v>
      </c>
      <c r="F1980" s="20">
        <v>2048</v>
      </c>
      <c r="G1980" s="20">
        <v>48</v>
      </c>
      <c r="H1980" s="11">
        <v>5788.9856897174895</v>
      </c>
      <c r="I1980" s="10">
        <v>4184377.6653139601</v>
      </c>
      <c r="J1980" s="34">
        <f t="shared" si="120"/>
        <v>1.3834759079479823E-3</v>
      </c>
      <c r="K1980" s="34">
        <f t="shared" si="121"/>
        <v>1.382519346331601E-3</v>
      </c>
      <c r="L1980" s="34">
        <f t="shared" si="122"/>
        <v>0.99045851769562054</v>
      </c>
      <c r="M1980" s="34">
        <f t="shared" si="123"/>
        <v>0.98908918963316739</v>
      </c>
    </row>
    <row r="1981" spans="1:13" ht="27.6">
      <c r="A1981" t="s">
        <v>164</v>
      </c>
      <c r="B1981" t="s">
        <v>112</v>
      </c>
      <c r="C1981" s="14" t="s">
        <v>294</v>
      </c>
      <c r="D1981" t="s">
        <v>112</v>
      </c>
      <c r="E1981" t="s">
        <v>383</v>
      </c>
      <c r="F1981" s="20">
        <v>2048</v>
      </c>
      <c r="G1981" s="20">
        <v>49</v>
      </c>
      <c r="H1981" s="11">
        <v>6333.6810697575902</v>
      </c>
      <c r="I1981" s="10">
        <v>4212243.0275133504</v>
      </c>
      <c r="J1981" s="34">
        <f t="shared" si="120"/>
        <v>1.5036361929707095E-3</v>
      </c>
      <c r="K1981" s="34">
        <f t="shared" si="121"/>
        <v>1.5025062984580506E-3</v>
      </c>
      <c r="L1981" s="34">
        <f t="shared" si="122"/>
        <v>0.98908918963316739</v>
      </c>
      <c r="M1981" s="34">
        <f t="shared" si="123"/>
        <v>0.98760307689600679</v>
      </c>
    </row>
    <row r="1982" spans="1:13" ht="27.6">
      <c r="A1982" t="s">
        <v>164</v>
      </c>
      <c r="B1982" t="s">
        <v>112</v>
      </c>
      <c r="C1982" s="14" t="s">
        <v>294</v>
      </c>
      <c r="D1982" t="s">
        <v>112</v>
      </c>
      <c r="E1982" t="s">
        <v>383</v>
      </c>
      <c r="F1982" s="20">
        <v>2048</v>
      </c>
      <c r="G1982" s="20">
        <v>50</v>
      </c>
      <c r="H1982" s="11">
        <v>6952.86544895312</v>
      </c>
      <c r="I1982" s="10">
        <v>4241508.2284514597</v>
      </c>
      <c r="J1982" s="34">
        <f t="shared" si="120"/>
        <v>1.6392436544892795E-3</v>
      </c>
      <c r="K1982" s="34">
        <f t="shared" si="121"/>
        <v>1.6379008284498342E-3</v>
      </c>
      <c r="L1982" s="34">
        <f t="shared" si="122"/>
        <v>0.98760307689600679</v>
      </c>
      <c r="M1982" s="34">
        <f t="shared" si="123"/>
        <v>0.98598548099817918</v>
      </c>
    </row>
    <row r="1983" spans="1:13" ht="27.6">
      <c r="A1983" t="s">
        <v>164</v>
      </c>
      <c r="B1983" t="s">
        <v>112</v>
      </c>
      <c r="C1983" s="14" t="s">
        <v>294</v>
      </c>
      <c r="D1983" t="s">
        <v>112</v>
      </c>
      <c r="E1983" t="s">
        <v>383</v>
      </c>
      <c r="F1983" s="20">
        <v>2048</v>
      </c>
      <c r="G1983" s="20">
        <v>51</v>
      </c>
      <c r="H1983" s="11">
        <v>7813.1252865536999</v>
      </c>
      <c r="I1983" s="10">
        <v>4224875.9897176903</v>
      </c>
      <c r="J1983" s="34">
        <f t="shared" si="120"/>
        <v>1.8493147030987243E-3</v>
      </c>
      <c r="K1983" s="34">
        <f t="shared" si="121"/>
        <v>1.8476057742745633E-3</v>
      </c>
      <c r="L1983" s="34">
        <f t="shared" si="122"/>
        <v>0.98598548099817918</v>
      </c>
      <c r="M1983" s="34">
        <f t="shared" si="123"/>
        <v>0.9841637685301361</v>
      </c>
    </row>
    <row r="1984" spans="1:13" ht="27.6">
      <c r="A1984" t="s">
        <v>164</v>
      </c>
      <c r="B1984" t="s">
        <v>112</v>
      </c>
      <c r="C1984" s="14" t="s">
        <v>294</v>
      </c>
      <c r="D1984" t="s">
        <v>112</v>
      </c>
      <c r="E1984" t="s">
        <v>383</v>
      </c>
      <c r="F1984" s="20">
        <v>2048</v>
      </c>
      <c r="G1984" s="20">
        <v>52</v>
      </c>
      <c r="H1984" s="11">
        <v>8363.3644295956092</v>
      </c>
      <c r="I1984" s="10">
        <v>4150721.6866435301</v>
      </c>
      <c r="J1984" s="34">
        <f t="shared" si="120"/>
        <v>2.0149181421890566E-3</v>
      </c>
      <c r="K1984" s="34">
        <f t="shared" si="121"/>
        <v>2.0128895573353622E-3</v>
      </c>
      <c r="L1984" s="34">
        <f t="shared" si="122"/>
        <v>0.9841637685301361</v>
      </c>
      <c r="M1984" s="34">
        <f t="shared" si="123"/>
        <v>0.98218275555775392</v>
      </c>
    </row>
    <row r="1985" spans="1:13" ht="27.6">
      <c r="A1985" t="s">
        <v>164</v>
      </c>
      <c r="B1985" t="s">
        <v>112</v>
      </c>
      <c r="C1985" s="14" t="s">
        <v>294</v>
      </c>
      <c r="D1985" t="s">
        <v>112</v>
      </c>
      <c r="E1985" t="s">
        <v>383</v>
      </c>
      <c r="F1985" s="20">
        <v>2048</v>
      </c>
      <c r="G1985" s="20">
        <v>53</v>
      </c>
      <c r="H1985" s="11">
        <v>8935.5543887997792</v>
      </c>
      <c r="I1985" s="10">
        <v>4073633.9421816501</v>
      </c>
      <c r="J1985" s="34">
        <f t="shared" si="120"/>
        <v>2.1935094109153826E-3</v>
      </c>
      <c r="K1985" s="34">
        <f t="shared" si="121"/>
        <v>2.1911054271890329E-3</v>
      </c>
      <c r="L1985" s="34">
        <f t="shared" si="122"/>
        <v>0.98218275555775392</v>
      </c>
      <c r="M1985" s="34">
        <f t="shared" si="123"/>
        <v>0.98003068959155981</v>
      </c>
    </row>
    <row r="1986" spans="1:13" ht="27.6">
      <c r="A1986" t="s">
        <v>164</v>
      </c>
      <c r="B1986" t="s">
        <v>112</v>
      </c>
      <c r="C1986" s="14" t="s">
        <v>294</v>
      </c>
      <c r="D1986" t="s">
        <v>112</v>
      </c>
      <c r="E1986" t="s">
        <v>383</v>
      </c>
      <c r="F1986" s="20">
        <v>2048</v>
      </c>
      <c r="G1986" s="20">
        <v>54</v>
      </c>
      <c r="H1986" s="11">
        <v>9631.1748503495091</v>
      </c>
      <c r="I1986" s="10">
        <v>4004304.15609386</v>
      </c>
      <c r="J1986" s="34">
        <f t="shared" ref="J1986:J2049" si="124">IF(I1986&gt;0,H1986/I1986,0)</f>
        <v>2.4052056174835076E-3</v>
      </c>
      <c r="K1986" s="34">
        <f t="shared" ref="K1986:K2049" si="125">1-EXP(-J1986)</f>
        <v>2.4023154280832237E-3</v>
      </c>
      <c r="L1986" s="34">
        <f t="shared" ref="L1986:L2049" si="126">IF(G1986=30,1,M1985)</f>
        <v>0.98003068959155981</v>
      </c>
      <c r="M1986" s="34">
        <f t="shared" ref="M1986:M2049" si="127">L1986*(1-K1986)</f>
        <v>0.97767634674595894</v>
      </c>
    </row>
    <row r="1987" spans="1:13" ht="27.6">
      <c r="A1987" t="s">
        <v>164</v>
      </c>
      <c r="B1987" t="s">
        <v>112</v>
      </c>
      <c r="C1987" s="14" t="s">
        <v>294</v>
      </c>
      <c r="D1987" t="s">
        <v>112</v>
      </c>
      <c r="E1987" t="s">
        <v>383</v>
      </c>
      <c r="F1987" s="20">
        <v>2048</v>
      </c>
      <c r="G1987" s="20">
        <v>55</v>
      </c>
      <c r="H1987" s="11">
        <v>10394.9213969824</v>
      </c>
      <c r="I1987" s="10">
        <v>3936068.2291506198</v>
      </c>
      <c r="J1987" s="34">
        <f t="shared" si="124"/>
        <v>2.640940347526842E-3</v>
      </c>
      <c r="K1987" s="34">
        <f t="shared" si="125"/>
        <v>2.6374561324435941E-3</v>
      </c>
      <c r="L1987" s="34">
        <f t="shared" si="126"/>
        <v>0.97767634674595894</v>
      </c>
      <c r="M1987" s="34">
        <f t="shared" si="127"/>
        <v>0.97509776826968875</v>
      </c>
    </row>
    <row r="1988" spans="1:13" ht="27.6">
      <c r="A1988" t="s">
        <v>164</v>
      </c>
      <c r="B1988" t="s">
        <v>112</v>
      </c>
      <c r="C1988" s="14" t="s">
        <v>294</v>
      </c>
      <c r="D1988" t="s">
        <v>112</v>
      </c>
      <c r="E1988" t="s">
        <v>383</v>
      </c>
      <c r="F1988" s="20">
        <v>2048</v>
      </c>
      <c r="G1988" s="20">
        <v>56</v>
      </c>
      <c r="H1988" s="11">
        <v>11137.831457664201</v>
      </c>
      <c r="I1988" s="10">
        <v>3899336.7757690698</v>
      </c>
      <c r="J1988" s="34">
        <f t="shared" si="124"/>
        <v>2.8563399619330075E-3</v>
      </c>
      <c r="K1988" s="34">
        <f t="shared" si="125"/>
        <v>2.8522645041649808E-3</v>
      </c>
      <c r="L1988" s="34">
        <f t="shared" si="126"/>
        <v>0.97509776826968875</v>
      </c>
      <c r="M1988" s="34">
        <f t="shared" si="127"/>
        <v>0.97231653151716257</v>
      </c>
    </row>
    <row r="1989" spans="1:13" ht="27.6">
      <c r="A1989" t="s">
        <v>164</v>
      </c>
      <c r="B1989" t="s">
        <v>112</v>
      </c>
      <c r="C1989" s="14" t="s">
        <v>294</v>
      </c>
      <c r="D1989" t="s">
        <v>112</v>
      </c>
      <c r="E1989" t="s">
        <v>383</v>
      </c>
      <c r="F1989" s="20">
        <v>2048</v>
      </c>
      <c r="G1989" s="20">
        <v>57</v>
      </c>
      <c r="H1989" s="11">
        <v>12141.6010251675</v>
      </c>
      <c r="I1989" s="10">
        <v>3855358.0907035298</v>
      </c>
      <c r="J1989" s="34">
        <f t="shared" si="124"/>
        <v>3.1492797139764227E-3</v>
      </c>
      <c r="K1989" s="34">
        <f t="shared" si="125"/>
        <v>3.1443259342618379E-3</v>
      </c>
      <c r="L1989" s="34">
        <f t="shared" si="126"/>
        <v>0.97231653151716257</v>
      </c>
      <c r="M1989" s="34">
        <f t="shared" si="127"/>
        <v>0.9692592514308016</v>
      </c>
    </row>
    <row r="1990" spans="1:13" ht="27.6">
      <c r="A1990" t="s">
        <v>164</v>
      </c>
      <c r="B1990" t="s">
        <v>112</v>
      </c>
      <c r="C1990" s="14" t="s">
        <v>294</v>
      </c>
      <c r="D1990" t="s">
        <v>112</v>
      </c>
      <c r="E1990" t="s">
        <v>383</v>
      </c>
      <c r="F1990" s="20">
        <v>2048</v>
      </c>
      <c r="G1990" s="20">
        <v>58</v>
      </c>
      <c r="H1990" s="11">
        <v>13229.034820921899</v>
      </c>
      <c r="I1990" s="10">
        <v>3812768.3117794702</v>
      </c>
      <c r="J1990" s="34">
        <f t="shared" si="124"/>
        <v>3.4696665884604277E-3</v>
      </c>
      <c r="K1990" s="34">
        <f t="shared" si="125"/>
        <v>3.4636542509551838E-3</v>
      </c>
      <c r="L1990" s="34">
        <f t="shared" si="126"/>
        <v>0.9692592514308016</v>
      </c>
      <c r="M1990" s="34">
        <f t="shared" si="127"/>
        <v>0.96590207250430571</v>
      </c>
    </row>
    <row r="1991" spans="1:13" ht="27.6">
      <c r="A1991" t="s">
        <v>164</v>
      </c>
      <c r="B1991" t="s">
        <v>112</v>
      </c>
      <c r="C1991" s="14" t="s">
        <v>294</v>
      </c>
      <c r="D1991" t="s">
        <v>112</v>
      </c>
      <c r="E1991" t="s">
        <v>383</v>
      </c>
      <c r="F1991" s="20">
        <v>2048</v>
      </c>
      <c r="G1991" s="20">
        <v>59</v>
      </c>
      <c r="H1991" s="11">
        <v>13882.508845995801</v>
      </c>
      <c r="I1991" s="10">
        <v>3788930.4093863098</v>
      </c>
      <c r="J1991" s="34">
        <f t="shared" si="124"/>
        <v>3.6639651157499989E-3</v>
      </c>
      <c r="K1991" s="34">
        <f t="shared" si="125"/>
        <v>3.6572609859638616E-3</v>
      </c>
      <c r="L1991" s="34">
        <f t="shared" si="126"/>
        <v>0.96590207250430571</v>
      </c>
      <c r="M1991" s="34">
        <f t="shared" si="127"/>
        <v>0.96236951653827407</v>
      </c>
    </row>
    <row r="1992" spans="1:13" ht="27.6">
      <c r="A1992" t="s">
        <v>164</v>
      </c>
      <c r="B1992" t="s">
        <v>112</v>
      </c>
      <c r="C1992" s="14" t="s">
        <v>294</v>
      </c>
      <c r="D1992" t="s">
        <v>112</v>
      </c>
      <c r="E1992" t="s">
        <v>383</v>
      </c>
      <c r="F1992" s="20">
        <v>2048</v>
      </c>
      <c r="G1992" s="20">
        <v>60</v>
      </c>
      <c r="H1992" s="11">
        <v>14644.4298934173</v>
      </c>
      <c r="I1992" s="10">
        <v>3720156.4691675599</v>
      </c>
      <c r="J1992" s="34">
        <f t="shared" si="124"/>
        <v>3.936509126642786E-3</v>
      </c>
      <c r="K1992" s="34">
        <f t="shared" si="125"/>
        <v>3.9287712313523793E-3</v>
      </c>
      <c r="L1992" s="34">
        <f t="shared" si="126"/>
        <v>0.96236951653827407</v>
      </c>
      <c r="M1992" s="34">
        <f t="shared" si="127"/>
        <v>0.95858858686776804</v>
      </c>
    </row>
    <row r="1993" spans="1:13" ht="27.6">
      <c r="A1993" t="s">
        <v>164</v>
      </c>
      <c r="B1993" t="s">
        <v>112</v>
      </c>
      <c r="C1993" s="14" t="s">
        <v>294</v>
      </c>
      <c r="D1993" t="s">
        <v>112</v>
      </c>
      <c r="E1993" t="s">
        <v>383</v>
      </c>
      <c r="F1993" s="20">
        <v>2048</v>
      </c>
      <c r="G1993" s="20">
        <v>61</v>
      </c>
      <c r="H1993" s="11">
        <v>15330.9537642947</v>
      </c>
      <c r="I1993" s="10">
        <v>3642001.5510951402</v>
      </c>
      <c r="J1993" s="34">
        <f t="shared" si="124"/>
        <v>4.2094857866506741E-3</v>
      </c>
      <c r="K1993" s="34">
        <f t="shared" si="125"/>
        <v>4.2006383201385056E-3</v>
      </c>
      <c r="L1993" s="34">
        <f t="shared" si="126"/>
        <v>0.95858858686776804</v>
      </c>
      <c r="M1993" s="34">
        <f t="shared" si="127"/>
        <v>0.95456190291652387</v>
      </c>
    </row>
    <row r="1994" spans="1:13" ht="27.6">
      <c r="A1994" t="s">
        <v>164</v>
      </c>
      <c r="B1994" t="s">
        <v>112</v>
      </c>
      <c r="C1994" s="14" t="s">
        <v>294</v>
      </c>
      <c r="D1994" t="s">
        <v>112</v>
      </c>
      <c r="E1994" t="s">
        <v>383</v>
      </c>
      <c r="F1994" s="20">
        <v>2048</v>
      </c>
      <c r="G1994" s="20">
        <v>62</v>
      </c>
      <c r="H1994" s="11">
        <v>16603.617508517</v>
      </c>
      <c r="I1994" s="10">
        <v>3617045.0958926301</v>
      </c>
      <c r="J1994" s="34">
        <f t="shared" si="124"/>
        <v>4.5903816702123493E-3</v>
      </c>
      <c r="K1994" s="34">
        <f t="shared" si="125"/>
        <v>4.5798619709070953E-3</v>
      </c>
      <c r="L1994" s="34">
        <f t="shared" si="126"/>
        <v>0.95456190291652387</v>
      </c>
      <c r="M1994" s="34">
        <f t="shared" si="127"/>
        <v>0.95019014115847977</v>
      </c>
    </row>
    <row r="1995" spans="1:13" ht="27.6">
      <c r="A1995" t="s">
        <v>164</v>
      </c>
      <c r="B1995" t="s">
        <v>112</v>
      </c>
      <c r="C1995" s="14" t="s">
        <v>294</v>
      </c>
      <c r="D1995" t="s">
        <v>112</v>
      </c>
      <c r="E1995" t="s">
        <v>383</v>
      </c>
      <c r="F1995" s="20">
        <v>2048</v>
      </c>
      <c r="G1995" s="20">
        <v>63</v>
      </c>
      <c r="H1995" s="11">
        <v>18202.239539005099</v>
      </c>
      <c r="I1995" s="10">
        <v>3639041.79783213</v>
      </c>
      <c r="J1995" s="34">
        <f t="shared" si="124"/>
        <v>5.0019319783160057E-3</v>
      </c>
      <c r="K1995" s="34">
        <f t="shared" si="125"/>
        <v>4.9894431479946544E-3</v>
      </c>
      <c r="L1995" s="34">
        <f t="shared" si="126"/>
        <v>0.95019014115847977</v>
      </c>
      <c r="M1995" s="34">
        <f t="shared" si="127"/>
        <v>0.94544922146938448</v>
      </c>
    </row>
    <row r="1996" spans="1:13" ht="27.6">
      <c r="A1996" t="s">
        <v>164</v>
      </c>
      <c r="B1996" t="s">
        <v>112</v>
      </c>
      <c r="C1996" s="14" t="s">
        <v>294</v>
      </c>
      <c r="D1996" t="s">
        <v>112</v>
      </c>
      <c r="E1996" t="s">
        <v>383</v>
      </c>
      <c r="F1996" s="20">
        <v>2048</v>
      </c>
      <c r="G1996" s="20">
        <v>64</v>
      </c>
      <c r="H1996" s="11">
        <v>20031.0194087116</v>
      </c>
      <c r="I1996" s="10">
        <v>3619765.43749562</v>
      </c>
      <c r="J1996" s="34">
        <f t="shared" si="124"/>
        <v>5.5337893448063613E-3</v>
      </c>
      <c r="K1996" s="34">
        <f t="shared" si="125"/>
        <v>5.5185061368966393E-3</v>
      </c>
      <c r="L1996" s="34">
        <f t="shared" si="126"/>
        <v>0.94544922146938448</v>
      </c>
      <c r="M1996" s="34">
        <f t="shared" si="127"/>
        <v>0.94023175413858151</v>
      </c>
    </row>
    <row r="1997" spans="1:13" ht="27.6">
      <c r="A1997" t="s">
        <v>164</v>
      </c>
      <c r="B1997" t="s">
        <v>112</v>
      </c>
      <c r="C1997" s="14" t="s">
        <v>294</v>
      </c>
      <c r="D1997" t="s">
        <v>112</v>
      </c>
      <c r="E1997" t="s">
        <v>383</v>
      </c>
      <c r="F1997" s="20">
        <v>2048</v>
      </c>
      <c r="G1997" s="20">
        <v>65</v>
      </c>
      <c r="H1997" s="11">
        <v>21500.133656484399</v>
      </c>
      <c r="I1997" s="10">
        <v>3546999.9066253798</v>
      </c>
      <c r="J1997" s="34">
        <f t="shared" si="124"/>
        <v>6.0614982301873399E-3</v>
      </c>
      <c r="K1997" s="34">
        <f t="shared" si="125"/>
        <v>6.0431644119629535E-3</v>
      </c>
      <c r="L1997" s="34">
        <f t="shared" si="126"/>
        <v>0.94023175413858151</v>
      </c>
      <c r="M1997" s="34">
        <f t="shared" si="127"/>
        <v>0.93454977906297376</v>
      </c>
    </row>
    <row r="1998" spans="1:13" ht="27.6">
      <c r="A1998" t="s">
        <v>164</v>
      </c>
      <c r="B1998" t="s">
        <v>112</v>
      </c>
      <c r="C1998" s="14" t="s">
        <v>294</v>
      </c>
      <c r="D1998" t="s">
        <v>112</v>
      </c>
      <c r="E1998" t="s">
        <v>383</v>
      </c>
      <c r="F1998" s="20">
        <v>2048</v>
      </c>
      <c r="G1998" s="20">
        <v>66</v>
      </c>
      <c r="H1998" s="11">
        <v>22013.346554673299</v>
      </c>
      <c r="I1998" s="10">
        <v>3450399.5678418502</v>
      </c>
      <c r="J1998" s="34">
        <f t="shared" si="124"/>
        <v>6.37994125661283E-3</v>
      </c>
      <c r="K1998" s="34">
        <f t="shared" si="125"/>
        <v>6.3596326435988448E-3</v>
      </c>
      <c r="L1998" s="34">
        <f t="shared" si="126"/>
        <v>0.93454977906297376</v>
      </c>
      <c r="M1998" s="34">
        <f t="shared" si="127"/>
        <v>0.92860638578097676</v>
      </c>
    </row>
    <row r="1999" spans="1:13" ht="27.6">
      <c r="A1999" t="s">
        <v>164</v>
      </c>
      <c r="B1999" t="s">
        <v>112</v>
      </c>
      <c r="C1999" s="14" t="s">
        <v>294</v>
      </c>
      <c r="D1999" t="s">
        <v>112</v>
      </c>
      <c r="E1999" t="s">
        <v>383</v>
      </c>
      <c r="F1999" s="20">
        <v>2048</v>
      </c>
      <c r="G1999" s="20">
        <v>67</v>
      </c>
      <c r="H1999" s="11">
        <v>23253.679626005101</v>
      </c>
      <c r="I1999" s="10">
        <v>3345749.0671850201</v>
      </c>
      <c r="J1999" s="34">
        <f t="shared" si="124"/>
        <v>6.9502162771489075E-3</v>
      </c>
      <c r="K1999" s="34">
        <f t="shared" si="125"/>
        <v>6.9261193825277401E-3</v>
      </c>
      <c r="L1999" s="34">
        <f t="shared" si="126"/>
        <v>0.92860638578097676</v>
      </c>
      <c r="M1999" s="34">
        <f t="shared" si="127"/>
        <v>0.92217474709368008</v>
      </c>
    </row>
    <row r="2000" spans="1:13" ht="27.6">
      <c r="A2000" t="s">
        <v>164</v>
      </c>
      <c r="B2000" t="s">
        <v>112</v>
      </c>
      <c r="C2000" s="14" t="s">
        <v>294</v>
      </c>
      <c r="D2000" t="s">
        <v>112</v>
      </c>
      <c r="E2000" t="s">
        <v>383</v>
      </c>
      <c r="F2000" s="20">
        <v>2048</v>
      </c>
      <c r="G2000" s="20">
        <v>68</v>
      </c>
      <c r="H2000" s="11">
        <v>24416.878462517601</v>
      </c>
      <c r="I2000" s="10">
        <v>3243278.3615504499</v>
      </c>
      <c r="J2000" s="34">
        <f t="shared" si="124"/>
        <v>7.5284560067317525E-3</v>
      </c>
      <c r="K2000" s="34">
        <f t="shared" si="125"/>
        <v>7.5001881640277546E-3</v>
      </c>
      <c r="L2000" s="34">
        <f t="shared" si="126"/>
        <v>0.92217474709368008</v>
      </c>
      <c r="M2000" s="34">
        <f t="shared" si="127"/>
        <v>0.91525826297036272</v>
      </c>
    </row>
    <row r="2001" spans="1:13" ht="27.6">
      <c r="A2001" t="s">
        <v>164</v>
      </c>
      <c r="B2001" t="s">
        <v>112</v>
      </c>
      <c r="C2001" s="14" t="s">
        <v>294</v>
      </c>
      <c r="D2001" t="s">
        <v>112</v>
      </c>
      <c r="E2001" t="s">
        <v>383</v>
      </c>
      <c r="F2001" s="20">
        <v>2048</v>
      </c>
      <c r="G2001" s="20">
        <v>69</v>
      </c>
      <c r="H2001" s="11">
        <v>24857.611568035099</v>
      </c>
      <c r="I2001" s="10">
        <v>3126942.44413062</v>
      </c>
      <c r="J2001" s="34">
        <f t="shared" si="124"/>
        <v>7.9494944381511418E-3</v>
      </c>
      <c r="K2001" s="34">
        <f t="shared" si="125"/>
        <v>7.9179807684438552E-3</v>
      </c>
      <c r="L2001" s="34">
        <f t="shared" si="126"/>
        <v>0.91525826297036272</v>
      </c>
      <c r="M2001" s="34">
        <f t="shared" si="127"/>
        <v>0.9080112656460041</v>
      </c>
    </row>
    <row r="2002" spans="1:13" ht="27.6">
      <c r="A2002" t="s">
        <v>164</v>
      </c>
      <c r="B2002" t="s">
        <v>112</v>
      </c>
      <c r="C2002" s="14" t="s">
        <v>294</v>
      </c>
      <c r="D2002" t="s">
        <v>112</v>
      </c>
      <c r="E2002" t="s">
        <v>383</v>
      </c>
      <c r="F2002" s="20">
        <v>2049</v>
      </c>
      <c r="G2002" s="20">
        <v>30</v>
      </c>
      <c r="H2002" s="11">
        <v>635.65993661806999</v>
      </c>
      <c r="I2002" s="10">
        <v>4236169.6362446696</v>
      </c>
      <c r="J2002" s="34">
        <f t="shared" si="124"/>
        <v>1.500553545305087E-4</v>
      </c>
      <c r="K2002" s="34">
        <f t="shared" si="125"/>
        <v>1.5004409678887054E-4</v>
      </c>
      <c r="L2002" s="34">
        <f t="shared" si="126"/>
        <v>1</v>
      </c>
      <c r="M2002" s="34">
        <f t="shared" si="127"/>
        <v>0.99984995590321113</v>
      </c>
    </row>
    <row r="2003" spans="1:13" ht="27.6">
      <c r="A2003" t="s">
        <v>164</v>
      </c>
      <c r="B2003" t="s">
        <v>112</v>
      </c>
      <c r="C2003" s="14" t="s">
        <v>294</v>
      </c>
      <c r="D2003" t="s">
        <v>112</v>
      </c>
      <c r="E2003" t="s">
        <v>383</v>
      </c>
      <c r="F2003" s="20">
        <v>2049</v>
      </c>
      <c r="G2003" s="20">
        <v>31</v>
      </c>
      <c r="H2003" s="11">
        <v>912.12920293825096</v>
      </c>
      <c r="I2003" s="10">
        <v>4271721.2949733101</v>
      </c>
      <c r="J2003" s="34">
        <f t="shared" si="124"/>
        <v>2.135273207106434E-4</v>
      </c>
      <c r="K2003" s="34">
        <f t="shared" si="125"/>
        <v>2.1350452537483022E-4</v>
      </c>
      <c r="L2003" s="34">
        <f t="shared" si="126"/>
        <v>0.99984995590321113</v>
      </c>
      <c r="M2003" s="34">
        <f t="shared" si="127"/>
        <v>0.99963648341292999</v>
      </c>
    </row>
    <row r="2004" spans="1:13" ht="27.6">
      <c r="A2004" t="s">
        <v>164</v>
      </c>
      <c r="B2004" t="s">
        <v>112</v>
      </c>
      <c r="C2004" s="14" t="s">
        <v>294</v>
      </c>
      <c r="D2004" t="s">
        <v>112</v>
      </c>
      <c r="E2004" t="s">
        <v>383</v>
      </c>
      <c r="F2004" s="20">
        <v>2049</v>
      </c>
      <c r="G2004" s="20">
        <v>32</v>
      </c>
      <c r="H2004" s="11">
        <v>964.45153663858298</v>
      </c>
      <c r="I2004" s="10">
        <v>4337459.1232161</v>
      </c>
      <c r="J2004" s="34">
        <f t="shared" si="124"/>
        <v>2.2235403475652128E-4</v>
      </c>
      <c r="K2004" s="34">
        <f t="shared" si="125"/>
        <v>2.2232931593024752E-4</v>
      </c>
      <c r="L2004" s="34">
        <f t="shared" si="126"/>
        <v>0.99963648341292999</v>
      </c>
      <c r="M2004" s="34">
        <f t="shared" si="127"/>
        <v>0.9994142349173939</v>
      </c>
    </row>
    <row r="2005" spans="1:13" ht="27.6">
      <c r="A2005" t="s">
        <v>164</v>
      </c>
      <c r="B2005" t="s">
        <v>112</v>
      </c>
      <c r="C2005" s="14" t="s">
        <v>294</v>
      </c>
      <c r="D2005" t="s">
        <v>112</v>
      </c>
      <c r="E2005" t="s">
        <v>383</v>
      </c>
      <c r="F2005" s="20">
        <v>2049</v>
      </c>
      <c r="G2005" s="20">
        <v>33</v>
      </c>
      <c r="H2005" s="11">
        <v>1088.2280475376599</v>
      </c>
      <c r="I2005" s="10">
        <v>4573596.3516935203</v>
      </c>
      <c r="J2005" s="34">
        <f t="shared" si="124"/>
        <v>2.3793705518737103E-4</v>
      </c>
      <c r="K2005" s="34">
        <f t="shared" si="125"/>
        <v>2.3790875041118653E-4</v>
      </c>
      <c r="L2005" s="34">
        <f t="shared" si="126"/>
        <v>0.9994142349173939</v>
      </c>
      <c r="M2005" s="34">
        <f t="shared" si="127"/>
        <v>0.99917646552562156</v>
      </c>
    </row>
    <row r="2006" spans="1:13" ht="27.6">
      <c r="A2006" t="s">
        <v>164</v>
      </c>
      <c r="B2006" t="s">
        <v>112</v>
      </c>
      <c r="C2006" s="14" t="s">
        <v>294</v>
      </c>
      <c r="D2006" t="s">
        <v>112</v>
      </c>
      <c r="E2006" t="s">
        <v>383</v>
      </c>
      <c r="F2006" s="20">
        <v>2049</v>
      </c>
      <c r="G2006" s="20">
        <v>34</v>
      </c>
      <c r="H2006" s="11">
        <v>1175.0712122318</v>
      </c>
      <c r="I2006" s="10">
        <v>4636484.1983158104</v>
      </c>
      <c r="J2006" s="34">
        <f t="shared" si="124"/>
        <v>2.5344014170449266E-4</v>
      </c>
      <c r="K2006" s="34">
        <f t="shared" si="125"/>
        <v>2.5340802846474109E-4</v>
      </c>
      <c r="L2006" s="34">
        <f t="shared" si="126"/>
        <v>0.99917646552562156</v>
      </c>
      <c r="M2006" s="34">
        <f t="shared" si="127"/>
        <v>0.99892326618740435</v>
      </c>
    </row>
    <row r="2007" spans="1:13" ht="27.6">
      <c r="A2007" t="s">
        <v>164</v>
      </c>
      <c r="B2007" t="s">
        <v>112</v>
      </c>
      <c r="C2007" s="14" t="s">
        <v>294</v>
      </c>
      <c r="D2007" t="s">
        <v>112</v>
      </c>
      <c r="E2007" t="s">
        <v>383</v>
      </c>
      <c r="F2007" s="20">
        <v>2049</v>
      </c>
      <c r="G2007" s="20">
        <v>35</v>
      </c>
      <c r="H2007" s="11">
        <v>1289.5036539641601</v>
      </c>
      <c r="I2007" s="10">
        <v>4707247.2270216299</v>
      </c>
      <c r="J2007" s="34">
        <f t="shared" si="124"/>
        <v>2.7394007405471562E-4</v>
      </c>
      <c r="K2007" s="34">
        <f t="shared" si="125"/>
        <v>2.7390255589865298E-4</v>
      </c>
      <c r="L2007" s="34">
        <f t="shared" si="126"/>
        <v>0.99892326618740435</v>
      </c>
      <c r="M2007" s="34">
        <f t="shared" si="127"/>
        <v>0.998649658551649</v>
      </c>
    </row>
    <row r="2008" spans="1:13" ht="27.6">
      <c r="A2008" t="s">
        <v>164</v>
      </c>
      <c r="B2008" t="s">
        <v>112</v>
      </c>
      <c r="C2008" s="14" t="s">
        <v>294</v>
      </c>
      <c r="D2008" t="s">
        <v>112</v>
      </c>
      <c r="E2008" t="s">
        <v>383</v>
      </c>
      <c r="F2008" s="20">
        <v>2049</v>
      </c>
      <c r="G2008" s="20">
        <v>36</v>
      </c>
      <c r="H2008" s="11">
        <v>1656.84886350035</v>
      </c>
      <c r="I2008" s="10">
        <v>4797091.9342070604</v>
      </c>
      <c r="J2008" s="34">
        <f t="shared" si="124"/>
        <v>3.4538609770759385E-4</v>
      </c>
      <c r="K2008" s="34">
        <f t="shared" si="125"/>
        <v>3.4532645879570278E-4</v>
      </c>
      <c r="L2008" s="34">
        <f t="shared" si="126"/>
        <v>0.998649658551649</v>
      </c>
      <c r="M2008" s="34">
        <f t="shared" si="127"/>
        <v>0.99830479840148378</v>
      </c>
    </row>
    <row r="2009" spans="1:13" ht="27.6">
      <c r="A2009" t="s">
        <v>164</v>
      </c>
      <c r="B2009" t="s">
        <v>112</v>
      </c>
      <c r="C2009" s="14" t="s">
        <v>294</v>
      </c>
      <c r="D2009" t="s">
        <v>112</v>
      </c>
      <c r="E2009" t="s">
        <v>383</v>
      </c>
      <c r="F2009" s="20">
        <v>2049</v>
      </c>
      <c r="G2009" s="20">
        <v>37</v>
      </c>
      <c r="H2009" s="11">
        <v>1820.7065526128799</v>
      </c>
      <c r="I2009" s="10">
        <v>4839083.1703354297</v>
      </c>
      <c r="J2009" s="34">
        <f t="shared" si="124"/>
        <v>3.7625031199591354E-4</v>
      </c>
      <c r="K2009" s="34">
        <f t="shared" si="125"/>
        <v>3.761795387237088E-4</v>
      </c>
      <c r="L2009" s="34">
        <f t="shared" si="126"/>
        <v>0.99830479840148378</v>
      </c>
      <c r="M2009" s="34">
        <f t="shared" si="127"/>
        <v>0.99792925656291542</v>
      </c>
    </row>
    <row r="2010" spans="1:13" ht="27.6">
      <c r="A2010" t="s">
        <v>164</v>
      </c>
      <c r="B2010" t="s">
        <v>112</v>
      </c>
      <c r="C2010" s="14" t="s">
        <v>294</v>
      </c>
      <c r="D2010" t="s">
        <v>112</v>
      </c>
      <c r="E2010" t="s">
        <v>383</v>
      </c>
      <c r="F2010" s="20">
        <v>2049</v>
      </c>
      <c r="G2010" s="20">
        <v>38</v>
      </c>
      <c r="H2010" s="11">
        <v>1963.76962431838</v>
      </c>
      <c r="I2010" s="10">
        <v>4758349.1103202896</v>
      </c>
      <c r="J2010" s="34">
        <f t="shared" si="124"/>
        <v>4.1269977859741288E-4</v>
      </c>
      <c r="K2010" s="34">
        <f t="shared" si="125"/>
        <v>4.1261462975783481E-4</v>
      </c>
      <c r="L2010" s="34">
        <f t="shared" si="126"/>
        <v>0.99792925656291542</v>
      </c>
      <c r="M2010" s="34">
        <f t="shared" si="127"/>
        <v>0.99751749635219422</v>
      </c>
    </row>
    <row r="2011" spans="1:13" ht="27.6">
      <c r="A2011" t="s">
        <v>164</v>
      </c>
      <c r="B2011" t="s">
        <v>112</v>
      </c>
      <c r="C2011" s="14" t="s">
        <v>294</v>
      </c>
      <c r="D2011" t="s">
        <v>112</v>
      </c>
      <c r="E2011" t="s">
        <v>383</v>
      </c>
      <c r="F2011" s="20">
        <v>2049</v>
      </c>
      <c r="G2011" s="20">
        <v>39</v>
      </c>
      <c r="H2011" s="11">
        <v>2045.2490164150099</v>
      </c>
      <c r="I2011" s="10">
        <v>4656002.6472348599</v>
      </c>
      <c r="J2011" s="34">
        <f t="shared" si="124"/>
        <v>4.3927144621140992E-4</v>
      </c>
      <c r="K2011" s="34">
        <f t="shared" si="125"/>
        <v>4.3917498063505978E-4</v>
      </c>
      <c r="L2011" s="34">
        <f t="shared" si="126"/>
        <v>0.99751749635219422</v>
      </c>
      <c r="M2011" s="34">
        <f t="shared" si="127"/>
        <v>0.99707941162505065</v>
      </c>
    </row>
    <row r="2012" spans="1:13" ht="27.6">
      <c r="A2012" t="s">
        <v>164</v>
      </c>
      <c r="B2012" t="s">
        <v>112</v>
      </c>
      <c r="C2012" s="14" t="s">
        <v>294</v>
      </c>
      <c r="D2012" t="s">
        <v>112</v>
      </c>
      <c r="E2012" t="s">
        <v>383</v>
      </c>
      <c r="F2012" s="20">
        <v>2049</v>
      </c>
      <c r="G2012" s="20">
        <v>40</v>
      </c>
      <c r="H2012" s="11">
        <v>2202.5750130491601</v>
      </c>
      <c r="I2012" s="10">
        <v>4597396.1083639599</v>
      </c>
      <c r="J2012" s="34">
        <f t="shared" si="124"/>
        <v>4.7909185137257483E-4</v>
      </c>
      <c r="K2012" s="34">
        <f t="shared" si="125"/>
        <v>4.789771051969538E-4</v>
      </c>
      <c r="L2012" s="34">
        <f t="shared" si="126"/>
        <v>0.99707941162505065</v>
      </c>
      <c r="M2012" s="34">
        <f t="shared" si="127"/>
        <v>0.996601833414819</v>
      </c>
    </row>
    <row r="2013" spans="1:13" ht="27.6">
      <c r="A2013" t="s">
        <v>164</v>
      </c>
      <c r="B2013" t="s">
        <v>112</v>
      </c>
      <c r="C2013" s="14" t="s">
        <v>294</v>
      </c>
      <c r="D2013" t="s">
        <v>112</v>
      </c>
      <c r="E2013" t="s">
        <v>383</v>
      </c>
      <c r="F2013" s="20">
        <v>2049</v>
      </c>
      <c r="G2013" s="20">
        <v>41</v>
      </c>
      <c r="H2013" s="11">
        <v>2852.19660081743</v>
      </c>
      <c r="I2013" s="10">
        <v>4586609.9936764501</v>
      </c>
      <c r="J2013" s="34">
        <f t="shared" si="124"/>
        <v>6.2185287276436143E-4</v>
      </c>
      <c r="K2013" s="34">
        <f t="shared" si="125"/>
        <v>6.2165956233894981E-4</v>
      </c>
      <c r="L2013" s="34">
        <f t="shared" si="126"/>
        <v>0.996601833414819</v>
      </c>
      <c r="M2013" s="34">
        <f t="shared" si="127"/>
        <v>0.99598228635523212</v>
      </c>
    </row>
    <row r="2014" spans="1:13" ht="27.6">
      <c r="A2014" t="s">
        <v>164</v>
      </c>
      <c r="B2014" t="s">
        <v>112</v>
      </c>
      <c r="C2014" s="14" t="s">
        <v>294</v>
      </c>
      <c r="D2014" t="s">
        <v>112</v>
      </c>
      <c r="E2014" t="s">
        <v>383</v>
      </c>
      <c r="F2014" s="20">
        <v>2049</v>
      </c>
      <c r="G2014" s="20">
        <v>42</v>
      </c>
      <c r="H2014" s="11">
        <v>3139.7492061315102</v>
      </c>
      <c r="I2014" s="10">
        <v>4555842.1469678096</v>
      </c>
      <c r="J2014" s="34">
        <f t="shared" si="124"/>
        <v>6.8916988447925145E-4</v>
      </c>
      <c r="K2014" s="34">
        <f t="shared" si="125"/>
        <v>6.8893246145917963E-4</v>
      </c>
      <c r="L2014" s="34">
        <f t="shared" si="126"/>
        <v>0.99598228635523212</v>
      </c>
      <c r="M2014" s="34">
        <f t="shared" si="127"/>
        <v>0.99529612182712368</v>
      </c>
    </row>
    <row r="2015" spans="1:13" ht="27.6">
      <c r="A2015" t="s">
        <v>164</v>
      </c>
      <c r="B2015" t="s">
        <v>112</v>
      </c>
      <c r="C2015" s="14" t="s">
        <v>294</v>
      </c>
      <c r="D2015" t="s">
        <v>112</v>
      </c>
      <c r="E2015" t="s">
        <v>383</v>
      </c>
      <c r="F2015" s="20">
        <v>2049</v>
      </c>
      <c r="G2015" s="20">
        <v>43</v>
      </c>
      <c r="H2015" s="11">
        <v>3449.1352334287699</v>
      </c>
      <c r="I2015" s="10">
        <v>4481515.6463748403</v>
      </c>
      <c r="J2015" s="34">
        <f t="shared" si="124"/>
        <v>7.6963587892833155E-4</v>
      </c>
      <c r="K2015" s="34">
        <f t="shared" si="125"/>
        <v>7.6933978520155044E-4</v>
      </c>
      <c r="L2015" s="34">
        <f t="shared" si="126"/>
        <v>0.99529612182712368</v>
      </c>
      <c r="M2015" s="34">
        <f t="shared" si="127"/>
        <v>0.9945304009225453</v>
      </c>
    </row>
    <row r="2016" spans="1:13" ht="27.6">
      <c r="A2016" t="s">
        <v>164</v>
      </c>
      <c r="B2016" t="s">
        <v>112</v>
      </c>
      <c r="C2016" s="14" t="s">
        <v>294</v>
      </c>
      <c r="D2016" t="s">
        <v>112</v>
      </c>
      <c r="E2016" t="s">
        <v>383</v>
      </c>
      <c r="F2016" s="20">
        <v>2049</v>
      </c>
      <c r="G2016" s="20">
        <v>44</v>
      </c>
      <c r="H2016" s="11">
        <v>3555.0080258804601</v>
      </c>
      <c r="I2016" s="10">
        <v>4384306.6596170496</v>
      </c>
      <c r="J2016" s="34">
        <f t="shared" si="124"/>
        <v>8.1084839676588108E-4</v>
      </c>
      <c r="K2016" s="34">
        <f t="shared" si="125"/>
        <v>8.1051974803869609E-4</v>
      </c>
      <c r="L2016" s="34">
        <f t="shared" si="126"/>
        <v>0.9945304009225453</v>
      </c>
      <c r="M2016" s="34">
        <f t="shared" si="127"/>
        <v>0.99372431439257269</v>
      </c>
    </row>
    <row r="2017" spans="1:13" ht="27.6">
      <c r="A2017" t="s">
        <v>164</v>
      </c>
      <c r="B2017" t="s">
        <v>112</v>
      </c>
      <c r="C2017" s="14" t="s">
        <v>294</v>
      </c>
      <c r="D2017" t="s">
        <v>112</v>
      </c>
      <c r="E2017" t="s">
        <v>383</v>
      </c>
      <c r="F2017" s="20">
        <v>2049</v>
      </c>
      <c r="G2017" s="20">
        <v>45</v>
      </c>
      <c r="H2017" s="11">
        <v>3775.0564923705401</v>
      </c>
      <c r="I2017" s="10">
        <v>4283179.5188636295</v>
      </c>
      <c r="J2017" s="34">
        <f t="shared" si="124"/>
        <v>8.8136779599004534E-4</v>
      </c>
      <c r="K2017" s="34">
        <f t="shared" si="125"/>
        <v>8.8097950547805226E-4</v>
      </c>
      <c r="L2017" s="34">
        <f t="shared" si="126"/>
        <v>0.99372431439257269</v>
      </c>
      <c r="M2017" s="34">
        <f t="shared" si="127"/>
        <v>0.99284886363749758</v>
      </c>
    </row>
    <row r="2018" spans="1:13" ht="27.6">
      <c r="A2018" t="s">
        <v>164</v>
      </c>
      <c r="B2018" t="s">
        <v>112</v>
      </c>
      <c r="C2018" s="14" t="s">
        <v>294</v>
      </c>
      <c r="D2018" t="s">
        <v>112</v>
      </c>
      <c r="E2018" t="s">
        <v>383</v>
      </c>
      <c r="F2018" s="20">
        <v>2049</v>
      </c>
      <c r="G2018" s="20">
        <v>46</v>
      </c>
      <c r="H2018" s="11">
        <v>4685.6920199835904</v>
      </c>
      <c r="I2018" s="10">
        <v>4234409.1159993298</v>
      </c>
      <c r="J2018" s="34">
        <f t="shared" si="124"/>
        <v>1.1065751776981418E-3</v>
      </c>
      <c r="K2018" s="34">
        <f t="shared" si="125"/>
        <v>1.105963149158895E-3</v>
      </c>
      <c r="L2018" s="34">
        <f t="shared" si="126"/>
        <v>0.99284886363749758</v>
      </c>
      <c r="M2018" s="34">
        <f t="shared" si="127"/>
        <v>0.99175080938163018</v>
      </c>
    </row>
    <row r="2019" spans="1:13" ht="27.6">
      <c r="A2019" t="s">
        <v>164</v>
      </c>
      <c r="B2019" t="s">
        <v>112</v>
      </c>
      <c r="C2019" s="14" t="s">
        <v>294</v>
      </c>
      <c r="D2019" t="s">
        <v>112</v>
      </c>
      <c r="E2019" t="s">
        <v>383</v>
      </c>
      <c r="F2019" s="20">
        <v>2049</v>
      </c>
      <c r="G2019" s="20">
        <v>47</v>
      </c>
      <c r="H2019" s="11">
        <v>5162.9601215357397</v>
      </c>
      <c r="I2019" s="10">
        <v>4207454.2281174101</v>
      </c>
      <c r="J2019" s="34">
        <f t="shared" si="124"/>
        <v>1.2270983453683019E-3</v>
      </c>
      <c r="K2019" s="34">
        <f t="shared" si="125"/>
        <v>1.2263457680539158E-3</v>
      </c>
      <c r="L2019" s="34">
        <f t="shared" si="126"/>
        <v>0.99175080938163018</v>
      </c>
      <c r="M2019" s="34">
        <f t="shared" si="127"/>
        <v>0.99053457997358096</v>
      </c>
    </row>
    <row r="2020" spans="1:13" ht="27.6">
      <c r="A2020" t="s">
        <v>164</v>
      </c>
      <c r="B2020" t="s">
        <v>112</v>
      </c>
      <c r="C2020" s="14" t="s">
        <v>294</v>
      </c>
      <c r="D2020" t="s">
        <v>112</v>
      </c>
      <c r="E2020" t="s">
        <v>383</v>
      </c>
      <c r="F2020" s="20">
        <v>2049</v>
      </c>
      <c r="G2020" s="20">
        <v>48</v>
      </c>
      <c r="H2020" s="11">
        <v>5721.9546501213099</v>
      </c>
      <c r="I2020" s="10">
        <v>4179707.9461876899</v>
      </c>
      <c r="J2020" s="34">
        <f t="shared" si="124"/>
        <v>1.368984322299433E-3</v>
      </c>
      <c r="K2020" s="34">
        <f t="shared" si="125"/>
        <v>1.368047690722185E-3</v>
      </c>
      <c r="L2020" s="34">
        <f t="shared" si="126"/>
        <v>0.99053457997358096</v>
      </c>
      <c r="M2020" s="34">
        <f t="shared" si="127"/>
        <v>0.98917948142886769</v>
      </c>
    </row>
    <row r="2021" spans="1:13" ht="27.6">
      <c r="A2021" t="s">
        <v>164</v>
      </c>
      <c r="B2021" t="s">
        <v>112</v>
      </c>
      <c r="C2021" s="14" t="s">
        <v>294</v>
      </c>
      <c r="D2021" t="s">
        <v>112</v>
      </c>
      <c r="E2021" t="s">
        <v>383</v>
      </c>
      <c r="F2021" s="20">
        <v>2049</v>
      </c>
      <c r="G2021" s="20">
        <v>49</v>
      </c>
      <c r="H2021" s="11">
        <v>6203.2923174360203</v>
      </c>
      <c r="I2021" s="10">
        <v>4170006.0151182702</v>
      </c>
      <c r="J2021" s="34">
        <f t="shared" si="124"/>
        <v>1.4875979303018061E-3</v>
      </c>
      <c r="K2021" s="34">
        <f t="shared" si="125"/>
        <v>1.4864920049594277E-3</v>
      </c>
      <c r="L2021" s="34">
        <f t="shared" si="126"/>
        <v>0.98917948142886769</v>
      </c>
      <c r="M2021" s="34">
        <f t="shared" si="127"/>
        <v>0.98770907403825381</v>
      </c>
    </row>
    <row r="2022" spans="1:13" ht="27.6">
      <c r="A2022" t="s">
        <v>164</v>
      </c>
      <c r="B2022" t="s">
        <v>112</v>
      </c>
      <c r="C2022" s="14" t="s">
        <v>294</v>
      </c>
      <c r="D2022" t="s">
        <v>112</v>
      </c>
      <c r="E2022" t="s">
        <v>383</v>
      </c>
      <c r="F2022" s="20">
        <v>2049</v>
      </c>
      <c r="G2022" s="20">
        <v>50</v>
      </c>
      <c r="H2022" s="11">
        <v>6831.8935601222001</v>
      </c>
      <c r="I2022" s="10">
        <v>4196461.4761728896</v>
      </c>
      <c r="J2022" s="34">
        <f t="shared" si="124"/>
        <v>1.6280129339714053E-3</v>
      </c>
      <c r="K2022" s="34">
        <f t="shared" si="125"/>
        <v>1.6266884397768688E-3</v>
      </c>
      <c r="L2022" s="34">
        <f t="shared" si="126"/>
        <v>0.98770907403825381</v>
      </c>
      <c r="M2022" s="34">
        <f t="shared" si="127"/>
        <v>0.98610237910565302</v>
      </c>
    </row>
    <row r="2023" spans="1:13" ht="27.6">
      <c r="A2023" t="s">
        <v>164</v>
      </c>
      <c r="B2023" t="s">
        <v>112</v>
      </c>
      <c r="C2023" s="14" t="s">
        <v>294</v>
      </c>
      <c r="D2023" t="s">
        <v>112</v>
      </c>
      <c r="E2023" t="s">
        <v>383</v>
      </c>
      <c r="F2023" s="20">
        <v>2049</v>
      </c>
      <c r="G2023" s="20">
        <v>51</v>
      </c>
      <c r="H2023" s="11">
        <v>7757.1031380130898</v>
      </c>
      <c r="I2023" s="10">
        <v>4224129.1810277998</v>
      </c>
      <c r="J2023" s="34">
        <f t="shared" si="124"/>
        <v>1.8363792406854516E-3</v>
      </c>
      <c r="K2023" s="34">
        <f t="shared" si="125"/>
        <v>1.834694127987424E-3</v>
      </c>
      <c r="L2023" s="34">
        <f t="shared" si="126"/>
        <v>0.98610237910565302</v>
      </c>
      <c r="M2023" s="34">
        <f t="shared" si="127"/>
        <v>0.98429318286111345</v>
      </c>
    </row>
    <row r="2024" spans="1:13" ht="27.6">
      <c r="A2024" t="s">
        <v>164</v>
      </c>
      <c r="B2024" t="s">
        <v>112</v>
      </c>
      <c r="C2024" s="14" t="s">
        <v>294</v>
      </c>
      <c r="D2024" t="s">
        <v>112</v>
      </c>
      <c r="E2024" t="s">
        <v>383</v>
      </c>
      <c r="F2024" s="20">
        <v>2049</v>
      </c>
      <c r="G2024" s="20">
        <v>52</v>
      </c>
      <c r="H2024" s="11">
        <v>8430.3316383243491</v>
      </c>
      <c r="I2024" s="10">
        <v>4206105.2042455496</v>
      </c>
      <c r="J2024" s="34">
        <f t="shared" si="124"/>
        <v>2.0043083158773488E-3</v>
      </c>
      <c r="K2024" s="34">
        <f t="shared" si="125"/>
        <v>2.0023010312612E-3</v>
      </c>
      <c r="L2024" s="34">
        <f t="shared" si="126"/>
        <v>0.98429318286111345</v>
      </c>
      <c r="M2024" s="34">
        <f t="shared" si="127"/>
        <v>0.98232233160600724</v>
      </c>
    </row>
    <row r="2025" spans="1:13" ht="27.6">
      <c r="A2025" t="s">
        <v>164</v>
      </c>
      <c r="B2025" t="s">
        <v>112</v>
      </c>
      <c r="C2025" s="14" t="s">
        <v>294</v>
      </c>
      <c r="D2025" t="s">
        <v>112</v>
      </c>
      <c r="E2025" t="s">
        <v>383</v>
      </c>
      <c r="F2025" s="20">
        <v>2049</v>
      </c>
      <c r="G2025" s="20">
        <v>53</v>
      </c>
      <c r="H2025" s="11">
        <v>9017.6824960454105</v>
      </c>
      <c r="I2025" s="10">
        <v>4130555.4014527602</v>
      </c>
      <c r="J2025" s="34">
        <f t="shared" si="124"/>
        <v>2.1831646400079265E-3</v>
      </c>
      <c r="K2025" s="34">
        <f t="shared" si="125"/>
        <v>2.1807832693752083E-3</v>
      </c>
      <c r="L2025" s="34">
        <f t="shared" si="126"/>
        <v>0.98232233160600724</v>
      </c>
      <c r="M2025" s="34">
        <f t="shared" si="127"/>
        <v>0.9801800995001072</v>
      </c>
    </row>
    <row r="2026" spans="1:13" ht="27.6">
      <c r="A2026" t="s">
        <v>164</v>
      </c>
      <c r="B2026" t="s">
        <v>112</v>
      </c>
      <c r="C2026" s="14" t="s">
        <v>294</v>
      </c>
      <c r="D2026" t="s">
        <v>112</v>
      </c>
      <c r="E2026" t="s">
        <v>383</v>
      </c>
      <c r="F2026" s="20">
        <v>2049</v>
      </c>
      <c r="G2026" s="20">
        <v>54</v>
      </c>
      <c r="H2026" s="11">
        <v>9694.2317495346597</v>
      </c>
      <c r="I2026" s="10">
        <v>4052018.2974491902</v>
      </c>
      <c r="J2026" s="34">
        <f t="shared" si="124"/>
        <v>2.3924452057971536E-3</v>
      </c>
      <c r="K2026" s="34">
        <f t="shared" si="125"/>
        <v>2.3895855897119178E-3</v>
      </c>
      <c r="L2026" s="34">
        <f t="shared" si="126"/>
        <v>0.9801800995001072</v>
      </c>
      <c r="M2026" s="34">
        <f t="shared" si="127"/>
        <v>0.97783787525901933</v>
      </c>
    </row>
    <row r="2027" spans="1:13" ht="27.6">
      <c r="A2027" t="s">
        <v>164</v>
      </c>
      <c r="B2027" t="s">
        <v>112</v>
      </c>
      <c r="C2027" s="14" t="s">
        <v>294</v>
      </c>
      <c r="D2027" t="s">
        <v>112</v>
      </c>
      <c r="E2027" t="s">
        <v>383</v>
      </c>
      <c r="F2027" s="20">
        <v>2049</v>
      </c>
      <c r="G2027" s="20">
        <v>55</v>
      </c>
      <c r="H2027" s="11">
        <v>10457.3357580259</v>
      </c>
      <c r="I2027" s="10">
        <v>3981058.6116698999</v>
      </c>
      <c r="J2027" s="34">
        <f t="shared" si="124"/>
        <v>2.6267726195669983E-3</v>
      </c>
      <c r="K2027" s="34">
        <f t="shared" si="125"/>
        <v>2.6233256711466479E-3</v>
      </c>
      <c r="L2027" s="34">
        <f t="shared" si="126"/>
        <v>0.97783787525901933</v>
      </c>
      <c r="M2027" s="34">
        <f t="shared" si="127"/>
        <v>0.97527268805863288</v>
      </c>
    </row>
    <row r="2028" spans="1:13" ht="27.6">
      <c r="A2028" t="s">
        <v>164</v>
      </c>
      <c r="B2028" t="s">
        <v>112</v>
      </c>
      <c r="C2028" s="14" t="s">
        <v>294</v>
      </c>
      <c r="D2028" t="s">
        <v>112</v>
      </c>
      <c r="E2028" t="s">
        <v>383</v>
      </c>
      <c r="F2028" s="20">
        <v>2049</v>
      </c>
      <c r="G2028" s="20">
        <v>56</v>
      </c>
      <c r="H2028" s="11">
        <v>11104.8857923833</v>
      </c>
      <c r="I2028" s="10">
        <v>3911088.2579788999</v>
      </c>
      <c r="J2028" s="34">
        <f t="shared" si="124"/>
        <v>2.8393339806966869E-3</v>
      </c>
      <c r="K2028" s="34">
        <f t="shared" si="125"/>
        <v>2.83530688429523E-3</v>
      </c>
      <c r="L2028" s="34">
        <f t="shared" si="126"/>
        <v>0.97527268805863288</v>
      </c>
      <c r="M2028" s="34">
        <f t="shared" si="127"/>
        <v>0.97250749069211517</v>
      </c>
    </row>
    <row r="2029" spans="1:13" ht="27.6">
      <c r="A2029" t="s">
        <v>164</v>
      </c>
      <c r="B2029" t="s">
        <v>112</v>
      </c>
      <c r="C2029" s="14" t="s">
        <v>294</v>
      </c>
      <c r="D2029" t="s">
        <v>112</v>
      </c>
      <c r="E2029" t="s">
        <v>383</v>
      </c>
      <c r="F2029" s="20">
        <v>2049</v>
      </c>
      <c r="G2029" s="20">
        <v>57</v>
      </c>
      <c r="H2029" s="11">
        <v>12114.437729316</v>
      </c>
      <c r="I2029" s="10">
        <v>3872272.5727400701</v>
      </c>
      <c r="J2029" s="34">
        <f t="shared" si="124"/>
        <v>3.128508518382441E-3</v>
      </c>
      <c r="K2029" s="34">
        <f t="shared" si="125"/>
        <v>3.1236198350322875E-3</v>
      </c>
      <c r="L2029" s="34">
        <f t="shared" si="126"/>
        <v>0.97250749069211517</v>
      </c>
      <c r="M2029" s="34">
        <f t="shared" si="127"/>
        <v>0.96946974700447175</v>
      </c>
    </row>
    <row r="2030" spans="1:13" ht="27.6">
      <c r="A2030" t="s">
        <v>164</v>
      </c>
      <c r="B2030" t="s">
        <v>112</v>
      </c>
      <c r="C2030" s="14" t="s">
        <v>294</v>
      </c>
      <c r="D2030" t="s">
        <v>112</v>
      </c>
      <c r="E2030" t="s">
        <v>383</v>
      </c>
      <c r="F2030" s="20">
        <v>2049</v>
      </c>
      <c r="G2030" s="20">
        <v>58</v>
      </c>
      <c r="H2030" s="11">
        <v>13193.009964281</v>
      </c>
      <c r="I2030" s="10">
        <v>3826063.1819496499</v>
      </c>
      <c r="J2030" s="34">
        <f t="shared" si="124"/>
        <v>3.4481944852667664E-3</v>
      </c>
      <c r="K2030" s="34">
        <f t="shared" si="125"/>
        <v>3.4422562899741882E-3</v>
      </c>
      <c r="L2030" s="34">
        <f t="shared" si="126"/>
        <v>0.96946974700447175</v>
      </c>
      <c r="M2030" s="34">
        <f t="shared" si="127"/>
        <v>0.96613258366990595</v>
      </c>
    </row>
    <row r="2031" spans="1:13" ht="27.6">
      <c r="A2031" t="s">
        <v>164</v>
      </c>
      <c r="B2031" t="s">
        <v>112</v>
      </c>
      <c r="C2031" s="14" t="s">
        <v>294</v>
      </c>
      <c r="D2031" t="s">
        <v>112</v>
      </c>
      <c r="E2031" t="s">
        <v>383</v>
      </c>
      <c r="F2031" s="20">
        <v>2049</v>
      </c>
      <c r="G2031" s="20">
        <v>59</v>
      </c>
      <c r="H2031" s="11">
        <v>13764.812729744001</v>
      </c>
      <c r="I2031" s="10">
        <v>3781032.2126363199</v>
      </c>
      <c r="J2031" s="34">
        <f t="shared" si="124"/>
        <v>3.6404907325945533E-3</v>
      </c>
      <c r="K2031" s="34">
        <f t="shared" si="125"/>
        <v>3.6338721802363638E-3</v>
      </c>
      <c r="L2031" s="34">
        <f t="shared" si="126"/>
        <v>0.96613258366990595</v>
      </c>
      <c r="M2031" s="34">
        <f t="shared" si="127"/>
        <v>0.96262178135168797</v>
      </c>
    </row>
    <row r="2032" spans="1:13" ht="27.6">
      <c r="A2032" t="s">
        <v>164</v>
      </c>
      <c r="B2032" t="s">
        <v>112</v>
      </c>
      <c r="C2032" s="14" t="s">
        <v>294</v>
      </c>
      <c r="D2032" t="s">
        <v>112</v>
      </c>
      <c r="E2032" t="s">
        <v>383</v>
      </c>
      <c r="F2032" s="20">
        <v>2049</v>
      </c>
      <c r="G2032" s="20">
        <v>60</v>
      </c>
      <c r="H2032" s="11">
        <v>14641.145335368799</v>
      </c>
      <c r="I2032" s="10">
        <v>3754970.5805850402</v>
      </c>
      <c r="J2032" s="34">
        <f t="shared" si="124"/>
        <v>3.899137162637276E-3</v>
      </c>
      <c r="K2032" s="34">
        <f t="shared" si="125"/>
        <v>3.8915453976470227E-3</v>
      </c>
      <c r="L2032" s="34">
        <f t="shared" si="126"/>
        <v>0.96262178135168797</v>
      </c>
      <c r="M2032" s="34">
        <f t="shared" si="127"/>
        <v>0.95887569498879399</v>
      </c>
    </row>
    <row r="2033" spans="1:13" ht="27.6">
      <c r="A2033" t="s">
        <v>164</v>
      </c>
      <c r="B2033" t="s">
        <v>112</v>
      </c>
      <c r="C2033" s="14" t="s">
        <v>294</v>
      </c>
      <c r="D2033" t="s">
        <v>112</v>
      </c>
      <c r="E2033" t="s">
        <v>383</v>
      </c>
      <c r="F2033" s="20">
        <v>2049</v>
      </c>
      <c r="G2033" s="20">
        <v>61</v>
      </c>
      <c r="H2033" s="11">
        <v>15353.8705539447</v>
      </c>
      <c r="I2033" s="10">
        <v>3683943.6342957998</v>
      </c>
      <c r="J2033" s="34">
        <f t="shared" si="124"/>
        <v>4.1677810732518583E-3</v>
      </c>
      <c r="K2033" s="34">
        <f t="shared" si="125"/>
        <v>4.1591079271563469E-3</v>
      </c>
      <c r="L2033" s="34">
        <f t="shared" si="126"/>
        <v>0.95887569498879399</v>
      </c>
      <c r="M2033" s="34">
        <f t="shared" si="127"/>
        <v>0.95488762748460854</v>
      </c>
    </row>
    <row r="2034" spans="1:13" ht="27.6">
      <c r="A2034" t="s">
        <v>164</v>
      </c>
      <c r="B2034" t="s">
        <v>112</v>
      </c>
      <c r="C2034" s="14" t="s">
        <v>294</v>
      </c>
      <c r="D2034" t="s">
        <v>112</v>
      </c>
      <c r="E2034" t="s">
        <v>383</v>
      </c>
      <c r="F2034" s="20">
        <v>2049</v>
      </c>
      <c r="G2034" s="20">
        <v>62</v>
      </c>
      <c r="H2034" s="11">
        <v>16382.469683159001</v>
      </c>
      <c r="I2034" s="10">
        <v>3603275.87889332</v>
      </c>
      <c r="J2034" s="34">
        <f t="shared" si="124"/>
        <v>4.5465488166258798E-3</v>
      </c>
      <c r="K2034" s="34">
        <f t="shared" si="125"/>
        <v>4.5362289094660335E-3</v>
      </c>
      <c r="L2034" s="34">
        <f t="shared" si="126"/>
        <v>0.95488762748460854</v>
      </c>
      <c r="M2034" s="34">
        <f t="shared" si="127"/>
        <v>0.95055603862352145</v>
      </c>
    </row>
    <row r="2035" spans="1:13" ht="27.6">
      <c r="A2035" t="s">
        <v>164</v>
      </c>
      <c r="B2035" t="s">
        <v>112</v>
      </c>
      <c r="C2035" s="14" t="s">
        <v>294</v>
      </c>
      <c r="D2035" t="s">
        <v>112</v>
      </c>
      <c r="E2035" t="s">
        <v>383</v>
      </c>
      <c r="F2035" s="20">
        <v>2049</v>
      </c>
      <c r="G2035" s="20">
        <v>63</v>
      </c>
      <c r="H2035" s="11">
        <v>17720.372631439899</v>
      </c>
      <c r="I2035" s="10">
        <v>3574921.02918944</v>
      </c>
      <c r="J2035" s="34">
        <f t="shared" si="124"/>
        <v>4.9568570848843984E-3</v>
      </c>
      <c r="K2035" s="34">
        <f t="shared" si="125"/>
        <v>4.9445921423616479E-3</v>
      </c>
      <c r="L2035" s="34">
        <f t="shared" si="126"/>
        <v>0.95055603862352145</v>
      </c>
      <c r="M2035" s="34">
        <f t="shared" si="127"/>
        <v>0.94585592670406915</v>
      </c>
    </row>
    <row r="2036" spans="1:13" ht="27.6">
      <c r="A2036" t="s">
        <v>164</v>
      </c>
      <c r="B2036" t="s">
        <v>112</v>
      </c>
      <c r="C2036" s="14" t="s">
        <v>294</v>
      </c>
      <c r="D2036" t="s">
        <v>112</v>
      </c>
      <c r="E2036" t="s">
        <v>383</v>
      </c>
      <c r="F2036" s="20">
        <v>2049</v>
      </c>
      <c r="G2036" s="20">
        <v>64</v>
      </c>
      <c r="H2036" s="11">
        <v>19697.319275162201</v>
      </c>
      <c r="I2036" s="10">
        <v>3592625.9359040498</v>
      </c>
      <c r="J2036" s="34">
        <f t="shared" si="124"/>
        <v>5.4827080877835836E-3</v>
      </c>
      <c r="K2036" s="34">
        <f t="shared" si="125"/>
        <v>5.4677054746344878E-3</v>
      </c>
      <c r="L2036" s="34">
        <f t="shared" si="126"/>
        <v>0.94585592670406915</v>
      </c>
      <c r="M2036" s="34">
        <f t="shared" si="127"/>
        <v>0.94068426507541381</v>
      </c>
    </row>
    <row r="2037" spans="1:13" ht="27.6">
      <c r="A2037" t="s">
        <v>164</v>
      </c>
      <c r="B2037" t="s">
        <v>112</v>
      </c>
      <c r="C2037" s="14" t="s">
        <v>294</v>
      </c>
      <c r="D2037" t="s">
        <v>112</v>
      </c>
      <c r="E2037" t="s">
        <v>383</v>
      </c>
      <c r="F2037" s="20">
        <v>2049</v>
      </c>
      <c r="G2037" s="20">
        <v>65</v>
      </c>
      <c r="H2037" s="11">
        <v>21508.586924226998</v>
      </c>
      <c r="I2037" s="10">
        <v>3568891.54156492</v>
      </c>
      <c r="J2037" s="34">
        <f t="shared" si="124"/>
        <v>6.026685505493316E-3</v>
      </c>
      <c r="K2037" s="34">
        <f t="shared" si="125"/>
        <v>6.0085614639799889E-3</v>
      </c>
      <c r="L2037" s="34">
        <f t="shared" si="126"/>
        <v>0.94068426507541381</v>
      </c>
      <c r="M2037" s="34">
        <f t="shared" si="127"/>
        <v>0.93503210585050933</v>
      </c>
    </row>
    <row r="2038" spans="1:13" ht="27.6">
      <c r="A2038" t="s">
        <v>164</v>
      </c>
      <c r="B2038" t="s">
        <v>112</v>
      </c>
      <c r="C2038" s="14" t="s">
        <v>294</v>
      </c>
      <c r="D2038" t="s">
        <v>112</v>
      </c>
      <c r="E2038" t="s">
        <v>383</v>
      </c>
      <c r="F2038" s="20">
        <v>2049</v>
      </c>
      <c r="G2038" s="20">
        <v>66</v>
      </c>
      <c r="H2038" s="11">
        <v>22147.139514812101</v>
      </c>
      <c r="I2038" s="10">
        <v>3492266.5042830501</v>
      </c>
      <c r="J2038" s="34">
        <f t="shared" si="124"/>
        <v>6.3417667258927682E-3</v>
      </c>
      <c r="K2038" s="34">
        <f t="shared" si="125"/>
        <v>6.3217001648478988E-3</v>
      </c>
      <c r="L2038" s="34">
        <f t="shared" si="126"/>
        <v>0.93503210585050933</v>
      </c>
      <c r="M2038" s="34">
        <f t="shared" si="127"/>
        <v>0.9291211132328161</v>
      </c>
    </row>
    <row r="2039" spans="1:13" ht="27.6">
      <c r="A2039" t="s">
        <v>164</v>
      </c>
      <c r="B2039" t="s">
        <v>112</v>
      </c>
      <c r="C2039" s="14" t="s">
        <v>294</v>
      </c>
      <c r="D2039" t="s">
        <v>112</v>
      </c>
      <c r="E2039" t="s">
        <v>383</v>
      </c>
      <c r="F2039" s="20">
        <v>2049</v>
      </c>
      <c r="G2039" s="20">
        <v>67</v>
      </c>
      <c r="H2039" s="11">
        <v>23473.3484708086</v>
      </c>
      <c r="I2039" s="10">
        <v>3391574.9818608901</v>
      </c>
      <c r="J2039" s="34">
        <f t="shared" si="124"/>
        <v>6.921076077147272E-3</v>
      </c>
      <c r="K2039" s="34">
        <f t="shared" si="125"/>
        <v>6.8971805893911498E-3</v>
      </c>
      <c r="L2039" s="34">
        <f t="shared" si="126"/>
        <v>0.9291211132328161</v>
      </c>
      <c r="M2039" s="34">
        <f t="shared" si="127"/>
        <v>0.92271279712543319</v>
      </c>
    </row>
    <row r="2040" spans="1:13" ht="27.6">
      <c r="A2040" t="s">
        <v>164</v>
      </c>
      <c r="B2040" t="s">
        <v>112</v>
      </c>
      <c r="C2040" s="14" t="s">
        <v>294</v>
      </c>
      <c r="D2040" t="s">
        <v>112</v>
      </c>
      <c r="E2040" t="s">
        <v>383</v>
      </c>
      <c r="F2040" s="20">
        <v>2049</v>
      </c>
      <c r="G2040" s="20">
        <v>68</v>
      </c>
      <c r="H2040" s="11">
        <v>24624.4414484265</v>
      </c>
      <c r="I2040" s="10">
        <v>3283267.80381282</v>
      </c>
      <c r="J2040" s="34">
        <f t="shared" si="124"/>
        <v>7.4999795690837119E-3</v>
      </c>
      <c r="K2040" s="34">
        <f t="shared" si="125"/>
        <v>7.4719249026037327E-3</v>
      </c>
      <c r="L2040" s="34">
        <f t="shared" si="126"/>
        <v>0.92271279712543319</v>
      </c>
      <c r="M2040" s="34">
        <f t="shared" si="127"/>
        <v>0.91581835639864051</v>
      </c>
    </row>
    <row r="2041" spans="1:13" ht="27.6">
      <c r="A2041" t="s">
        <v>164</v>
      </c>
      <c r="B2041" t="s">
        <v>112</v>
      </c>
      <c r="C2041" s="14" t="s">
        <v>294</v>
      </c>
      <c r="D2041" t="s">
        <v>112</v>
      </c>
      <c r="E2041" t="s">
        <v>383</v>
      </c>
      <c r="F2041" s="20">
        <v>2049</v>
      </c>
      <c r="G2041" s="20">
        <v>69</v>
      </c>
      <c r="H2041" s="11">
        <v>25152.4250126447</v>
      </c>
      <c r="I2041" s="10">
        <v>3177078.2955098702</v>
      </c>
      <c r="J2041" s="34">
        <f t="shared" si="124"/>
        <v>7.9168414099810968E-3</v>
      </c>
      <c r="K2041" s="34">
        <f t="shared" si="125"/>
        <v>7.8855857574281485E-3</v>
      </c>
      <c r="L2041" s="34">
        <f t="shared" si="126"/>
        <v>0.91581835639864051</v>
      </c>
      <c r="M2041" s="34">
        <f t="shared" si="127"/>
        <v>0.90859659221103217</v>
      </c>
    </row>
    <row r="2042" spans="1:13" ht="27.6">
      <c r="A2042" t="s">
        <v>164</v>
      </c>
      <c r="B2042" t="s">
        <v>112</v>
      </c>
      <c r="C2042" s="14" t="s">
        <v>294</v>
      </c>
      <c r="D2042" t="s">
        <v>112</v>
      </c>
      <c r="E2042" t="s">
        <v>383</v>
      </c>
      <c r="F2042" s="20">
        <v>2050</v>
      </c>
      <c r="G2042" s="20">
        <v>30</v>
      </c>
      <c r="H2042" s="11">
        <v>636.22673737113098</v>
      </c>
      <c r="I2042" s="10">
        <v>4240186.8157788999</v>
      </c>
      <c r="J2042" s="34">
        <f t="shared" si="124"/>
        <v>1.5004686468142312E-4</v>
      </c>
      <c r="K2042" s="34">
        <f t="shared" si="125"/>
        <v>1.5003560821358342E-4</v>
      </c>
      <c r="L2042" s="34">
        <f t="shared" si="126"/>
        <v>1</v>
      </c>
      <c r="M2042" s="34">
        <f t="shared" si="127"/>
        <v>0.99984996439178642</v>
      </c>
    </row>
    <row r="2043" spans="1:13" ht="27.6">
      <c r="A2043" t="s">
        <v>164</v>
      </c>
      <c r="B2043" t="s">
        <v>112</v>
      </c>
      <c r="C2043" s="14" t="s">
        <v>294</v>
      </c>
      <c r="D2043" t="s">
        <v>112</v>
      </c>
      <c r="E2043" t="s">
        <v>383</v>
      </c>
      <c r="F2043" s="20">
        <v>2050</v>
      </c>
      <c r="G2043" s="20">
        <v>31</v>
      </c>
      <c r="H2043" s="11">
        <v>903.15886450016399</v>
      </c>
      <c r="I2043" s="10">
        <v>4231616.0909752902</v>
      </c>
      <c r="J2043" s="34">
        <f t="shared" si="124"/>
        <v>2.1343119155499917E-4</v>
      </c>
      <c r="K2043" s="34">
        <f t="shared" si="125"/>
        <v>2.1340841673855859E-4</v>
      </c>
      <c r="L2043" s="34">
        <f t="shared" si="126"/>
        <v>0.99984996439178642</v>
      </c>
      <c r="M2043" s="34">
        <f t="shared" si="127"/>
        <v>0.99963658799390942</v>
      </c>
    </row>
    <row r="2044" spans="1:13" ht="27.6">
      <c r="A2044" t="s">
        <v>164</v>
      </c>
      <c r="B2044" t="s">
        <v>112</v>
      </c>
      <c r="C2044" s="14" t="s">
        <v>294</v>
      </c>
      <c r="D2044" t="s">
        <v>112</v>
      </c>
      <c r="E2044" t="s">
        <v>383</v>
      </c>
      <c r="F2044" s="20">
        <v>2050</v>
      </c>
      <c r="G2044" s="20">
        <v>32</v>
      </c>
      <c r="H2044" s="11">
        <v>948.02158571922803</v>
      </c>
      <c r="I2044" s="10">
        <v>4267159.7559906002</v>
      </c>
      <c r="J2044" s="34">
        <f t="shared" si="124"/>
        <v>2.2216688381266134E-4</v>
      </c>
      <c r="K2044" s="34">
        <f t="shared" si="125"/>
        <v>2.221422065780132E-4</v>
      </c>
      <c r="L2044" s="34">
        <f t="shared" si="126"/>
        <v>0.99963658799390942</v>
      </c>
      <c r="M2044" s="34">
        <f t="shared" si="127"/>
        <v>0.99941452651647633</v>
      </c>
    </row>
    <row r="2045" spans="1:13" ht="27.6">
      <c r="A2045" t="s">
        <v>164</v>
      </c>
      <c r="B2045" t="s">
        <v>112</v>
      </c>
      <c r="C2045" s="14" t="s">
        <v>294</v>
      </c>
      <c r="D2045" t="s">
        <v>112</v>
      </c>
      <c r="E2045" t="s">
        <v>383</v>
      </c>
      <c r="F2045" s="20">
        <v>2050</v>
      </c>
      <c r="G2045" s="20">
        <v>33</v>
      </c>
      <c r="H2045" s="11">
        <v>1015.70897339087</v>
      </c>
      <c r="I2045" s="10">
        <v>4332648.5603042804</v>
      </c>
      <c r="J2045" s="34">
        <f t="shared" si="124"/>
        <v>2.3443142439402866E-4</v>
      </c>
      <c r="K2045" s="34">
        <f t="shared" si="125"/>
        <v>2.3440394749485449E-4</v>
      </c>
      <c r="L2045" s="34">
        <f t="shared" si="126"/>
        <v>0.99941452651647633</v>
      </c>
      <c r="M2045" s="34">
        <f t="shared" si="127"/>
        <v>0.99918025980627712</v>
      </c>
    </row>
    <row r="2046" spans="1:13" ht="27.6">
      <c r="A2046" t="s">
        <v>164</v>
      </c>
      <c r="B2046" t="s">
        <v>112</v>
      </c>
      <c r="C2046" s="14" t="s">
        <v>294</v>
      </c>
      <c r="D2046" t="s">
        <v>112</v>
      </c>
      <c r="E2046" t="s">
        <v>383</v>
      </c>
      <c r="F2046" s="20">
        <v>2050</v>
      </c>
      <c r="G2046" s="20">
        <v>34</v>
      </c>
      <c r="H2046" s="11">
        <v>1148.24277391292</v>
      </c>
      <c r="I2046" s="10">
        <v>4568275.9287324799</v>
      </c>
      <c r="J2046" s="34">
        <f t="shared" si="124"/>
        <v>2.5135144895494811E-4</v>
      </c>
      <c r="K2046" s="34">
        <f t="shared" si="125"/>
        <v>2.5131986282600494E-4</v>
      </c>
      <c r="L2046" s="34">
        <f t="shared" si="126"/>
        <v>0.99918025980627712</v>
      </c>
      <c r="M2046" s="34">
        <f t="shared" si="127"/>
        <v>0.99892914596044413</v>
      </c>
    </row>
    <row r="2047" spans="1:13" ht="27.6">
      <c r="A2047" t="s">
        <v>164</v>
      </c>
      <c r="B2047" t="s">
        <v>112</v>
      </c>
      <c r="C2047" s="14" t="s">
        <v>294</v>
      </c>
      <c r="D2047" t="s">
        <v>112</v>
      </c>
      <c r="E2047" t="s">
        <v>383</v>
      </c>
      <c r="F2047" s="20">
        <v>2050</v>
      </c>
      <c r="G2047" s="20">
        <v>35</v>
      </c>
      <c r="H2047" s="11">
        <v>1258.4381088663499</v>
      </c>
      <c r="I2047" s="10">
        <v>4630812.5770936003</v>
      </c>
      <c r="J2047" s="34">
        <f t="shared" si="124"/>
        <v>2.7175319404875879E-4</v>
      </c>
      <c r="K2047" s="34">
        <f t="shared" si="125"/>
        <v>2.7171627249411578E-4</v>
      </c>
      <c r="L2047" s="34">
        <f t="shared" si="126"/>
        <v>0.99892914596044413</v>
      </c>
      <c r="M2047" s="34">
        <f t="shared" si="127"/>
        <v>0.998657720656418</v>
      </c>
    </row>
    <row r="2048" spans="1:13" ht="27.6">
      <c r="A2048" t="s">
        <v>164</v>
      </c>
      <c r="B2048" t="s">
        <v>112</v>
      </c>
      <c r="C2048" s="14" t="s">
        <v>294</v>
      </c>
      <c r="D2048" t="s">
        <v>112</v>
      </c>
      <c r="E2048" t="s">
        <v>383</v>
      </c>
      <c r="F2048" s="20">
        <v>2050</v>
      </c>
      <c r="G2048" s="20">
        <v>36</v>
      </c>
      <c r="H2048" s="11">
        <v>1614.2244645835001</v>
      </c>
      <c r="I2048" s="10">
        <v>4701146.0025858898</v>
      </c>
      <c r="J2048" s="34">
        <f t="shared" si="124"/>
        <v>3.4336829013512608E-4</v>
      </c>
      <c r="K2048" s="34">
        <f t="shared" si="125"/>
        <v>3.4330934599047236E-4</v>
      </c>
      <c r="L2048" s="34">
        <f t="shared" si="126"/>
        <v>0.998657720656418</v>
      </c>
      <c r="M2048" s="34">
        <f t="shared" si="127"/>
        <v>0.99831487212747116</v>
      </c>
    </row>
    <row r="2049" spans="1:13" ht="27.6">
      <c r="A2049" t="s">
        <v>164</v>
      </c>
      <c r="B2049" t="s">
        <v>112</v>
      </c>
      <c r="C2049" s="14" t="s">
        <v>294</v>
      </c>
      <c r="D2049" t="s">
        <v>112</v>
      </c>
      <c r="E2049" t="s">
        <v>383</v>
      </c>
      <c r="F2049" s="20">
        <v>2050</v>
      </c>
      <c r="G2049" s="20">
        <v>37</v>
      </c>
      <c r="H2049" s="11">
        <v>1792.2343901106899</v>
      </c>
      <c r="I2049" s="10">
        <v>4790626.1871094499</v>
      </c>
      <c r="J2049" s="34">
        <f t="shared" si="124"/>
        <v>3.7411276106935859E-4</v>
      </c>
      <c r="K2049" s="34">
        <f t="shared" si="125"/>
        <v>3.7404278961639115E-4</v>
      </c>
      <c r="L2049" s="34">
        <f t="shared" si="126"/>
        <v>0.99831487212747116</v>
      </c>
      <c r="M2049" s="34">
        <f t="shared" si="127"/>
        <v>0.99794145964778502</v>
      </c>
    </row>
    <row r="2050" spans="1:13" ht="27.6">
      <c r="A2050" t="s">
        <v>164</v>
      </c>
      <c r="B2050" t="s">
        <v>112</v>
      </c>
      <c r="C2050" s="14" t="s">
        <v>294</v>
      </c>
      <c r="D2050" t="s">
        <v>112</v>
      </c>
      <c r="E2050" t="s">
        <v>383</v>
      </c>
      <c r="F2050" s="20">
        <v>2050</v>
      </c>
      <c r="G2050" s="20">
        <v>38</v>
      </c>
      <c r="H2050" s="11">
        <v>1983.28975884395</v>
      </c>
      <c r="I2050" s="10">
        <v>4832098.3181422902</v>
      </c>
      <c r="J2050" s="34">
        <f t="shared" ref="J2050:J2081" si="128">IF(I2050&gt;0,H2050/I2050,0)</f>
        <v>4.1044068813699756E-4</v>
      </c>
      <c r="K2050" s="34">
        <f t="shared" ref="K2050:K2081" si="129">1-EXP(-J2050)</f>
        <v>4.1035646888043509E-4</v>
      </c>
      <c r="L2050" s="34">
        <f t="shared" ref="L2050:L2081" si="130">IF(G2050=30,1,M2049)</f>
        <v>0.99794145964778502</v>
      </c>
      <c r="M2050" s="34">
        <f t="shared" ref="M2050:M2081" si="131">L2050*(1-K2050)</f>
        <v>0.99753194791425459</v>
      </c>
    </row>
    <row r="2051" spans="1:13" ht="27.6">
      <c r="A2051" t="s">
        <v>164</v>
      </c>
      <c r="B2051" t="s">
        <v>112</v>
      </c>
      <c r="C2051" s="14" t="s">
        <v>294</v>
      </c>
      <c r="D2051" t="s">
        <v>112</v>
      </c>
      <c r="E2051" t="s">
        <v>383</v>
      </c>
      <c r="F2051" s="20">
        <v>2050</v>
      </c>
      <c r="G2051" s="20">
        <v>39</v>
      </c>
      <c r="H2051" s="11">
        <v>2076.3271701245799</v>
      </c>
      <c r="I2051" s="10">
        <v>4750956.4817286497</v>
      </c>
      <c r="J2051" s="34">
        <f t="shared" si="128"/>
        <v>4.3703350643386698E-4</v>
      </c>
      <c r="K2051" s="34">
        <f t="shared" si="129"/>
        <v>4.3693802120159386E-4</v>
      </c>
      <c r="L2051" s="34">
        <f t="shared" si="130"/>
        <v>0.99753194791425459</v>
      </c>
      <c r="M2051" s="34">
        <f t="shared" si="131"/>
        <v>0.99709608827884755</v>
      </c>
    </row>
    <row r="2052" spans="1:13" ht="27.6">
      <c r="A2052" t="s">
        <v>164</v>
      </c>
      <c r="B2052" t="s">
        <v>112</v>
      </c>
      <c r="C2052" s="14" t="s">
        <v>294</v>
      </c>
      <c r="D2052" t="s">
        <v>112</v>
      </c>
      <c r="E2052" t="s">
        <v>383</v>
      </c>
      <c r="F2052" s="20">
        <v>2050</v>
      </c>
      <c r="G2052" s="20">
        <v>40</v>
      </c>
      <c r="H2052" s="11">
        <v>2217.1986686283399</v>
      </c>
      <c r="I2052" s="10">
        <v>4648267.09029462</v>
      </c>
      <c r="J2052" s="34">
        <f t="shared" si="128"/>
        <v>4.769946789972019E-4</v>
      </c>
      <c r="K2052" s="34">
        <f t="shared" si="129"/>
        <v>4.7688093512110452E-4</v>
      </c>
      <c r="L2052" s="34">
        <f t="shared" si="130"/>
        <v>0.99709608827884755</v>
      </c>
      <c r="M2052" s="34">
        <f t="shared" si="131"/>
        <v>0.99662059216386356</v>
      </c>
    </row>
    <row r="2053" spans="1:13" ht="27.6">
      <c r="A2053" t="s">
        <v>164</v>
      </c>
      <c r="B2053" t="s">
        <v>112</v>
      </c>
      <c r="C2053" s="14" t="s">
        <v>294</v>
      </c>
      <c r="D2053" t="s">
        <v>112</v>
      </c>
      <c r="E2053" t="s">
        <v>383</v>
      </c>
      <c r="F2053" s="20">
        <v>2050</v>
      </c>
      <c r="G2053" s="20">
        <v>41</v>
      </c>
      <c r="H2053" s="11">
        <v>2840.6907512865901</v>
      </c>
      <c r="I2053" s="10">
        <v>4589154.2254964504</v>
      </c>
      <c r="J2053" s="34">
        <f t="shared" si="128"/>
        <v>6.1900093387671812E-4</v>
      </c>
      <c r="K2053" s="34">
        <f t="shared" si="129"/>
        <v>6.1880939232217269E-4</v>
      </c>
      <c r="L2053" s="34">
        <f t="shared" si="130"/>
        <v>0.99662059216386356</v>
      </c>
      <c r="M2053" s="34">
        <f t="shared" si="131"/>
        <v>0.99600387398085088</v>
      </c>
    </row>
    <row r="2054" spans="1:13" ht="27.6">
      <c r="A2054" t="s">
        <v>164</v>
      </c>
      <c r="B2054" t="s">
        <v>112</v>
      </c>
      <c r="C2054" s="14" t="s">
        <v>294</v>
      </c>
      <c r="D2054" t="s">
        <v>112</v>
      </c>
      <c r="E2054" t="s">
        <v>383</v>
      </c>
      <c r="F2054" s="20">
        <v>2050</v>
      </c>
      <c r="G2054" s="20">
        <v>42</v>
      </c>
      <c r="H2054" s="11">
        <v>3141.3963765324202</v>
      </c>
      <c r="I2054" s="10">
        <v>4577975.6971710203</v>
      </c>
      <c r="J2054" s="34">
        <f t="shared" si="128"/>
        <v>6.8619769617249372E-4</v>
      </c>
      <c r="K2054" s="34">
        <f t="shared" si="129"/>
        <v>6.859623163755213E-4</v>
      </c>
      <c r="L2054" s="34">
        <f t="shared" si="130"/>
        <v>0.99600387398085088</v>
      </c>
      <c r="M2054" s="34">
        <f t="shared" si="131"/>
        <v>0.99532065285633597</v>
      </c>
    </row>
    <row r="2055" spans="1:13" ht="27.6">
      <c r="A2055" t="s">
        <v>164</v>
      </c>
      <c r="B2055" t="s">
        <v>112</v>
      </c>
      <c r="C2055" s="14" t="s">
        <v>294</v>
      </c>
      <c r="D2055" t="s">
        <v>112</v>
      </c>
      <c r="E2055" t="s">
        <v>383</v>
      </c>
      <c r="F2055" s="20">
        <v>2050</v>
      </c>
      <c r="G2055" s="20">
        <v>43</v>
      </c>
      <c r="H2055" s="11">
        <v>3483.2096317739902</v>
      </c>
      <c r="I2055" s="10">
        <v>4546503.0126565602</v>
      </c>
      <c r="J2055" s="34">
        <f t="shared" si="128"/>
        <v>7.6612940144929573E-4</v>
      </c>
      <c r="K2055" s="34">
        <f t="shared" si="129"/>
        <v>7.6583599925217349E-4</v>
      </c>
      <c r="L2055" s="34">
        <f t="shared" si="130"/>
        <v>0.99532065285633597</v>
      </c>
      <c r="M2055" s="34">
        <f t="shared" si="131"/>
        <v>0.99455840046957944</v>
      </c>
    </row>
    <row r="2056" spans="1:13" ht="27.6">
      <c r="A2056" t="s">
        <v>164</v>
      </c>
      <c r="B2056" t="s">
        <v>112</v>
      </c>
      <c r="C2056" s="14" t="s">
        <v>294</v>
      </c>
      <c r="D2056" t="s">
        <v>112</v>
      </c>
      <c r="E2056" t="s">
        <v>383</v>
      </c>
      <c r="F2056" s="20">
        <v>2050</v>
      </c>
      <c r="G2056" s="20">
        <v>44</v>
      </c>
      <c r="H2056" s="11">
        <v>3609.9056223206298</v>
      </c>
      <c r="I2056" s="10">
        <v>4471471.4268893301</v>
      </c>
      <c r="J2056" s="34">
        <f t="shared" si="128"/>
        <v>8.0731939840034584E-4</v>
      </c>
      <c r="K2056" s="34">
        <f t="shared" si="129"/>
        <v>8.0699360377411988E-4</v>
      </c>
      <c r="L2056" s="34">
        <f t="shared" si="130"/>
        <v>0.99455840046957944</v>
      </c>
      <c r="M2056" s="34">
        <f t="shared" si="131"/>
        <v>0.99375579820182069</v>
      </c>
    </row>
    <row r="2057" spans="1:13" ht="27.6">
      <c r="A2057" t="s">
        <v>164</v>
      </c>
      <c r="B2057" t="s">
        <v>112</v>
      </c>
      <c r="C2057" s="14" t="s">
        <v>294</v>
      </c>
      <c r="D2057" t="s">
        <v>112</v>
      </c>
      <c r="E2057" t="s">
        <v>383</v>
      </c>
      <c r="F2057" s="20">
        <v>2050</v>
      </c>
      <c r="G2057" s="20">
        <v>45</v>
      </c>
      <c r="H2057" s="11">
        <v>3825.6963498128098</v>
      </c>
      <c r="I2057" s="10">
        <v>4373765.3869905099</v>
      </c>
      <c r="J2057" s="34">
        <f t="shared" si="128"/>
        <v>8.7469171556208824E-4</v>
      </c>
      <c r="K2057" s="34">
        <f t="shared" si="129"/>
        <v>8.7430928427478793E-4</v>
      </c>
      <c r="L2057" s="34">
        <f t="shared" si="130"/>
        <v>0.99375579820182069</v>
      </c>
      <c r="M2057" s="34">
        <f t="shared" si="131"/>
        <v>0.99288694828115098</v>
      </c>
    </row>
    <row r="2058" spans="1:13" ht="27.6">
      <c r="A2058" t="s">
        <v>164</v>
      </c>
      <c r="B2058" t="s">
        <v>112</v>
      </c>
      <c r="C2058" s="14" t="s">
        <v>294</v>
      </c>
      <c r="D2058" t="s">
        <v>112</v>
      </c>
      <c r="E2058" t="s">
        <v>383</v>
      </c>
      <c r="F2058" s="20">
        <v>2050</v>
      </c>
      <c r="G2058" s="20">
        <v>46</v>
      </c>
      <c r="H2058" s="11">
        <v>4667.6662885754304</v>
      </c>
      <c r="I2058" s="10">
        <v>4271986.9884179104</v>
      </c>
      <c r="J2058" s="34">
        <f t="shared" si="128"/>
        <v>1.0926218411316032E-3</v>
      </c>
      <c r="K2058" s="34">
        <f t="shared" si="129"/>
        <v>1.0920251472278375E-3</v>
      </c>
      <c r="L2058" s="34">
        <f t="shared" si="130"/>
        <v>0.99288694828115098</v>
      </c>
      <c r="M2058" s="34">
        <f t="shared" si="131"/>
        <v>0.99180269076527361</v>
      </c>
    </row>
    <row r="2059" spans="1:13" ht="27.6">
      <c r="A2059" t="s">
        <v>164</v>
      </c>
      <c r="B2059" t="s">
        <v>112</v>
      </c>
      <c r="C2059" s="14" t="s">
        <v>294</v>
      </c>
      <c r="D2059" t="s">
        <v>112</v>
      </c>
      <c r="E2059" t="s">
        <v>383</v>
      </c>
      <c r="F2059" s="20">
        <v>2050</v>
      </c>
      <c r="G2059" s="20">
        <v>47</v>
      </c>
      <c r="H2059" s="11">
        <v>5119.7778128929504</v>
      </c>
      <c r="I2059" s="10">
        <v>4222586.2674115496</v>
      </c>
      <c r="J2059" s="34">
        <f t="shared" si="128"/>
        <v>1.2124744146509482E-3</v>
      </c>
      <c r="K2059" s="34">
        <f t="shared" si="129"/>
        <v>1.2117396645331402E-3</v>
      </c>
      <c r="L2059" s="34">
        <f t="shared" si="130"/>
        <v>0.99180269076527361</v>
      </c>
      <c r="M2059" s="34">
        <f t="shared" si="131"/>
        <v>0.99060088410548264</v>
      </c>
    </row>
    <row r="2060" spans="1:13" ht="27.6">
      <c r="A2060" t="s">
        <v>164</v>
      </c>
      <c r="B2060" t="s">
        <v>112</v>
      </c>
      <c r="C2060" s="14" t="s">
        <v>294</v>
      </c>
      <c r="D2060" t="s">
        <v>112</v>
      </c>
      <c r="E2060" t="s">
        <v>383</v>
      </c>
      <c r="F2060" s="20">
        <v>2050</v>
      </c>
      <c r="G2060" s="20">
        <v>48</v>
      </c>
      <c r="H2060" s="11">
        <v>5680.4673968904299</v>
      </c>
      <c r="I2060" s="10">
        <v>4194543.8116114596</v>
      </c>
      <c r="J2060" s="34">
        <f t="shared" si="128"/>
        <v>1.354251535331588E-3</v>
      </c>
      <c r="K2060" s="34">
        <f t="shared" si="129"/>
        <v>1.3533349505299164E-3</v>
      </c>
      <c r="L2060" s="34">
        <f t="shared" si="130"/>
        <v>0.99060088410548264</v>
      </c>
      <c r="M2060" s="34">
        <f t="shared" si="131"/>
        <v>0.98926026930699684</v>
      </c>
    </row>
    <row r="2061" spans="1:13" ht="27.6">
      <c r="A2061" t="s">
        <v>164</v>
      </c>
      <c r="B2061" t="s">
        <v>112</v>
      </c>
      <c r="C2061" s="14" t="s">
        <v>294</v>
      </c>
      <c r="D2061" t="s">
        <v>112</v>
      </c>
      <c r="E2061" t="s">
        <v>383</v>
      </c>
      <c r="F2061" s="20">
        <v>2050</v>
      </c>
      <c r="G2061" s="20">
        <v>49</v>
      </c>
      <c r="H2061" s="11">
        <v>6137.5942500601896</v>
      </c>
      <c r="I2061" s="10">
        <v>4165562.1673988602</v>
      </c>
      <c r="J2061" s="34">
        <f t="shared" si="128"/>
        <v>1.4734131921244962E-3</v>
      </c>
      <c r="K2061" s="34">
        <f t="shared" si="129"/>
        <v>1.472328251827637E-3</v>
      </c>
      <c r="L2061" s="34">
        <f t="shared" si="130"/>
        <v>0.98926026930699684</v>
      </c>
      <c r="M2061" s="34">
        <f t="shared" si="131"/>
        <v>0.98780375346408555</v>
      </c>
    </row>
    <row r="2062" spans="1:13" ht="27.6">
      <c r="A2062" t="s">
        <v>164</v>
      </c>
      <c r="B2062" t="s">
        <v>112</v>
      </c>
      <c r="C2062" s="14" t="s">
        <v>294</v>
      </c>
      <c r="D2062" t="s">
        <v>112</v>
      </c>
      <c r="E2062" t="s">
        <v>383</v>
      </c>
      <c r="F2062" s="20">
        <v>2050</v>
      </c>
      <c r="G2062" s="20">
        <v>50</v>
      </c>
      <c r="H2062" s="11">
        <v>6698.5190011110399</v>
      </c>
      <c r="I2062" s="10">
        <v>4154612.9636397902</v>
      </c>
      <c r="J2062" s="34">
        <f t="shared" si="128"/>
        <v>1.6123087901893452E-3</v>
      </c>
      <c r="K2062" s="34">
        <f t="shared" si="129"/>
        <v>1.6110097186338157E-3</v>
      </c>
      <c r="L2062" s="34">
        <f t="shared" si="130"/>
        <v>0.98780375346408555</v>
      </c>
      <c r="M2062" s="34">
        <f t="shared" si="131"/>
        <v>0.98621239201715194</v>
      </c>
    </row>
    <row r="2063" spans="1:13" ht="27.6">
      <c r="A2063" t="s">
        <v>164</v>
      </c>
      <c r="B2063" t="s">
        <v>112</v>
      </c>
      <c r="C2063" s="14" t="s">
        <v>294</v>
      </c>
      <c r="D2063" t="s">
        <v>112</v>
      </c>
      <c r="E2063" t="s">
        <v>383</v>
      </c>
      <c r="F2063" s="20">
        <v>2050</v>
      </c>
      <c r="G2063" s="20">
        <v>51</v>
      </c>
      <c r="H2063" s="11">
        <v>7620.8291121195898</v>
      </c>
      <c r="I2063" s="10">
        <v>4179499.44836395</v>
      </c>
      <c r="J2063" s="34">
        <f t="shared" si="128"/>
        <v>1.8233832080305061E-3</v>
      </c>
      <c r="K2063" s="34">
        <f t="shared" si="129"/>
        <v>1.8217218547834646E-3</v>
      </c>
      <c r="L2063" s="34">
        <f t="shared" si="130"/>
        <v>0.98621239201715194</v>
      </c>
      <c r="M2063" s="34">
        <f t="shared" si="131"/>
        <v>0.98441578734915602</v>
      </c>
    </row>
    <row r="2064" spans="1:13" ht="27.6">
      <c r="A2064" t="s">
        <v>164</v>
      </c>
      <c r="B2064" t="s">
        <v>112</v>
      </c>
      <c r="C2064" s="14" t="s">
        <v>294</v>
      </c>
      <c r="D2064" t="s">
        <v>112</v>
      </c>
      <c r="E2064" t="s">
        <v>383</v>
      </c>
      <c r="F2064" s="20">
        <v>2050</v>
      </c>
      <c r="G2064" s="20">
        <v>52</v>
      </c>
      <c r="H2064" s="11">
        <v>8376.2522499840907</v>
      </c>
      <c r="I2064" s="10">
        <v>4205608.4072140297</v>
      </c>
      <c r="J2064" s="34">
        <f t="shared" si="128"/>
        <v>1.9916862054051459E-3</v>
      </c>
      <c r="K2064" s="34">
        <f t="shared" si="129"/>
        <v>1.989704114554125E-3</v>
      </c>
      <c r="L2064" s="34">
        <f t="shared" si="130"/>
        <v>0.98441578734915602</v>
      </c>
      <c r="M2064" s="34">
        <f t="shared" si="131"/>
        <v>0.98245709120663538</v>
      </c>
    </row>
    <row r="2065" spans="1:13" ht="27.6">
      <c r="A2065" t="s">
        <v>164</v>
      </c>
      <c r="B2065" t="s">
        <v>112</v>
      </c>
      <c r="C2065" s="14" t="s">
        <v>294</v>
      </c>
      <c r="D2065" t="s">
        <v>112</v>
      </c>
      <c r="E2065" t="s">
        <v>383</v>
      </c>
      <c r="F2065" s="20">
        <v>2050</v>
      </c>
      <c r="G2065" s="20">
        <v>53</v>
      </c>
      <c r="H2065" s="11">
        <v>9094.49384373676</v>
      </c>
      <c r="I2065" s="10">
        <v>4185928.6744627999</v>
      </c>
      <c r="J2065" s="34">
        <f t="shared" si="128"/>
        <v>2.1726346889806717E-3</v>
      </c>
      <c r="K2065" s="34">
        <f t="shared" si="129"/>
        <v>2.170276226569734E-3</v>
      </c>
      <c r="L2065" s="34">
        <f t="shared" si="130"/>
        <v>0.98245709120663538</v>
      </c>
      <c r="M2065" s="34">
        <f t="shared" si="131"/>
        <v>0.9803248879379648</v>
      </c>
    </row>
    <row r="2066" spans="1:13" ht="27.6">
      <c r="A2066" t="s">
        <v>164</v>
      </c>
      <c r="B2066" t="s">
        <v>112</v>
      </c>
      <c r="C2066" s="14" t="s">
        <v>294</v>
      </c>
      <c r="D2066" t="s">
        <v>112</v>
      </c>
      <c r="E2066" t="s">
        <v>383</v>
      </c>
      <c r="F2066" s="20">
        <v>2050</v>
      </c>
      <c r="G2066" s="20">
        <v>54</v>
      </c>
      <c r="H2066" s="11">
        <v>9786.0745323755691</v>
      </c>
      <c r="I2066" s="10">
        <v>4108910.4715150101</v>
      </c>
      <c r="J2066" s="34">
        <f t="shared" si="128"/>
        <v>2.3816713944529713E-3</v>
      </c>
      <c r="K2066" s="34">
        <f t="shared" si="129"/>
        <v>2.3788374654131195E-3</v>
      </c>
      <c r="L2066" s="34">
        <f t="shared" si="130"/>
        <v>0.9803248879379648</v>
      </c>
      <c r="M2066" s="34">
        <f t="shared" si="131"/>
        <v>0.97799285436626104</v>
      </c>
    </row>
    <row r="2067" spans="1:13" ht="27.6">
      <c r="A2067" t="s">
        <v>164</v>
      </c>
      <c r="B2067" t="s">
        <v>112</v>
      </c>
      <c r="C2067" s="14" t="s">
        <v>294</v>
      </c>
      <c r="D2067" t="s">
        <v>112</v>
      </c>
      <c r="E2067" t="s">
        <v>383</v>
      </c>
      <c r="F2067" s="20">
        <v>2050</v>
      </c>
      <c r="G2067" s="20">
        <v>55</v>
      </c>
      <c r="H2067" s="11">
        <v>10528.5088129379</v>
      </c>
      <c r="I2067" s="10">
        <v>4028799.6837119898</v>
      </c>
      <c r="J2067" s="34">
        <f t="shared" si="128"/>
        <v>2.6133115665947716E-3</v>
      </c>
      <c r="K2067" s="34">
        <f t="shared" si="129"/>
        <v>2.6098998405376106E-3</v>
      </c>
      <c r="L2067" s="34">
        <f t="shared" si="130"/>
        <v>0.97799285436626104</v>
      </c>
      <c r="M2067" s="34">
        <f t="shared" si="131"/>
        <v>0.97544039097160362</v>
      </c>
    </row>
    <row r="2068" spans="1:13" ht="27.6">
      <c r="A2068" t="s">
        <v>164</v>
      </c>
      <c r="B2068" t="s">
        <v>112</v>
      </c>
      <c r="C2068" s="14" t="s">
        <v>294</v>
      </c>
      <c r="D2068" t="s">
        <v>112</v>
      </c>
      <c r="E2068" t="s">
        <v>383</v>
      </c>
      <c r="F2068" s="20">
        <v>2050</v>
      </c>
      <c r="G2068" s="20">
        <v>56</v>
      </c>
      <c r="H2068" s="11">
        <v>11163.3584654116</v>
      </c>
      <c r="I2068" s="10">
        <v>3956112.9631481799</v>
      </c>
      <c r="J2068" s="34">
        <f t="shared" si="128"/>
        <v>2.8217997234659515E-3</v>
      </c>
      <c r="K2068" s="34">
        <f t="shared" si="129"/>
        <v>2.8178221887746879E-3</v>
      </c>
      <c r="L2068" s="34">
        <f t="shared" si="130"/>
        <v>0.97544039097160362</v>
      </c>
      <c r="M2068" s="34">
        <f t="shared" si="131"/>
        <v>0.97269177339409674</v>
      </c>
    </row>
    <row r="2069" spans="1:13" ht="27.6">
      <c r="A2069" t="s">
        <v>164</v>
      </c>
      <c r="B2069" t="s">
        <v>112</v>
      </c>
      <c r="C2069" s="14" t="s">
        <v>294</v>
      </c>
      <c r="D2069" t="s">
        <v>112</v>
      </c>
      <c r="E2069" t="s">
        <v>383</v>
      </c>
      <c r="F2069" s="20">
        <v>2050</v>
      </c>
      <c r="G2069" s="20">
        <v>57</v>
      </c>
      <c r="H2069" s="11">
        <v>12083.295592913801</v>
      </c>
      <c r="I2069" s="10">
        <v>3884280.1439279802</v>
      </c>
      <c r="J2069" s="34">
        <f t="shared" si="128"/>
        <v>3.110819803201569E-3</v>
      </c>
      <c r="K2069" s="34">
        <f t="shared" si="129"/>
        <v>3.1059862167154284E-3</v>
      </c>
      <c r="L2069" s="34">
        <f t="shared" si="130"/>
        <v>0.97269177339409674</v>
      </c>
      <c r="M2069" s="34">
        <f t="shared" si="131"/>
        <v>0.96967060615282219</v>
      </c>
    </row>
    <row r="2070" spans="1:13" ht="27.6">
      <c r="A2070" t="s">
        <v>164</v>
      </c>
      <c r="B2070" t="s">
        <v>112</v>
      </c>
      <c r="C2070" s="14" t="s">
        <v>294</v>
      </c>
      <c r="D2070" t="s">
        <v>112</v>
      </c>
      <c r="E2070" t="s">
        <v>383</v>
      </c>
      <c r="F2070" s="20">
        <v>2050</v>
      </c>
      <c r="G2070" s="20">
        <v>58</v>
      </c>
      <c r="H2070" s="11">
        <v>13170.300296617401</v>
      </c>
      <c r="I2070" s="10">
        <v>3843211.0073198099</v>
      </c>
      <c r="J2070" s="34">
        <f t="shared" si="128"/>
        <v>3.4269001289632924E-3</v>
      </c>
      <c r="K2070" s="34">
        <f t="shared" si="129"/>
        <v>3.4210350083566654E-3</v>
      </c>
      <c r="L2070" s="34">
        <f t="shared" si="130"/>
        <v>0.96967060615282219</v>
      </c>
      <c r="M2070" s="34">
        <f t="shared" si="131"/>
        <v>0.96635332906259896</v>
      </c>
    </row>
    <row r="2071" spans="1:13" ht="27.6">
      <c r="A2071" t="s">
        <v>164</v>
      </c>
      <c r="B2071" t="s">
        <v>112</v>
      </c>
      <c r="C2071" s="14" t="s">
        <v>294</v>
      </c>
      <c r="D2071" t="s">
        <v>112</v>
      </c>
      <c r="E2071" t="s">
        <v>383</v>
      </c>
      <c r="F2071" s="20">
        <v>2050</v>
      </c>
      <c r="G2071" s="20">
        <v>59</v>
      </c>
      <c r="H2071" s="11">
        <v>13736.7959457778</v>
      </c>
      <c r="I2071" s="10">
        <v>3794603.9544738</v>
      </c>
      <c r="J2071" s="34">
        <f t="shared" si="128"/>
        <v>3.6200868682441166E-3</v>
      </c>
      <c r="K2071" s="34">
        <f t="shared" si="129"/>
        <v>3.6135422535170658E-3</v>
      </c>
      <c r="L2071" s="34">
        <f t="shared" si="130"/>
        <v>0.96635332906259896</v>
      </c>
      <c r="M2071" s="34">
        <f t="shared" si="131"/>
        <v>0.96286137047620435</v>
      </c>
    </row>
    <row r="2072" spans="1:13" ht="27.6">
      <c r="A2072" t="s">
        <v>164</v>
      </c>
      <c r="B2072" t="s">
        <v>112</v>
      </c>
      <c r="C2072" s="14" t="s">
        <v>294</v>
      </c>
      <c r="D2072" t="s">
        <v>112</v>
      </c>
      <c r="E2072" t="s">
        <v>383</v>
      </c>
      <c r="F2072" s="20">
        <v>2050</v>
      </c>
      <c r="G2072" s="20">
        <v>60</v>
      </c>
      <c r="H2072" s="11">
        <v>14527.426568480099</v>
      </c>
      <c r="I2072" s="10">
        <v>3747566.78530451</v>
      </c>
      <c r="J2072" s="34">
        <f t="shared" si="128"/>
        <v>3.8764957106160462E-3</v>
      </c>
      <c r="K2072" s="34">
        <f t="shared" si="129"/>
        <v>3.8689918005420099E-3</v>
      </c>
      <c r="L2072" s="34">
        <f t="shared" si="130"/>
        <v>0.96286137047620435</v>
      </c>
      <c r="M2072" s="34">
        <f t="shared" si="131"/>
        <v>0.95913606772877325</v>
      </c>
    </row>
    <row r="2073" spans="1:13" ht="27.6">
      <c r="A2073" t="s">
        <v>164</v>
      </c>
      <c r="B2073" t="s">
        <v>112</v>
      </c>
      <c r="C2073" s="14" t="s">
        <v>294</v>
      </c>
      <c r="D2073" t="s">
        <v>112</v>
      </c>
      <c r="E2073" t="s">
        <v>383</v>
      </c>
      <c r="F2073" s="20">
        <v>2050</v>
      </c>
      <c r="G2073" s="20">
        <v>61</v>
      </c>
      <c r="H2073" s="11">
        <v>15348.7536292283</v>
      </c>
      <c r="I2073" s="10">
        <v>3718920.7771757101</v>
      </c>
      <c r="J2073" s="34">
        <f t="shared" si="128"/>
        <v>4.1272063990792319E-3</v>
      </c>
      <c r="K2073" s="34">
        <f t="shared" si="129"/>
        <v>4.1187011876930857E-3</v>
      </c>
      <c r="L2073" s="34">
        <f t="shared" si="130"/>
        <v>0.95913606772877325</v>
      </c>
      <c r="M2073" s="34">
        <f t="shared" si="131"/>
        <v>0.95518567286745948</v>
      </c>
    </row>
    <row r="2074" spans="1:13" ht="27.6">
      <c r="A2074" t="s">
        <v>164</v>
      </c>
      <c r="B2074" t="s">
        <v>112</v>
      </c>
      <c r="C2074" s="14" t="s">
        <v>294</v>
      </c>
      <c r="D2074" t="s">
        <v>112</v>
      </c>
      <c r="E2074" t="s">
        <v>383</v>
      </c>
      <c r="F2074" s="20">
        <v>2050</v>
      </c>
      <c r="G2074" s="20">
        <v>62</v>
      </c>
      <c r="H2074" s="11">
        <v>16426.5444071026</v>
      </c>
      <c r="I2074" s="10">
        <v>3645282.34128035</v>
      </c>
      <c r="J2074" s="34">
        <f t="shared" si="128"/>
        <v>4.506247491746559E-3</v>
      </c>
      <c r="K2074" s="34">
        <f t="shared" si="129"/>
        <v>4.4961095921962624E-3</v>
      </c>
      <c r="L2074" s="34">
        <f t="shared" si="130"/>
        <v>0.95518567286745948</v>
      </c>
      <c r="M2074" s="34">
        <f t="shared" si="131"/>
        <v>0.9508910534013516</v>
      </c>
    </row>
    <row r="2075" spans="1:13" ht="27.6">
      <c r="A2075" t="s">
        <v>164</v>
      </c>
      <c r="B2075" t="s">
        <v>112</v>
      </c>
      <c r="C2075" s="14" t="s">
        <v>294</v>
      </c>
      <c r="D2075" t="s">
        <v>112</v>
      </c>
      <c r="E2075" t="s">
        <v>383</v>
      </c>
      <c r="F2075" s="20">
        <v>2050</v>
      </c>
      <c r="G2075" s="20">
        <v>63</v>
      </c>
      <c r="H2075" s="11">
        <v>17503.9728143514</v>
      </c>
      <c r="I2075" s="10">
        <v>3561860.97249868</v>
      </c>
      <c r="J2075" s="34">
        <f t="shared" si="128"/>
        <v>4.9142773818238597E-3</v>
      </c>
      <c r="K2075" s="34">
        <f t="shared" si="129"/>
        <v>4.9022220765203572E-3</v>
      </c>
      <c r="L2075" s="34">
        <f t="shared" si="130"/>
        <v>0.9508910534013516</v>
      </c>
      <c r="M2075" s="34">
        <f t="shared" si="131"/>
        <v>0.94622957428700183</v>
      </c>
    </row>
    <row r="2076" spans="1:13" ht="27.6">
      <c r="A2076" t="s">
        <v>164</v>
      </c>
      <c r="B2076" t="s">
        <v>112</v>
      </c>
      <c r="C2076" s="14" t="s">
        <v>294</v>
      </c>
      <c r="D2076" t="s">
        <v>112</v>
      </c>
      <c r="E2076" t="s">
        <v>383</v>
      </c>
      <c r="F2076" s="20">
        <v>2050</v>
      </c>
      <c r="G2076" s="20">
        <v>64</v>
      </c>
      <c r="H2076" s="11">
        <v>19193.721200346699</v>
      </c>
      <c r="I2076" s="10">
        <v>3529902.73757208</v>
      </c>
      <c r="J2076" s="34">
        <f t="shared" si="128"/>
        <v>5.4374646066164501E-3</v>
      </c>
      <c r="K2076" s="34">
        <f t="shared" si="129"/>
        <v>5.4227083535914877E-3</v>
      </c>
      <c r="L2076" s="34">
        <f t="shared" si="130"/>
        <v>0.94622957428700183</v>
      </c>
      <c r="M2076" s="34">
        <f t="shared" si="131"/>
        <v>0.94109844727010039</v>
      </c>
    </row>
    <row r="2077" spans="1:13" ht="27.6">
      <c r="A2077" t="s">
        <v>164</v>
      </c>
      <c r="B2077" t="s">
        <v>112</v>
      </c>
      <c r="C2077" s="14" t="s">
        <v>294</v>
      </c>
      <c r="D2077" t="s">
        <v>112</v>
      </c>
      <c r="E2077" t="s">
        <v>383</v>
      </c>
      <c r="F2077" s="20">
        <v>2050</v>
      </c>
      <c r="G2077" s="20">
        <v>65</v>
      </c>
      <c r="H2077" s="11">
        <v>21169.900255951299</v>
      </c>
      <c r="I2077" s="10">
        <v>3542777.7872480401</v>
      </c>
      <c r="J2077" s="34">
        <f t="shared" si="128"/>
        <v>5.9755089162381982E-3</v>
      </c>
      <c r="K2077" s="34">
        <f t="shared" si="129"/>
        <v>5.9576910707314079E-3</v>
      </c>
      <c r="L2077" s="34">
        <f t="shared" si="130"/>
        <v>0.94109844727010039</v>
      </c>
      <c r="M2077" s="34">
        <f t="shared" si="131"/>
        <v>0.9354916734541201</v>
      </c>
    </row>
    <row r="2078" spans="1:13" ht="27.6">
      <c r="A2078" t="s">
        <v>164</v>
      </c>
      <c r="B2078" t="s">
        <v>112</v>
      </c>
      <c r="C2078" s="14" t="s">
        <v>294</v>
      </c>
      <c r="D2078" t="s">
        <v>112</v>
      </c>
      <c r="E2078" t="s">
        <v>383</v>
      </c>
      <c r="F2078" s="20">
        <v>2050</v>
      </c>
      <c r="G2078" s="20">
        <v>66</v>
      </c>
      <c r="H2078" s="11">
        <v>22156.1520437703</v>
      </c>
      <c r="I2078" s="10">
        <v>3514477.3788859802</v>
      </c>
      <c r="J2078" s="34">
        <f t="shared" si="128"/>
        <v>6.304252284245279E-3</v>
      </c>
      <c r="K2078" s="34">
        <f t="shared" si="129"/>
        <v>6.2844221790252508E-3</v>
      </c>
      <c r="L2078" s="34">
        <f t="shared" si="130"/>
        <v>0.9354916734541201</v>
      </c>
      <c r="M2078" s="34">
        <f t="shared" si="131"/>
        <v>0.92961264883317163</v>
      </c>
    </row>
    <row r="2079" spans="1:13" ht="27.6">
      <c r="A2079" t="s">
        <v>164</v>
      </c>
      <c r="B2079" t="s">
        <v>112</v>
      </c>
      <c r="C2079" s="14" t="s">
        <v>294</v>
      </c>
      <c r="D2079" t="s">
        <v>112</v>
      </c>
      <c r="E2079" t="s">
        <v>383</v>
      </c>
      <c r="F2079" s="20">
        <v>2050</v>
      </c>
      <c r="G2079" s="20">
        <v>67</v>
      </c>
      <c r="H2079" s="11">
        <v>23630.397111479298</v>
      </c>
      <c r="I2079" s="10">
        <v>3433421.6893423498</v>
      </c>
      <c r="J2079" s="34">
        <f t="shared" si="128"/>
        <v>6.8824628168541544E-3</v>
      </c>
      <c r="K2079" s="34">
        <f t="shared" si="129"/>
        <v>6.8588329113676849E-3</v>
      </c>
      <c r="L2079" s="34">
        <f t="shared" si="130"/>
        <v>0.92961264883317163</v>
      </c>
      <c r="M2079" s="34">
        <f t="shared" si="131"/>
        <v>0.92323659100253097</v>
      </c>
    </row>
    <row r="2080" spans="1:13" ht="27.6">
      <c r="A2080" t="s">
        <v>164</v>
      </c>
      <c r="B2080" t="s">
        <v>112</v>
      </c>
      <c r="C2080" s="14" t="s">
        <v>294</v>
      </c>
      <c r="D2080" t="s">
        <v>112</v>
      </c>
      <c r="E2080" t="s">
        <v>383</v>
      </c>
      <c r="F2080" s="20">
        <v>2050</v>
      </c>
      <c r="G2080" s="20">
        <v>68</v>
      </c>
      <c r="H2080" s="11">
        <v>24868.333105812198</v>
      </c>
      <c r="I2080" s="10">
        <v>3328928.9502005898</v>
      </c>
      <c r="J2080" s="34">
        <f t="shared" si="128"/>
        <v>7.4703706440816999E-3</v>
      </c>
      <c r="K2080" s="34">
        <f t="shared" si="129"/>
        <v>7.442536778192621E-3</v>
      </c>
      <c r="L2080" s="34">
        <f t="shared" si="130"/>
        <v>0.92323659100253097</v>
      </c>
      <c r="M2080" s="34">
        <f t="shared" si="131"/>
        <v>0.91636536871902141</v>
      </c>
    </row>
    <row r="2081" spans="1:13" ht="27.6">
      <c r="A2081" t="s">
        <v>164</v>
      </c>
      <c r="B2081" t="s">
        <v>112</v>
      </c>
      <c r="C2081" s="14" t="s">
        <v>294</v>
      </c>
      <c r="D2081" t="s">
        <v>112</v>
      </c>
      <c r="E2081" t="s">
        <v>383</v>
      </c>
      <c r="F2081" s="20">
        <v>2050</v>
      </c>
      <c r="G2081" s="20">
        <v>69</v>
      </c>
      <c r="H2081" s="11">
        <v>25381.645037529401</v>
      </c>
      <c r="I2081" s="10">
        <v>3216965.2948279702</v>
      </c>
      <c r="J2081" s="34">
        <f t="shared" si="128"/>
        <v>7.8899343671305303E-3</v>
      </c>
      <c r="K2081" s="34">
        <f t="shared" si="129"/>
        <v>7.8588905332283021E-3</v>
      </c>
      <c r="L2081" s="34">
        <f t="shared" si="130"/>
        <v>0.91636536871902141</v>
      </c>
      <c r="M2081" s="34">
        <f t="shared" si="131"/>
        <v>0.9091637535978172</v>
      </c>
    </row>
  </sheetData>
  <autoFilter ref="A1:M1" xr:uid="{00000000-0009-0000-0000-00000B000000}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31"/>
  <sheetViews>
    <sheetView tabSelected="1" topLeftCell="Y1" workbookViewId="0">
      <pane ySplit="1" topLeftCell="A108" activePane="bottomLeft" state="frozen"/>
      <selection pane="bottomLeft" activeCell="AF115" sqref="AF115"/>
    </sheetView>
  </sheetViews>
  <sheetFormatPr defaultColWidth="11.19921875" defaultRowHeight="13.8"/>
  <cols>
    <col min="1" max="2" width="11.69921875" customWidth="1"/>
    <col min="3" max="3" width="17.69921875" customWidth="1"/>
    <col min="4" max="4" width="12.69921875" customWidth="1"/>
    <col min="5" max="5" width="16.69921875" customWidth="1"/>
    <col min="6" max="6" width="20.69921875" customWidth="1"/>
    <col min="7" max="7" width="15.69921875" customWidth="1"/>
    <col min="8" max="8" width="12.69921875" customWidth="1"/>
    <col min="9" max="9" width="28.69921875" customWidth="1"/>
    <col min="10" max="10" width="29.69921875" customWidth="1"/>
    <col min="11" max="12" width="19.69921875" customWidth="1"/>
    <col min="13" max="13" width="20.69921875" customWidth="1"/>
    <col min="14" max="14" width="15.69921875" customWidth="1"/>
    <col min="15" max="16" width="14.69921875" customWidth="1"/>
    <col min="17" max="18" width="22.69921875" customWidth="1"/>
    <col min="19" max="20" width="25.69921875" customWidth="1"/>
    <col min="21" max="21" width="12.69921875" customWidth="1"/>
    <col min="22" max="22" width="17.69921875" customWidth="1"/>
    <col min="23" max="24" width="20.69921875" customWidth="1"/>
    <col min="25" max="25" width="23.69921875" customWidth="1"/>
    <col min="26" max="26" width="12.69921875" customWidth="1"/>
    <col min="27" max="27" width="16.69921875" customWidth="1"/>
    <col min="28" max="28" width="17.69921875" customWidth="1"/>
    <col min="29" max="29" width="13.69921875" customWidth="1"/>
    <col min="30" max="30" width="12.69921875" customWidth="1"/>
    <col min="31" max="31" width="11.69921875" customWidth="1"/>
    <col min="32" max="33" width="21.69921875" customWidth="1"/>
    <col min="34" max="34" width="24.69921875" customWidth="1"/>
  </cols>
  <sheetData>
    <row r="1" spans="1:34" ht="28.05" customHeight="1">
      <c r="A1" s="1" t="s">
        <v>282</v>
      </c>
      <c r="B1" s="1" t="s">
        <v>42</v>
      </c>
      <c r="C1" s="1" t="s">
        <v>182</v>
      </c>
      <c r="D1" s="1" t="s">
        <v>186</v>
      </c>
      <c r="E1" s="1" t="s">
        <v>241</v>
      </c>
      <c r="F1" s="1" t="s">
        <v>242</v>
      </c>
      <c r="G1" s="1" t="s">
        <v>198</v>
      </c>
      <c r="H1" s="1" t="s">
        <v>199</v>
      </c>
      <c r="I1" s="1" t="s">
        <v>245</v>
      </c>
      <c r="J1" s="1" t="s">
        <v>246</v>
      </c>
      <c r="K1" s="1" t="s">
        <v>295</v>
      </c>
      <c r="L1" s="1" t="s">
        <v>296</v>
      </c>
      <c r="M1" s="1" t="s">
        <v>247</v>
      </c>
      <c r="N1" s="1" t="s">
        <v>251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253</v>
      </c>
      <c r="U1" s="1" t="s">
        <v>252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255</v>
      </c>
      <c r="AA1" s="1" t="s">
        <v>256</v>
      </c>
      <c r="AB1" s="1" t="s">
        <v>257</v>
      </c>
      <c r="AC1" s="1" t="s">
        <v>248</v>
      </c>
      <c r="AD1" s="1" t="s">
        <v>249</v>
      </c>
      <c r="AE1" s="1" t="s">
        <v>250</v>
      </c>
      <c r="AF1" s="1" t="s">
        <v>306</v>
      </c>
      <c r="AG1" s="1" t="s">
        <v>307</v>
      </c>
      <c r="AH1" s="1" t="s">
        <v>308</v>
      </c>
    </row>
    <row r="2" spans="1:34">
      <c r="A2" t="s">
        <v>115</v>
      </c>
      <c r="B2" s="20">
        <v>2025</v>
      </c>
      <c r="C2" t="s">
        <v>204</v>
      </c>
      <c r="E2" s="22" t="s">
        <v>267</v>
      </c>
      <c r="F2" s="22" t="s">
        <v>268</v>
      </c>
      <c r="G2" s="22" t="s">
        <v>213</v>
      </c>
      <c r="H2" s="22" t="s">
        <v>214</v>
      </c>
      <c r="I2" s="22" t="s">
        <v>265</v>
      </c>
      <c r="J2" s="17">
        <f>IFERROR(INDEX(Cost_Components!$K$2:$K$6,MATCH(E2,Cost_Components!$A$2:$A$6,0)),"")</f>
        <v>0.2</v>
      </c>
      <c r="K2" s="31">
        <v>0.113766857372906</v>
      </c>
      <c r="L2" s="17">
        <f>IFERROR(INDEX(Cost_Components!$S$2:$S$6,MATCH(E2,Cost_Components!$A$2:$A$6,0)),"")</f>
        <v>0.113766857372906</v>
      </c>
      <c r="M2" s="28">
        <f>IFERROR(INDEX(Cost_Components!$L$2:$L$6,MATCH(E2,Cost_Components!$A$2:$A$6,0)),"")</f>
        <v>1</v>
      </c>
      <c r="N2" s="29">
        <f>IFERROR(INDEX(Cost_Components!$P$2:$P$6,MATCH(E2,Cost_Components!$A$2:$A$6,0)),"")</f>
        <v>1.2915840000000001</v>
      </c>
      <c r="O2" s="23">
        <f>AF2*J2</f>
        <v>30364899.645414401</v>
      </c>
      <c r="P2" s="23">
        <f t="shared" ref="P2:P33" si="0">AG2*J2</f>
        <v>30364899.645414401</v>
      </c>
      <c r="Q2" s="23">
        <f t="shared" ref="Q2:Q33" si="1">P2*L2*M2*N2</f>
        <v>4461801.7355862288</v>
      </c>
      <c r="R2" s="23">
        <f t="shared" ref="R2:R33" si="2">O2*K2*M2*N2</f>
        <v>4461801.7355862288</v>
      </c>
      <c r="S2" s="23">
        <f t="shared" ref="S2:S33" si="3">R2-Q2</f>
        <v>0</v>
      </c>
      <c r="T2" s="16">
        <f>IFERROR(INDEX(Cost_Components!$R$2:$R$6,MATCH(E2,Cost_Components!$A$2:$A$6,0)),"")</f>
        <v>1</v>
      </c>
      <c r="U2" s="26">
        <f>IFERROR(INDEX(Cost_Components!$Q$2:$Q$6,MATCH(E2,Cost_Components!$A$2:$A$6,0)),"")</f>
        <v>2023</v>
      </c>
      <c r="V2" s="30">
        <f>1/(1+Calculation_Assumptions!$B$5)^(B2-Calculation_Assumptions!$B$2)</f>
        <v>1</v>
      </c>
      <c r="W2" s="23">
        <f t="shared" ref="W2:W33" si="4">Q2*V2</f>
        <v>4461801.7355862288</v>
      </c>
      <c r="X2" s="23">
        <f t="shared" ref="X2:X33" si="5">R2*V2</f>
        <v>4461801.7355862288</v>
      </c>
      <c r="Y2" s="23">
        <f t="shared" ref="Y2:Y33" si="6">S2*V2</f>
        <v>0</v>
      </c>
      <c r="Z2" s="17">
        <f>IFERROR(INDEX(Cost_Components!$T$2:$T$6,MATCH(E2,Cost_Components!$A$2:$A$6,0)),"")</f>
        <v>0.41649999999999998</v>
      </c>
      <c r="AA2" s="26">
        <f>IFERROR(INDEX(Cost_Components!$U$2:$U$6,MATCH(E2,Cost_Components!$A$2:$A$6,0)),"")</f>
        <v>2025</v>
      </c>
      <c r="AB2" s="26">
        <f>IFERROR(INDEX(Cost_Components!$V$2:$V$6,MATCH(E2,Cost_Components!$A$2:$A$6,0)),"")</f>
        <v>2040</v>
      </c>
      <c r="AC2" s="26">
        <f>IFERROR(INDEX(Cost_Components!$M$2:$M$6,MATCH(E2,Cost_Components!$A$2:$A$6,0)),"")</f>
        <v>30</v>
      </c>
      <c r="AD2" s="26">
        <f>IFERROR(INDEX(Cost_Components!$N$2:$N$6,MATCH(E2,Cost_Components!$A$2:$A$6,0)),"")</f>
        <v>95</v>
      </c>
      <c r="AE2" s="16" t="str">
        <f>IFERROR(INDEX(Cost_Components!$O$2:$O$6,MATCH(E2,Cost_Components!$A$2:$A$6,0)),"")</f>
        <v>Both</v>
      </c>
      <c r="AF2" s="11">
        <v>151824498.227072</v>
      </c>
      <c r="AG2" s="11">
        <v>151824498.227072</v>
      </c>
      <c r="AH2" s="23">
        <f t="shared" ref="AH2:AH33" si="7">IF(H2="shared-count-once",COUNTIFS($A$2:$A$131,A2,$B$2:$B$131,B2,$E$2:$E$131,E2),1)</f>
        <v>1</v>
      </c>
    </row>
    <row r="3" spans="1:34">
      <c r="A3" t="s">
        <v>115</v>
      </c>
      <c r="B3" s="20">
        <v>2026</v>
      </c>
      <c r="C3" t="s">
        <v>204</v>
      </c>
      <c r="E3" s="22" t="s">
        <v>267</v>
      </c>
      <c r="F3" s="22" t="s">
        <v>268</v>
      </c>
      <c r="G3" s="22" t="s">
        <v>213</v>
      </c>
      <c r="H3" s="22" t="s">
        <v>214</v>
      </c>
      <c r="I3" s="22" t="s">
        <v>265</v>
      </c>
      <c r="J3" s="17">
        <f>IFERROR(INDEX(Cost_Components!$K$2:$K$6,MATCH(E3,Cost_Components!$A$2:$A$6,0)),"")</f>
        <v>0.2</v>
      </c>
      <c r="K3" s="31">
        <v>0.11831348589832499</v>
      </c>
      <c r="L3" s="17">
        <f>IFERROR(INDEX(Cost_Components!$S$2:$S$6,MATCH(E3,Cost_Components!$A$2:$A$6,0)),"")</f>
        <v>0.113766857372906</v>
      </c>
      <c r="M3" s="28">
        <f>IFERROR(INDEX(Cost_Components!$L$2:$L$6,MATCH(E3,Cost_Components!$A$2:$A$6,0)),"")</f>
        <v>1</v>
      </c>
      <c r="N3" s="29">
        <f>IFERROR(INDEX(Cost_Components!$P$2:$P$6,MATCH(E3,Cost_Components!$A$2:$A$6,0)),"")</f>
        <v>1.2915840000000001</v>
      </c>
      <c r="O3" s="23">
        <f t="shared" ref="O3:O33" si="8">AF3*J3</f>
        <v>30765555.680188</v>
      </c>
      <c r="P3" s="23">
        <f t="shared" si="0"/>
        <v>30765555.680188</v>
      </c>
      <c r="Q3" s="23">
        <f t="shared" si="1"/>
        <v>4520673.9140620735</v>
      </c>
      <c r="R3" s="23">
        <f t="shared" si="2"/>
        <v>4701340.106716237</v>
      </c>
      <c r="S3" s="23">
        <f t="shared" si="3"/>
        <v>180666.19265416358</v>
      </c>
      <c r="T3" s="16">
        <f>IFERROR(INDEX(Cost_Components!$R$2:$R$6,MATCH(E3,Cost_Components!$A$2:$A$6,0)),"")</f>
        <v>1</v>
      </c>
      <c r="U3" s="26">
        <f>IFERROR(INDEX(Cost_Components!$Q$2:$Q$6,MATCH(E3,Cost_Components!$A$2:$A$6,0)),"")</f>
        <v>2023</v>
      </c>
      <c r="V3" s="30">
        <f>1/(1+Calculation_Assumptions!$B$5)^(B3-Calculation_Assumptions!$B$2)</f>
        <v>0.970873786407767</v>
      </c>
      <c r="W3" s="23">
        <f t="shared" si="4"/>
        <v>4389003.8000602657</v>
      </c>
      <c r="X3" s="23">
        <f t="shared" si="5"/>
        <v>4564407.8705982883</v>
      </c>
      <c r="Y3" s="23">
        <f t="shared" si="6"/>
        <v>175404.0705380229</v>
      </c>
      <c r="Z3" s="17">
        <f>IFERROR(INDEX(Cost_Components!$T$2:$T$6,MATCH(E3,Cost_Components!$A$2:$A$6,0)),"")</f>
        <v>0.41649999999999998</v>
      </c>
      <c r="AA3" s="26">
        <f>IFERROR(INDEX(Cost_Components!$U$2:$U$6,MATCH(E3,Cost_Components!$A$2:$A$6,0)),"")</f>
        <v>2025</v>
      </c>
      <c r="AB3" s="26">
        <f>IFERROR(INDEX(Cost_Components!$V$2:$V$6,MATCH(E3,Cost_Components!$A$2:$A$6,0)),"")</f>
        <v>2040</v>
      </c>
      <c r="AC3" s="26">
        <f>IFERROR(INDEX(Cost_Components!$M$2:$M$6,MATCH(E3,Cost_Components!$A$2:$A$6,0)),"")</f>
        <v>30</v>
      </c>
      <c r="AD3" s="26">
        <f>IFERROR(INDEX(Cost_Components!$N$2:$N$6,MATCH(E3,Cost_Components!$A$2:$A$6,0)),"")</f>
        <v>95</v>
      </c>
      <c r="AE3" s="16" t="str">
        <f>IFERROR(INDEX(Cost_Components!$O$2:$O$6,MATCH(E3,Cost_Components!$A$2:$A$6,0)),"")</f>
        <v>Both</v>
      </c>
      <c r="AF3" s="11">
        <v>153827778.40094</v>
      </c>
      <c r="AG3" s="11">
        <v>153827778.40094</v>
      </c>
      <c r="AH3" s="23">
        <f t="shared" si="7"/>
        <v>1</v>
      </c>
    </row>
    <row r="4" spans="1:34">
      <c r="A4" t="s">
        <v>115</v>
      </c>
      <c r="B4" s="20">
        <v>2027</v>
      </c>
      <c r="C4" t="s">
        <v>204</v>
      </c>
      <c r="E4" s="22" t="s">
        <v>267</v>
      </c>
      <c r="F4" s="22" t="s">
        <v>268</v>
      </c>
      <c r="G4" s="22" t="s">
        <v>213</v>
      </c>
      <c r="H4" s="22" t="s">
        <v>214</v>
      </c>
      <c r="I4" s="22" t="s">
        <v>265</v>
      </c>
      <c r="J4" s="17">
        <f>IFERROR(INDEX(Cost_Components!$K$2:$K$6,MATCH(E4,Cost_Components!$A$2:$A$6,0)),"")</f>
        <v>0.2</v>
      </c>
      <c r="K4" s="31">
        <v>0.122860114423744</v>
      </c>
      <c r="L4" s="17">
        <f>IFERROR(INDEX(Cost_Components!$S$2:$S$6,MATCH(E4,Cost_Components!$A$2:$A$6,0)),"")</f>
        <v>0.113766857372906</v>
      </c>
      <c r="M4" s="28">
        <f>IFERROR(INDEX(Cost_Components!$L$2:$L$6,MATCH(E4,Cost_Components!$A$2:$A$6,0)),"")</f>
        <v>1</v>
      </c>
      <c r="N4" s="29">
        <f>IFERROR(INDEX(Cost_Components!$P$2:$P$6,MATCH(E4,Cost_Components!$A$2:$A$6,0)),"")</f>
        <v>1.2915840000000001</v>
      </c>
      <c r="O4" s="23">
        <f t="shared" si="8"/>
        <v>31208345.270757999</v>
      </c>
      <c r="P4" s="23">
        <f t="shared" si="0"/>
        <v>31208337.934682205</v>
      </c>
      <c r="Q4" s="23">
        <f t="shared" si="1"/>
        <v>4585736.096208537</v>
      </c>
      <c r="R4" s="23">
        <f t="shared" si="2"/>
        <v>4952269.9927335093</v>
      </c>
      <c r="S4" s="23">
        <f t="shared" si="3"/>
        <v>366533.89652497228</v>
      </c>
      <c r="T4" s="16">
        <f>IFERROR(INDEX(Cost_Components!$R$2:$R$6,MATCH(E4,Cost_Components!$A$2:$A$6,0)),"")</f>
        <v>1</v>
      </c>
      <c r="U4" s="26">
        <f>IFERROR(INDEX(Cost_Components!$Q$2:$Q$6,MATCH(E4,Cost_Components!$A$2:$A$6,0)),"")</f>
        <v>2023</v>
      </c>
      <c r="V4" s="30">
        <f>1/(1+Calculation_Assumptions!$B$5)^(B4-Calculation_Assumptions!$B$2)</f>
        <v>0.94259590913375435</v>
      </c>
      <c r="W4" s="23">
        <f t="shared" si="4"/>
        <v>4322496.0846531596</v>
      </c>
      <c r="X4" s="23">
        <f t="shared" si="5"/>
        <v>4667989.436076453</v>
      </c>
      <c r="Y4" s="23">
        <f t="shared" si="6"/>
        <v>345493.3514232937</v>
      </c>
      <c r="Z4" s="17">
        <f>IFERROR(INDEX(Cost_Components!$T$2:$T$6,MATCH(E4,Cost_Components!$A$2:$A$6,0)),"")</f>
        <v>0.41649999999999998</v>
      </c>
      <c r="AA4" s="26">
        <f>IFERROR(INDEX(Cost_Components!$U$2:$U$6,MATCH(E4,Cost_Components!$A$2:$A$6,0)),"")</f>
        <v>2025</v>
      </c>
      <c r="AB4" s="26">
        <f>IFERROR(INDEX(Cost_Components!$V$2:$V$6,MATCH(E4,Cost_Components!$A$2:$A$6,0)),"")</f>
        <v>2040</v>
      </c>
      <c r="AC4" s="26">
        <f>IFERROR(INDEX(Cost_Components!$M$2:$M$6,MATCH(E4,Cost_Components!$A$2:$A$6,0)),"")</f>
        <v>30</v>
      </c>
      <c r="AD4" s="26">
        <f>IFERROR(INDEX(Cost_Components!$N$2:$N$6,MATCH(E4,Cost_Components!$A$2:$A$6,0)),"")</f>
        <v>95</v>
      </c>
      <c r="AE4" s="16" t="str">
        <f>IFERROR(INDEX(Cost_Components!$O$2:$O$6,MATCH(E4,Cost_Components!$A$2:$A$6,0)),"")</f>
        <v>Both</v>
      </c>
      <c r="AF4" s="11">
        <v>156041726.35378999</v>
      </c>
      <c r="AG4" s="11">
        <v>156041689.67341101</v>
      </c>
      <c r="AH4" s="23">
        <f t="shared" si="7"/>
        <v>1</v>
      </c>
    </row>
    <row r="5" spans="1:34">
      <c r="A5" t="s">
        <v>115</v>
      </c>
      <c r="B5" s="20">
        <v>2028</v>
      </c>
      <c r="C5" t="s">
        <v>204</v>
      </c>
      <c r="E5" s="22" t="s">
        <v>267</v>
      </c>
      <c r="F5" s="22" t="s">
        <v>268</v>
      </c>
      <c r="G5" s="22" t="s">
        <v>213</v>
      </c>
      <c r="H5" s="22" t="s">
        <v>214</v>
      </c>
      <c r="I5" s="22" t="s">
        <v>265</v>
      </c>
      <c r="J5" s="17">
        <f>IFERROR(INDEX(Cost_Components!$K$2:$K$6,MATCH(E5,Cost_Components!$A$2:$A$6,0)),"")</f>
        <v>0.2</v>
      </c>
      <c r="K5" s="31">
        <v>0.12740674294916199</v>
      </c>
      <c r="L5" s="17">
        <f>IFERROR(INDEX(Cost_Components!$S$2:$S$6,MATCH(E5,Cost_Components!$A$2:$A$6,0)),"")</f>
        <v>0.113766857372906</v>
      </c>
      <c r="M5" s="28">
        <f>IFERROR(INDEX(Cost_Components!$L$2:$L$6,MATCH(E5,Cost_Components!$A$2:$A$6,0)),"")</f>
        <v>1</v>
      </c>
      <c r="N5" s="29">
        <f>IFERROR(INDEX(Cost_Components!$P$2:$P$6,MATCH(E5,Cost_Components!$A$2:$A$6,0)),"")</f>
        <v>1.2915840000000001</v>
      </c>
      <c r="O5" s="23">
        <f t="shared" si="8"/>
        <v>31656677.809931397</v>
      </c>
      <c r="P5" s="23">
        <f t="shared" si="0"/>
        <v>31656609.4112278</v>
      </c>
      <c r="Q5" s="23">
        <f t="shared" si="1"/>
        <v>4651604.8616390517</v>
      </c>
      <c r="R5" s="23">
        <f t="shared" si="2"/>
        <v>5209312.4402895067</v>
      </c>
      <c r="S5" s="23">
        <f t="shared" si="3"/>
        <v>557707.57865045499</v>
      </c>
      <c r="T5" s="16">
        <f>IFERROR(INDEX(Cost_Components!$R$2:$R$6,MATCH(E5,Cost_Components!$A$2:$A$6,0)),"")</f>
        <v>1</v>
      </c>
      <c r="U5" s="26">
        <f>IFERROR(INDEX(Cost_Components!$Q$2:$Q$6,MATCH(E5,Cost_Components!$A$2:$A$6,0)),"")</f>
        <v>2023</v>
      </c>
      <c r="V5" s="30">
        <f>1/(1+Calculation_Assumptions!$B$5)^(B5-Calculation_Assumptions!$B$2)</f>
        <v>0.91514165935315961</v>
      </c>
      <c r="W5" s="23">
        <f t="shared" si="4"/>
        <v>4256877.3917355863</v>
      </c>
      <c r="X5" s="23">
        <f t="shared" si="5"/>
        <v>4767258.8306955965</v>
      </c>
      <c r="Y5" s="23">
        <f t="shared" si="6"/>
        <v>510381.43896001013</v>
      </c>
      <c r="Z5" s="17">
        <f>IFERROR(INDEX(Cost_Components!$T$2:$T$6,MATCH(E5,Cost_Components!$A$2:$A$6,0)),"")</f>
        <v>0.41649999999999998</v>
      </c>
      <c r="AA5" s="26">
        <f>IFERROR(INDEX(Cost_Components!$U$2:$U$6,MATCH(E5,Cost_Components!$A$2:$A$6,0)),"")</f>
        <v>2025</v>
      </c>
      <c r="AB5" s="26">
        <f>IFERROR(INDEX(Cost_Components!$V$2:$V$6,MATCH(E5,Cost_Components!$A$2:$A$6,0)),"")</f>
        <v>2040</v>
      </c>
      <c r="AC5" s="26">
        <f>IFERROR(INDEX(Cost_Components!$M$2:$M$6,MATCH(E5,Cost_Components!$A$2:$A$6,0)),"")</f>
        <v>30</v>
      </c>
      <c r="AD5" s="26">
        <f>IFERROR(INDEX(Cost_Components!$N$2:$N$6,MATCH(E5,Cost_Components!$A$2:$A$6,0)),"")</f>
        <v>95</v>
      </c>
      <c r="AE5" s="16" t="str">
        <f>IFERROR(INDEX(Cost_Components!$O$2:$O$6,MATCH(E5,Cost_Components!$A$2:$A$6,0)),"")</f>
        <v>Both</v>
      </c>
      <c r="AF5" s="11">
        <v>158283389.04965699</v>
      </c>
      <c r="AG5" s="11">
        <v>158283047.05613899</v>
      </c>
      <c r="AH5" s="23">
        <f t="shared" si="7"/>
        <v>1</v>
      </c>
    </row>
    <row r="6" spans="1:34">
      <c r="A6" t="s">
        <v>115</v>
      </c>
      <c r="B6" s="20">
        <v>2029</v>
      </c>
      <c r="C6" t="s">
        <v>204</v>
      </c>
      <c r="E6" s="22" t="s">
        <v>267</v>
      </c>
      <c r="F6" s="22" t="s">
        <v>268</v>
      </c>
      <c r="G6" s="22" t="s">
        <v>213</v>
      </c>
      <c r="H6" s="22" t="s">
        <v>214</v>
      </c>
      <c r="I6" s="22" t="s">
        <v>265</v>
      </c>
      <c r="J6" s="17">
        <f>IFERROR(INDEX(Cost_Components!$K$2:$K$6,MATCH(E6,Cost_Components!$A$2:$A$6,0)),"")</f>
        <v>0.2</v>
      </c>
      <c r="K6" s="31">
        <v>0.131953371474581</v>
      </c>
      <c r="L6" s="17">
        <f>IFERROR(INDEX(Cost_Components!$S$2:$S$6,MATCH(E6,Cost_Components!$A$2:$A$6,0)),"")</f>
        <v>0.113766857372906</v>
      </c>
      <c r="M6" s="28">
        <f>IFERROR(INDEX(Cost_Components!$L$2:$L$6,MATCH(E6,Cost_Components!$A$2:$A$6,0)),"")</f>
        <v>1</v>
      </c>
      <c r="N6" s="29">
        <f>IFERROR(INDEX(Cost_Components!$P$2:$P$6,MATCH(E6,Cost_Components!$A$2:$A$6,0)),"")</f>
        <v>1.2915840000000001</v>
      </c>
      <c r="O6" s="23">
        <f t="shared" si="8"/>
        <v>32100474.933576401</v>
      </c>
      <c r="P6" s="23">
        <f t="shared" si="0"/>
        <v>32100263.7657784</v>
      </c>
      <c r="Q6" s="23">
        <f t="shared" si="1"/>
        <v>4716795.1896905126</v>
      </c>
      <c r="R6" s="23">
        <f t="shared" si="2"/>
        <v>5470847.4556878591</v>
      </c>
      <c r="S6" s="23">
        <f t="shared" si="3"/>
        <v>754052.26599734649</v>
      </c>
      <c r="T6" s="16">
        <f>IFERROR(INDEX(Cost_Components!$R$2:$R$6,MATCH(E6,Cost_Components!$A$2:$A$6,0)),"")</f>
        <v>1</v>
      </c>
      <c r="U6" s="26">
        <f>IFERROR(INDEX(Cost_Components!$Q$2:$Q$6,MATCH(E6,Cost_Components!$A$2:$A$6,0)),"")</f>
        <v>2023</v>
      </c>
      <c r="V6" s="30">
        <f>1/(1+Calculation_Assumptions!$B$5)^(B6-Calculation_Assumptions!$B$2)</f>
        <v>0.888487047915689</v>
      </c>
      <c r="W6" s="23">
        <f t="shared" si="4"/>
        <v>4190811.4337110459</v>
      </c>
      <c r="X6" s="23">
        <f t="shared" si="5"/>
        <v>4860777.1055011638</v>
      </c>
      <c r="Y6" s="23">
        <f t="shared" si="6"/>
        <v>669965.67179011821</v>
      </c>
      <c r="Z6" s="17">
        <f>IFERROR(INDEX(Cost_Components!$T$2:$T$6,MATCH(E6,Cost_Components!$A$2:$A$6,0)),"")</f>
        <v>0.41649999999999998</v>
      </c>
      <c r="AA6" s="26">
        <f>IFERROR(INDEX(Cost_Components!$U$2:$U$6,MATCH(E6,Cost_Components!$A$2:$A$6,0)),"")</f>
        <v>2025</v>
      </c>
      <c r="AB6" s="26">
        <f>IFERROR(INDEX(Cost_Components!$V$2:$V$6,MATCH(E6,Cost_Components!$A$2:$A$6,0)),"")</f>
        <v>2040</v>
      </c>
      <c r="AC6" s="26">
        <f>IFERROR(INDEX(Cost_Components!$M$2:$M$6,MATCH(E6,Cost_Components!$A$2:$A$6,0)),"")</f>
        <v>30</v>
      </c>
      <c r="AD6" s="26">
        <f>IFERROR(INDEX(Cost_Components!$N$2:$N$6,MATCH(E6,Cost_Components!$A$2:$A$6,0)),"")</f>
        <v>95</v>
      </c>
      <c r="AE6" s="16" t="str">
        <f>IFERROR(INDEX(Cost_Components!$O$2:$O$6,MATCH(E6,Cost_Components!$A$2:$A$6,0)),"")</f>
        <v>Both</v>
      </c>
      <c r="AF6" s="11">
        <v>160502374.667882</v>
      </c>
      <c r="AG6" s="11">
        <v>160501318.82889199</v>
      </c>
      <c r="AH6" s="23">
        <f t="shared" si="7"/>
        <v>1</v>
      </c>
    </row>
    <row r="7" spans="1:34">
      <c r="A7" t="s">
        <v>115</v>
      </c>
      <c r="B7" s="20">
        <v>2030</v>
      </c>
      <c r="C7" t="s">
        <v>204</v>
      </c>
      <c r="E7" s="22" t="s">
        <v>267</v>
      </c>
      <c r="F7" s="22" t="s">
        <v>268</v>
      </c>
      <c r="G7" s="22" t="s">
        <v>213</v>
      </c>
      <c r="H7" s="22" t="s">
        <v>214</v>
      </c>
      <c r="I7" s="22" t="s">
        <v>265</v>
      </c>
      <c r="J7" s="17">
        <f>IFERROR(INDEX(Cost_Components!$K$2:$K$6,MATCH(E7,Cost_Components!$A$2:$A$6,0)),"")</f>
        <v>0.2</v>
      </c>
      <c r="K7" s="31">
        <v>0.13650000000000001</v>
      </c>
      <c r="L7" s="17">
        <f>IFERROR(INDEX(Cost_Components!$S$2:$S$6,MATCH(E7,Cost_Components!$A$2:$A$6,0)),"")</f>
        <v>0.113766857372906</v>
      </c>
      <c r="M7" s="28">
        <f>IFERROR(INDEX(Cost_Components!$L$2:$L$6,MATCH(E7,Cost_Components!$A$2:$A$6,0)),"")</f>
        <v>1</v>
      </c>
      <c r="N7" s="29">
        <f>IFERROR(INDEX(Cost_Components!$P$2:$P$6,MATCH(E7,Cost_Components!$A$2:$A$6,0)),"")</f>
        <v>1.2915840000000001</v>
      </c>
      <c r="O7" s="23">
        <f t="shared" si="8"/>
        <v>32490352.388942</v>
      </c>
      <c r="P7" s="23">
        <f t="shared" si="0"/>
        <v>32530776.390710402</v>
      </c>
      <c r="Q7" s="23">
        <f t="shared" si="1"/>
        <v>4780054.4791841134</v>
      </c>
      <c r="R7" s="23">
        <f t="shared" si="2"/>
        <v>5728088.6344389794</v>
      </c>
      <c r="S7" s="23">
        <f t="shared" si="3"/>
        <v>948034.155254866</v>
      </c>
      <c r="T7" s="16">
        <f>IFERROR(INDEX(Cost_Components!$R$2:$R$6,MATCH(E7,Cost_Components!$A$2:$A$6,0)),"")</f>
        <v>1</v>
      </c>
      <c r="U7" s="26">
        <f>IFERROR(INDEX(Cost_Components!$Q$2:$Q$6,MATCH(E7,Cost_Components!$A$2:$A$6,0)),"")</f>
        <v>2023</v>
      </c>
      <c r="V7" s="30">
        <f>1/(1+Calculation_Assumptions!$B$5)^(B7-Calculation_Assumptions!$B$2)</f>
        <v>0.86260878438416411</v>
      </c>
      <c r="W7" s="23">
        <f t="shared" si="4"/>
        <v>4123316.9835790866</v>
      </c>
      <c r="X7" s="23">
        <f t="shared" si="5"/>
        <v>4941099.5737981545</v>
      </c>
      <c r="Y7" s="23">
        <f t="shared" si="6"/>
        <v>817782.59021906788</v>
      </c>
      <c r="Z7" s="17">
        <f>IFERROR(INDEX(Cost_Components!$T$2:$T$6,MATCH(E7,Cost_Components!$A$2:$A$6,0)),"")</f>
        <v>0.41649999999999998</v>
      </c>
      <c r="AA7" s="26">
        <f>IFERROR(INDEX(Cost_Components!$U$2:$U$6,MATCH(E7,Cost_Components!$A$2:$A$6,0)),"")</f>
        <v>2025</v>
      </c>
      <c r="AB7" s="26">
        <f>IFERROR(INDEX(Cost_Components!$V$2:$V$6,MATCH(E7,Cost_Components!$A$2:$A$6,0)),"")</f>
        <v>2040</v>
      </c>
      <c r="AC7" s="26">
        <f>IFERROR(INDEX(Cost_Components!$M$2:$M$6,MATCH(E7,Cost_Components!$A$2:$A$6,0)),"")</f>
        <v>30</v>
      </c>
      <c r="AD7" s="26">
        <f>IFERROR(INDEX(Cost_Components!$N$2:$N$6,MATCH(E7,Cost_Components!$A$2:$A$6,0)),"")</f>
        <v>95</v>
      </c>
      <c r="AE7" s="16" t="str">
        <f>IFERROR(INDEX(Cost_Components!$O$2:$O$6,MATCH(E7,Cost_Components!$A$2:$A$6,0)),"")</f>
        <v>Both</v>
      </c>
      <c r="AF7" s="11">
        <v>162451761.94470999</v>
      </c>
      <c r="AG7" s="11">
        <v>162653881.95355201</v>
      </c>
      <c r="AH7" s="23">
        <f t="shared" si="7"/>
        <v>1</v>
      </c>
    </row>
    <row r="8" spans="1:34">
      <c r="A8" t="s">
        <v>115</v>
      </c>
      <c r="B8" s="20">
        <v>2031</v>
      </c>
      <c r="C8" t="s">
        <v>204</v>
      </c>
      <c r="E8" s="22" t="s">
        <v>267</v>
      </c>
      <c r="F8" s="22" t="s">
        <v>268</v>
      </c>
      <c r="G8" s="22" t="s">
        <v>213</v>
      </c>
      <c r="H8" s="22" t="s">
        <v>214</v>
      </c>
      <c r="I8" s="22" t="s">
        <v>265</v>
      </c>
      <c r="J8" s="17">
        <f>IFERROR(INDEX(Cost_Components!$K$2:$K$6,MATCH(E8,Cost_Components!$A$2:$A$6,0)),"")</f>
        <v>0.2</v>
      </c>
      <c r="K8" s="31">
        <v>0.16450000000000001</v>
      </c>
      <c r="L8" s="17">
        <f>IFERROR(INDEX(Cost_Components!$S$2:$S$6,MATCH(E8,Cost_Components!$A$2:$A$6,0)),"")</f>
        <v>0.113766857372906</v>
      </c>
      <c r="M8" s="28">
        <f>IFERROR(INDEX(Cost_Components!$L$2:$L$6,MATCH(E8,Cost_Components!$A$2:$A$6,0)),"")</f>
        <v>1</v>
      </c>
      <c r="N8" s="29">
        <f>IFERROR(INDEX(Cost_Components!$P$2:$P$6,MATCH(E8,Cost_Components!$A$2:$A$6,0)),"")</f>
        <v>1.2915840000000001</v>
      </c>
      <c r="O8" s="23">
        <f t="shared" si="8"/>
        <v>32921478.519022204</v>
      </c>
      <c r="P8" s="23">
        <f t="shared" si="0"/>
        <v>32956928.071739204</v>
      </c>
      <c r="Q8" s="23">
        <f t="shared" si="1"/>
        <v>4842672.9739672644</v>
      </c>
      <c r="R8" s="23">
        <f t="shared" si="2"/>
        <v>6994680.6329438519</v>
      </c>
      <c r="S8" s="23">
        <f t="shared" si="3"/>
        <v>2152007.6589765875</v>
      </c>
      <c r="T8" s="16">
        <f>IFERROR(INDEX(Cost_Components!$R$2:$R$6,MATCH(E8,Cost_Components!$A$2:$A$6,0)),"")</f>
        <v>1</v>
      </c>
      <c r="U8" s="26">
        <f>IFERROR(INDEX(Cost_Components!$Q$2:$Q$6,MATCH(E8,Cost_Components!$A$2:$A$6,0)),"")</f>
        <v>2023</v>
      </c>
      <c r="V8" s="30">
        <f>1/(1+Calculation_Assumptions!$B$5)^(B8-Calculation_Assumptions!$B$2)</f>
        <v>0.83748425668365445</v>
      </c>
      <c r="W8" s="23">
        <f t="shared" si="4"/>
        <v>4055662.3759649969</v>
      </c>
      <c r="X8" s="23">
        <f t="shared" si="5"/>
        <v>5857934.9106205357</v>
      </c>
      <c r="Y8" s="23">
        <f t="shared" si="6"/>
        <v>1802272.5346555386</v>
      </c>
      <c r="Z8" s="17">
        <f>IFERROR(INDEX(Cost_Components!$T$2:$T$6,MATCH(E8,Cost_Components!$A$2:$A$6,0)),"")</f>
        <v>0.41649999999999998</v>
      </c>
      <c r="AA8" s="26">
        <f>IFERROR(INDEX(Cost_Components!$U$2:$U$6,MATCH(E8,Cost_Components!$A$2:$A$6,0)),"")</f>
        <v>2025</v>
      </c>
      <c r="AB8" s="26">
        <f>IFERROR(INDEX(Cost_Components!$V$2:$V$6,MATCH(E8,Cost_Components!$A$2:$A$6,0)),"")</f>
        <v>2040</v>
      </c>
      <c r="AC8" s="26">
        <f>IFERROR(INDEX(Cost_Components!$M$2:$M$6,MATCH(E8,Cost_Components!$A$2:$A$6,0)),"")</f>
        <v>30</v>
      </c>
      <c r="AD8" s="26">
        <f>IFERROR(INDEX(Cost_Components!$N$2:$N$6,MATCH(E8,Cost_Components!$A$2:$A$6,0)),"")</f>
        <v>95</v>
      </c>
      <c r="AE8" s="16" t="str">
        <f>IFERROR(INDEX(Cost_Components!$O$2:$O$6,MATCH(E8,Cost_Components!$A$2:$A$6,0)),"")</f>
        <v>Both</v>
      </c>
      <c r="AF8" s="11">
        <v>164607392.59511101</v>
      </c>
      <c r="AG8" s="11">
        <v>164784640.35869601</v>
      </c>
      <c r="AH8" s="23">
        <f t="shared" si="7"/>
        <v>1</v>
      </c>
    </row>
    <row r="9" spans="1:34">
      <c r="A9" t="s">
        <v>115</v>
      </c>
      <c r="B9" s="20">
        <v>2032</v>
      </c>
      <c r="C9" t="s">
        <v>204</v>
      </c>
      <c r="E9" s="22" t="s">
        <v>267</v>
      </c>
      <c r="F9" s="22" t="s">
        <v>268</v>
      </c>
      <c r="G9" s="22" t="s">
        <v>213</v>
      </c>
      <c r="H9" s="22" t="s">
        <v>214</v>
      </c>
      <c r="I9" s="22" t="s">
        <v>265</v>
      </c>
      <c r="J9" s="17">
        <f>IFERROR(INDEX(Cost_Components!$K$2:$K$6,MATCH(E9,Cost_Components!$A$2:$A$6,0)),"")</f>
        <v>0.2</v>
      </c>
      <c r="K9" s="31">
        <v>0.1925</v>
      </c>
      <c r="L9" s="17">
        <f>IFERROR(INDEX(Cost_Components!$S$2:$S$6,MATCH(E9,Cost_Components!$A$2:$A$6,0)),"")</f>
        <v>0.113766857372906</v>
      </c>
      <c r="M9" s="28">
        <f>IFERROR(INDEX(Cost_Components!$L$2:$L$6,MATCH(E9,Cost_Components!$A$2:$A$6,0)),"")</f>
        <v>1</v>
      </c>
      <c r="N9" s="29">
        <f>IFERROR(INDEX(Cost_Components!$P$2:$P$6,MATCH(E9,Cost_Components!$A$2:$A$6,0)),"")</f>
        <v>1.2915840000000001</v>
      </c>
      <c r="O9" s="23">
        <f t="shared" si="8"/>
        <v>33344844.304155603</v>
      </c>
      <c r="P9" s="23">
        <f t="shared" si="0"/>
        <v>33381995.851857003</v>
      </c>
      <c r="Q9" s="23">
        <f t="shared" si="1"/>
        <v>4905132.2009437578</v>
      </c>
      <c r="R9" s="23">
        <f t="shared" si="2"/>
        <v>8290525.9717546636</v>
      </c>
      <c r="S9" s="23">
        <f t="shared" si="3"/>
        <v>3385393.7708109058</v>
      </c>
      <c r="T9" s="16">
        <f>IFERROR(INDEX(Cost_Components!$R$2:$R$6,MATCH(E9,Cost_Components!$A$2:$A$6,0)),"")</f>
        <v>1</v>
      </c>
      <c r="U9" s="26">
        <f>IFERROR(INDEX(Cost_Components!$Q$2:$Q$6,MATCH(E9,Cost_Components!$A$2:$A$6,0)),"")</f>
        <v>2023</v>
      </c>
      <c r="V9" s="30">
        <f>1/(1+Calculation_Assumptions!$B$5)^(B9-Calculation_Assumptions!$B$2)</f>
        <v>0.81309151134335378</v>
      </c>
      <c r="W9" s="23">
        <f t="shared" si="4"/>
        <v>3988321.3546043113</v>
      </c>
      <c r="X9" s="23">
        <f t="shared" si="5"/>
        <v>6740956.2922053263</v>
      </c>
      <c r="Y9" s="23">
        <f t="shared" si="6"/>
        <v>2752634.937601015</v>
      </c>
      <c r="Z9" s="17">
        <f>IFERROR(INDEX(Cost_Components!$T$2:$T$6,MATCH(E9,Cost_Components!$A$2:$A$6,0)),"")</f>
        <v>0.41649999999999998</v>
      </c>
      <c r="AA9" s="26">
        <f>IFERROR(INDEX(Cost_Components!$U$2:$U$6,MATCH(E9,Cost_Components!$A$2:$A$6,0)),"")</f>
        <v>2025</v>
      </c>
      <c r="AB9" s="26">
        <f>IFERROR(INDEX(Cost_Components!$V$2:$V$6,MATCH(E9,Cost_Components!$A$2:$A$6,0)),"")</f>
        <v>2040</v>
      </c>
      <c r="AC9" s="26">
        <f>IFERROR(INDEX(Cost_Components!$M$2:$M$6,MATCH(E9,Cost_Components!$A$2:$A$6,0)),"")</f>
        <v>30</v>
      </c>
      <c r="AD9" s="26">
        <f>IFERROR(INDEX(Cost_Components!$N$2:$N$6,MATCH(E9,Cost_Components!$A$2:$A$6,0)),"")</f>
        <v>95</v>
      </c>
      <c r="AE9" s="16" t="str">
        <f>IFERROR(INDEX(Cost_Components!$O$2:$O$6,MATCH(E9,Cost_Components!$A$2:$A$6,0)),"")</f>
        <v>Both</v>
      </c>
      <c r="AF9" s="11">
        <v>166724221.520778</v>
      </c>
      <c r="AG9" s="11">
        <v>166909979.259285</v>
      </c>
      <c r="AH9" s="23">
        <f t="shared" si="7"/>
        <v>1</v>
      </c>
    </row>
    <row r="10" spans="1:34">
      <c r="A10" t="s">
        <v>115</v>
      </c>
      <c r="B10" s="20">
        <v>2033</v>
      </c>
      <c r="C10" t="s">
        <v>204</v>
      </c>
      <c r="E10" s="22" t="s">
        <v>267</v>
      </c>
      <c r="F10" s="22" t="s">
        <v>268</v>
      </c>
      <c r="G10" s="22" t="s">
        <v>213</v>
      </c>
      <c r="H10" s="22" t="s">
        <v>214</v>
      </c>
      <c r="I10" s="22" t="s">
        <v>265</v>
      </c>
      <c r="J10" s="17">
        <f>IFERROR(INDEX(Cost_Components!$K$2:$K$6,MATCH(E10,Cost_Components!$A$2:$A$6,0)),"")</f>
        <v>0.2</v>
      </c>
      <c r="K10" s="31">
        <v>0.2205</v>
      </c>
      <c r="L10" s="17">
        <f>IFERROR(INDEX(Cost_Components!$S$2:$S$6,MATCH(E10,Cost_Components!$A$2:$A$6,0)),"")</f>
        <v>0.113766857372906</v>
      </c>
      <c r="M10" s="28">
        <f>IFERROR(INDEX(Cost_Components!$L$2:$L$6,MATCH(E10,Cost_Components!$A$2:$A$6,0)),"")</f>
        <v>1</v>
      </c>
      <c r="N10" s="29">
        <f>IFERROR(INDEX(Cost_Components!$P$2:$P$6,MATCH(E10,Cost_Components!$A$2:$A$6,0)),"")</f>
        <v>1.2915840000000001</v>
      </c>
      <c r="O10" s="23">
        <f t="shared" si="8"/>
        <v>33772899.090698801</v>
      </c>
      <c r="P10" s="23">
        <f t="shared" si="0"/>
        <v>33804979.591030203</v>
      </c>
      <c r="Q10" s="23">
        <f t="shared" si="1"/>
        <v>4967285.2000844209</v>
      </c>
      <c r="R10" s="23">
        <f t="shared" si="2"/>
        <v>9618328.209865028</v>
      </c>
      <c r="S10" s="23">
        <f t="shared" si="3"/>
        <v>4651043.0097806072</v>
      </c>
      <c r="T10" s="16">
        <f>IFERROR(INDEX(Cost_Components!$R$2:$R$6,MATCH(E10,Cost_Components!$A$2:$A$6,0)),"")</f>
        <v>1</v>
      </c>
      <c r="U10" s="26">
        <f>IFERROR(INDEX(Cost_Components!$Q$2:$Q$6,MATCH(E10,Cost_Components!$A$2:$A$6,0)),"")</f>
        <v>2023</v>
      </c>
      <c r="V10" s="30">
        <f>1/(1+Calculation_Assumptions!$B$5)^(B10-Calculation_Assumptions!$B$2)</f>
        <v>0.78940923431393573</v>
      </c>
      <c r="W10" s="23">
        <f t="shared" si="4"/>
        <v>3921220.8064175877</v>
      </c>
      <c r="X10" s="23">
        <f t="shared" si="5"/>
        <v>7592797.1075296802</v>
      </c>
      <c r="Y10" s="23">
        <f t="shared" si="6"/>
        <v>3671576.3011120921</v>
      </c>
      <c r="Z10" s="17">
        <f>IFERROR(INDEX(Cost_Components!$T$2:$T$6,MATCH(E10,Cost_Components!$A$2:$A$6,0)),"")</f>
        <v>0.41649999999999998</v>
      </c>
      <c r="AA10" s="26">
        <f>IFERROR(INDEX(Cost_Components!$U$2:$U$6,MATCH(E10,Cost_Components!$A$2:$A$6,0)),"")</f>
        <v>2025</v>
      </c>
      <c r="AB10" s="26">
        <f>IFERROR(INDEX(Cost_Components!$V$2:$V$6,MATCH(E10,Cost_Components!$A$2:$A$6,0)),"")</f>
        <v>2040</v>
      </c>
      <c r="AC10" s="26">
        <f>IFERROR(INDEX(Cost_Components!$M$2:$M$6,MATCH(E10,Cost_Components!$A$2:$A$6,0)),"")</f>
        <v>30</v>
      </c>
      <c r="AD10" s="26">
        <f>IFERROR(INDEX(Cost_Components!$N$2:$N$6,MATCH(E10,Cost_Components!$A$2:$A$6,0)),"")</f>
        <v>95</v>
      </c>
      <c r="AE10" s="16" t="str">
        <f>IFERROR(INDEX(Cost_Components!$O$2:$O$6,MATCH(E10,Cost_Components!$A$2:$A$6,0)),"")</f>
        <v>Both</v>
      </c>
      <c r="AF10" s="11">
        <v>168864495.45349401</v>
      </c>
      <c r="AG10" s="11">
        <v>169024897.95515099</v>
      </c>
      <c r="AH10" s="23">
        <f t="shared" si="7"/>
        <v>1</v>
      </c>
    </row>
    <row r="11" spans="1:34">
      <c r="A11" t="s">
        <v>115</v>
      </c>
      <c r="B11" s="20">
        <v>2034</v>
      </c>
      <c r="C11" t="s">
        <v>204</v>
      </c>
      <c r="E11" s="22" t="s">
        <v>267</v>
      </c>
      <c r="F11" s="22" t="s">
        <v>268</v>
      </c>
      <c r="G11" s="22" t="s">
        <v>213</v>
      </c>
      <c r="H11" s="22" t="s">
        <v>214</v>
      </c>
      <c r="I11" s="22" t="s">
        <v>265</v>
      </c>
      <c r="J11" s="17">
        <f>IFERROR(INDEX(Cost_Components!$K$2:$K$6,MATCH(E11,Cost_Components!$A$2:$A$6,0)),"")</f>
        <v>0.2</v>
      </c>
      <c r="K11" s="31">
        <v>0.2485</v>
      </c>
      <c r="L11" s="17">
        <f>IFERROR(INDEX(Cost_Components!$S$2:$S$6,MATCH(E11,Cost_Components!$A$2:$A$6,0)),"")</f>
        <v>0.113766857372906</v>
      </c>
      <c r="M11" s="28">
        <f>IFERROR(INDEX(Cost_Components!$L$2:$L$6,MATCH(E11,Cost_Components!$A$2:$A$6,0)),"")</f>
        <v>1</v>
      </c>
      <c r="N11" s="29">
        <f>IFERROR(INDEX(Cost_Components!$P$2:$P$6,MATCH(E11,Cost_Components!$A$2:$A$6,0)),"")</f>
        <v>1.2915840000000001</v>
      </c>
      <c r="O11" s="23">
        <f t="shared" si="8"/>
        <v>34203334.118646801</v>
      </c>
      <c r="P11" s="23">
        <f t="shared" si="0"/>
        <v>34229810.976644598</v>
      </c>
      <c r="Q11" s="23">
        <f t="shared" si="1"/>
        <v>5029709.6913819592</v>
      </c>
      <c r="R11" s="23">
        <f t="shared" si="2"/>
        <v>10977855.054933131</v>
      </c>
      <c r="S11" s="23">
        <f t="shared" si="3"/>
        <v>5948145.3635511715</v>
      </c>
      <c r="T11" s="16">
        <f>IFERROR(INDEX(Cost_Components!$R$2:$R$6,MATCH(E11,Cost_Components!$A$2:$A$6,0)),"")</f>
        <v>1</v>
      </c>
      <c r="U11" s="26">
        <f>IFERROR(INDEX(Cost_Components!$Q$2:$Q$6,MATCH(E11,Cost_Components!$A$2:$A$6,0)),"")</f>
        <v>2023</v>
      </c>
      <c r="V11" s="30">
        <f>1/(1+Calculation_Assumptions!$B$5)^(B11-Calculation_Assumptions!$B$2)</f>
        <v>0.76641673234362695</v>
      </c>
      <c r="W11" s="23">
        <f t="shared" si="4"/>
        <v>3854853.6663060337</v>
      </c>
      <c r="X11" s="23">
        <f t="shared" si="5"/>
        <v>8413611.7993438169</v>
      </c>
      <c r="Y11" s="23">
        <f t="shared" si="6"/>
        <v>4558758.1330377841</v>
      </c>
      <c r="Z11" s="17">
        <f>IFERROR(INDEX(Cost_Components!$T$2:$T$6,MATCH(E11,Cost_Components!$A$2:$A$6,0)),"")</f>
        <v>0.41649999999999998</v>
      </c>
      <c r="AA11" s="26">
        <f>IFERROR(INDEX(Cost_Components!$U$2:$U$6,MATCH(E11,Cost_Components!$A$2:$A$6,0)),"")</f>
        <v>2025</v>
      </c>
      <c r="AB11" s="26">
        <f>IFERROR(INDEX(Cost_Components!$V$2:$V$6,MATCH(E11,Cost_Components!$A$2:$A$6,0)),"")</f>
        <v>2040</v>
      </c>
      <c r="AC11" s="26">
        <f>IFERROR(INDEX(Cost_Components!$M$2:$M$6,MATCH(E11,Cost_Components!$A$2:$A$6,0)),"")</f>
        <v>30</v>
      </c>
      <c r="AD11" s="26">
        <f>IFERROR(INDEX(Cost_Components!$N$2:$N$6,MATCH(E11,Cost_Components!$A$2:$A$6,0)),"")</f>
        <v>95</v>
      </c>
      <c r="AE11" s="16" t="str">
        <f>IFERROR(INDEX(Cost_Components!$O$2:$O$6,MATCH(E11,Cost_Components!$A$2:$A$6,0)),"")</f>
        <v>Both</v>
      </c>
      <c r="AF11" s="11">
        <v>171016670.593234</v>
      </c>
      <c r="AG11" s="11">
        <v>171149054.883223</v>
      </c>
      <c r="AH11" s="23">
        <f t="shared" si="7"/>
        <v>1</v>
      </c>
    </row>
    <row r="12" spans="1:34">
      <c r="A12" t="s">
        <v>115</v>
      </c>
      <c r="B12" s="20">
        <v>2035</v>
      </c>
      <c r="C12" t="s">
        <v>204</v>
      </c>
      <c r="E12" s="22" t="s">
        <v>267</v>
      </c>
      <c r="F12" s="22" t="s">
        <v>268</v>
      </c>
      <c r="G12" s="22" t="s">
        <v>213</v>
      </c>
      <c r="H12" s="22" t="s">
        <v>214</v>
      </c>
      <c r="I12" s="22" t="s">
        <v>265</v>
      </c>
      <c r="J12" s="17">
        <f>IFERROR(INDEX(Cost_Components!$K$2:$K$6,MATCH(E12,Cost_Components!$A$2:$A$6,0)),"")</f>
        <v>0.2</v>
      </c>
      <c r="K12" s="31">
        <v>0.27650000000000002</v>
      </c>
      <c r="L12" s="17">
        <f>IFERROR(INDEX(Cost_Components!$S$2:$S$6,MATCH(E12,Cost_Components!$A$2:$A$6,0)),"")</f>
        <v>0.113766857372906</v>
      </c>
      <c r="M12" s="28">
        <f>IFERROR(INDEX(Cost_Components!$L$2:$L$6,MATCH(E12,Cost_Components!$A$2:$A$6,0)),"")</f>
        <v>1</v>
      </c>
      <c r="N12" s="29">
        <f>IFERROR(INDEX(Cost_Components!$P$2:$P$6,MATCH(E12,Cost_Components!$A$2:$A$6,0)),"")</f>
        <v>1.2915840000000001</v>
      </c>
      <c r="O12" s="23">
        <f t="shared" si="8"/>
        <v>34646568.297415204</v>
      </c>
      <c r="P12" s="23">
        <f t="shared" si="0"/>
        <v>34666731.833632201</v>
      </c>
      <c r="Q12" s="23">
        <f t="shared" si="1"/>
        <v>5093910.6029866682</v>
      </c>
      <c r="R12" s="23">
        <f t="shared" si="2"/>
        <v>12373085.578560174</v>
      </c>
      <c r="S12" s="23">
        <f t="shared" si="3"/>
        <v>7279174.9755735053</v>
      </c>
      <c r="T12" s="16">
        <f>IFERROR(INDEX(Cost_Components!$R$2:$R$6,MATCH(E12,Cost_Components!$A$2:$A$6,0)),"")</f>
        <v>1</v>
      </c>
      <c r="U12" s="26">
        <f>IFERROR(INDEX(Cost_Components!$Q$2:$Q$6,MATCH(E12,Cost_Components!$A$2:$A$6,0)),"")</f>
        <v>2023</v>
      </c>
      <c r="V12" s="30">
        <f>1/(1+Calculation_Assumptions!$B$5)^(B12-Calculation_Assumptions!$B$2)</f>
        <v>0.74409391489672516</v>
      </c>
      <c r="W12" s="23">
        <f t="shared" si="4"/>
        <v>3790347.8827102878</v>
      </c>
      <c r="X12" s="23">
        <f t="shared" si="5"/>
        <v>9206737.687503051</v>
      </c>
      <c r="Y12" s="23">
        <f t="shared" si="6"/>
        <v>5416389.8047927637</v>
      </c>
      <c r="Z12" s="17">
        <f>IFERROR(INDEX(Cost_Components!$T$2:$T$6,MATCH(E12,Cost_Components!$A$2:$A$6,0)),"")</f>
        <v>0.41649999999999998</v>
      </c>
      <c r="AA12" s="26">
        <f>IFERROR(INDEX(Cost_Components!$U$2:$U$6,MATCH(E12,Cost_Components!$A$2:$A$6,0)),"")</f>
        <v>2025</v>
      </c>
      <c r="AB12" s="26">
        <f>IFERROR(INDEX(Cost_Components!$V$2:$V$6,MATCH(E12,Cost_Components!$A$2:$A$6,0)),"")</f>
        <v>2040</v>
      </c>
      <c r="AC12" s="26">
        <f>IFERROR(INDEX(Cost_Components!$M$2:$M$6,MATCH(E12,Cost_Components!$A$2:$A$6,0)),"")</f>
        <v>30</v>
      </c>
      <c r="AD12" s="26">
        <f>IFERROR(INDEX(Cost_Components!$N$2:$N$6,MATCH(E12,Cost_Components!$A$2:$A$6,0)),"")</f>
        <v>95</v>
      </c>
      <c r="AE12" s="16" t="str">
        <f>IFERROR(INDEX(Cost_Components!$O$2:$O$6,MATCH(E12,Cost_Components!$A$2:$A$6,0)),"")</f>
        <v>Both</v>
      </c>
      <c r="AF12" s="11">
        <v>173232841.48707601</v>
      </c>
      <c r="AG12" s="11">
        <v>173333659.168161</v>
      </c>
      <c r="AH12" s="23">
        <f t="shared" si="7"/>
        <v>1</v>
      </c>
    </row>
    <row r="13" spans="1:34">
      <c r="A13" t="s">
        <v>115</v>
      </c>
      <c r="B13" s="20">
        <v>2036</v>
      </c>
      <c r="C13" t="s">
        <v>204</v>
      </c>
      <c r="E13" s="22" t="s">
        <v>267</v>
      </c>
      <c r="F13" s="22" t="s">
        <v>268</v>
      </c>
      <c r="G13" s="22" t="s">
        <v>213</v>
      </c>
      <c r="H13" s="22" t="s">
        <v>214</v>
      </c>
      <c r="I13" s="22" t="s">
        <v>265</v>
      </c>
      <c r="J13" s="17">
        <f>IFERROR(INDEX(Cost_Components!$K$2:$K$6,MATCH(E13,Cost_Components!$A$2:$A$6,0)),"")</f>
        <v>0.2</v>
      </c>
      <c r="K13" s="31">
        <v>0.30449999999999999</v>
      </c>
      <c r="L13" s="17">
        <f>IFERROR(INDEX(Cost_Components!$S$2:$S$6,MATCH(E13,Cost_Components!$A$2:$A$6,0)),"")</f>
        <v>0.113766857372906</v>
      </c>
      <c r="M13" s="28">
        <f>IFERROR(INDEX(Cost_Components!$L$2:$L$6,MATCH(E13,Cost_Components!$A$2:$A$6,0)),"")</f>
        <v>1</v>
      </c>
      <c r="N13" s="29">
        <f>IFERROR(INDEX(Cost_Components!$P$2:$P$6,MATCH(E13,Cost_Components!$A$2:$A$6,0)),"")</f>
        <v>1.2915840000000001</v>
      </c>
      <c r="O13" s="23">
        <f t="shared" si="8"/>
        <v>35101379.155328602</v>
      </c>
      <c r="P13" s="23">
        <f t="shared" si="0"/>
        <v>35114477.903158002</v>
      </c>
      <c r="Q13" s="23">
        <f t="shared" si="1"/>
        <v>5159702.1653972426</v>
      </c>
      <c r="R13" s="23">
        <f t="shared" si="2"/>
        <v>13804927.617114082</v>
      </c>
      <c r="S13" s="23">
        <f t="shared" si="3"/>
        <v>8645225.4517168403</v>
      </c>
      <c r="T13" s="16">
        <f>IFERROR(INDEX(Cost_Components!$R$2:$R$6,MATCH(E13,Cost_Components!$A$2:$A$6,0)),"")</f>
        <v>1</v>
      </c>
      <c r="U13" s="26">
        <f>IFERROR(INDEX(Cost_Components!$Q$2:$Q$6,MATCH(E13,Cost_Components!$A$2:$A$6,0)),"")</f>
        <v>2023</v>
      </c>
      <c r="V13" s="30">
        <f>1/(1+Calculation_Assumptions!$B$5)^(B13-Calculation_Assumptions!$B$2)</f>
        <v>0.72242127659876232</v>
      </c>
      <c r="W13" s="23">
        <f t="shared" si="4"/>
        <v>3727478.6251956741</v>
      </c>
      <c r="X13" s="23">
        <f t="shared" si="5"/>
        <v>9972973.4325090647</v>
      </c>
      <c r="Y13" s="23">
        <f t="shared" si="6"/>
        <v>6245494.807313391</v>
      </c>
      <c r="Z13" s="17">
        <f>IFERROR(INDEX(Cost_Components!$T$2:$T$6,MATCH(E13,Cost_Components!$A$2:$A$6,0)),"")</f>
        <v>0.41649999999999998</v>
      </c>
      <c r="AA13" s="26">
        <f>IFERROR(INDEX(Cost_Components!$U$2:$U$6,MATCH(E13,Cost_Components!$A$2:$A$6,0)),"")</f>
        <v>2025</v>
      </c>
      <c r="AB13" s="26">
        <f>IFERROR(INDEX(Cost_Components!$V$2:$V$6,MATCH(E13,Cost_Components!$A$2:$A$6,0)),"")</f>
        <v>2040</v>
      </c>
      <c r="AC13" s="26">
        <f>IFERROR(INDEX(Cost_Components!$M$2:$M$6,MATCH(E13,Cost_Components!$A$2:$A$6,0)),"")</f>
        <v>30</v>
      </c>
      <c r="AD13" s="26">
        <f>IFERROR(INDEX(Cost_Components!$N$2:$N$6,MATCH(E13,Cost_Components!$A$2:$A$6,0)),"")</f>
        <v>95</v>
      </c>
      <c r="AE13" s="16" t="str">
        <f>IFERROR(INDEX(Cost_Components!$O$2:$O$6,MATCH(E13,Cost_Components!$A$2:$A$6,0)),"")</f>
        <v>Both</v>
      </c>
      <c r="AF13" s="11">
        <v>175506895.77664301</v>
      </c>
      <c r="AG13" s="11">
        <v>175572389.51578999</v>
      </c>
      <c r="AH13" s="23">
        <f t="shared" si="7"/>
        <v>1</v>
      </c>
    </row>
    <row r="14" spans="1:34">
      <c r="A14" t="s">
        <v>115</v>
      </c>
      <c r="B14" s="20">
        <v>2037</v>
      </c>
      <c r="C14" t="s">
        <v>204</v>
      </c>
      <c r="E14" s="22" t="s">
        <v>267</v>
      </c>
      <c r="F14" s="22" t="s">
        <v>268</v>
      </c>
      <c r="G14" s="22" t="s">
        <v>213</v>
      </c>
      <c r="H14" s="22" t="s">
        <v>214</v>
      </c>
      <c r="I14" s="22" t="s">
        <v>265</v>
      </c>
      <c r="J14" s="17">
        <f>IFERROR(INDEX(Cost_Components!$K$2:$K$6,MATCH(E14,Cost_Components!$A$2:$A$6,0)),"")</f>
        <v>0.2</v>
      </c>
      <c r="K14" s="31">
        <v>0.33250000000000002</v>
      </c>
      <c r="L14" s="17">
        <f>IFERROR(INDEX(Cost_Components!$S$2:$S$6,MATCH(E14,Cost_Components!$A$2:$A$6,0)),"")</f>
        <v>0.113766857372906</v>
      </c>
      <c r="M14" s="28">
        <f>IFERROR(INDEX(Cost_Components!$L$2:$L$6,MATCH(E14,Cost_Components!$A$2:$A$6,0)),"")</f>
        <v>1</v>
      </c>
      <c r="N14" s="29">
        <f>IFERROR(INDEX(Cost_Components!$P$2:$P$6,MATCH(E14,Cost_Components!$A$2:$A$6,0)),"")</f>
        <v>1.2915840000000001</v>
      </c>
      <c r="O14" s="23">
        <f t="shared" si="8"/>
        <v>35562507.7472018</v>
      </c>
      <c r="P14" s="23">
        <f t="shared" si="0"/>
        <v>35567717.990068801</v>
      </c>
      <c r="Q14" s="23">
        <f t="shared" si="1"/>
        <v>5226301.0157155665</v>
      </c>
      <c r="R14" s="23">
        <f t="shared" si="2"/>
        <v>15272378.69704883</v>
      </c>
      <c r="S14" s="23">
        <f t="shared" si="3"/>
        <v>10046077.681333262</v>
      </c>
      <c r="T14" s="16">
        <f>IFERROR(INDEX(Cost_Components!$R$2:$R$6,MATCH(E14,Cost_Components!$A$2:$A$6,0)),"")</f>
        <v>1</v>
      </c>
      <c r="U14" s="26">
        <f>IFERROR(INDEX(Cost_Components!$Q$2:$Q$6,MATCH(E14,Cost_Components!$A$2:$A$6,0)),"")</f>
        <v>2023</v>
      </c>
      <c r="V14" s="30">
        <f>1/(1+Calculation_Assumptions!$B$5)^(B14-Calculation_Assumptions!$B$2)</f>
        <v>0.70137988019297326</v>
      </c>
      <c r="W14" s="23">
        <f t="shared" si="4"/>
        <v>3665622.3802549983</v>
      </c>
      <c r="X14" s="23">
        <f t="shared" si="5"/>
        <v>10711739.140797826</v>
      </c>
      <c r="Y14" s="23">
        <f t="shared" si="6"/>
        <v>7046116.7605428258</v>
      </c>
      <c r="Z14" s="17">
        <f>IFERROR(INDEX(Cost_Components!$T$2:$T$6,MATCH(E14,Cost_Components!$A$2:$A$6,0)),"")</f>
        <v>0.41649999999999998</v>
      </c>
      <c r="AA14" s="26">
        <f>IFERROR(INDEX(Cost_Components!$U$2:$U$6,MATCH(E14,Cost_Components!$A$2:$A$6,0)),"")</f>
        <v>2025</v>
      </c>
      <c r="AB14" s="26">
        <f>IFERROR(INDEX(Cost_Components!$V$2:$V$6,MATCH(E14,Cost_Components!$A$2:$A$6,0)),"")</f>
        <v>2040</v>
      </c>
      <c r="AC14" s="26">
        <f>IFERROR(INDEX(Cost_Components!$M$2:$M$6,MATCH(E14,Cost_Components!$A$2:$A$6,0)),"")</f>
        <v>30</v>
      </c>
      <c r="AD14" s="26">
        <f>IFERROR(INDEX(Cost_Components!$N$2:$N$6,MATCH(E14,Cost_Components!$A$2:$A$6,0)),"")</f>
        <v>95</v>
      </c>
      <c r="AE14" s="16" t="str">
        <f>IFERROR(INDEX(Cost_Components!$O$2:$O$6,MATCH(E14,Cost_Components!$A$2:$A$6,0)),"")</f>
        <v>Both</v>
      </c>
      <c r="AF14" s="11">
        <v>177812538.736009</v>
      </c>
      <c r="AG14" s="11">
        <v>177838589.950344</v>
      </c>
      <c r="AH14" s="23">
        <f t="shared" si="7"/>
        <v>1</v>
      </c>
    </row>
    <row r="15" spans="1:34">
      <c r="A15" t="s">
        <v>115</v>
      </c>
      <c r="B15" s="20">
        <v>2038</v>
      </c>
      <c r="C15" t="s">
        <v>204</v>
      </c>
      <c r="E15" s="22" t="s">
        <v>267</v>
      </c>
      <c r="F15" s="22" t="s">
        <v>268</v>
      </c>
      <c r="G15" s="22" t="s">
        <v>213</v>
      </c>
      <c r="H15" s="22" t="s">
        <v>214</v>
      </c>
      <c r="I15" s="22" t="s">
        <v>265</v>
      </c>
      <c r="J15" s="17">
        <f>IFERROR(INDEX(Cost_Components!$K$2:$K$6,MATCH(E15,Cost_Components!$A$2:$A$6,0)),"")</f>
        <v>0.2</v>
      </c>
      <c r="K15" s="31">
        <v>0.36049999999999999</v>
      </c>
      <c r="L15" s="17">
        <f>IFERROR(INDEX(Cost_Components!$S$2:$S$6,MATCH(E15,Cost_Components!$A$2:$A$6,0)),"")</f>
        <v>0.113766857372906</v>
      </c>
      <c r="M15" s="28">
        <f>IFERROR(INDEX(Cost_Components!$L$2:$L$6,MATCH(E15,Cost_Components!$A$2:$A$6,0)),"")</f>
        <v>1</v>
      </c>
      <c r="N15" s="29">
        <f>IFERROR(INDEX(Cost_Components!$P$2:$P$6,MATCH(E15,Cost_Components!$A$2:$A$6,0)),"")</f>
        <v>1.2915840000000001</v>
      </c>
      <c r="O15" s="23">
        <f t="shared" si="8"/>
        <v>36020730.046957999</v>
      </c>
      <c r="P15" s="23">
        <f t="shared" si="0"/>
        <v>36017072.320500396</v>
      </c>
      <c r="Q15" s="23">
        <f t="shared" si="1"/>
        <v>5292328.8951034583</v>
      </c>
      <c r="R15" s="23">
        <f t="shared" si="2"/>
        <v>16771829.394207759</v>
      </c>
      <c r="S15" s="23">
        <f t="shared" si="3"/>
        <v>11479500.499104301</v>
      </c>
      <c r="T15" s="16">
        <f>IFERROR(INDEX(Cost_Components!$R$2:$R$6,MATCH(E15,Cost_Components!$A$2:$A$6,0)),"")</f>
        <v>1</v>
      </c>
      <c r="U15" s="26">
        <f>IFERROR(INDEX(Cost_Components!$Q$2:$Q$6,MATCH(E15,Cost_Components!$A$2:$A$6,0)),"")</f>
        <v>2023</v>
      </c>
      <c r="V15" s="30">
        <f>1/(1+Calculation_Assumptions!$B$5)^(B15-Calculation_Assumptions!$B$2)</f>
        <v>0.68095133999317792</v>
      </c>
      <c r="W15" s="23">
        <f t="shared" si="4"/>
        <v>3603818.4528053147</v>
      </c>
      <c r="X15" s="23">
        <f t="shared" si="5"/>
        <v>11420799.700122742</v>
      </c>
      <c r="Y15" s="23">
        <f t="shared" si="6"/>
        <v>7816981.2473174278</v>
      </c>
      <c r="Z15" s="17">
        <f>IFERROR(INDEX(Cost_Components!$T$2:$T$6,MATCH(E15,Cost_Components!$A$2:$A$6,0)),"")</f>
        <v>0.41649999999999998</v>
      </c>
      <c r="AA15" s="26">
        <f>IFERROR(INDEX(Cost_Components!$U$2:$U$6,MATCH(E15,Cost_Components!$A$2:$A$6,0)),"")</f>
        <v>2025</v>
      </c>
      <c r="AB15" s="26">
        <f>IFERROR(INDEX(Cost_Components!$V$2:$V$6,MATCH(E15,Cost_Components!$A$2:$A$6,0)),"")</f>
        <v>2040</v>
      </c>
      <c r="AC15" s="26">
        <f>IFERROR(INDEX(Cost_Components!$M$2:$M$6,MATCH(E15,Cost_Components!$A$2:$A$6,0)),"")</f>
        <v>30</v>
      </c>
      <c r="AD15" s="26">
        <f>IFERROR(INDEX(Cost_Components!$N$2:$N$6,MATCH(E15,Cost_Components!$A$2:$A$6,0)),"")</f>
        <v>95</v>
      </c>
      <c r="AE15" s="16" t="str">
        <f>IFERROR(INDEX(Cost_Components!$O$2:$O$6,MATCH(E15,Cost_Components!$A$2:$A$6,0)),"")</f>
        <v>Both</v>
      </c>
      <c r="AF15" s="11">
        <v>180103650.23479</v>
      </c>
      <c r="AG15" s="11">
        <v>180085361.60250199</v>
      </c>
      <c r="AH15" s="23">
        <f t="shared" si="7"/>
        <v>1</v>
      </c>
    </row>
    <row r="16" spans="1:34">
      <c r="A16" t="s">
        <v>115</v>
      </c>
      <c r="B16" s="20">
        <v>2039</v>
      </c>
      <c r="C16" t="s">
        <v>204</v>
      </c>
      <c r="E16" s="22" t="s">
        <v>267</v>
      </c>
      <c r="F16" s="22" t="s">
        <v>268</v>
      </c>
      <c r="G16" s="22" t="s">
        <v>213</v>
      </c>
      <c r="H16" s="22" t="s">
        <v>214</v>
      </c>
      <c r="I16" s="22" t="s">
        <v>265</v>
      </c>
      <c r="J16" s="17">
        <f>IFERROR(INDEX(Cost_Components!$K$2:$K$6,MATCH(E16,Cost_Components!$A$2:$A$6,0)),"")</f>
        <v>0.2</v>
      </c>
      <c r="K16" s="31">
        <v>0.38850000000000001</v>
      </c>
      <c r="L16" s="17">
        <f>IFERROR(INDEX(Cost_Components!$S$2:$S$6,MATCH(E16,Cost_Components!$A$2:$A$6,0)),"")</f>
        <v>0.113766857372906</v>
      </c>
      <c r="M16" s="28">
        <f>IFERROR(INDEX(Cost_Components!$L$2:$L$6,MATCH(E16,Cost_Components!$A$2:$A$6,0)),"")</f>
        <v>1</v>
      </c>
      <c r="N16" s="29">
        <f>IFERROR(INDEX(Cost_Components!$P$2:$P$6,MATCH(E16,Cost_Components!$A$2:$A$6,0)),"")</f>
        <v>1.2915840000000001</v>
      </c>
      <c r="O16" s="23">
        <f t="shared" si="8"/>
        <v>36471752.361922197</v>
      </c>
      <c r="P16" s="23">
        <f t="shared" si="0"/>
        <v>36458207.9655362</v>
      </c>
      <c r="Q16" s="23">
        <f t="shared" si="1"/>
        <v>5357149.1253572721</v>
      </c>
      <c r="R16" s="23">
        <f t="shared" si="2"/>
        <v>18300809.90531823</v>
      </c>
      <c r="S16" s="23">
        <f t="shared" si="3"/>
        <v>12943660.779960958</v>
      </c>
      <c r="T16" s="16">
        <f>IFERROR(INDEX(Cost_Components!$R$2:$R$6,MATCH(E16,Cost_Components!$A$2:$A$6,0)),"")</f>
        <v>1</v>
      </c>
      <c r="U16" s="26">
        <f>IFERROR(INDEX(Cost_Components!$Q$2:$Q$6,MATCH(E16,Cost_Components!$A$2:$A$6,0)),"")</f>
        <v>2023</v>
      </c>
      <c r="V16" s="30">
        <f>1/(1+Calculation_Assumptions!$B$5)^(B16-Calculation_Assumptions!$B$2)</f>
        <v>0.66111780581861923</v>
      </c>
      <c r="W16" s="23">
        <f t="shared" si="4"/>
        <v>3541706.675199335</v>
      </c>
      <c r="X16" s="23">
        <f t="shared" si="5"/>
        <v>12098991.289307641</v>
      </c>
      <c r="Y16" s="23">
        <f t="shared" si="6"/>
        <v>8557284.6141083073</v>
      </c>
      <c r="Z16" s="17">
        <f>IFERROR(INDEX(Cost_Components!$T$2:$T$6,MATCH(E16,Cost_Components!$A$2:$A$6,0)),"")</f>
        <v>0.41649999999999998</v>
      </c>
      <c r="AA16" s="26">
        <f>IFERROR(INDEX(Cost_Components!$U$2:$U$6,MATCH(E16,Cost_Components!$A$2:$A$6,0)),"")</f>
        <v>2025</v>
      </c>
      <c r="AB16" s="26">
        <f>IFERROR(INDEX(Cost_Components!$V$2:$V$6,MATCH(E16,Cost_Components!$A$2:$A$6,0)),"")</f>
        <v>2040</v>
      </c>
      <c r="AC16" s="26">
        <f>IFERROR(INDEX(Cost_Components!$M$2:$M$6,MATCH(E16,Cost_Components!$A$2:$A$6,0)),"")</f>
        <v>30</v>
      </c>
      <c r="AD16" s="26">
        <f>IFERROR(INDEX(Cost_Components!$N$2:$N$6,MATCH(E16,Cost_Components!$A$2:$A$6,0)),"")</f>
        <v>95</v>
      </c>
      <c r="AE16" s="16" t="str">
        <f>IFERROR(INDEX(Cost_Components!$O$2:$O$6,MATCH(E16,Cost_Components!$A$2:$A$6,0)),"")</f>
        <v>Both</v>
      </c>
      <c r="AF16" s="11">
        <v>182358761.80961099</v>
      </c>
      <c r="AG16" s="11">
        <v>182291039.82768101</v>
      </c>
      <c r="AH16" s="23">
        <f t="shared" si="7"/>
        <v>1</v>
      </c>
    </row>
    <row r="17" spans="1:34">
      <c r="A17" t="s">
        <v>115</v>
      </c>
      <c r="B17" s="20">
        <v>2040</v>
      </c>
      <c r="C17" t="s">
        <v>204</v>
      </c>
      <c r="E17" s="22" t="s">
        <v>267</v>
      </c>
      <c r="F17" s="22" t="s">
        <v>268</v>
      </c>
      <c r="G17" s="22" t="s">
        <v>213</v>
      </c>
      <c r="H17" s="22" t="s">
        <v>214</v>
      </c>
      <c r="I17" s="22" t="s">
        <v>265</v>
      </c>
      <c r="J17" s="17">
        <f>IFERROR(INDEX(Cost_Components!$K$2:$K$6,MATCH(E17,Cost_Components!$A$2:$A$6,0)),"")</f>
        <v>0.2</v>
      </c>
      <c r="K17" s="31">
        <v>0.41649999999999998</v>
      </c>
      <c r="L17" s="17">
        <f>IFERROR(INDEX(Cost_Components!$S$2:$S$6,MATCH(E17,Cost_Components!$A$2:$A$6,0)),"")</f>
        <v>0.113766857372906</v>
      </c>
      <c r="M17" s="28">
        <f>IFERROR(INDEX(Cost_Components!$L$2:$L$6,MATCH(E17,Cost_Components!$A$2:$A$6,0)),"")</f>
        <v>1</v>
      </c>
      <c r="N17" s="29">
        <f>IFERROR(INDEX(Cost_Components!$P$2:$P$6,MATCH(E17,Cost_Components!$A$2:$A$6,0)),"")</f>
        <v>1.2915840000000001</v>
      </c>
      <c r="O17" s="23">
        <f t="shared" si="8"/>
        <v>36924801.035032801</v>
      </c>
      <c r="P17" s="23">
        <f t="shared" si="0"/>
        <v>36900272.615504406</v>
      </c>
      <c r="Q17" s="23">
        <f t="shared" si="1"/>
        <v>5422105.8630874204</v>
      </c>
      <c r="R17" s="23">
        <f t="shared" si="2"/>
        <v>19863502.344643246</v>
      </c>
      <c r="S17" s="23">
        <f t="shared" si="3"/>
        <v>14441396.481555827</v>
      </c>
      <c r="T17" s="16">
        <f>IFERROR(INDEX(Cost_Components!$R$2:$R$6,MATCH(E17,Cost_Components!$A$2:$A$6,0)),"")</f>
        <v>1</v>
      </c>
      <c r="U17" s="26">
        <f>IFERROR(INDEX(Cost_Components!$Q$2:$Q$6,MATCH(E17,Cost_Components!$A$2:$A$6,0)),"")</f>
        <v>2023</v>
      </c>
      <c r="V17" s="30">
        <f>1/(1+Calculation_Assumptions!$B$5)^(B17-Calculation_Assumptions!$B$2)</f>
        <v>0.64186194739671765</v>
      </c>
      <c r="W17" s="23">
        <f t="shared" si="4"/>
        <v>3480243.4282724522</v>
      </c>
      <c r="X17" s="23">
        <f t="shared" si="5"/>
        <v>12749626.297051981</v>
      </c>
      <c r="Y17" s="23">
        <f t="shared" si="6"/>
        <v>9269382.8687795289</v>
      </c>
      <c r="Z17" s="17">
        <f>IFERROR(INDEX(Cost_Components!$T$2:$T$6,MATCH(E17,Cost_Components!$A$2:$A$6,0)),"")</f>
        <v>0.41649999999999998</v>
      </c>
      <c r="AA17" s="26">
        <f>IFERROR(INDEX(Cost_Components!$U$2:$U$6,MATCH(E17,Cost_Components!$A$2:$A$6,0)),"")</f>
        <v>2025</v>
      </c>
      <c r="AB17" s="26">
        <f>IFERROR(INDEX(Cost_Components!$V$2:$V$6,MATCH(E17,Cost_Components!$A$2:$A$6,0)),"")</f>
        <v>2040</v>
      </c>
      <c r="AC17" s="26">
        <f>IFERROR(INDEX(Cost_Components!$M$2:$M$6,MATCH(E17,Cost_Components!$A$2:$A$6,0)),"")</f>
        <v>30</v>
      </c>
      <c r="AD17" s="26">
        <f>IFERROR(INDEX(Cost_Components!$N$2:$N$6,MATCH(E17,Cost_Components!$A$2:$A$6,0)),"")</f>
        <v>95</v>
      </c>
      <c r="AE17" s="16" t="str">
        <f>IFERROR(INDEX(Cost_Components!$O$2:$O$6,MATCH(E17,Cost_Components!$A$2:$A$6,0)),"")</f>
        <v>Both</v>
      </c>
      <c r="AF17" s="11">
        <v>184624005.17516401</v>
      </c>
      <c r="AG17" s="11">
        <v>184501363.07752201</v>
      </c>
      <c r="AH17" s="23">
        <f t="shared" si="7"/>
        <v>1</v>
      </c>
    </row>
    <row r="18" spans="1:34">
      <c r="A18" t="s">
        <v>115</v>
      </c>
      <c r="B18" s="20">
        <v>2041</v>
      </c>
      <c r="C18" t="s">
        <v>204</v>
      </c>
      <c r="E18" s="22" t="s">
        <v>267</v>
      </c>
      <c r="F18" s="22" t="s">
        <v>268</v>
      </c>
      <c r="G18" s="22" t="s">
        <v>213</v>
      </c>
      <c r="H18" s="22" t="s">
        <v>214</v>
      </c>
      <c r="I18" s="22" t="s">
        <v>265</v>
      </c>
      <c r="J18" s="17">
        <f>IFERROR(INDEX(Cost_Components!$K$2:$K$6,MATCH(E18,Cost_Components!$A$2:$A$6,0)),"")</f>
        <v>0.2</v>
      </c>
      <c r="K18" s="31">
        <v>0.41649999999999998</v>
      </c>
      <c r="L18" s="17">
        <f>IFERROR(INDEX(Cost_Components!$S$2:$S$6,MATCH(E18,Cost_Components!$A$2:$A$6,0)),"")</f>
        <v>0.113766857372906</v>
      </c>
      <c r="M18" s="28">
        <f>IFERROR(INDEX(Cost_Components!$L$2:$L$6,MATCH(E18,Cost_Components!$A$2:$A$6,0)),"")</f>
        <v>1</v>
      </c>
      <c r="N18" s="29">
        <f>IFERROR(INDEX(Cost_Components!$P$2:$P$6,MATCH(E18,Cost_Components!$A$2:$A$6,0)),"")</f>
        <v>1.2915840000000001</v>
      </c>
      <c r="O18" s="23">
        <f t="shared" si="8"/>
        <v>37388660.092968397</v>
      </c>
      <c r="P18" s="23">
        <f t="shared" si="0"/>
        <v>37342238.671658002</v>
      </c>
      <c r="Q18" s="23">
        <f t="shared" si="1"/>
        <v>5487048.1134964097</v>
      </c>
      <c r="R18" s="23">
        <f t="shared" si="2"/>
        <v>20113032.883105621</v>
      </c>
      <c r="S18" s="23">
        <f t="shared" si="3"/>
        <v>14625984.769609211</v>
      </c>
      <c r="T18" s="16">
        <f>IFERROR(INDEX(Cost_Components!$R$2:$R$6,MATCH(E18,Cost_Components!$A$2:$A$6,0)),"")</f>
        <v>1</v>
      </c>
      <c r="U18" s="26">
        <f>IFERROR(INDEX(Cost_Components!$Q$2:$Q$6,MATCH(E18,Cost_Components!$A$2:$A$6,0)),"")</f>
        <v>2023</v>
      </c>
      <c r="V18" s="30">
        <f>1/(1+Calculation_Assumptions!$B$5)^(B18-Calculation_Assumptions!$B$2)</f>
        <v>0.62316693922011435</v>
      </c>
      <c r="W18" s="23">
        <f t="shared" si="4"/>
        <v>3419346.9782410604</v>
      </c>
      <c r="X18" s="23">
        <f t="shared" si="5"/>
        <v>12533777.140198441</v>
      </c>
      <c r="Y18" s="23">
        <f t="shared" si="6"/>
        <v>9114430.1619573813</v>
      </c>
      <c r="Z18" s="17">
        <f>IFERROR(INDEX(Cost_Components!$T$2:$T$6,MATCH(E18,Cost_Components!$A$2:$A$6,0)),"")</f>
        <v>0.41649999999999998</v>
      </c>
      <c r="AA18" s="26">
        <f>IFERROR(INDEX(Cost_Components!$U$2:$U$6,MATCH(E18,Cost_Components!$A$2:$A$6,0)),"")</f>
        <v>2025</v>
      </c>
      <c r="AB18" s="26">
        <f>IFERROR(INDEX(Cost_Components!$V$2:$V$6,MATCH(E18,Cost_Components!$A$2:$A$6,0)),"")</f>
        <v>2040</v>
      </c>
      <c r="AC18" s="26">
        <f>IFERROR(INDEX(Cost_Components!$M$2:$M$6,MATCH(E18,Cost_Components!$A$2:$A$6,0)),"")</f>
        <v>30</v>
      </c>
      <c r="AD18" s="26">
        <f>IFERROR(INDEX(Cost_Components!$N$2:$N$6,MATCH(E18,Cost_Components!$A$2:$A$6,0)),"")</f>
        <v>95</v>
      </c>
      <c r="AE18" s="16" t="str">
        <f>IFERROR(INDEX(Cost_Components!$O$2:$O$6,MATCH(E18,Cost_Components!$A$2:$A$6,0)),"")</f>
        <v>Both</v>
      </c>
      <c r="AF18" s="11">
        <v>186943300.46484199</v>
      </c>
      <c r="AG18" s="11">
        <v>186711193.35828999</v>
      </c>
      <c r="AH18" s="23">
        <f t="shared" si="7"/>
        <v>1</v>
      </c>
    </row>
    <row r="19" spans="1:34">
      <c r="A19" t="s">
        <v>115</v>
      </c>
      <c r="B19" s="20">
        <v>2042</v>
      </c>
      <c r="C19" t="s">
        <v>204</v>
      </c>
      <c r="E19" s="22" t="s">
        <v>267</v>
      </c>
      <c r="F19" s="22" t="s">
        <v>268</v>
      </c>
      <c r="G19" s="22" t="s">
        <v>213</v>
      </c>
      <c r="H19" s="22" t="s">
        <v>214</v>
      </c>
      <c r="I19" s="22" t="s">
        <v>265</v>
      </c>
      <c r="J19" s="17">
        <f>IFERROR(INDEX(Cost_Components!$K$2:$K$6,MATCH(E19,Cost_Components!$A$2:$A$6,0)),"")</f>
        <v>0.2</v>
      </c>
      <c r="K19" s="31">
        <v>0.41649999999999998</v>
      </c>
      <c r="L19" s="17">
        <f>IFERROR(INDEX(Cost_Components!$S$2:$S$6,MATCH(E19,Cost_Components!$A$2:$A$6,0)),"")</f>
        <v>0.113766857372906</v>
      </c>
      <c r="M19" s="28">
        <f>IFERROR(INDEX(Cost_Components!$L$2:$L$6,MATCH(E19,Cost_Components!$A$2:$A$6,0)),"")</f>
        <v>1</v>
      </c>
      <c r="N19" s="29">
        <f>IFERROR(INDEX(Cost_Components!$P$2:$P$6,MATCH(E19,Cost_Components!$A$2:$A$6,0)),"")</f>
        <v>1.2915840000000001</v>
      </c>
      <c r="O19" s="23">
        <f t="shared" si="8"/>
        <v>37858367.486206405</v>
      </c>
      <c r="P19" s="23">
        <f t="shared" si="0"/>
        <v>37798906.559352204</v>
      </c>
      <c r="Q19" s="23">
        <f t="shared" si="1"/>
        <v>5554150.6429858552</v>
      </c>
      <c r="R19" s="23">
        <f t="shared" si="2"/>
        <v>20365709.502758287</v>
      </c>
      <c r="S19" s="23">
        <f t="shared" si="3"/>
        <v>14811558.859772433</v>
      </c>
      <c r="T19" s="16">
        <f>IFERROR(INDEX(Cost_Components!$R$2:$R$6,MATCH(E19,Cost_Components!$A$2:$A$6,0)),"")</f>
        <v>1</v>
      </c>
      <c r="U19" s="26">
        <f>IFERROR(INDEX(Cost_Components!$Q$2:$Q$6,MATCH(E19,Cost_Components!$A$2:$A$6,0)),"")</f>
        <v>2023</v>
      </c>
      <c r="V19" s="30">
        <f>1/(1+Calculation_Assumptions!$B$5)^(B19-Calculation_Assumptions!$B$2)</f>
        <v>0.60501644584477121</v>
      </c>
      <c r="W19" s="23">
        <f t="shared" si="4"/>
        <v>3360352.4817057527</v>
      </c>
      <c r="X19" s="23">
        <f t="shared" si="5"/>
        <v>12321589.180465901</v>
      </c>
      <c r="Y19" s="23">
        <f t="shared" si="6"/>
        <v>8961236.69876015</v>
      </c>
      <c r="Z19" s="17">
        <f>IFERROR(INDEX(Cost_Components!$T$2:$T$6,MATCH(E19,Cost_Components!$A$2:$A$6,0)),"")</f>
        <v>0.41649999999999998</v>
      </c>
      <c r="AA19" s="26">
        <f>IFERROR(INDEX(Cost_Components!$U$2:$U$6,MATCH(E19,Cost_Components!$A$2:$A$6,0)),"")</f>
        <v>2025</v>
      </c>
      <c r="AB19" s="26">
        <f>IFERROR(INDEX(Cost_Components!$V$2:$V$6,MATCH(E19,Cost_Components!$A$2:$A$6,0)),"")</f>
        <v>2040</v>
      </c>
      <c r="AC19" s="26">
        <f>IFERROR(INDEX(Cost_Components!$M$2:$M$6,MATCH(E19,Cost_Components!$A$2:$A$6,0)),"")</f>
        <v>30</v>
      </c>
      <c r="AD19" s="26">
        <f>IFERROR(INDEX(Cost_Components!$N$2:$N$6,MATCH(E19,Cost_Components!$A$2:$A$6,0)),"")</f>
        <v>95</v>
      </c>
      <c r="AE19" s="16" t="str">
        <f>IFERROR(INDEX(Cost_Components!$O$2:$O$6,MATCH(E19,Cost_Components!$A$2:$A$6,0)),"")</f>
        <v>Both</v>
      </c>
      <c r="AF19" s="11">
        <v>189291837.431032</v>
      </c>
      <c r="AG19" s="11">
        <v>188994532.79676101</v>
      </c>
      <c r="AH19" s="23">
        <f t="shared" si="7"/>
        <v>1</v>
      </c>
    </row>
    <row r="20" spans="1:34">
      <c r="A20" t="s">
        <v>115</v>
      </c>
      <c r="B20" s="20">
        <v>2043</v>
      </c>
      <c r="C20" t="s">
        <v>204</v>
      </c>
      <c r="E20" s="22" t="s">
        <v>267</v>
      </c>
      <c r="F20" s="22" t="s">
        <v>268</v>
      </c>
      <c r="G20" s="22" t="s">
        <v>213</v>
      </c>
      <c r="H20" s="22" t="s">
        <v>214</v>
      </c>
      <c r="I20" s="22" t="s">
        <v>265</v>
      </c>
      <c r="J20" s="17">
        <f>IFERROR(INDEX(Cost_Components!$K$2:$K$6,MATCH(E20,Cost_Components!$A$2:$A$6,0)),"")</f>
        <v>0.2</v>
      </c>
      <c r="K20" s="31">
        <v>0.41649999999999998</v>
      </c>
      <c r="L20" s="17">
        <f>IFERROR(INDEX(Cost_Components!$S$2:$S$6,MATCH(E20,Cost_Components!$A$2:$A$6,0)),"")</f>
        <v>0.113766857372906</v>
      </c>
      <c r="M20" s="28">
        <f>IFERROR(INDEX(Cost_Components!$L$2:$L$6,MATCH(E20,Cost_Components!$A$2:$A$6,0)),"")</f>
        <v>1</v>
      </c>
      <c r="N20" s="29">
        <f>IFERROR(INDEX(Cost_Components!$P$2:$P$6,MATCH(E20,Cost_Components!$A$2:$A$6,0)),"")</f>
        <v>1.2915840000000001</v>
      </c>
      <c r="O20" s="23">
        <f t="shared" si="8"/>
        <v>38308711.697706804</v>
      </c>
      <c r="P20" s="23">
        <f t="shared" si="0"/>
        <v>38242826.185617402</v>
      </c>
      <c r="Q20" s="23">
        <f t="shared" si="1"/>
        <v>5619379.9499178799</v>
      </c>
      <c r="R20" s="23">
        <f t="shared" si="2"/>
        <v>20607969.800722998</v>
      </c>
      <c r="S20" s="23">
        <f t="shared" si="3"/>
        <v>14988589.850805119</v>
      </c>
      <c r="T20" s="16">
        <f>IFERROR(INDEX(Cost_Components!$R$2:$R$6,MATCH(E20,Cost_Components!$A$2:$A$6,0)),"")</f>
        <v>1</v>
      </c>
      <c r="U20" s="26">
        <f>IFERROR(INDEX(Cost_Components!$Q$2:$Q$6,MATCH(E20,Cost_Components!$A$2:$A$6,0)),"")</f>
        <v>2023</v>
      </c>
      <c r="V20" s="30">
        <f>1/(1+Calculation_Assumptions!$B$5)^(B20-Calculation_Assumptions!$B$2)</f>
        <v>0.5873946076162827</v>
      </c>
      <c r="W20" s="23">
        <f t="shared" si="4"/>
        <v>3300793.4807288195</v>
      </c>
      <c r="X20" s="23">
        <f t="shared" si="5"/>
        <v>12105010.334863888</v>
      </c>
      <c r="Y20" s="23">
        <f t="shared" si="6"/>
        <v>8804216.85413507</v>
      </c>
      <c r="Z20" s="17">
        <f>IFERROR(INDEX(Cost_Components!$T$2:$T$6,MATCH(E20,Cost_Components!$A$2:$A$6,0)),"")</f>
        <v>0.41649999999999998</v>
      </c>
      <c r="AA20" s="26">
        <f>IFERROR(INDEX(Cost_Components!$U$2:$U$6,MATCH(E20,Cost_Components!$A$2:$A$6,0)),"")</f>
        <v>2025</v>
      </c>
      <c r="AB20" s="26">
        <f>IFERROR(INDEX(Cost_Components!$V$2:$V$6,MATCH(E20,Cost_Components!$A$2:$A$6,0)),"")</f>
        <v>2040</v>
      </c>
      <c r="AC20" s="26">
        <f>IFERROR(INDEX(Cost_Components!$M$2:$M$6,MATCH(E20,Cost_Components!$A$2:$A$6,0)),"")</f>
        <v>30</v>
      </c>
      <c r="AD20" s="26">
        <f>IFERROR(INDEX(Cost_Components!$N$2:$N$6,MATCH(E20,Cost_Components!$A$2:$A$6,0)),"")</f>
        <v>95</v>
      </c>
      <c r="AE20" s="16" t="str">
        <f>IFERROR(INDEX(Cost_Components!$O$2:$O$6,MATCH(E20,Cost_Components!$A$2:$A$6,0)),"")</f>
        <v>Both</v>
      </c>
      <c r="AF20" s="11">
        <v>191543558.488534</v>
      </c>
      <c r="AG20" s="11">
        <v>191214130.928087</v>
      </c>
      <c r="AH20" s="23">
        <f t="shared" si="7"/>
        <v>1</v>
      </c>
    </row>
    <row r="21" spans="1:34">
      <c r="A21" t="s">
        <v>115</v>
      </c>
      <c r="B21" s="20">
        <v>2044</v>
      </c>
      <c r="C21" t="s">
        <v>204</v>
      </c>
      <c r="E21" s="22" t="s">
        <v>267</v>
      </c>
      <c r="F21" s="22" t="s">
        <v>268</v>
      </c>
      <c r="G21" s="22" t="s">
        <v>213</v>
      </c>
      <c r="H21" s="22" t="s">
        <v>214</v>
      </c>
      <c r="I21" s="22" t="s">
        <v>265</v>
      </c>
      <c r="J21" s="17">
        <f>IFERROR(INDEX(Cost_Components!$K$2:$K$6,MATCH(E21,Cost_Components!$A$2:$A$6,0)),"")</f>
        <v>0.2</v>
      </c>
      <c r="K21" s="31">
        <v>0.41649999999999998</v>
      </c>
      <c r="L21" s="17">
        <f>IFERROR(INDEX(Cost_Components!$S$2:$S$6,MATCH(E21,Cost_Components!$A$2:$A$6,0)),"")</f>
        <v>0.113766857372906</v>
      </c>
      <c r="M21" s="28">
        <f>IFERROR(INDEX(Cost_Components!$L$2:$L$6,MATCH(E21,Cost_Components!$A$2:$A$6,0)),"")</f>
        <v>1</v>
      </c>
      <c r="N21" s="29">
        <f>IFERROR(INDEX(Cost_Components!$P$2:$P$6,MATCH(E21,Cost_Components!$A$2:$A$6,0)),"")</f>
        <v>1.2915840000000001</v>
      </c>
      <c r="O21" s="23">
        <f t="shared" si="8"/>
        <v>38729880.335841201</v>
      </c>
      <c r="P21" s="23">
        <f t="shared" si="0"/>
        <v>38651237.703570403</v>
      </c>
      <c r="Q21" s="23">
        <f t="shared" si="1"/>
        <v>5679391.7148476308</v>
      </c>
      <c r="R21" s="23">
        <f t="shared" si="2"/>
        <v>20834535.252575684</v>
      </c>
      <c r="S21" s="23">
        <f t="shared" si="3"/>
        <v>15155143.537728053</v>
      </c>
      <c r="T21" s="16">
        <f>IFERROR(INDEX(Cost_Components!$R$2:$R$6,MATCH(E21,Cost_Components!$A$2:$A$6,0)),"")</f>
        <v>1</v>
      </c>
      <c r="U21" s="26">
        <f>IFERROR(INDEX(Cost_Components!$Q$2:$Q$6,MATCH(E21,Cost_Components!$A$2:$A$6,0)),"")</f>
        <v>2023</v>
      </c>
      <c r="V21" s="30">
        <f>1/(1+Calculation_Assumptions!$B$5)^(B21-Calculation_Assumptions!$B$2)</f>
        <v>0.57028602681192497</v>
      </c>
      <c r="W21" s="23">
        <f t="shared" si="4"/>
        <v>3238877.7357690204</v>
      </c>
      <c r="X21" s="23">
        <f t="shared" si="5"/>
        <v>11881644.329664372</v>
      </c>
      <c r="Y21" s="23">
        <f t="shared" si="6"/>
        <v>8642766.5938953515</v>
      </c>
      <c r="Z21" s="17">
        <f>IFERROR(INDEX(Cost_Components!$T$2:$T$6,MATCH(E21,Cost_Components!$A$2:$A$6,0)),"")</f>
        <v>0.41649999999999998</v>
      </c>
      <c r="AA21" s="26">
        <f>IFERROR(INDEX(Cost_Components!$U$2:$U$6,MATCH(E21,Cost_Components!$A$2:$A$6,0)),"")</f>
        <v>2025</v>
      </c>
      <c r="AB21" s="26">
        <f>IFERROR(INDEX(Cost_Components!$V$2:$V$6,MATCH(E21,Cost_Components!$A$2:$A$6,0)),"")</f>
        <v>2040</v>
      </c>
      <c r="AC21" s="26">
        <f>IFERROR(INDEX(Cost_Components!$M$2:$M$6,MATCH(E21,Cost_Components!$A$2:$A$6,0)),"")</f>
        <v>30</v>
      </c>
      <c r="AD21" s="26">
        <f>IFERROR(INDEX(Cost_Components!$N$2:$N$6,MATCH(E21,Cost_Components!$A$2:$A$6,0)),"")</f>
        <v>95</v>
      </c>
      <c r="AE21" s="16" t="str">
        <f>IFERROR(INDEX(Cost_Components!$O$2:$O$6,MATCH(E21,Cost_Components!$A$2:$A$6,0)),"")</f>
        <v>Both</v>
      </c>
      <c r="AF21" s="11">
        <v>193649401.67920601</v>
      </c>
      <c r="AG21" s="11">
        <v>193256188.51785201</v>
      </c>
      <c r="AH21" s="23">
        <f t="shared" si="7"/>
        <v>1</v>
      </c>
    </row>
    <row r="22" spans="1:34">
      <c r="A22" t="s">
        <v>115</v>
      </c>
      <c r="B22" s="20">
        <v>2045</v>
      </c>
      <c r="C22" t="s">
        <v>204</v>
      </c>
      <c r="E22" s="22" t="s">
        <v>267</v>
      </c>
      <c r="F22" s="22" t="s">
        <v>268</v>
      </c>
      <c r="G22" s="22" t="s">
        <v>213</v>
      </c>
      <c r="H22" s="22" t="s">
        <v>214</v>
      </c>
      <c r="I22" s="22" t="s">
        <v>265</v>
      </c>
      <c r="J22" s="17">
        <f>IFERROR(INDEX(Cost_Components!$K$2:$K$6,MATCH(E22,Cost_Components!$A$2:$A$6,0)),"")</f>
        <v>0.2</v>
      </c>
      <c r="K22" s="31">
        <v>0.41649999999999998</v>
      </c>
      <c r="L22" s="17">
        <f>IFERROR(INDEX(Cost_Components!$S$2:$S$6,MATCH(E22,Cost_Components!$A$2:$A$6,0)),"")</f>
        <v>0.113766857372906</v>
      </c>
      <c r="M22" s="28">
        <f>IFERROR(INDEX(Cost_Components!$L$2:$L$6,MATCH(E22,Cost_Components!$A$2:$A$6,0)),"")</f>
        <v>1</v>
      </c>
      <c r="N22" s="29">
        <f>IFERROR(INDEX(Cost_Components!$P$2:$P$6,MATCH(E22,Cost_Components!$A$2:$A$6,0)),"")</f>
        <v>1.2915840000000001</v>
      </c>
      <c r="O22" s="23">
        <f t="shared" si="8"/>
        <v>39125566.926203802</v>
      </c>
      <c r="P22" s="23">
        <f t="shared" si="0"/>
        <v>39033903.306224801</v>
      </c>
      <c r="Q22" s="23">
        <f t="shared" si="1"/>
        <v>5735620.3890738077</v>
      </c>
      <c r="R22" s="23">
        <f t="shared" si="2"/>
        <v>21047392.770967036</v>
      </c>
      <c r="S22" s="23">
        <f t="shared" si="3"/>
        <v>15311772.381893229</v>
      </c>
      <c r="T22" s="16">
        <f>IFERROR(INDEX(Cost_Components!$R$2:$R$6,MATCH(E22,Cost_Components!$A$2:$A$6,0)),"")</f>
        <v>1</v>
      </c>
      <c r="U22" s="26">
        <f>IFERROR(INDEX(Cost_Components!$Q$2:$Q$6,MATCH(E22,Cost_Components!$A$2:$A$6,0)),"")</f>
        <v>2023</v>
      </c>
      <c r="V22" s="30">
        <f>1/(1+Calculation_Assumptions!$B$5)^(B22-Calculation_Assumptions!$B$2)</f>
        <v>0.55367575418633497</v>
      </c>
      <c r="W22" s="23">
        <f t="shared" si="4"/>
        <v>3175673.9446469606</v>
      </c>
      <c r="X22" s="23">
        <f t="shared" si="5"/>
        <v>11653431.066121189</v>
      </c>
      <c r="Y22" s="23">
        <f t="shared" si="6"/>
        <v>8477757.1214742288</v>
      </c>
      <c r="Z22" s="17">
        <f>IFERROR(INDEX(Cost_Components!$T$2:$T$6,MATCH(E22,Cost_Components!$A$2:$A$6,0)),"")</f>
        <v>0.41649999999999998</v>
      </c>
      <c r="AA22" s="26">
        <f>IFERROR(INDEX(Cost_Components!$U$2:$U$6,MATCH(E22,Cost_Components!$A$2:$A$6,0)),"")</f>
        <v>2025</v>
      </c>
      <c r="AB22" s="26">
        <f>IFERROR(INDEX(Cost_Components!$V$2:$V$6,MATCH(E22,Cost_Components!$A$2:$A$6,0)),"")</f>
        <v>2040</v>
      </c>
      <c r="AC22" s="26">
        <f>IFERROR(INDEX(Cost_Components!$M$2:$M$6,MATCH(E22,Cost_Components!$A$2:$A$6,0)),"")</f>
        <v>30</v>
      </c>
      <c r="AD22" s="26">
        <f>IFERROR(INDEX(Cost_Components!$N$2:$N$6,MATCH(E22,Cost_Components!$A$2:$A$6,0)),"")</f>
        <v>95</v>
      </c>
      <c r="AE22" s="16" t="str">
        <f>IFERROR(INDEX(Cost_Components!$O$2:$O$6,MATCH(E22,Cost_Components!$A$2:$A$6,0)),"")</f>
        <v>Both</v>
      </c>
      <c r="AF22" s="11">
        <v>195627834.631019</v>
      </c>
      <c r="AG22" s="11">
        <v>195169516.531124</v>
      </c>
      <c r="AH22" s="23">
        <f t="shared" si="7"/>
        <v>1</v>
      </c>
    </row>
    <row r="23" spans="1:34">
      <c r="A23" t="s">
        <v>115</v>
      </c>
      <c r="B23" s="20">
        <v>2046</v>
      </c>
      <c r="C23" t="s">
        <v>204</v>
      </c>
      <c r="E23" s="22" t="s">
        <v>267</v>
      </c>
      <c r="F23" s="22" t="s">
        <v>268</v>
      </c>
      <c r="G23" s="22" t="s">
        <v>213</v>
      </c>
      <c r="H23" s="22" t="s">
        <v>214</v>
      </c>
      <c r="I23" s="22" t="s">
        <v>265</v>
      </c>
      <c r="J23" s="17">
        <f>IFERROR(INDEX(Cost_Components!$K$2:$K$6,MATCH(E23,Cost_Components!$A$2:$A$6,0)),"")</f>
        <v>0.2</v>
      </c>
      <c r="K23" s="31">
        <v>0.41649999999999998</v>
      </c>
      <c r="L23" s="17">
        <f>IFERROR(INDEX(Cost_Components!$S$2:$S$6,MATCH(E23,Cost_Components!$A$2:$A$6,0)),"")</f>
        <v>0.113766857372906</v>
      </c>
      <c r="M23" s="28">
        <f>IFERROR(INDEX(Cost_Components!$L$2:$L$6,MATCH(E23,Cost_Components!$A$2:$A$6,0)),"")</f>
        <v>1</v>
      </c>
      <c r="N23" s="29">
        <f>IFERROR(INDEX(Cost_Components!$P$2:$P$6,MATCH(E23,Cost_Components!$A$2:$A$6,0)),"")</f>
        <v>1.2915840000000001</v>
      </c>
      <c r="O23" s="23">
        <f t="shared" si="8"/>
        <v>39497052.975579202</v>
      </c>
      <c r="P23" s="23">
        <f t="shared" si="0"/>
        <v>39380708.465043403</v>
      </c>
      <c r="Q23" s="23">
        <f t="shared" si="1"/>
        <v>5786579.7493087025</v>
      </c>
      <c r="R23" s="23">
        <f t="shared" si="2"/>
        <v>21247231.735725969</v>
      </c>
      <c r="S23" s="23">
        <f t="shared" si="3"/>
        <v>15460651.986417267</v>
      </c>
      <c r="T23" s="16">
        <f>IFERROR(INDEX(Cost_Components!$R$2:$R$6,MATCH(E23,Cost_Components!$A$2:$A$6,0)),"")</f>
        <v>1</v>
      </c>
      <c r="U23" s="26">
        <f>IFERROR(INDEX(Cost_Components!$Q$2:$Q$6,MATCH(E23,Cost_Components!$A$2:$A$6,0)),"")</f>
        <v>2023</v>
      </c>
      <c r="V23" s="30">
        <f>1/(1+Calculation_Assumptions!$B$5)^(B23-Calculation_Assumptions!$B$2)</f>
        <v>0.5375492759090631</v>
      </c>
      <c r="W23" s="23">
        <f t="shared" si="4"/>
        <v>3110571.7542309407</v>
      </c>
      <c r="X23" s="23">
        <f t="shared" si="5"/>
        <v>11421434.03461156</v>
      </c>
      <c r="Y23" s="23">
        <f t="shared" si="6"/>
        <v>8310862.2803806197</v>
      </c>
      <c r="Z23" s="17">
        <f>IFERROR(INDEX(Cost_Components!$T$2:$T$6,MATCH(E23,Cost_Components!$A$2:$A$6,0)),"")</f>
        <v>0.41649999999999998</v>
      </c>
      <c r="AA23" s="26">
        <f>IFERROR(INDEX(Cost_Components!$U$2:$U$6,MATCH(E23,Cost_Components!$A$2:$A$6,0)),"")</f>
        <v>2025</v>
      </c>
      <c r="AB23" s="26">
        <f>IFERROR(INDEX(Cost_Components!$V$2:$V$6,MATCH(E23,Cost_Components!$A$2:$A$6,0)),"")</f>
        <v>2040</v>
      </c>
      <c r="AC23" s="26">
        <f>IFERROR(INDEX(Cost_Components!$M$2:$M$6,MATCH(E23,Cost_Components!$A$2:$A$6,0)),"")</f>
        <v>30</v>
      </c>
      <c r="AD23" s="26">
        <f>IFERROR(INDEX(Cost_Components!$N$2:$N$6,MATCH(E23,Cost_Components!$A$2:$A$6,0)),"")</f>
        <v>95</v>
      </c>
      <c r="AE23" s="16" t="str">
        <f>IFERROR(INDEX(Cost_Components!$O$2:$O$6,MATCH(E23,Cost_Components!$A$2:$A$6,0)),"")</f>
        <v>Both</v>
      </c>
      <c r="AF23" s="11">
        <v>197485264.87789601</v>
      </c>
      <c r="AG23" s="11">
        <v>196903542.32521701</v>
      </c>
      <c r="AH23" s="23">
        <f t="shared" si="7"/>
        <v>1</v>
      </c>
    </row>
    <row r="24" spans="1:34">
      <c r="A24" t="s">
        <v>115</v>
      </c>
      <c r="B24" s="20">
        <v>2047</v>
      </c>
      <c r="C24" t="s">
        <v>204</v>
      </c>
      <c r="E24" s="22" t="s">
        <v>267</v>
      </c>
      <c r="F24" s="22" t="s">
        <v>268</v>
      </c>
      <c r="G24" s="22" t="s">
        <v>213</v>
      </c>
      <c r="H24" s="22" t="s">
        <v>214</v>
      </c>
      <c r="I24" s="22" t="s">
        <v>265</v>
      </c>
      <c r="J24" s="17">
        <f>IFERROR(INDEX(Cost_Components!$K$2:$K$6,MATCH(E24,Cost_Components!$A$2:$A$6,0)),"")</f>
        <v>0.2</v>
      </c>
      <c r="K24" s="31">
        <v>0.41649999999999998</v>
      </c>
      <c r="L24" s="17">
        <f>IFERROR(INDEX(Cost_Components!$S$2:$S$6,MATCH(E24,Cost_Components!$A$2:$A$6,0)),"")</f>
        <v>0.113766857372906</v>
      </c>
      <c r="M24" s="28">
        <f>IFERROR(INDEX(Cost_Components!$L$2:$L$6,MATCH(E24,Cost_Components!$A$2:$A$6,0)),"")</f>
        <v>1</v>
      </c>
      <c r="N24" s="29">
        <f>IFERROR(INDEX(Cost_Components!$P$2:$P$6,MATCH(E24,Cost_Components!$A$2:$A$6,0)),"")</f>
        <v>1.2915840000000001</v>
      </c>
      <c r="O24" s="23">
        <f t="shared" si="8"/>
        <v>39809349.352426603</v>
      </c>
      <c r="P24" s="23">
        <f t="shared" si="0"/>
        <v>39679078.6957184</v>
      </c>
      <c r="Q24" s="23">
        <f t="shared" si="1"/>
        <v>5830422.1077099759</v>
      </c>
      <c r="R24" s="23">
        <f t="shared" si="2"/>
        <v>21415229.927722901</v>
      </c>
      <c r="S24" s="23">
        <f t="shared" si="3"/>
        <v>15584807.820012925</v>
      </c>
      <c r="T24" s="16">
        <f>IFERROR(INDEX(Cost_Components!$R$2:$R$6,MATCH(E24,Cost_Components!$A$2:$A$6,0)),"")</f>
        <v>1</v>
      </c>
      <c r="U24" s="26">
        <f>IFERROR(INDEX(Cost_Components!$Q$2:$Q$6,MATCH(E24,Cost_Components!$A$2:$A$6,0)),"")</f>
        <v>2023</v>
      </c>
      <c r="V24" s="30">
        <f>1/(1+Calculation_Assumptions!$B$5)^(B24-Calculation_Assumptions!$B$2)</f>
        <v>0.52189250088258554</v>
      </c>
      <c r="W24" s="23">
        <f t="shared" si="4"/>
        <v>3042853.5749938749</v>
      </c>
      <c r="X24" s="23">
        <f t="shared" si="5"/>
        <v>11176447.903954897</v>
      </c>
      <c r="Y24" s="23">
        <f t="shared" si="6"/>
        <v>8133594.3289610213</v>
      </c>
      <c r="Z24" s="17">
        <f>IFERROR(INDEX(Cost_Components!$T$2:$T$6,MATCH(E24,Cost_Components!$A$2:$A$6,0)),"")</f>
        <v>0.41649999999999998</v>
      </c>
      <c r="AA24" s="26">
        <f>IFERROR(INDEX(Cost_Components!$U$2:$U$6,MATCH(E24,Cost_Components!$A$2:$A$6,0)),"")</f>
        <v>2025</v>
      </c>
      <c r="AB24" s="26">
        <f>IFERROR(INDEX(Cost_Components!$V$2:$V$6,MATCH(E24,Cost_Components!$A$2:$A$6,0)),"")</f>
        <v>2040</v>
      </c>
      <c r="AC24" s="26">
        <f>IFERROR(INDEX(Cost_Components!$M$2:$M$6,MATCH(E24,Cost_Components!$A$2:$A$6,0)),"")</f>
        <v>30</v>
      </c>
      <c r="AD24" s="26">
        <f>IFERROR(INDEX(Cost_Components!$N$2:$N$6,MATCH(E24,Cost_Components!$A$2:$A$6,0)),"")</f>
        <v>95</v>
      </c>
      <c r="AE24" s="16" t="str">
        <f>IFERROR(INDEX(Cost_Components!$O$2:$O$6,MATCH(E24,Cost_Components!$A$2:$A$6,0)),"")</f>
        <v>Both</v>
      </c>
      <c r="AF24" s="11">
        <v>199046746.762133</v>
      </c>
      <c r="AG24" s="11">
        <v>198395393.47859201</v>
      </c>
      <c r="AH24" s="23">
        <f t="shared" si="7"/>
        <v>1</v>
      </c>
    </row>
    <row r="25" spans="1:34">
      <c r="A25" t="s">
        <v>115</v>
      </c>
      <c r="B25" s="20">
        <v>2048</v>
      </c>
      <c r="C25" t="s">
        <v>204</v>
      </c>
      <c r="E25" s="22" t="s">
        <v>267</v>
      </c>
      <c r="F25" s="22" t="s">
        <v>268</v>
      </c>
      <c r="G25" s="22" t="s">
        <v>213</v>
      </c>
      <c r="H25" s="22" t="s">
        <v>214</v>
      </c>
      <c r="I25" s="22" t="s">
        <v>265</v>
      </c>
      <c r="J25" s="17">
        <f>IFERROR(INDEX(Cost_Components!$K$2:$K$6,MATCH(E25,Cost_Components!$A$2:$A$6,0)),"")</f>
        <v>0.2</v>
      </c>
      <c r="K25" s="31">
        <v>0.41649999999999998</v>
      </c>
      <c r="L25" s="17">
        <f>IFERROR(INDEX(Cost_Components!$S$2:$S$6,MATCH(E25,Cost_Components!$A$2:$A$6,0)),"")</f>
        <v>0.113766857372906</v>
      </c>
      <c r="M25" s="28">
        <f>IFERROR(INDEX(Cost_Components!$L$2:$L$6,MATCH(E25,Cost_Components!$A$2:$A$6,0)),"")</f>
        <v>1</v>
      </c>
      <c r="N25" s="29">
        <f>IFERROR(INDEX(Cost_Components!$P$2:$P$6,MATCH(E25,Cost_Components!$A$2:$A$6,0)),"")</f>
        <v>1.2915840000000001</v>
      </c>
      <c r="O25" s="23">
        <f t="shared" si="8"/>
        <v>40096782.5948852</v>
      </c>
      <c r="P25" s="23">
        <f t="shared" si="0"/>
        <v>39952492.424706601</v>
      </c>
      <c r="Q25" s="23">
        <f t="shared" si="1"/>
        <v>5870597.3714117566</v>
      </c>
      <c r="R25" s="23">
        <f t="shared" si="2"/>
        <v>21569853.127454914</v>
      </c>
      <c r="S25" s="23">
        <f t="shared" si="3"/>
        <v>15699255.756043158</v>
      </c>
      <c r="T25" s="16">
        <f>IFERROR(INDEX(Cost_Components!$R$2:$R$6,MATCH(E25,Cost_Components!$A$2:$A$6,0)),"")</f>
        <v>1</v>
      </c>
      <c r="U25" s="26">
        <f>IFERROR(INDEX(Cost_Components!$Q$2:$Q$6,MATCH(E25,Cost_Components!$A$2:$A$6,0)),"")</f>
        <v>2023</v>
      </c>
      <c r="V25" s="30">
        <f>1/(1+Calculation_Assumptions!$B$5)^(B25-Calculation_Assumptions!$B$2)</f>
        <v>0.50669174842969467</v>
      </c>
      <c r="W25" s="23">
        <f t="shared" si="4"/>
        <v>2974583.2464473927</v>
      </c>
      <c r="X25" s="23">
        <f t="shared" si="5"/>
        <v>10929266.594521848</v>
      </c>
      <c r="Y25" s="23">
        <f t="shared" si="6"/>
        <v>7954683.3480744557</v>
      </c>
      <c r="Z25" s="17">
        <f>IFERROR(INDEX(Cost_Components!$T$2:$T$6,MATCH(E25,Cost_Components!$A$2:$A$6,0)),"")</f>
        <v>0.41649999999999998</v>
      </c>
      <c r="AA25" s="26">
        <f>IFERROR(INDEX(Cost_Components!$U$2:$U$6,MATCH(E25,Cost_Components!$A$2:$A$6,0)),"")</f>
        <v>2025</v>
      </c>
      <c r="AB25" s="26">
        <f>IFERROR(INDEX(Cost_Components!$V$2:$V$6,MATCH(E25,Cost_Components!$A$2:$A$6,0)),"")</f>
        <v>2040</v>
      </c>
      <c r="AC25" s="26">
        <f>IFERROR(INDEX(Cost_Components!$M$2:$M$6,MATCH(E25,Cost_Components!$A$2:$A$6,0)),"")</f>
        <v>30</v>
      </c>
      <c r="AD25" s="26">
        <f>IFERROR(INDEX(Cost_Components!$N$2:$N$6,MATCH(E25,Cost_Components!$A$2:$A$6,0)),"")</f>
        <v>95</v>
      </c>
      <c r="AE25" s="16" t="str">
        <f>IFERROR(INDEX(Cost_Components!$O$2:$O$6,MATCH(E25,Cost_Components!$A$2:$A$6,0)),"")</f>
        <v>Both</v>
      </c>
      <c r="AF25" s="11">
        <v>200483912.974426</v>
      </c>
      <c r="AG25" s="11">
        <v>199762462.12353301</v>
      </c>
      <c r="AH25" s="23">
        <f t="shared" si="7"/>
        <v>1</v>
      </c>
    </row>
    <row r="26" spans="1:34">
      <c r="A26" t="s">
        <v>115</v>
      </c>
      <c r="B26" s="20">
        <v>2049</v>
      </c>
      <c r="C26" t="s">
        <v>204</v>
      </c>
      <c r="E26" s="22" t="s">
        <v>267</v>
      </c>
      <c r="F26" s="22" t="s">
        <v>268</v>
      </c>
      <c r="G26" s="22" t="s">
        <v>213</v>
      </c>
      <c r="H26" s="22" t="s">
        <v>214</v>
      </c>
      <c r="I26" s="22" t="s">
        <v>265</v>
      </c>
      <c r="J26" s="17">
        <f>IFERROR(INDEX(Cost_Components!$K$2:$K$6,MATCH(E26,Cost_Components!$A$2:$A$6,0)),"")</f>
        <v>0.2</v>
      </c>
      <c r="K26" s="31">
        <v>0.41649999999999998</v>
      </c>
      <c r="L26" s="17">
        <f>IFERROR(INDEX(Cost_Components!$S$2:$S$6,MATCH(E26,Cost_Components!$A$2:$A$6,0)),"")</f>
        <v>0.113766857372906</v>
      </c>
      <c r="M26" s="28">
        <f>IFERROR(INDEX(Cost_Components!$L$2:$L$6,MATCH(E26,Cost_Components!$A$2:$A$6,0)),"")</f>
        <v>1</v>
      </c>
      <c r="N26" s="29">
        <f>IFERROR(INDEX(Cost_Components!$P$2:$P$6,MATCH(E26,Cost_Components!$A$2:$A$6,0)),"")</f>
        <v>1.2915840000000001</v>
      </c>
      <c r="O26" s="23">
        <f t="shared" si="8"/>
        <v>40365523.519347005</v>
      </c>
      <c r="P26" s="23">
        <f t="shared" si="0"/>
        <v>40207213.103126399</v>
      </c>
      <c r="Q26" s="23">
        <f t="shared" si="1"/>
        <v>5908025.8884934792</v>
      </c>
      <c r="R26" s="23">
        <f t="shared" si="2"/>
        <v>21714420.893116917</v>
      </c>
      <c r="S26" s="23">
        <f t="shared" si="3"/>
        <v>15806395.004623439</v>
      </c>
      <c r="T26" s="16">
        <f>IFERROR(INDEX(Cost_Components!$R$2:$R$6,MATCH(E26,Cost_Components!$A$2:$A$6,0)),"")</f>
        <v>1</v>
      </c>
      <c r="U26" s="26">
        <f>IFERROR(INDEX(Cost_Components!$Q$2:$Q$6,MATCH(E26,Cost_Components!$A$2:$A$6,0)),"")</f>
        <v>2023</v>
      </c>
      <c r="V26" s="30">
        <f>1/(1+Calculation_Assumptions!$B$5)^(B26-Calculation_Assumptions!$B$2)</f>
        <v>0.49193373633950943</v>
      </c>
      <c r="W26" s="23">
        <f t="shared" si="4"/>
        <v>2906357.2497171471</v>
      </c>
      <c r="X26" s="23">
        <f t="shared" si="5"/>
        <v>10682056.202399712</v>
      </c>
      <c r="Y26" s="23">
        <f t="shared" si="6"/>
        <v>7775698.9526825659</v>
      </c>
      <c r="Z26" s="17">
        <f>IFERROR(INDEX(Cost_Components!$T$2:$T$6,MATCH(E26,Cost_Components!$A$2:$A$6,0)),"")</f>
        <v>0.41649999999999998</v>
      </c>
      <c r="AA26" s="26">
        <f>IFERROR(INDEX(Cost_Components!$U$2:$U$6,MATCH(E26,Cost_Components!$A$2:$A$6,0)),"")</f>
        <v>2025</v>
      </c>
      <c r="AB26" s="26">
        <f>IFERROR(INDEX(Cost_Components!$V$2:$V$6,MATCH(E26,Cost_Components!$A$2:$A$6,0)),"")</f>
        <v>2040</v>
      </c>
      <c r="AC26" s="26">
        <f>IFERROR(INDEX(Cost_Components!$M$2:$M$6,MATCH(E26,Cost_Components!$A$2:$A$6,0)),"")</f>
        <v>30</v>
      </c>
      <c r="AD26" s="26">
        <f>IFERROR(INDEX(Cost_Components!$N$2:$N$6,MATCH(E26,Cost_Components!$A$2:$A$6,0)),"")</f>
        <v>95</v>
      </c>
      <c r="AE26" s="16" t="str">
        <f>IFERROR(INDEX(Cost_Components!$O$2:$O$6,MATCH(E26,Cost_Components!$A$2:$A$6,0)),"")</f>
        <v>Both</v>
      </c>
      <c r="AF26" s="11">
        <v>201827617.596735</v>
      </c>
      <c r="AG26" s="11">
        <v>201036065.515632</v>
      </c>
      <c r="AH26" s="23">
        <f t="shared" si="7"/>
        <v>1</v>
      </c>
    </row>
    <row r="27" spans="1:34">
      <c r="A27" t="s">
        <v>115</v>
      </c>
      <c r="B27" s="20">
        <v>2050</v>
      </c>
      <c r="C27" t="s">
        <v>204</v>
      </c>
      <c r="E27" s="22" t="s">
        <v>267</v>
      </c>
      <c r="F27" s="22" t="s">
        <v>268</v>
      </c>
      <c r="G27" s="22" t="s">
        <v>213</v>
      </c>
      <c r="H27" s="22" t="s">
        <v>214</v>
      </c>
      <c r="I27" s="22" t="s">
        <v>265</v>
      </c>
      <c r="J27" s="17">
        <f>IFERROR(INDEX(Cost_Components!$K$2:$K$6,MATCH(E27,Cost_Components!$A$2:$A$6,0)),"")</f>
        <v>0.2</v>
      </c>
      <c r="K27" s="31">
        <v>0.41649999999999998</v>
      </c>
      <c r="L27" s="17">
        <f>IFERROR(INDEX(Cost_Components!$S$2:$S$6,MATCH(E27,Cost_Components!$A$2:$A$6,0)),"")</f>
        <v>0.113766857372906</v>
      </c>
      <c r="M27" s="28">
        <f>IFERROR(INDEX(Cost_Components!$L$2:$L$6,MATCH(E27,Cost_Components!$A$2:$A$6,0)),"")</f>
        <v>1</v>
      </c>
      <c r="N27" s="29">
        <f>IFERROR(INDEX(Cost_Components!$P$2:$P$6,MATCH(E27,Cost_Components!$A$2:$A$6,0)),"")</f>
        <v>1.2915840000000001</v>
      </c>
      <c r="O27" s="23">
        <f t="shared" si="8"/>
        <v>40624183.272166602</v>
      </c>
      <c r="P27" s="23">
        <f t="shared" si="0"/>
        <v>40451926.220417</v>
      </c>
      <c r="Q27" s="23">
        <f t="shared" si="1"/>
        <v>5943983.9000198832</v>
      </c>
      <c r="R27" s="23">
        <f t="shared" si="2"/>
        <v>21853565.54556128</v>
      </c>
      <c r="S27" s="23">
        <f t="shared" si="3"/>
        <v>15909581.645541396</v>
      </c>
      <c r="T27" s="16">
        <f>IFERROR(INDEX(Cost_Components!$R$2:$R$6,MATCH(E27,Cost_Components!$A$2:$A$6,0)),"")</f>
        <v>1</v>
      </c>
      <c r="U27" s="26">
        <f>IFERROR(INDEX(Cost_Components!$Q$2:$Q$6,MATCH(E27,Cost_Components!$A$2:$A$6,0)),"")</f>
        <v>2023</v>
      </c>
      <c r="V27" s="30">
        <f>1/(1+Calculation_Assumptions!$B$5)^(B27-Calculation_Assumptions!$B$2)</f>
        <v>0.47760556926165965</v>
      </c>
      <c r="W27" s="23">
        <f t="shared" si="4"/>
        <v>2838879.814251136</v>
      </c>
      <c r="X27" s="23">
        <f t="shared" si="5"/>
        <v>10437384.612784786</v>
      </c>
      <c r="Y27" s="23">
        <f t="shared" si="6"/>
        <v>7598504.7985336501</v>
      </c>
      <c r="Z27" s="17">
        <f>IFERROR(INDEX(Cost_Components!$T$2:$T$6,MATCH(E27,Cost_Components!$A$2:$A$6,0)),"")</f>
        <v>0.41649999999999998</v>
      </c>
      <c r="AA27" s="26">
        <f>IFERROR(INDEX(Cost_Components!$U$2:$U$6,MATCH(E27,Cost_Components!$A$2:$A$6,0)),"")</f>
        <v>2025</v>
      </c>
      <c r="AB27" s="26">
        <f>IFERROR(INDEX(Cost_Components!$V$2:$V$6,MATCH(E27,Cost_Components!$A$2:$A$6,0)),"")</f>
        <v>2040</v>
      </c>
      <c r="AC27" s="26">
        <f>IFERROR(INDEX(Cost_Components!$M$2:$M$6,MATCH(E27,Cost_Components!$A$2:$A$6,0)),"")</f>
        <v>30</v>
      </c>
      <c r="AD27" s="26">
        <f>IFERROR(INDEX(Cost_Components!$N$2:$N$6,MATCH(E27,Cost_Components!$A$2:$A$6,0)),"")</f>
        <v>95</v>
      </c>
      <c r="AE27" s="16" t="str">
        <f>IFERROR(INDEX(Cost_Components!$O$2:$O$6,MATCH(E27,Cost_Components!$A$2:$A$6,0)),"")</f>
        <v>Both</v>
      </c>
      <c r="AF27" s="11">
        <v>203120916.36083299</v>
      </c>
      <c r="AG27" s="11">
        <v>202259631.10208499</v>
      </c>
      <c r="AH27" s="23">
        <f t="shared" si="7"/>
        <v>1</v>
      </c>
    </row>
    <row r="28" spans="1:34">
      <c r="A28" t="s">
        <v>115</v>
      </c>
      <c r="B28" s="20">
        <v>2025</v>
      </c>
      <c r="C28" t="s">
        <v>204</v>
      </c>
      <c r="E28" s="22" t="s">
        <v>260</v>
      </c>
      <c r="F28" s="22" t="s">
        <v>261</v>
      </c>
      <c r="G28" s="22" t="s">
        <v>213</v>
      </c>
      <c r="H28" s="22" t="s">
        <v>214</v>
      </c>
      <c r="I28" s="22" t="s">
        <v>265</v>
      </c>
      <c r="J28" s="17">
        <f>IFERROR(INDEX(Cost_Components!$K$2:$K$6,MATCH(E28,Cost_Components!$A$2:$A$6,0)),"")</f>
        <v>0.06</v>
      </c>
      <c r="K28" s="31">
        <v>0.113766857372906</v>
      </c>
      <c r="L28" s="17">
        <f>IFERROR(INDEX(Cost_Components!$S$2:$S$6,MATCH(E28,Cost_Components!$A$2:$A$6,0)),"")</f>
        <v>0.113766857372906</v>
      </c>
      <c r="M28" s="28">
        <f>IFERROR(INDEX(Cost_Components!$L$2:$L$6,MATCH(E28,Cost_Components!$A$2:$A$6,0)),"")</f>
        <v>1</v>
      </c>
      <c r="N28" s="29">
        <f>IFERROR(INDEX(Cost_Components!$P$2:$P$6,MATCH(E28,Cost_Components!$A$2:$A$6,0)),"")</f>
        <v>22.229600000000001</v>
      </c>
      <c r="O28" s="23">
        <f t="shared" si="8"/>
        <v>9109469.8936243188</v>
      </c>
      <c r="P28" s="23">
        <f t="shared" si="0"/>
        <v>9109469.8936243188</v>
      </c>
      <c r="Q28" s="23">
        <f t="shared" si="1"/>
        <v>23037774.04986148</v>
      </c>
      <c r="R28" s="23">
        <f t="shared" si="2"/>
        <v>23037774.04986148</v>
      </c>
      <c r="S28" s="23">
        <f t="shared" si="3"/>
        <v>0</v>
      </c>
      <c r="T28" s="16">
        <f>IFERROR(INDEX(Cost_Components!$R$2:$R$6,MATCH(E28,Cost_Components!$A$2:$A$6,0)),"")</f>
        <v>1</v>
      </c>
      <c r="U28" s="26">
        <f>IFERROR(INDEX(Cost_Components!$Q$2:$Q$6,MATCH(E28,Cost_Components!$A$2:$A$6,0)),"")</f>
        <v>2023</v>
      </c>
      <c r="V28" s="30">
        <f>1/(1+Calculation_Assumptions!$B$5)^(B28-Calculation_Assumptions!$B$2)</f>
        <v>1</v>
      </c>
      <c r="W28" s="23">
        <f t="shared" si="4"/>
        <v>23037774.04986148</v>
      </c>
      <c r="X28" s="23">
        <f t="shared" si="5"/>
        <v>23037774.04986148</v>
      </c>
      <c r="Y28" s="23">
        <f t="shared" si="6"/>
        <v>0</v>
      </c>
      <c r="Z28" s="17">
        <f>IFERROR(INDEX(Cost_Components!$T$2:$T$6,MATCH(E28,Cost_Components!$A$2:$A$6,0)),"")</f>
        <v>0.41649999999999998</v>
      </c>
      <c r="AA28" s="26">
        <f>IFERROR(INDEX(Cost_Components!$U$2:$U$6,MATCH(E28,Cost_Components!$A$2:$A$6,0)),"")</f>
        <v>2025</v>
      </c>
      <c r="AB28" s="26">
        <f>IFERROR(INDEX(Cost_Components!$V$2:$V$6,MATCH(E28,Cost_Components!$A$2:$A$6,0)),"")</f>
        <v>2040</v>
      </c>
      <c r="AC28" s="26">
        <f>IFERROR(INDEX(Cost_Components!$M$2:$M$6,MATCH(E28,Cost_Components!$A$2:$A$6,0)),"")</f>
        <v>30</v>
      </c>
      <c r="AD28" s="26">
        <f>IFERROR(INDEX(Cost_Components!$N$2:$N$6,MATCH(E28,Cost_Components!$A$2:$A$6,0)),"")</f>
        <v>95</v>
      </c>
      <c r="AE28" s="16" t="str">
        <f>IFERROR(INDEX(Cost_Components!$O$2:$O$6,MATCH(E28,Cost_Components!$A$2:$A$6,0)),"")</f>
        <v>Both</v>
      </c>
      <c r="AF28" s="11">
        <v>151824498.227072</v>
      </c>
      <c r="AG28" s="11">
        <v>151824498.227072</v>
      </c>
      <c r="AH28" s="23">
        <f t="shared" si="7"/>
        <v>1</v>
      </c>
    </row>
    <row r="29" spans="1:34">
      <c r="A29" t="s">
        <v>115</v>
      </c>
      <c r="B29" s="20">
        <v>2026</v>
      </c>
      <c r="C29" t="s">
        <v>204</v>
      </c>
      <c r="E29" s="22" t="s">
        <v>260</v>
      </c>
      <c r="F29" s="22" t="s">
        <v>261</v>
      </c>
      <c r="G29" s="22" t="s">
        <v>213</v>
      </c>
      <c r="H29" s="22" t="s">
        <v>214</v>
      </c>
      <c r="I29" s="22" t="s">
        <v>265</v>
      </c>
      <c r="J29" s="17">
        <f>IFERROR(INDEX(Cost_Components!$K$2:$K$6,MATCH(E29,Cost_Components!$A$2:$A$6,0)),"")</f>
        <v>0.06</v>
      </c>
      <c r="K29" s="31">
        <v>0.11831348589832499</v>
      </c>
      <c r="L29" s="17">
        <f>IFERROR(INDEX(Cost_Components!$S$2:$S$6,MATCH(E29,Cost_Components!$A$2:$A$6,0)),"")</f>
        <v>0.113766857372906</v>
      </c>
      <c r="M29" s="28">
        <f>IFERROR(INDEX(Cost_Components!$L$2:$L$6,MATCH(E29,Cost_Components!$A$2:$A$6,0)),"")</f>
        <v>1</v>
      </c>
      <c r="N29" s="29">
        <f>IFERROR(INDEX(Cost_Components!$P$2:$P$6,MATCH(E29,Cost_Components!$A$2:$A$6,0)),"")</f>
        <v>22.229600000000001</v>
      </c>
      <c r="O29" s="23">
        <f t="shared" si="8"/>
        <v>9229666.7040563989</v>
      </c>
      <c r="P29" s="23">
        <f t="shared" si="0"/>
        <v>9229666.7040563989</v>
      </c>
      <c r="Q29" s="23">
        <f t="shared" si="1"/>
        <v>23341750.789735921</v>
      </c>
      <c r="R29" s="23">
        <f t="shared" si="2"/>
        <v>24274590.743519414</v>
      </c>
      <c r="S29" s="23">
        <f t="shared" si="3"/>
        <v>932839.95378349349</v>
      </c>
      <c r="T29" s="16">
        <f>IFERROR(INDEX(Cost_Components!$R$2:$R$6,MATCH(E29,Cost_Components!$A$2:$A$6,0)),"")</f>
        <v>1</v>
      </c>
      <c r="U29" s="26">
        <f>IFERROR(INDEX(Cost_Components!$Q$2:$Q$6,MATCH(E29,Cost_Components!$A$2:$A$6,0)),"")</f>
        <v>2023</v>
      </c>
      <c r="V29" s="30">
        <f>1/(1+Calculation_Assumptions!$B$5)^(B29-Calculation_Assumptions!$B$2)</f>
        <v>0.970873786407767</v>
      </c>
      <c r="W29" s="23">
        <f t="shared" si="4"/>
        <v>22661893.970617399</v>
      </c>
      <c r="X29" s="23">
        <f t="shared" si="5"/>
        <v>23567563.828659628</v>
      </c>
      <c r="Y29" s="23">
        <f t="shared" si="6"/>
        <v>905669.85804222676</v>
      </c>
      <c r="Z29" s="17">
        <f>IFERROR(INDEX(Cost_Components!$T$2:$T$6,MATCH(E29,Cost_Components!$A$2:$A$6,0)),"")</f>
        <v>0.41649999999999998</v>
      </c>
      <c r="AA29" s="26">
        <f>IFERROR(INDEX(Cost_Components!$U$2:$U$6,MATCH(E29,Cost_Components!$A$2:$A$6,0)),"")</f>
        <v>2025</v>
      </c>
      <c r="AB29" s="26">
        <f>IFERROR(INDEX(Cost_Components!$V$2:$V$6,MATCH(E29,Cost_Components!$A$2:$A$6,0)),"")</f>
        <v>2040</v>
      </c>
      <c r="AC29" s="26">
        <f>IFERROR(INDEX(Cost_Components!$M$2:$M$6,MATCH(E29,Cost_Components!$A$2:$A$6,0)),"")</f>
        <v>30</v>
      </c>
      <c r="AD29" s="26">
        <f>IFERROR(INDEX(Cost_Components!$N$2:$N$6,MATCH(E29,Cost_Components!$A$2:$A$6,0)),"")</f>
        <v>95</v>
      </c>
      <c r="AE29" s="16" t="str">
        <f>IFERROR(INDEX(Cost_Components!$O$2:$O$6,MATCH(E29,Cost_Components!$A$2:$A$6,0)),"")</f>
        <v>Both</v>
      </c>
      <c r="AF29" s="11">
        <v>153827778.40094</v>
      </c>
      <c r="AG29" s="11">
        <v>153827778.40094</v>
      </c>
      <c r="AH29" s="23">
        <f t="shared" si="7"/>
        <v>1</v>
      </c>
    </row>
    <row r="30" spans="1:34">
      <c r="A30" t="s">
        <v>115</v>
      </c>
      <c r="B30" s="20">
        <v>2027</v>
      </c>
      <c r="C30" t="s">
        <v>204</v>
      </c>
      <c r="E30" s="22" t="s">
        <v>260</v>
      </c>
      <c r="F30" s="22" t="s">
        <v>261</v>
      </c>
      <c r="G30" s="22" t="s">
        <v>213</v>
      </c>
      <c r="H30" s="22" t="s">
        <v>214</v>
      </c>
      <c r="I30" s="22" t="s">
        <v>265</v>
      </c>
      <c r="J30" s="17">
        <f>IFERROR(INDEX(Cost_Components!$K$2:$K$6,MATCH(E30,Cost_Components!$A$2:$A$6,0)),"")</f>
        <v>0.06</v>
      </c>
      <c r="K30" s="31">
        <v>0.122860114423744</v>
      </c>
      <c r="L30" s="17">
        <f>IFERROR(INDEX(Cost_Components!$S$2:$S$6,MATCH(E30,Cost_Components!$A$2:$A$6,0)),"")</f>
        <v>0.113766857372906</v>
      </c>
      <c r="M30" s="28">
        <f>IFERROR(INDEX(Cost_Components!$L$2:$L$6,MATCH(E30,Cost_Components!$A$2:$A$6,0)),"")</f>
        <v>1</v>
      </c>
      <c r="N30" s="29">
        <f>IFERROR(INDEX(Cost_Components!$P$2:$P$6,MATCH(E30,Cost_Components!$A$2:$A$6,0)),"")</f>
        <v>22.229600000000001</v>
      </c>
      <c r="O30" s="23">
        <f t="shared" si="8"/>
        <v>9362503.5812273994</v>
      </c>
      <c r="P30" s="23">
        <f t="shared" si="0"/>
        <v>9362501.3804046605</v>
      </c>
      <c r="Q30" s="23">
        <f t="shared" si="1"/>
        <v>23677688.588030808</v>
      </c>
      <c r="R30" s="23">
        <f t="shared" si="2"/>
        <v>25570225.637001269</v>
      </c>
      <c r="S30" s="23">
        <f t="shared" si="3"/>
        <v>1892537.0489704609</v>
      </c>
      <c r="T30" s="16">
        <f>IFERROR(INDEX(Cost_Components!$R$2:$R$6,MATCH(E30,Cost_Components!$A$2:$A$6,0)),"")</f>
        <v>1</v>
      </c>
      <c r="U30" s="26">
        <f>IFERROR(INDEX(Cost_Components!$Q$2:$Q$6,MATCH(E30,Cost_Components!$A$2:$A$6,0)),"")</f>
        <v>2023</v>
      </c>
      <c r="V30" s="30">
        <f>1/(1+Calculation_Assumptions!$B$5)^(B30-Calculation_Assumptions!$B$2)</f>
        <v>0.94259590913375435</v>
      </c>
      <c r="W30" s="23">
        <f t="shared" si="4"/>
        <v>22318492.400820818</v>
      </c>
      <c r="X30" s="23">
        <f t="shared" si="5"/>
        <v>24102390.081064444</v>
      </c>
      <c r="Y30" s="23">
        <f t="shared" si="6"/>
        <v>1783897.6802436241</v>
      </c>
      <c r="Z30" s="17">
        <f>IFERROR(INDEX(Cost_Components!$T$2:$T$6,MATCH(E30,Cost_Components!$A$2:$A$6,0)),"")</f>
        <v>0.41649999999999998</v>
      </c>
      <c r="AA30" s="26">
        <f>IFERROR(INDEX(Cost_Components!$U$2:$U$6,MATCH(E30,Cost_Components!$A$2:$A$6,0)),"")</f>
        <v>2025</v>
      </c>
      <c r="AB30" s="26">
        <f>IFERROR(INDEX(Cost_Components!$V$2:$V$6,MATCH(E30,Cost_Components!$A$2:$A$6,0)),"")</f>
        <v>2040</v>
      </c>
      <c r="AC30" s="26">
        <f>IFERROR(INDEX(Cost_Components!$M$2:$M$6,MATCH(E30,Cost_Components!$A$2:$A$6,0)),"")</f>
        <v>30</v>
      </c>
      <c r="AD30" s="26">
        <f>IFERROR(INDEX(Cost_Components!$N$2:$N$6,MATCH(E30,Cost_Components!$A$2:$A$6,0)),"")</f>
        <v>95</v>
      </c>
      <c r="AE30" s="16" t="str">
        <f>IFERROR(INDEX(Cost_Components!$O$2:$O$6,MATCH(E30,Cost_Components!$A$2:$A$6,0)),"")</f>
        <v>Both</v>
      </c>
      <c r="AF30" s="11">
        <v>156041726.35378999</v>
      </c>
      <c r="AG30" s="11">
        <v>156041689.67341101</v>
      </c>
      <c r="AH30" s="23">
        <f t="shared" si="7"/>
        <v>1</v>
      </c>
    </row>
    <row r="31" spans="1:34">
      <c r="A31" t="s">
        <v>115</v>
      </c>
      <c r="B31" s="20">
        <v>2028</v>
      </c>
      <c r="C31" t="s">
        <v>204</v>
      </c>
      <c r="E31" s="22" t="s">
        <v>260</v>
      </c>
      <c r="F31" s="22" t="s">
        <v>261</v>
      </c>
      <c r="G31" s="22" t="s">
        <v>213</v>
      </c>
      <c r="H31" s="22" t="s">
        <v>214</v>
      </c>
      <c r="I31" s="22" t="s">
        <v>265</v>
      </c>
      <c r="J31" s="17">
        <f>IFERROR(INDEX(Cost_Components!$K$2:$K$6,MATCH(E31,Cost_Components!$A$2:$A$6,0)),"")</f>
        <v>0.06</v>
      </c>
      <c r="K31" s="31">
        <v>0.12740674294916199</v>
      </c>
      <c r="L31" s="17">
        <f>IFERROR(INDEX(Cost_Components!$S$2:$S$6,MATCH(E31,Cost_Components!$A$2:$A$6,0)),"")</f>
        <v>0.113766857372906</v>
      </c>
      <c r="M31" s="28">
        <f>IFERROR(INDEX(Cost_Components!$L$2:$L$6,MATCH(E31,Cost_Components!$A$2:$A$6,0)),"")</f>
        <v>1</v>
      </c>
      <c r="N31" s="29">
        <f>IFERROR(INDEX(Cost_Components!$P$2:$P$6,MATCH(E31,Cost_Components!$A$2:$A$6,0)),"")</f>
        <v>22.229600000000001</v>
      </c>
      <c r="O31" s="23">
        <f t="shared" si="8"/>
        <v>9497003.3429794181</v>
      </c>
      <c r="P31" s="23">
        <f t="shared" si="0"/>
        <v>9496982.8233683389</v>
      </c>
      <c r="Q31" s="23">
        <f t="shared" si="1"/>
        <v>24017791.045481704</v>
      </c>
      <c r="R31" s="23">
        <f t="shared" si="2"/>
        <v>26897421.72928581</v>
      </c>
      <c r="S31" s="23">
        <f t="shared" si="3"/>
        <v>2879630.683804106</v>
      </c>
      <c r="T31" s="16">
        <f>IFERROR(INDEX(Cost_Components!$R$2:$R$6,MATCH(E31,Cost_Components!$A$2:$A$6,0)),"")</f>
        <v>1</v>
      </c>
      <c r="U31" s="26">
        <f>IFERROR(INDEX(Cost_Components!$Q$2:$Q$6,MATCH(E31,Cost_Components!$A$2:$A$6,0)),"")</f>
        <v>2023</v>
      </c>
      <c r="V31" s="30">
        <f>1/(1+Calculation_Assumptions!$B$5)^(B31-Calculation_Assumptions!$B$2)</f>
        <v>0.91514165935315961</v>
      </c>
      <c r="W31" s="23">
        <f t="shared" si="4"/>
        <v>21979681.151359584</v>
      </c>
      <c r="X31" s="23">
        <f t="shared" si="5"/>
        <v>24614951.15366035</v>
      </c>
      <c r="Y31" s="23">
        <f t="shared" si="6"/>
        <v>2635270.002300763</v>
      </c>
      <c r="Z31" s="17">
        <f>IFERROR(INDEX(Cost_Components!$T$2:$T$6,MATCH(E31,Cost_Components!$A$2:$A$6,0)),"")</f>
        <v>0.41649999999999998</v>
      </c>
      <c r="AA31" s="26">
        <f>IFERROR(INDEX(Cost_Components!$U$2:$U$6,MATCH(E31,Cost_Components!$A$2:$A$6,0)),"")</f>
        <v>2025</v>
      </c>
      <c r="AB31" s="26">
        <f>IFERROR(INDEX(Cost_Components!$V$2:$V$6,MATCH(E31,Cost_Components!$A$2:$A$6,0)),"")</f>
        <v>2040</v>
      </c>
      <c r="AC31" s="26">
        <f>IFERROR(INDEX(Cost_Components!$M$2:$M$6,MATCH(E31,Cost_Components!$A$2:$A$6,0)),"")</f>
        <v>30</v>
      </c>
      <c r="AD31" s="26">
        <f>IFERROR(INDEX(Cost_Components!$N$2:$N$6,MATCH(E31,Cost_Components!$A$2:$A$6,0)),"")</f>
        <v>95</v>
      </c>
      <c r="AE31" s="16" t="str">
        <f>IFERROR(INDEX(Cost_Components!$O$2:$O$6,MATCH(E31,Cost_Components!$A$2:$A$6,0)),"")</f>
        <v>Both</v>
      </c>
      <c r="AF31" s="11">
        <v>158283389.04965699</v>
      </c>
      <c r="AG31" s="11">
        <v>158283047.05613899</v>
      </c>
      <c r="AH31" s="23">
        <f t="shared" si="7"/>
        <v>1</v>
      </c>
    </row>
    <row r="32" spans="1:34">
      <c r="A32" t="s">
        <v>115</v>
      </c>
      <c r="B32" s="20">
        <v>2029</v>
      </c>
      <c r="C32" t="s">
        <v>204</v>
      </c>
      <c r="E32" s="22" t="s">
        <v>260</v>
      </c>
      <c r="F32" s="22" t="s">
        <v>261</v>
      </c>
      <c r="G32" s="22" t="s">
        <v>213</v>
      </c>
      <c r="H32" s="22" t="s">
        <v>214</v>
      </c>
      <c r="I32" s="22" t="s">
        <v>265</v>
      </c>
      <c r="J32" s="17">
        <f>IFERROR(INDEX(Cost_Components!$K$2:$K$6,MATCH(E32,Cost_Components!$A$2:$A$6,0)),"")</f>
        <v>0.06</v>
      </c>
      <c r="K32" s="31">
        <v>0.131953371474581</v>
      </c>
      <c r="L32" s="17">
        <f>IFERROR(INDEX(Cost_Components!$S$2:$S$6,MATCH(E32,Cost_Components!$A$2:$A$6,0)),"")</f>
        <v>0.113766857372906</v>
      </c>
      <c r="M32" s="28">
        <f>IFERROR(INDEX(Cost_Components!$L$2:$L$6,MATCH(E32,Cost_Components!$A$2:$A$6,0)),"")</f>
        <v>1</v>
      </c>
      <c r="N32" s="29">
        <f>IFERROR(INDEX(Cost_Components!$P$2:$P$6,MATCH(E32,Cost_Components!$A$2:$A$6,0)),"")</f>
        <v>22.229600000000001</v>
      </c>
      <c r="O32" s="23">
        <f t="shared" si="8"/>
        <v>9630142.4800729193</v>
      </c>
      <c r="P32" s="23">
        <f t="shared" si="0"/>
        <v>9630079.1297335196</v>
      </c>
      <c r="Q32" s="23">
        <f t="shared" si="1"/>
        <v>24354390.503926393</v>
      </c>
      <c r="R32" s="23">
        <f t="shared" si="2"/>
        <v>28247814.451315325</v>
      </c>
      <c r="S32" s="23">
        <f t="shared" si="3"/>
        <v>3893423.9473889321</v>
      </c>
      <c r="T32" s="16">
        <f>IFERROR(INDEX(Cost_Components!$R$2:$R$6,MATCH(E32,Cost_Components!$A$2:$A$6,0)),"")</f>
        <v>1</v>
      </c>
      <c r="U32" s="26">
        <f>IFERROR(INDEX(Cost_Components!$Q$2:$Q$6,MATCH(E32,Cost_Components!$A$2:$A$6,0)),"")</f>
        <v>2023</v>
      </c>
      <c r="V32" s="30">
        <f>1/(1+Calculation_Assumptions!$B$5)^(B32-Calculation_Assumptions!$B$2)</f>
        <v>0.888487047915689</v>
      </c>
      <c r="W32" s="23">
        <f t="shared" si="4"/>
        <v>21638560.522619449</v>
      </c>
      <c r="X32" s="23">
        <f t="shared" si="5"/>
        <v>25097817.271919291</v>
      </c>
      <c r="Y32" s="23">
        <f t="shared" si="6"/>
        <v>3459256.749299841</v>
      </c>
      <c r="Z32" s="17">
        <f>IFERROR(INDEX(Cost_Components!$T$2:$T$6,MATCH(E32,Cost_Components!$A$2:$A$6,0)),"")</f>
        <v>0.41649999999999998</v>
      </c>
      <c r="AA32" s="26">
        <f>IFERROR(INDEX(Cost_Components!$U$2:$U$6,MATCH(E32,Cost_Components!$A$2:$A$6,0)),"")</f>
        <v>2025</v>
      </c>
      <c r="AB32" s="26">
        <f>IFERROR(INDEX(Cost_Components!$V$2:$V$6,MATCH(E32,Cost_Components!$A$2:$A$6,0)),"")</f>
        <v>2040</v>
      </c>
      <c r="AC32" s="26">
        <f>IFERROR(INDEX(Cost_Components!$M$2:$M$6,MATCH(E32,Cost_Components!$A$2:$A$6,0)),"")</f>
        <v>30</v>
      </c>
      <c r="AD32" s="26">
        <f>IFERROR(INDEX(Cost_Components!$N$2:$N$6,MATCH(E32,Cost_Components!$A$2:$A$6,0)),"")</f>
        <v>95</v>
      </c>
      <c r="AE32" s="16" t="str">
        <f>IFERROR(INDEX(Cost_Components!$O$2:$O$6,MATCH(E32,Cost_Components!$A$2:$A$6,0)),"")</f>
        <v>Both</v>
      </c>
      <c r="AF32" s="11">
        <v>160502374.667882</v>
      </c>
      <c r="AG32" s="11">
        <v>160501318.82889199</v>
      </c>
      <c r="AH32" s="23">
        <f t="shared" si="7"/>
        <v>1</v>
      </c>
    </row>
    <row r="33" spans="1:34">
      <c r="A33" t="s">
        <v>115</v>
      </c>
      <c r="B33" s="20">
        <v>2030</v>
      </c>
      <c r="C33" t="s">
        <v>204</v>
      </c>
      <c r="E33" s="22" t="s">
        <v>260</v>
      </c>
      <c r="F33" s="22" t="s">
        <v>261</v>
      </c>
      <c r="G33" s="22" t="s">
        <v>213</v>
      </c>
      <c r="H33" s="22" t="s">
        <v>214</v>
      </c>
      <c r="I33" s="22" t="s">
        <v>265</v>
      </c>
      <c r="J33" s="17">
        <f>IFERROR(INDEX(Cost_Components!$K$2:$K$6,MATCH(E33,Cost_Components!$A$2:$A$6,0)),"")</f>
        <v>0.06</v>
      </c>
      <c r="K33" s="31">
        <v>0.13650000000000001</v>
      </c>
      <c r="L33" s="17">
        <f>IFERROR(INDEX(Cost_Components!$S$2:$S$6,MATCH(E33,Cost_Components!$A$2:$A$6,0)),"")</f>
        <v>0.113766857372906</v>
      </c>
      <c r="M33" s="28">
        <f>IFERROR(INDEX(Cost_Components!$L$2:$L$6,MATCH(E33,Cost_Components!$A$2:$A$6,0)),"")</f>
        <v>1</v>
      </c>
      <c r="N33" s="29">
        <f>IFERROR(INDEX(Cost_Components!$P$2:$P$6,MATCH(E33,Cost_Components!$A$2:$A$6,0)),"")</f>
        <v>22.229600000000001</v>
      </c>
      <c r="O33" s="23">
        <f t="shared" si="8"/>
        <v>9747105.716682598</v>
      </c>
      <c r="P33" s="23">
        <f t="shared" si="0"/>
        <v>9759232.9172131196</v>
      </c>
      <c r="Q33" s="23">
        <f t="shared" si="1"/>
        <v>24681019.364703611</v>
      </c>
      <c r="R33" s="23">
        <f t="shared" si="2"/>
        <v>29576036.659200966</v>
      </c>
      <c r="S33" s="23">
        <f t="shared" si="3"/>
        <v>4895017.2944973558</v>
      </c>
      <c r="T33" s="16">
        <f>IFERROR(INDEX(Cost_Components!$R$2:$R$6,MATCH(E33,Cost_Components!$A$2:$A$6,0)),"")</f>
        <v>1</v>
      </c>
      <c r="U33" s="26">
        <f>IFERROR(INDEX(Cost_Components!$Q$2:$Q$6,MATCH(E33,Cost_Components!$A$2:$A$6,0)),"")</f>
        <v>2023</v>
      </c>
      <c r="V33" s="30">
        <f>1/(1+Calculation_Assumptions!$B$5)^(B33-Calculation_Assumptions!$B$2)</f>
        <v>0.86260878438416411</v>
      </c>
      <c r="W33" s="23">
        <f t="shared" si="4"/>
        <v>21290064.111548997</v>
      </c>
      <c r="X33" s="23">
        <f t="shared" si="5"/>
        <v>25512549.029494818</v>
      </c>
      <c r="Y33" s="23">
        <f t="shared" si="6"/>
        <v>4222484.9179458236</v>
      </c>
      <c r="Z33" s="17">
        <f>IFERROR(INDEX(Cost_Components!$T$2:$T$6,MATCH(E33,Cost_Components!$A$2:$A$6,0)),"")</f>
        <v>0.41649999999999998</v>
      </c>
      <c r="AA33" s="26">
        <f>IFERROR(INDEX(Cost_Components!$U$2:$U$6,MATCH(E33,Cost_Components!$A$2:$A$6,0)),"")</f>
        <v>2025</v>
      </c>
      <c r="AB33" s="26">
        <f>IFERROR(INDEX(Cost_Components!$V$2:$V$6,MATCH(E33,Cost_Components!$A$2:$A$6,0)),"")</f>
        <v>2040</v>
      </c>
      <c r="AC33" s="26">
        <f>IFERROR(INDEX(Cost_Components!$M$2:$M$6,MATCH(E33,Cost_Components!$A$2:$A$6,0)),"")</f>
        <v>30</v>
      </c>
      <c r="AD33" s="26">
        <f>IFERROR(INDEX(Cost_Components!$N$2:$N$6,MATCH(E33,Cost_Components!$A$2:$A$6,0)),"")</f>
        <v>95</v>
      </c>
      <c r="AE33" s="16" t="str">
        <f>IFERROR(INDEX(Cost_Components!$O$2:$O$6,MATCH(E33,Cost_Components!$A$2:$A$6,0)),"")</f>
        <v>Both</v>
      </c>
      <c r="AF33" s="11">
        <v>162451761.94470999</v>
      </c>
      <c r="AG33" s="11">
        <v>162653881.95355201</v>
      </c>
      <c r="AH33" s="23">
        <f t="shared" si="7"/>
        <v>1</v>
      </c>
    </row>
    <row r="34" spans="1:34">
      <c r="A34" t="s">
        <v>115</v>
      </c>
      <c r="B34" s="20">
        <v>2031</v>
      </c>
      <c r="C34" t="s">
        <v>204</v>
      </c>
      <c r="E34" s="22" t="s">
        <v>260</v>
      </c>
      <c r="F34" s="22" t="s">
        <v>261</v>
      </c>
      <c r="G34" s="22" t="s">
        <v>213</v>
      </c>
      <c r="H34" s="22" t="s">
        <v>214</v>
      </c>
      <c r="I34" s="22" t="s">
        <v>265</v>
      </c>
      <c r="J34" s="17">
        <f>IFERROR(INDEX(Cost_Components!$K$2:$K$6,MATCH(E34,Cost_Components!$A$2:$A$6,0)),"")</f>
        <v>0.06</v>
      </c>
      <c r="K34" s="31">
        <v>0.16450000000000001</v>
      </c>
      <c r="L34" s="17">
        <f>IFERROR(INDEX(Cost_Components!$S$2:$S$6,MATCH(E34,Cost_Components!$A$2:$A$6,0)),"")</f>
        <v>0.113766857372906</v>
      </c>
      <c r="M34" s="28">
        <f>IFERROR(INDEX(Cost_Components!$L$2:$L$6,MATCH(E34,Cost_Components!$A$2:$A$6,0)),"")</f>
        <v>1</v>
      </c>
      <c r="N34" s="29">
        <f>IFERROR(INDEX(Cost_Components!$P$2:$P$6,MATCH(E34,Cost_Components!$A$2:$A$6,0)),"")</f>
        <v>22.229600000000001</v>
      </c>
      <c r="O34" s="23">
        <f t="shared" ref="O34:O65" si="9">AF34*J34</f>
        <v>9876443.5557066612</v>
      </c>
      <c r="P34" s="23">
        <f t="shared" ref="P34:P65" si="10">AG34*J34</f>
        <v>9887078.4215217605</v>
      </c>
      <c r="Q34" s="23">
        <f t="shared" ref="Q34:Q65" si="11">P34*L34*M34*N34</f>
        <v>25004339.588157494</v>
      </c>
      <c r="R34" s="23">
        <f t="shared" ref="R34:R65" si="12">O34*K34*M34*N34</f>
        <v>36115874.600046605</v>
      </c>
      <c r="S34" s="23">
        <f t="shared" ref="S34:S65" si="13">R34-Q34</f>
        <v>11111535.011889111</v>
      </c>
      <c r="T34" s="16">
        <f>IFERROR(INDEX(Cost_Components!$R$2:$R$6,MATCH(E34,Cost_Components!$A$2:$A$6,0)),"")</f>
        <v>1</v>
      </c>
      <c r="U34" s="26">
        <f>IFERROR(INDEX(Cost_Components!$Q$2:$Q$6,MATCH(E34,Cost_Components!$A$2:$A$6,0)),"")</f>
        <v>2023</v>
      </c>
      <c r="V34" s="30">
        <f>1/(1+Calculation_Assumptions!$B$5)^(B34-Calculation_Assumptions!$B$2)</f>
        <v>0.83748425668365445</v>
      </c>
      <c r="W34" s="23">
        <f t="shared" ref="W34:W65" si="14">Q34*V34</f>
        <v>20940740.753853753</v>
      </c>
      <c r="X34" s="23">
        <f t="shared" ref="X34:X65" si="15">R34*V34</f>
        <v>30246476.393900108</v>
      </c>
      <c r="Y34" s="23">
        <f t="shared" ref="Y34:Y65" si="16">S34*V34</f>
        <v>9305735.6400463544</v>
      </c>
      <c r="Z34" s="17">
        <f>IFERROR(INDEX(Cost_Components!$T$2:$T$6,MATCH(E34,Cost_Components!$A$2:$A$6,0)),"")</f>
        <v>0.41649999999999998</v>
      </c>
      <c r="AA34" s="26">
        <f>IFERROR(INDEX(Cost_Components!$U$2:$U$6,MATCH(E34,Cost_Components!$A$2:$A$6,0)),"")</f>
        <v>2025</v>
      </c>
      <c r="AB34" s="26">
        <f>IFERROR(INDEX(Cost_Components!$V$2:$V$6,MATCH(E34,Cost_Components!$A$2:$A$6,0)),"")</f>
        <v>2040</v>
      </c>
      <c r="AC34" s="26">
        <f>IFERROR(INDEX(Cost_Components!$M$2:$M$6,MATCH(E34,Cost_Components!$A$2:$A$6,0)),"")</f>
        <v>30</v>
      </c>
      <c r="AD34" s="26">
        <f>IFERROR(INDEX(Cost_Components!$N$2:$N$6,MATCH(E34,Cost_Components!$A$2:$A$6,0)),"")</f>
        <v>95</v>
      </c>
      <c r="AE34" s="16" t="str">
        <f>IFERROR(INDEX(Cost_Components!$O$2:$O$6,MATCH(E34,Cost_Components!$A$2:$A$6,0)),"")</f>
        <v>Both</v>
      </c>
      <c r="AF34" s="11">
        <v>164607392.59511101</v>
      </c>
      <c r="AG34" s="11">
        <v>164784640.35869601</v>
      </c>
      <c r="AH34" s="23">
        <f t="shared" ref="AH34:AH65" si="17">IF(H34="shared-count-once",COUNTIFS($A$2:$A$131,A34,$B$2:$B$131,B34,$E$2:$E$131,E34),1)</f>
        <v>1</v>
      </c>
    </row>
    <row r="35" spans="1:34">
      <c r="A35" t="s">
        <v>115</v>
      </c>
      <c r="B35" s="20">
        <v>2032</v>
      </c>
      <c r="C35" t="s">
        <v>204</v>
      </c>
      <c r="E35" s="22" t="s">
        <v>260</v>
      </c>
      <c r="F35" s="22" t="s">
        <v>261</v>
      </c>
      <c r="G35" s="22" t="s">
        <v>213</v>
      </c>
      <c r="H35" s="22" t="s">
        <v>214</v>
      </c>
      <c r="I35" s="22" t="s">
        <v>265</v>
      </c>
      <c r="J35" s="17">
        <f>IFERROR(INDEX(Cost_Components!$K$2:$K$6,MATCH(E35,Cost_Components!$A$2:$A$6,0)),"")</f>
        <v>0.06</v>
      </c>
      <c r="K35" s="31">
        <v>0.1925</v>
      </c>
      <c r="L35" s="17">
        <f>IFERROR(INDEX(Cost_Components!$S$2:$S$6,MATCH(E35,Cost_Components!$A$2:$A$6,0)),"")</f>
        <v>0.113766857372906</v>
      </c>
      <c r="M35" s="28">
        <f>IFERROR(INDEX(Cost_Components!$L$2:$L$6,MATCH(E35,Cost_Components!$A$2:$A$6,0)),"")</f>
        <v>1</v>
      </c>
      <c r="N35" s="29">
        <f>IFERROR(INDEX(Cost_Components!$P$2:$P$6,MATCH(E35,Cost_Components!$A$2:$A$6,0)),"")</f>
        <v>22.229600000000001</v>
      </c>
      <c r="O35" s="23">
        <f t="shared" si="9"/>
        <v>10003453.291246681</v>
      </c>
      <c r="P35" s="23">
        <f t="shared" si="10"/>
        <v>10014598.755557099</v>
      </c>
      <c r="Q35" s="23">
        <f t="shared" si="11"/>
        <v>25326837.458678495</v>
      </c>
      <c r="R35" s="23">
        <f t="shared" si="12"/>
        <v>42806757.316996217</v>
      </c>
      <c r="S35" s="23">
        <f t="shared" si="13"/>
        <v>17479919.858317722</v>
      </c>
      <c r="T35" s="16">
        <f>IFERROR(INDEX(Cost_Components!$R$2:$R$6,MATCH(E35,Cost_Components!$A$2:$A$6,0)),"")</f>
        <v>1</v>
      </c>
      <c r="U35" s="26">
        <f>IFERROR(INDEX(Cost_Components!$Q$2:$Q$6,MATCH(E35,Cost_Components!$A$2:$A$6,0)),"")</f>
        <v>2023</v>
      </c>
      <c r="V35" s="30">
        <f>1/(1+Calculation_Assumptions!$B$5)^(B35-Calculation_Assumptions!$B$2)</f>
        <v>0.81309151134335378</v>
      </c>
      <c r="W35" s="23">
        <f t="shared" si="14"/>
        <v>20593036.546824362</v>
      </c>
      <c r="X35" s="23">
        <f t="shared" si="15"/>
        <v>34805811.002584621</v>
      </c>
      <c r="Y35" s="23">
        <f t="shared" si="16"/>
        <v>14212774.455760259</v>
      </c>
      <c r="Z35" s="17">
        <f>IFERROR(INDEX(Cost_Components!$T$2:$T$6,MATCH(E35,Cost_Components!$A$2:$A$6,0)),"")</f>
        <v>0.41649999999999998</v>
      </c>
      <c r="AA35" s="26">
        <f>IFERROR(INDEX(Cost_Components!$U$2:$U$6,MATCH(E35,Cost_Components!$A$2:$A$6,0)),"")</f>
        <v>2025</v>
      </c>
      <c r="AB35" s="26">
        <f>IFERROR(INDEX(Cost_Components!$V$2:$V$6,MATCH(E35,Cost_Components!$A$2:$A$6,0)),"")</f>
        <v>2040</v>
      </c>
      <c r="AC35" s="26">
        <f>IFERROR(INDEX(Cost_Components!$M$2:$M$6,MATCH(E35,Cost_Components!$A$2:$A$6,0)),"")</f>
        <v>30</v>
      </c>
      <c r="AD35" s="26">
        <f>IFERROR(INDEX(Cost_Components!$N$2:$N$6,MATCH(E35,Cost_Components!$A$2:$A$6,0)),"")</f>
        <v>95</v>
      </c>
      <c r="AE35" s="16" t="str">
        <f>IFERROR(INDEX(Cost_Components!$O$2:$O$6,MATCH(E35,Cost_Components!$A$2:$A$6,0)),"")</f>
        <v>Both</v>
      </c>
      <c r="AF35" s="11">
        <v>166724221.520778</v>
      </c>
      <c r="AG35" s="11">
        <v>166909979.259285</v>
      </c>
      <c r="AH35" s="23">
        <f t="shared" si="17"/>
        <v>1</v>
      </c>
    </row>
    <row r="36" spans="1:34">
      <c r="A36" t="s">
        <v>115</v>
      </c>
      <c r="B36" s="20">
        <v>2033</v>
      </c>
      <c r="C36" t="s">
        <v>204</v>
      </c>
      <c r="E36" s="22" t="s">
        <v>260</v>
      </c>
      <c r="F36" s="22" t="s">
        <v>261</v>
      </c>
      <c r="G36" s="22" t="s">
        <v>213</v>
      </c>
      <c r="H36" s="22" t="s">
        <v>214</v>
      </c>
      <c r="I36" s="22" t="s">
        <v>265</v>
      </c>
      <c r="J36" s="17">
        <f>IFERROR(INDEX(Cost_Components!$K$2:$K$6,MATCH(E36,Cost_Components!$A$2:$A$6,0)),"")</f>
        <v>0.06</v>
      </c>
      <c r="K36" s="31">
        <v>0.2205</v>
      </c>
      <c r="L36" s="17">
        <f>IFERROR(INDEX(Cost_Components!$S$2:$S$6,MATCH(E36,Cost_Components!$A$2:$A$6,0)),"")</f>
        <v>0.113766857372906</v>
      </c>
      <c r="M36" s="28">
        <f>IFERROR(INDEX(Cost_Components!$L$2:$L$6,MATCH(E36,Cost_Components!$A$2:$A$6,0)),"")</f>
        <v>1</v>
      </c>
      <c r="N36" s="29">
        <f>IFERROR(INDEX(Cost_Components!$P$2:$P$6,MATCH(E36,Cost_Components!$A$2:$A$6,0)),"")</f>
        <v>22.229600000000001</v>
      </c>
      <c r="O36" s="23">
        <f t="shared" si="9"/>
        <v>10131869.727209641</v>
      </c>
      <c r="P36" s="23">
        <f t="shared" si="10"/>
        <v>10141493.87730906</v>
      </c>
      <c r="Q36" s="23">
        <f t="shared" si="11"/>
        <v>25647754.172503673</v>
      </c>
      <c r="R36" s="23">
        <f t="shared" si="12"/>
        <v>49662644.188999467</v>
      </c>
      <c r="S36" s="23">
        <f t="shared" si="13"/>
        <v>24014890.016495794</v>
      </c>
      <c r="T36" s="16">
        <f>IFERROR(INDEX(Cost_Components!$R$2:$R$6,MATCH(E36,Cost_Components!$A$2:$A$6,0)),"")</f>
        <v>1</v>
      </c>
      <c r="U36" s="26">
        <f>IFERROR(INDEX(Cost_Components!$Q$2:$Q$6,MATCH(E36,Cost_Components!$A$2:$A$6,0)),"")</f>
        <v>2023</v>
      </c>
      <c r="V36" s="30">
        <f>1/(1+Calculation_Assumptions!$B$5)^(B36-Calculation_Assumptions!$B$2)</f>
        <v>0.78940923431393573</v>
      </c>
      <c r="W36" s="23">
        <f t="shared" si="14"/>
        <v>20246573.983188175</v>
      </c>
      <c r="X36" s="23">
        <f t="shared" si="15"/>
        <v>39204149.9232435</v>
      </c>
      <c r="Y36" s="23">
        <f t="shared" si="16"/>
        <v>18957575.940055326</v>
      </c>
      <c r="Z36" s="17">
        <f>IFERROR(INDEX(Cost_Components!$T$2:$T$6,MATCH(E36,Cost_Components!$A$2:$A$6,0)),"")</f>
        <v>0.41649999999999998</v>
      </c>
      <c r="AA36" s="26">
        <f>IFERROR(INDEX(Cost_Components!$U$2:$U$6,MATCH(E36,Cost_Components!$A$2:$A$6,0)),"")</f>
        <v>2025</v>
      </c>
      <c r="AB36" s="26">
        <f>IFERROR(INDEX(Cost_Components!$V$2:$V$6,MATCH(E36,Cost_Components!$A$2:$A$6,0)),"")</f>
        <v>2040</v>
      </c>
      <c r="AC36" s="26">
        <f>IFERROR(INDEX(Cost_Components!$M$2:$M$6,MATCH(E36,Cost_Components!$A$2:$A$6,0)),"")</f>
        <v>30</v>
      </c>
      <c r="AD36" s="26">
        <f>IFERROR(INDEX(Cost_Components!$N$2:$N$6,MATCH(E36,Cost_Components!$A$2:$A$6,0)),"")</f>
        <v>95</v>
      </c>
      <c r="AE36" s="16" t="str">
        <f>IFERROR(INDEX(Cost_Components!$O$2:$O$6,MATCH(E36,Cost_Components!$A$2:$A$6,0)),"")</f>
        <v>Both</v>
      </c>
      <c r="AF36" s="11">
        <v>168864495.45349401</v>
      </c>
      <c r="AG36" s="11">
        <v>169024897.95515099</v>
      </c>
      <c r="AH36" s="23">
        <f t="shared" si="17"/>
        <v>1</v>
      </c>
    </row>
    <row r="37" spans="1:34">
      <c r="A37" t="s">
        <v>115</v>
      </c>
      <c r="B37" s="20">
        <v>2034</v>
      </c>
      <c r="C37" t="s">
        <v>204</v>
      </c>
      <c r="E37" s="22" t="s">
        <v>260</v>
      </c>
      <c r="F37" s="22" t="s">
        <v>261</v>
      </c>
      <c r="G37" s="22" t="s">
        <v>213</v>
      </c>
      <c r="H37" s="22" t="s">
        <v>214</v>
      </c>
      <c r="I37" s="22" t="s">
        <v>265</v>
      </c>
      <c r="J37" s="17">
        <f>IFERROR(INDEX(Cost_Components!$K$2:$K$6,MATCH(E37,Cost_Components!$A$2:$A$6,0)),"")</f>
        <v>0.06</v>
      </c>
      <c r="K37" s="31">
        <v>0.2485</v>
      </c>
      <c r="L37" s="17">
        <f>IFERROR(INDEX(Cost_Components!$S$2:$S$6,MATCH(E37,Cost_Components!$A$2:$A$6,0)),"")</f>
        <v>0.113766857372906</v>
      </c>
      <c r="M37" s="28">
        <f>IFERROR(INDEX(Cost_Components!$L$2:$L$6,MATCH(E37,Cost_Components!$A$2:$A$6,0)),"")</f>
        <v>1</v>
      </c>
      <c r="N37" s="29">
        <f>IFERROR(INDEX(Cost_Components!$P$2:$P$6,MATCH(E37,Cost_Components!$A$2:$A$6,0)),"")</f>
        <v>22.229600000000001</v>
      </c>
      <c r="O37" s="23">
        <f t="shared" si="9"/>
        <v>10261000.23559404</v>
      </c>
      <c r="P37" s="23">
        <f t="shared" si="10"/>
        <v>10268943.29299338</v>
      </c>
      <c r="Q37" s="23">
        <f t="shared" si="11"/>
        <v>25970072.691101253</v>
      </c>
      <c r="R37" s="23">
        <f t="shared" si="12"/>
        <v>56682335.813034572</v>
      </c>
      <c r="S37" s="23">
        <f t="shared" si="13"/>
        <v>30712263.121933319</v>
      </c>
      <c r="T37" s="16">
        <f>IFERROR(INDEX(Cost_Components!$R$2:$R$6,MATCH(E37,Cost_Components!$A$2:$A$6,0)),"")</f>
        <v>1</v>
      </c>
      <c r="U37" s="26">
        <f>IFERROR(INDEX(Cost_Components!$Q$2:$Q$6,MATCH(E37,Cost_Components!$A$2:$A$6,0)),"")</f>
        <v>2023</v>
      </c>
      <c r="V37" s="30">
        <f>1/(1+Calculation_Assumptions!$B$5)^(B37-Calculation_Assumptions!$B$2)</f>
        <v>0.76641673234362695</v>
      </c>
      <c r="W37" s="23">
        <f t="shared" si="14"/>
        <v>19903898.250640284</v>
      </c>
      <c r="X37" s="23">
        <f t="shared" si="15"/>
        <v>43442290.595430098</v>
      </c>
      <c r="Y37" s="23">
        <f t="shared" si="16"/>
        <v>23538392.344789814</v>
      </c>
      <c r="Z37" s="17">
        <f>IFERROR(INDEX(Cost_Components!$T$2:$T$6,MATCH(E37,Cost_Components!$A$2:$A$6,0)),"")</f>
        <v>0.41649999999999998</v>
      </c>
      <c r="AA37" s="26">
        <f>IFERROR(INDEX(Cost_Components!$U$2:$U$6,MATCH(E37,Cost_Components!$A$2:$A$6,0)),"")</f>
        <v>2025</v>
      </c>
      <c r="AB37" s="26">
        <f>IFERROR(INDEX(Cost_Components!$V$2:$V$6,MATCH(E37,Cost_Components!$A$2:$A$6,0)),"")</f>
        <v>2040</v>
      </c>
      <c r="AC37" s="26">
        <f>IFERROR(INDEX(Cost_Components!$M$2:$M$6,MATCH(E37,Cost_Components!$A$2:$A$6,0)),"")</f>
        <v>30</v>
      </c>
      <c r="AD37" s="26">
        <f>IFERROR(INDEX(Cost_Components!$N$2:$N$6,MATCH(E37,Cost_Components!$A$2:$A$6,0)),"")</f>
        <v>95</v>
      </c>
      <c r="AE37" s="16" t="str">
        <f>IFERROR(INDEX(Cost_Components!$O$2:$O$6,MATCH(E37,Cost_Components!$A$2:$A$6,0)),"")</f>
        <v>Both</v>
      </c>
      <c r="AF37" s="11">
        <v>171016670.593234</v>
      </c>
      <c r="AG37" s="11">
        <v>171149054.883223</v>
      </c>
      <c r="AH37" s="23">
        <f t="shared" si="17"/>
        <v>1</v>
      </c>
    </row>
    <row r="38" spans="1:34">
      <c r="A38" t="s">
        <v>115</v>
      </c>
      <c r="B38" s="20">
        <v>2035</v>
      </c>
      <c r="C38" t="s">
        <v>204</v>
      </c>
      <c r="E38" s="22" t="s">
        <v>260</v>
      </c>
      <c r="F38" s="22" t="s">
        <v>261</v>
      </c>
      <c r="G38" s="22" t="s">
        <v>213</v>
      </c>
      <c r="H38" s="22" t="s">
        <v>214</v>
      </c>
      <c r="I38" s="22" t="s">
        <v>265</v>
      </c>
      <c r="J38" s="17">
        <f>IFERROR(INDEX(Cost_Components!$K$2:$K$6,MATCH(E38,Cost_Components!$A$2:$A$6,0)),"")</f>
        <v>0.06</v>
      </c>
      <c r="K38" s="31">
        <v>0.27650000000000002</v>
      </c>
      <c r="L38" s="17">
        <f>IFERROR(INDEX(Cost_Components!$S$2:$S$6,MATCH(E38,Cost_Components!$A$2:$A$6,0)),"")</f>
        <v>0.113766857372906</v>
      </c>
      <c r="M38" s="28">
        <f>IFERROR(INDEX(Cost_Components!$L$2:$L$6,MATCH(E38,Cost_Components!$A$2:$A$6,0)),"")</f>
        <v>1</v>
      </c>
      <c r="N38" s="29">
        <f>IFERROR(INDEX(Cost_Components!$P$2:$P$6,MATCH(E38,Cost_Components!$A$2:$A$6,0)),"")</f>
        <v>22.229600000000001</v>
      </c>
      <c r="O38" s="23">
        <f t="shared" si="9"/>
        <v>10393970.489224561</v>
      </c>
      <c r="P38" s="23">
        <f t="shared" si="10"/>
        <v>10400019.550089659</v>
      </c>
      <c r="Q38" s="23">
        <f t="shared" si="11"/>
        <v>26301563.461645335</v>
      </c>
      <c r="R38" s="23">
        <f t="shared" si="12"/>
        <v>63886377.466079146</v>
      </c>
      <c r="S38" s="23">
        <f t="shared" si="13"/>
        <v>37584814.004433811</v>
      </c>
      <c r="T38" s="16">
        <f>IFERROR(INDEX(Cost_Components!$R$2:$R$6,MATCH(E38,Cost_Components!$A$2:$A$6,0)),"")</f>
        <v>1</v>
      </c>
      <c r="U38" s="26">
        <f>IFERROR(INDEX(Cost_Components!$Q$2:$Q$6,MATCH(E38,Cost_Components!$A$2:$A$6,0)),"")</f>
        <v>2023</v>
      </c>
      <c r="V38" s="30">
        <f>1/(1+Calculation_Assumptions!$B$5)^(B38-Calculation_Assumptions!$B$2)</f>
        <v>0.74409391489672516</v>
      </c>
      <c r="W38" s="23">
        <f t="shared" si="14"/>
        <v>19570833.324080341</v>
      </c>
      <c r="X38" s="23">
        <f t="shared" si="15"/>
        <v>47537464.717304759</v>
      </c>
      <c r="Y38" s="23">
        <f t="shared" si="16"/>
        <v>27966631.393224414</v>
      </c>
      <c r="Z38" s="17">
        <f>IFERROR(INDEX(Cost_Components!$T$2:$T$6,MATCH(E38,Cost_Components!$A$2:$A$6,0)),"")</f>
        <v>0.41649999999999998</v>
      </c>
      <c r="AA38" s="26">
        <f>IFERROR(INDEX(Cost_Components!$U$2:$U$6,MATCH(E38,Cost_Components!$A$2:$A$6,0)),"")</f>
        <v>2025</v>
      </c>
      <c r="AB38" s="26">
        <f>IFERROR(INDEX(Cost_Components!$V$2:$V$6,MATCH(E38,Cost_Components!$A$2:$A$6,0)),"")</f>
        <v>2040</v>
      </c>
      <c r="AC38" s="26">
        <f>IFERROR(INDEX(Cost_Components!$M$2:$M$6,MATCH(E38,Cost_Components!$A$2:$A$6,0)),"")</f>
        <v>30</v>
      </c>
      <c r="AD38" s="26">
        <f>IFERROR(INDEX(Cost_Components!$N$2:$N$6,MATCH(E38,Cost_Components!$A$2:$A$6,0)),"")</f>
        <v>95</v>
      </c>
      <c r="AE38" s="16" t="str">
        <f>IFERROR(INDEX(Cost_Components!$O$2:$O$6,MATCH(E38,Cost_Components!$A$2:$A$6,0)),"")</f>
        <v>Both</v>
      </c>
      <c r="AF38" s="11">
        <v>173232841.48707601</v>
      </c>
      <c r="AG38" s="11">
        <v>173333659.168161</v>
      </c>
      <c r="AH38" s="23">
        <f t="shared" si="17"/>
        <v>1</v>
      </c>
    </row>
    <row r="39" spans="1:34">
      <c r="A39" t="s">
        <v>115</v>
      </c>
      <c r="B39" s="20">
        <v>2036</v>
      </c>
      <c r="C39" t="s">
        <v>204</v>
      </c>
      <c r="E39" s="22" t="s">
        <v>260</v>
      </c>
      <c r="F39" s="22" t="s">
        <v>261</v>
      </c>
      <c r="G39" s="22" t="s">
        <v>213</v>
      </c>
      <c r="H39" s="22" t="s">
        <v>214</v>
      </c>
      <c r="I39" s="22" t="s">
        <v>265</v>
      </c>
      <c r="J39" s="17">
        <f>IFERROR(INDEX(Cost_Components!$K$2:$K$6,MATCH(E39,Cost_Components!$A$2:$A$6,0)),"")</f>
        <v>0.06</v>
      </c>
      <c r="K39" s="31">
        <v>0.30449999999999999</v>
      </c>
      <c r="L39" s="17">
        <f>IFERROR(INDEX(Cost_Components!$S$2:$S$6,MATCH(E39,Cost_Components!$A$2:$A$6,0)),"")</f>
        <v>0.113766857372906</v>
      </c>
      <c r="M39" s="28">
        <f>IFERROR(INDEX(Cost_Components!$L$2:$L$6,MATCH(E39,Cost_Components!$A$2:$A$6,0)),"")</f>
        <v>1</v>
      </c>
      <c r="N39" s="29">
        <f>IFERROR(INDEX(Cost_Components!$P$2:$P$6,MATCH(E39,Cost_Components!$A$2:$A$6,0)),"")</f>
        <v>22.229600000000001</v>
      </c>
      <c r="O39" s="23">
        <f t="shared" si="9"/>
        <v>10530413.746598581</v>
      </c>
      <c r="P39" s="23">
        <f t="shared" si="10"/>
        <v>10534343.370947398</v>
      </c>
      <c r="Q39" s="23">
        <f t="shared" si="11"/>
        <v>26641267.294093423</v>
      </c>
      <c r="R39" s="23">
        <f t="shared" si="12"/>
        <v>71279456.61081259</v>
      </c>
      <c r="S39" s="23">
        <f t="shared" si="13"/>
        <v>44638189.316719167</v>
      </c>
      <c r="T39" s="16">
        <f>IFERROR(INDEX(Cost_Components!$R$2:$R$6,MATCH(E39,Cost_Components!$A$2:$A$6,0)),"")</f>
        <v>1</v>
      </c>
      <c r="U39" s="26">
        <f>IFERROR(INDEX(Cost_Components!$Q$2:$Q$6,MATCH(E39,Cost_Components!$A$2:$A$6,0)),"")</f>
        <v>2023</v>
      </c>
      <c r="V39" s="30">
        <f>1/(1+Calculation_Assumptions!$B$5)^(B39-Calculation_Assumptions!$B$2)</f>
        <v>0.72242127659876232</v>
      </c>
      <c r="W39" s="23">
        <f t="shared" si="14"/>
        <v>19246218.328807823</v>
      </c>
      <c r="X39" s="23">
        <f t="shared" si="15"/>
        <v>51493796.040049322</v>
      </c>
      <c r="Y39" s="23">
        <f t="shared" si="16"/>
        <v>32247577.711241495</v>
      </c>
      <c r="Z39" s="17">
        <f>IFERROR(INDEX(Cost_Components!$T$2:$T$6,MATCH(E39,Cost_Components!$A$2:$A$6,0)),"")</f>
        <v>0.41649999999999998</v>
      </c>
      <c r="AA39" s="26">
        <f>IFERROR(INDEX(Cost_Components!$U$2:$U$6,MATCH(E39,Cost_Components!$A$2:$A$6,0)),"")</f>
        <v>2025</v>
      </c>
      <c r="AB39" s="26">
        <f>IFERROR(INDEX(Cost_Components!$V$2:$V$6,MATCH(E39,Cost_Components!$A$2:$A$6,0)),"")</f>
        <v>2040</v>
      </c>
      <c r="AC39" s="26">
        <f>IFERROR(INDEX(Cost_Components!$M$2:$M$6,MATCH(E39,Cost_Components!$A$2:$A$6,0)),"")</f>
        <v>30</v>
      </c>
      <c r="AD39" s="26">
        <f>IFERROR(INDEX(Cost_Components!$N$2:$N$6,MATCH(E39,Cost_Components!$A$2:$A$6,0)),"")</f>
        <v>95</v>
      </c>
      <c r="AE39" s="16" t="str">
        <f>IFERROR(INDEX(Cost_Components!$O$2:$O$6,MATCH(E39,Cost_Components!$A$2:$A$6,0)),"")</f>
        <v>Both</v>
      </c>
      <c r="AF39" s="11">
        <v>175506895.77664301</v>
      </c>
      <c r="AG39" s="11">
        <v>175572389.51578999</v>
      </c>
      <c r="AH39" s="23">
        <f t="shared" si="17"/>
        <v>1</v>
      </c>
    </row>
    <row r="40" spans="1:34">
      <c r="A40" t="s">
        <v>115</v>
      </c>
      <c r="B40" s="20">
        <v>2037</v>
      </c>
      <c r="C40" t="s">
        <v>204</v>
      </c>
      <c r="E40" s="22" t="s">
        <v>260</v>
      </c>
      <c r="F40" s="22" t="s">
        <v>261</v>
      </c>
      <c r="G40" s="22" t="s">
        <v>213</v>
      </c>
      <c r="H40" s="22" t="s">
        <v>214</v>
      </c>
      <c r="I40" s="22" t="s">
        <v>265</v>
      </c>
      <c r="J40" s="17">
        <f>IFERROR(INDEX(Cost_Components!$K$2:$K$6,MATCH(E40,Cost_Components!$A$2:$A$6,0)),"")</f>
        <v>0.06</v>
      </c>
      <c r="K40" s="31">
        <v>0.33250000000000002</v>
      </c>
      <c r="L40" s="17">
        <f>IFERROR(INDEX(Cost_Components!$S$2:$S$6,MATCH(E40,Cost_Components!$A$2:$A$6,0)),"")</f>
        <v>0.113766857372906</v>
      </c>
      <c r="M40" s="28">
        <f>IFERROR(INDEX(Cost_Components!$L$2:$L$6,MATCH(E40,Cost_Components!$A$2:$A$6,0)),"")</f>
        <v>1</v>
      </c>
      <c r="N40" s="29">
        <f>IFERROR(INDEX(Cost_Components!$P$2:$P$6,MATCH(E40,Cost_Components!$A$2:$A$6,0)),"")</f>
        <v>22.229600000000001</v>
      </c>
      <c r="O40" s="23">
        <f t="shared" si="9"/>
        <v>10668752.32416054</v>
      </c>
      <c r="P40" s="23">
        <f t="shared" si="10"/>
        <v>10670315.39702064</v>
      </c>
      <c r="Q40" s="23">
        <f t="shared" si="11"/>
        <v>26985139.423905239</v>
      </c>
      <c r="R40" s="23">
        <f t="shared" si="12"/>
        <v>78856397.141165435</v>
      </c>
      <c r="S40" s="23">
        <f t="shared" si="13"/>
        <v>51871257.717260197</v>
      </c>
      <c r="T40" s="16">
        <f>IFERROR(INDEX(Cost_Components!$R$2:$R$6,MATCH(E40,Cost_Components!$A$2:$A$6,0)),"")</f>
        <v>1</v>
      </c>
      <c r="U40" s="26">
        <f>IFERROR(INDEX(Cost_Components!$Q$2:$Q$6,MATCH(E40,Cost_Components!$A$2:$A$6,0)),"")</f>
        <v>2023</v>
      </c>
      <c r="V40" s="30">
        <f>1/(1+Calculation_Assumptions!$B$5)^(B40-Calculation_Assumptions!$B$2)</f>
        <v>0.70137988019297326</v>
      </c>
      <c r="W40" s="23">
        <f t="shared" si="14"/>
        <v>18926833.856129337</v>
      </c>
      <c r="X40" s="23">
        <f t="shared" si="15"/>
        <v>55308290.37932013</v>
      </c>
      <c r="Y40" s="23">
        <f t="shared" si="16"/>
        <v>36381456.523190796</v>
      </c>
      <c r="Z40" s="17">
        <f>IFERROR(INDEX(Cost_Components!$T$2:$T$6,MATCH(E40,Cost_Components!$A$2:$A$6,0)),"")</f>
        <v>0.41649999999999998</v>
      </c>
      <c r="AA40" s="26">
        <f>IFERROR(INDEX(Cost_Components!$U$2:$U$6,MATCH(E40,Cost_Components!$A$2:$A$6,0)),"")</f>
        <v>2025</v>
      </c>
      <c r="AB40" s="26">
        <f>IFERROR(INDEX(Cost_Components!$V$2:$V$6,MATCH(E40,Cost_Components!$A$2:$A$6,0)),"")</f>
        <v>2040</v>
      </c>
      <c r="AC40" s="26">
        <f>IFERROR(INDEX(Cost_Components!$M$2:$M$6,MATCH(E40,Cost_Components!$A$2:$A$6,0)),"")</f>
        <v>30</v>
      </c>
      <c r="AD40" s="26">
        <f>IFERROR(INDEX(Cost_Components!$N$2:$N$6,MATCH(E40,Cost_Components!$A$2:$A$6,0)),"")</f>
        <v>95</v>
      </c>
      <c r="AE40" s="16" t="str">
        <f>IFERROR(INDEX(Cost_Components!$O$2:$O$6,MATCH(E40,Cost_Components!$A$2:$A$6,0)),"")</f>
        <v>Both</v>
      </c>
      <c r="AF40" s="11">
        <v>177812538.736009</v>
      </c>
      <c r="AG40" s="11">
        <v>177838589.950344</v>
      </c>
      <c r="AH40" s="23">
        <f t="shared" si="17"/>
        <v>1</v>
      </c>
    </row>
    <row r="41" spans="1:34">
      <c r="A41" t="s">
        <v>115</v>
      </c>
      <c r="B41" s="20">
        <v>2038</v>
      </c>
      <c r="C41" t="s">
        <v>204</v>
      </c>
      <c r="E41" s="22" t="s">
        <v>260</v>
      </c>
      <c r="F41" s="22" t="s">
        <v>261</v>
      </c>
      <c r="G41" s="22" t="s">
        <v>213</v>
      </c>
      <c r="H41" s="22" t="s">
        <v>214</v>
      </c>
      <c r="I41" s="22" t="s">
        <v>265</v>
      </c>
      <c r="J41" s="17">
        <f>IFERROR(INDEX(Cost_Components!$K$2:$K$6,MATCH(E41,Cost_Components!$A$2:$A$6,0)),"")</f>
        <v>0.06</v>
      </c>
      <c r="K41" s="31">
        <v>0.36049999999999999</v>
      </c>
      <c r="L41" s="17">
        <f>IFERROR(INDEX(Cost_Components!$S$2:$S$6,MATCH(E41,Cost_Components!$A$2:$A$6,0)),"")</f>
        <v>0.113766857372906</v>
      </c>
      <c r="M41" s="28">
        <f>IFERROR(INDEX(Cost_Components!$L$2:$L$6,MATCH(E41,Cost_Components!$A$2:$A$6,0)),"")</f>
        <v>1</v>
      </c>
      <c r="N41" s="29">
        <f>IFERROR(INDEX(Cost_Components!$P$2:$P$6,MATCH(E41,Cost_Components!$A$2:$A$6,0)),"")</f>
        <v>22.229600000000001</v>
      </c>
      <c r="O41" s="23">
        <f t="shared" si="9"/>
        <v>10806219.014087399</v>
      </c>
      <c r="P41" s="23">
        <f t="shared" si="10"/>
        <v>10805121.696150118</v>
      </c>
      <c r="Q41" s="23">
        <f t="shared" si="11"/>
        <v>27326063.439913742</v>
      </c>
      <c r="R41" s="23">
        <f t="shared" si="12"/>
        <v>86598562.393498391</v>
      </c>
      <c r="S41" s="23">
        <f t="shared" si="13"/>
        <v>59272498.953584649</v>
      </c>
      <c r="T41" s="16">
        <f>IFERROR(INDEX(Cost_Components!$R$2:$R$6,MATCH(E41,Cost_Components!$A$2:$A$6,0)),"")</f>
        <v>1</v>
      </c>
      <c r="U41" s="26">
        <f>IFERROR(INDEX(Cost_Components!$Q$2:$Q$6,MATCH(E41,Cost_Components!$A$2:$A$6,0)),"")</f>
        <v>2023</v>
      </c>
      <c r="V41" s="30">
        <f>1/(1+Calculation_Assumptions!$B$5)^(B41-Calculation_Assumptions!$B$2)</f>
        <v>0.68095133999317792</v>
      </c>
      <c r="W41" s="23">
        <f t="shared" si="14"/>
        <v>18607719.516147852</v>
      </c>
      <c r="X41" s="23">
        <f t="shared" si="15"/>
        <v>58969407.103335552</v>
      </c>
      <c r="Y41" s="23">
        <f t="shared" si="16"/>
        <v>40361687.5871877</v>
      </c>
      <c r="Z41" s="17">
        <f>IFERROR(INDEX(Cost_Components!$T$2:$T$6,MATCH(E41,Cost_Components!$A$2:$A$6,0)),"")</f>
        <v>0.41649999999999998</v>
      </c>
      <c r="AA41" s="26">
        <f>IFERROR(INDEX(Cost_Components!$U$2:$U$6,MATCH(E41,Cost_Components!$A$2:$A$6,0)),"")</f>
        <v>2025</v>
      </c>
      <c r="AB41" s="26">
        <f>IFERROR(INDEX(Cost_Components!$V$2:$V$6,MATCH(E41,Cost_Components!$A$2:$A$6,0)),"")</f>
        <v>2040</v>
      </c>
      <c r="AC41" s="26">
        <f>IFERROR(INDEX(Cost_Components!$M$2:$M$6,MATCH(E41,Cost_Components!$A$2:$A$6,0)),"")</f>
        <v>30</v>
      </c>
      <c r="AD41" s="26">
        <f>IFERROR(INDEX(Cost_Components!$N$2:$N$6,MATCH(E41,Cost_Components!$A$2:$A$6,0)),"")</f>
        <v>95</v>
      </c>
      <c r="AE41" s="16" t="str">
        <f>IFERROR(INDEX(Cost_Components!$O$2:$O$6,MATCH(E41,Cost_Components!$A$2:$A$6,0)),"")</f>
        <v>Both</v>
      </c>
      <c r="AF41" s="11">
        <v>180103650.23479</v>
      </c>
      <c r="AG41" s="11">
        <v>180085361.60250199</v>
      </c>
      <c r="AH41" s="23">
        <f t="shared" si="17"/>
        <v>1</v>
      </c>
    </row>
    <row r="42" spans="1:34">
      <c r="A42" t="s">
        <v>115</v>
      </c>
      <c r="B42" s="20">
        <v>2039</v>
      </c>
      <c r="C42" t="s">
        <v>204</v>
      </c>
      <c r="E42" s="22" t="s">
        <v>260</v>
      </c>
      <c r="F42" s="22" t="s">
        <v>261</v>
      </c>
      <c r="G42" s="22" t="s">
        <v>213</v>
      </c>
      <c r="H42" s="22" t="s">
        <v>214</v>
      </c>
      <c r="I42" s="22" t="s">
        <v>265</v>
      </c>
      <c r="J42" s="17">
        <f>IFERROR(INDEX(Cost_Components!$K$2:$K$6,MATCH(E42,Cost_Components!$A$2:$A$6,0)),"")</f>
        <v>0.06</v>
      </c>
      <c r="K42" s="31">
        <v>0.38850000000000001</v>
      </c>
      <c r="L42" s="17">
        <f>IFERROR(INDEX(Cost_Components!$S$2:$S$6,MATCH(E42,Cost_Components!$A$2:$A$6,0)),"")</f>
        <v>0.113766857372906</v>
      </c>
      <c r="M42" s="28">
        <f>IFERROR(INDEX(Cost_Components!$L$2:$L$6,MATCH(E42,Cost_Components!$A$2:$A$6,0)),"")</f>
        <v>1</v>
      </c>
      <c r="N42" s="29">
        <f>IFERROR(INDEX(Cost_Components!$P$2:$P$6,MATCH(E42,Cost_Components!$A$2:$A$6,0)),"")</f>
        <v>22.229600000000001</v>
      </c>
      <c r="O42" s="23">
        <f t="shared" si="9"/>
        <v>10941525.708576659</v>
      </c>
      <c r="P42" s="23">
        <f t="shared" si="10"/>
        <v>10937462.389660859</v>
      </c>
      <c r="Q42" s="23">
        <f t="shared" si="11"/>
        <v>27660751.959696468</v>
      </c>
      <c r="R42" s="23">
        <f t="shared" si="12"/>
        <v>94493199.947799474</v>
      </c>
      <c r="S42" s="23">
        <f t="shared" si="13"/>
        <v>66832447.988103002</v>
      </c>
      <c r="T42" s="16">
        <f>IFERROR(INDEX(Cost_Components!$R$2:$R$6,MATCH(E42,Cost_Components!$A$2:$A$6,0)),"")</f>
        <v>1</v>
      </c>
      <c r="U42" s="26">
        <f>IFERROR(INDEX(Cost_Components!$Q$2:$Q$6,MATCH(E42,Cost_Components!$A$2:$A$6,0)),"")</f>
        <v>2023</v>
      </c>
      <c r="V42" s="30">
        <f>1/(1+Calculation_Assumptions!$B$5)^(B42-Calculation_Assumptions!$B$2)</f>
        <v>0.66111780581861923</v>
      </c>
      <c r="W42" s="23">
        <f t="shared" si="14"/>
        <v>18287015.6428876</v>
      </c>
      <c r="X42" s="23">
        <f t="shared" si="15"/>
        <v>62471137.014269255</v>
      </c>
      <c r="Y42" s="23">
        <f t="shared" si="16"/>
        <v>44184121.371381648</v>
      </c>
      <c r="Z42" s="17">
        <f>IFERROR(INDEX(Cost_Components!$T$2:$T$6,MATCH(E42,Cost_Components!$A$2:$A$6,0)),"")</f>
        <v>0.41649999999999998</v>
      </c>
      <c r="AA42" s="26">
        <f>IFERROR(INDEX(Cost_Components!$U$2:$U$6,MATCH(E42,Cost_Components!$A$2:$A$6,0)),"")</f>
        <v>2025</v>
      </c>
      <c r="AB42" s="26">
        <f>IFERROR(INDEX(Cost_Components!$V$2:$V$6,MATCH(E42,Cost_Components!$A$2:$A$6,0)),"")</f>
        <v>2040</v>
      </c>
      <c r="AC42" s="26">
        <f>IFERROR(INDEX(Cost_Components!$M$2:$M$6,MATCH(E42,Cost_Components!$A$2:$A$6,0)),"")</f>
        <v>30</v>
      </c>
      <c r="AD42" s="26">
        <f>IFERROR(INDEX(Cost_Components!$N$2:$N$6,MATCH(E42,Cost_Components!$A$2:$A$6,0)),"")</f>
        <v>95</v>
      </c>
      <c r="AE42" s="16" t="str">
        <f>IFERROR(INDEX(Cost_Components!$O$2:$O$6,MATCH(E42,Cost_Components!$A$2:$A$6,0)),"")</f>
        <v>Both</v>
      </c>
      <c r="AF42" s="11">
        <v>182358761.80961099</v>
      </c>
      <c r="AG42" s="11">
        <v>182291039.82768101</v>
      </c>
      <c r="AH42" s="23">
        <f t="shared" si="17"/>
        <v>1</v>
      </c>
    </row>
    <row r="43" spans="1:34">
      <c r="A43" t="s">
        <v>115</v>
      </c>
      <c r="B43" s="20">
        <v>2040</v>
      </c>
      <c r="C43" t="s">
        <v>204</v>
      </c>
      <c r="E43" s="22" t="s">
        <v>260</v>
      </c>
      <c r="F43" s="22" t="s">
        <v>261</v>
      </c>
      <c r="G43" s="22" t="s">
        <v>213</v>
      </c>
      <c r="H43" s="22" t="s">
        <v>214</v>
      </c>
      <c r="I43" s="22" t="s">
        <v>265</v>
      </c>
      <c r="J43" s="17">
        <f>IFERROR(INDEX(Cost_Components!$K$2:$K$6,MATCH(E43,Cost_Components!$A$2:$A$6,0)),"")</f>
        <v>0.06</v>
      </c>
      <c r="K43" s="31">
        <v>0.41649999999999998</v>
      </c>
      <c r="L43" s="17">
        <f>IFERROR(INDEX(Cost_Components!$S$2:$S$6,MATCH(E43,Cost_Components!$A$2:$A$6,0)),"")</f>
        <v>0.113766857372906</v>
      </c>
      <c r="M43" s="28">
        <f>IFERROR(INDEX(Cost_Components!$L$2:$L$6,MATCH(E43,Cost_Components!$A$2:$A$6,0)),"")</f>
        <v>1</v>
      </c>
      <c r="N43" s="29">
        <f>IFERROR(INDEX(Cost_Components!$P$2:$P$6,MATCH(E43,Cost_Components!$A$2:$A$6,0)),"")</f>
        <v>22.229600000000001</v>
      </c>
      <c r="O43" s="23">
        <f t="shared" si="9"/>
        <v>11077440.31050984</v>
      </c>
      <c r="P43" s="23">
        <f t="shared" si="10"/>
        <v>11070081.78465132</v>
      </c>
      <c r="Q43" s="23">
        <f t="shared" si="11"/>
        <v>27996145.313217286</v>
      </c>
      <c r="R43" s="23">
        <f t="shared" si="12"/>
        <v>102561903.45819123</v>
      </c>
      <c r="S43" s="23">
        <f t="shared" si="13"/>
        <v>74565758.144973949</v>
      </c>
      <c r="T43" s="16">
        <f>IFERROR(INDEX(Cost_Components!$R$2:$R$6,MATCH(E43,Cost_Components!$A$2:$A$6,0)),"")</f>
        <v>1</v>
      </c>
      <c r="U43" s="26">
        <f>IFERROR(INDEX(Cost_Components!$Q$2:$Q$6,MATCH(E43,Cost_Components!$A$2:$A$6,0)),"")</f>
        <v>2023</v>
      </c>
      <c r="V43" s="30">
        <f>1/(1+Calculation_Assumptions!$B$5)^(B43-Calculation_Assumptions!$B$2)</f>
        <v>0.64186194739671765</v>
      </c>
      <c r="W43" s="23">
        <f t="shared" si="14"/>
        <v>17969660.350343138</v>
      </c>
      <c r="X43" s="23">
        <f t="shared" si="15"/>
        <v>65830583.082388774</v>
      </c>
      <c r="Y43" s="23">
        <f t="shared" si="16"/>
        <v>47860922.732045636</v>
      </c>
      <c r="Z43" s="17">
        <f>IFERROR(INDEX(Cost_Components!$T$2:$T$6,MATCH(E43,Cost_Components!$A$2:$A$6,0)),"")</f>
        <v>0.41649999999999998</v>
      </c>
      <c r="AA43" s="26">
        <f>IFERROR(INDEX(Cost_Components!$U$2:$U$6,MATCH(E43,Cost_Components!$A$2:$A$6,0)),"")</f>
        <v>2025</v>
      </c>
      <c r="AB43" s="26">
        <f>IFERROR(INDEX(Cost_Components!$V$2:$V$6,MATCH(E43,Cost_Components!$A$2:$A$6,0)),"")</f>
        <v>2040</v>
      </c>
      <c r="AC43" s="26">
        <f>IFERROR(INDEX(Cost_Components!$M$2:$M$6,MATCH(E43,Cost_Components!$A$2:$A$6,0)),"")</f>
        <v>30</v>
      </c>
      <c r="AD43" s="26">
        <f>IFERROR(INDEX(Cost_Components!$N$2:$N$6,MATCH(E43,Cost_Components!$A$2:$A$6,0)),"")</f>
        <v>95</v>
      </c>
      <c r="AE43" s="16" t="str">
        <f>IFERROR(INDEX(Cost_Components!$O$2:$O$6,MATCH(E43,Cost_Components!$A$2:$A$6,0)),"")</f>
        <v>Both</v>
      </c>
      <c r="AF43" s="11">
        <v>184624005.17516401</v>
      </c>
      <c r="AG43" s="11">
        <v>184501363.07752201</v>
      </c>
      <c r="AH43" s="23">
        <f t="shared" si="17"/>
        <v>1</v>
      </c>
    </row>
    <row r="44" spans="1:34">
      <c r="A44" t="s">
        <v>115</v>
      </c>
      <c r="B44" s="20">
        <v>2041</v>
      </c>
      <c r="C44" t="s">
        <v>204</v>
      </c>
      <c r="E44" s="22" t="s">
        <v>260</v>
      </c>
      <c r="F44" s="22" t="s">
        <v>261</v>
      </c>
      <c r="G44" s="22" t="s">
        <v>213</v>
      </c>
      <c r="H44" s="22" t="s">
        <v>214</v>
      </c>
      <c r="I44" s="22" t="s">
        <v>265</v>
      </c>
      <c r="J44" s="17">
        <f>IFERROR(INDEX(Cost_Components!$K$2:$K$6,MATCH(E44,Cost_Components!$A$2:$A$6,0)),"")</f>
        <v>0.06</v>
      </c>
      <c r="K44" s="31">
        <v>0.41649999999999998</v>
      </c>
      <c r="L44" s="17">
        <f>IFERROR(INDEX(Cost_Components!$S$2:$S$6,MATCH(E44,Cost_Components!$A$2:$A$6,0)),"")</f>
        <v>0.113766857372906</v>
      </c>
      <c r="M44" s="28">
        <f>IFERROR(INDEX(Cost_Components!$L$2:$L$6,MATCH(E44,Cost_Components!$A$2:$A$6,0)),"")</f>
        <v>1</v>
      </c>
      <c r="N44" s="29">
        <f>IFERROR(INDEX(Cost_Components!$P$2:$P$6,MATCH(E44,Cost_Components!$A$2:$A$6,0)),"")</f>
        <v>22.229600000000001</v>
      </c>
      <c r="O44" s="23">
        <f t="shared" si="9"/>
        <v>11216598.027890518</v>
      </c>
      <c r="P44" s="23">
        <f t="shared" si="10"/>
        <v>11202671.601497399</v>
      </c>
      <c r="Q44" s="23">
        <f t="shared" si="11"/>
        <v>28331463.863855492</v>
      </c>
      <c r="R44" s="23">
        <f t="shared" si="12"/>
        <v>103850313.05241114</v>
      </c>
      <c r="S44" s="23">
        <f t="shared" si="13"/>
        <v>75518849.188555643</v>
      </c>
      <c r="T44" s="16">
        <f>IFERROR(INDEX(Cost_Components!$R$2:$R$6,MATCH(E44,Cost_Components!$A$2:$A$6,0)),"")</f>
        <v>1</v>
      </c>
      <c r="U44" s="26">
        <f>IFERROR(INDEX(Cost_Components!$Q$2:$Q$6,MATCH(E44,Cost_Components!$A$2:$A$6,0)),"")</f>
        <v>2023</v>
      </c>
      <c r="V44" s="30">
        <f>1/(1+Calculation_Assumptions!$B$5)^(B44-Calculation_Assumptions!$B$2)</f>
        <v>0.62316693922011435</v>
      </c>
      <c r="W44" s="23">
        <f t="shared" si="14"/>
        <v>17655231.619664103</v>
      </c>
      <c r="X44" s="23">
        <f t="shared" si="15"/>
        <v>64716081.721921742</v>
      </c>
      <c r="Y44" s="23">
        <f t="shared" si="16"/>
        <v>47060850.102257639</v>
      </c>
      <c r="Z44" s="17">
        <f>IFERROR(INDEX(Cost_Components!$T$2:$T$6,MATCH(E44,Cost_Components!$A$2:$A$6,0)),"")</f>
        <v>0.41649999999999998</v>
      </c>
      <c r="AA44" s="26">
        <f>IFERROR(INDEX(Cost_Components!$U$2:$U$6,MATCH(E44,Cost_Components!$A$2:$A$6,0)),"")</f>
        <v>2025</v>
      </c>
      <c r="AB44" s="26">
        <f>IFERROR(INDEX(Cost_Components!$V$2:$V$6,MATCH(E44,Cost_Components!$A$2:$A$6,0)),"")</f>
        <v>2040</v>
      </c>
      <c r="AC44" s="26">
        <f>IFERROR(INDEX(Cost_Components!$M$2:$M$6,MATCH(E44,Cost_Components!$A$2:$A$6,0)),"")</f>
        <v>30</v>
      </c>
      <c r="AD44" s="26">
        <f>IFERROR(INDEX(Cost_Components!$N$2:$N$6,MATCH(E44,Cost_Components!$A$2:$A$6,0)),"")</f>
        <v>95</v>
      </c>
      <c r="AE44" s="16" t="str">
        <f>IFERROR(INDEX(Cost_Components!$O$2:$O$6,MATCH(E44,Cost_Components!$A$2:$A$6,0)),"")</f>
        <v>Both</v>
      </c>
      <c r="AF44" s="11">
        <v>186943300.46484199</v>
      </c>
      <c r="AG44" s="11">
        <v>186711193.35828999</v>
      </c>
      <c r="AH44" s="23">
        <f t="shared" si="17"/>
        <v>1</v>
      </c>
    </row>
    <row r="45" spans="1:34">
      <c r="A45" t="s">
        <v>115</v>
      </c>
      <c r="B45" s="20">
        <v>2042</v>
      </c>
      <c r="C45" t="s">
        <v>204</v>
      </c>
      <c r="E45" s="22" t="s">
        <v>260</v>
      </c>
      <c r="F45" s="22" t="s">
        <v>261</v>
      </c>
      <c r="G45" s="22" t="s">
        <v>213</v>
      </c>
      <c r="H45" s="22" t="s">
        <v>214</v>
      </c>
      <c r="I45" s="22" t="s">
        <v>265</v>
      </c>
      <c r="J45" s="17">
        <f>IFERROR(INDEX(Cost_Components!$K$2:$K$6,MATCH(E45,Cost_Components!$A$2:$A$6,0)),"")</f>
        <v>0.06</v>
      </c>
      <c r="K45" s="31">
        <v>0.41649999999999998</v>
      </c>
      <c r="L45" s="17">
        <f>IFERROR(INDEX(Cost_Components!$S$2:$S$6,MATCH(E45,Cost_Components!$A$2:$A$6,0)),"")</f>
        <v>0.113766857372906</v>
      </c>
      <c r="M45" s="28">
        <f>IFERROR(INDEX(Cost_Components!$L$2:$L$6,MATCH(E45,Cost_Components!$A$2:$A$6,0)),"")</f>
        <v>1</v>
      </c>
      <c r="N45" s="29">
        <f>IFERROR(INDEX(Cost_Components!$P$2:$P$6,MATCH(E45,Cost_Components!$A$2:$A$6,0)),"")</f>
        <v>22.229600000000001</v>
      </c>
      <c r="O45" s="23">
        <f t="shared" si="9"/>
        <v>11357510.24586192</v>
      </c>
      <c r="P45" s="23">
        <f t="shared" si="10"/>
        <v>11339671.967805719</v>
      </c>
      <c r="Q45" s="23">
        <f t="shared" si="11"/>
        <v>28677936.65762018</v>
      </c>
      <c r="R45" s="23">
        <f t="shared" si="12"/>
        <v>105154966.91562815</v>
      </c>
      <c r="S45" s="23">
        <f t="shared" si="13"/>
        <v>76477030.258007973</v>
      </c>
      <c r="T45" s="16">
        <f>IFERROR(INDEX(Cost_Components!$R$2:$R$6,MATCH(E45,Cost_Components!$A$2:$A$6,0)),"")</f>
        <v>1</v>
      </c>
      <c r="U45" s="26">
        <f>IFERROR(INDEX(Cost_Components!$Q$2:$Q$6,MATCH(E45,Cost_Components!$A$2:$A$6,0)),"")</f>
        <v>2023</v>
      </c>
      <c r="V45" s="30">
        <f>1/(1+Calculation_Assumptions!$B$5)^(B45-Calculation_Assumptions!$B$2)</f>
        <v>0.60501644584477121</v>
      </c>
      <c r="W45" s="23">
        <f t="shared" si="14"/>
        <v>17350623.310754839</v>
      </c>
      <c r="X45" s="23">
        <f t="shared" si="15"/>
        <v>63620484.346217848</v>
      </c>
      <c r="Y45" s="23">
        <f t="shared" si="16"/>
        <v>46269861.035463013</v>
      </c>
      <c r="Z45" s="17">
        <f>IFERROR(INDEX(Cost_Components!$T$2:$T$6,MATCH(E45,Cost_Components!$A$2:$A$6,0)),"")</f>
        <v>0.41649999999999998</v>
      </c>
      <c r="AA45" s="26">
        <f>IFERROR(INDEX(Cost_Components!$U$2:$U$6,MATCH(E45,Cost_Components!$A$2:$A$6,0)),"")</f>
        <v>2025</v>
      </c>
      <c r="AB45" s="26">
        <f>IFERROR(INDEX(Cost_Components!$V$2:$V$6,MATCH(E45,Cost_Components!$A$2:$A$6,0)),"")</f>
        <v>2040</v>
      </c>
      <c r="AC45" s="26">
        <f>IFERROR(INDEX(Cost_Components!$M$2:$M$6,MATCH(E45,Cost_Components!$A$2:$A$6,0)),"")</f>
        <v>30</v>
      </c>
      <c r="AD45" s="26">
        <f>IFERROR(INDEX(Cost_Components!$N$2:$N$6,MATCH(E45,Cost_Components!$A$2:$A$6,0)),"")</f>
        <v>95</v>
      </c>
      <c r="AE45" s="16" t="str">
        <f>IFERROR(INDEX(Cost_Components!$O$2:$O$6,MATCH(E45,Cost_Components!$A$2:$A$6,0)),"")</f>
        <v>Both</v>
      </c>
      <c r="AF45" s="11">
        <v>189291837.431032</v>
      </c>
      <c r="AG45" s="11">
        <v>188994532.79676199</v>
      </c>
      <c r="AH45" s="23">
        <f t="shared" si="17"/>
        <v>1</v>
      </c>
    </row>
    <row r="46" spans="1:34">
      <c r="A46" t="s">
        <v>115</v>
      </c>
      <c r="B46" s="20">
        <v>2043</v>
      </c>
      <c r="C46" t="s">
        <v>204</v>
      </c>
      <c r="E46" s="22" t="s">
        <v>260</v>
      </c>
      <c r="F46" s="22" t="s">
        <v>261</v>
      </c>
      <c r="G46" s="22" t="s">
        <v>213</v>
      </c>
      <c r="H46" s="22" t="s">
        <v>214</v>
      </c>
      <c r="I46" s="22" t="s">
        <v>265</v>
      </c>
      <c r="J46" s="17">
        <f>IFERROR(INDEX(Cost_Components!$K$2:$K$6,MATCH(E46,Cost_Components!$A$2:$A$6,0)),"")</f>
        <v>0.06</v>
      </c>
      <c r="K46" s="31">
        <v>0.41649999999999998</v>
      </c>
      <c r="L46" s="17">
        <f>IFERROR(INDEX(Cost_Components!$S$2:$S$6,MATCH(E46,Cost_Components!$A$2:$A$6,0)),"")</f>
        <v>0.113766857372906</v>
      </c>
      <c r="M46" s="28">
        <f>IFERROR(INDEX(Cost_Components!$L$2:$L$6,MATCH(E46,Cost_Components!$A$2:$A$6,0)),"")</f>
        <v>1</v>
      </c>
      <c r="N46" s="29">
        <f>IFERROR(INDEX(Cost_Components!$P$2:$P$6,MATCH(E46,Cost_Components!$A$2:$A$6,0)),"")</f>
        <v>22.229600000000001</v>
      </c>
      <c r="O46" s="23">
        <f t="shared" si="9"/>
        <v>11492613.509312039</v>
      </c>
      <c r="P46" s="23">
        <f t="shared" si="10"/>
        <v>11472847.855685219</v>
      </c>
      <c r="Q46" s="23">
        <f t="shared" si="11"/>
        <v>29014737.377056658</v>
      </c>
      <c r="R46" s="23">
        <f t="shared" si="12"/>
        <v>106405837.82754011</v>
      </c>
      <c r="S46" s="23">
        <f t="shared" si="13"/>
        <v>77391100.450483456</v>
      </c>
      <c r="T46" s="16">
        <f>IFERROR(INDEX(Cost_Components!$R$2:$R$6,MATCH(E46,Cost_Components!$A$2:$A$6,0)),"")</f>
        <v>1</v>
      </c>
      <c r="U46" s="26">
        <f>IFERROR(INDEX(Cost_Components!$Q$2:$Q$6,MATCH(E46,Cost_Components!$A$2:$A$6,0)),"")</f>
        <v>2023</v>
      </c>
      <c r="V46" s="30">
        <f>1/(1+Calculation_Assumptions!$B$5)^(B46-Calculation_Assumptions!$B$2)</f>
        <v>0.5873946076162827</v>
      </c>
      <c r="W46" s="23">
        <f t="shared" si="14"/>
        <v>17043100.276685689</v>
      </c>
      <c r="X46" s="23">
        <f t="shared" si="15"/>
        <v>62502215.358789735</v>
      </c>
      <c r="Y46" s="23">
        <f t="shared" si="16"/>
        <v>45459115.08210405</v>
      </c>
      <c r="Z46" s="17">
        <f>IFERROR(INDEX(Cost_Components!$T$2:$T$6,MATCH(E46,Cost_Components!$A$2:$A$6,0)),"")</f>
        <v>0.41649999999999998</v>
      </c>
      <c r="AA46" s="26">
        <f>IFERROR(INDEX(Cost_Components!$U$2:$U$6,MATCH(E46,Cost_Components!$A$2:$A$6,0)),"")</f>
        <v>2025</v>
      </c>
      <c r="AB46" s="26">
        <f>IFERROR(INDEX(Cost_Components!$V$2:$V$6,MATCH(E46,Cost_Components!$A$2:$A$6,0)),"")</f>
        <v>2040</v>
      </c>
      <c r="AC46" s="26">
        <f>IFERROR(INDEX(Cost_Components!$M$2:$M$6,MATCH(E46,Cost_Components!$A$2:$A$6,0)),"")</f>
        <v>30</v>
      </c>
      <c r="AD46" s="26">
        <f>IFERROR(INDEX(Cost_Components!$N$2:$N$6,MATCH(E46,Cost_Components!$A$2:$A$6,0)),"")</f>
        <v>95</v>
      </c>
      <c r="AE46" s="16" t="str">
        <f>IFERROR(INDEX(Cost_Components!$O$2:$O$6,MATCH(E46,Cost_Components!$A$2:$A$6,0)),"")</f>
        <v>Both</v>
      </c>
      <c r="AF46" s="11">
        <v>191543558.488534</v>
      </c>
      <c r="AG46" s="11">
        <v>191214130.928087</v>
      </c>
      <c r="AH46" s="23">
        <f t="shared" si="17"/>
        <v>1</v>
      </c>
    </row>
    <row r="47" spans="1:34">
      <c r="A47" t="s">
        <v>115</v>
      </c>
      <c r="B47" s="20">
        <v>2044</v>
      </c>
      <c r="C47" t="s">
        <v>204</v>
      </c>
      <c r="E47" s="22" t="s">
        <v>260</v>
      </c>
      <c r="F47" s="22" t="s">
        <v>261</v>
      </c>
      <c r="G47" s="22" t="s">
        <v>213</v>
      </c>
      <c r="H47" s="22" t="s">
        <v>214</v>
      </c>
      <c r="I47" s="22" t="s">
        <v>265</v>
      </c>
      <c r="J47" s="17">
        <f>IFERROR(INDEX(Cost_Components!$K$2:$K$6,MATCH(E47,Cost_Components!$A$2:$A$6,0)),"")</f>
        <v>0.06</v>
      </c>
      <c r="K47" s="31">
        <v>0.41649999999999998</v>
      </c>
      <c r="L47" s="17">
        <f>IFERROR(INDEX(Cost_Components!$S$2:$S$6,MATCH(E47,Cost_Components!$A$2:$A$6,0)),"")</f>
        <v>0.113766857372906</v>
      </c>
      <c r="M47" s="28">
        <f>IFERROR(INDEX(Cost_Components!$L$2:$L$6,MATCH(E47,Cost_Components!$A$2:$A$6,0)),"")</f>
        <v>1</v>
      </c>
      <c r="N47" s="29">
        <f>IFERROR(INDEX(Cost_Components!$P$2:$P$6,MATCH(E47,Cost_Components!$A$2:$A$6,0)),"")</f>
        <v>22.229600000000001</v>
      </c>
      <c r="O47" s="23">
        <f t="shared" si="9"/>
        <v>11618964.100752361</v>
      </c>
      <c r="P47" s="23">
        <f t="shared" si="10"/>
        <v>11595371.31107112</v>
      </c>
      <c r="Q47" s="23">
        <f t="shared" si="11"/>
        <v>29324598.182784136</v>
      </c>
      <c r="R47" s="23">
        <f t="shared" si="12"/>
        <v>107575671.00180627</v>
      </c>
      <c r="S47" s="23">
        <f t="shared" si="13"/>
        <v>78251072.819022134</v>
      </c>
      <c r="T47" s="16">
        <f>IFERROR(INDEX(Cost_Components!$R$2:$R$6,MATCH(E47,Cost_Components!$A$2:$A$6,0)),"")</f>
        <v>1</v>
      </c>
      <c r="U47" s="26">
        <f>IFERROR(INDEX(Cost_Components!$Q$2:$Q$6,MATCH(E47,Cost_Components!$A$2:$A$6,0)),"")</f>
        <v>2023</v>
      </c>
      <c r="V47" s="30">
        <f>1/(1+Calculation_Assumptions!$B$5)^(B47-Calculation_Assumptions!$B$2)</f>
        <v>0.57028602681192497</v>
      </c>
      <c r="W47" s="23">
        <f t="shared" si="14"/>
        <v>16723408.58551616</v>
      </c>
      <c r="X47" s="23">
        <f t="shared" si="15"/>
        <v>61348901.997246914</v>
      </c>
      <c r="Y47" s="23">
        <f t="shared" si="16"/>
        <v>44625493.411730751</v>
      </c>
      <c r="Z47" s="17">
        <f>IFERROR(INDEX(Cost_Components!$T$2:$T$6,MATCH(E47,Cost_Components!$A$2:$A$6,0)),"")</f>
        <v>0.41649999999999998</v>
      </c>
      <c r="AA47" s="26">
        <f>IFERROR(INDEX(Cost_Components!$U$2:$U$6,MATCH(E47,Cost_Components!$A$2:$A$6,0)),"")</f>
        <v>2025</v>
      </c>
      <c r="AB47" s="26">
        <f>IFERROR(INDEX(Cost_Components!$V$2:$V$6,MATCH(E47,Cost_Components!$A$2:$A$6,0)),"")</f>
        <v>2040</v>
      </c>
      <c r="AC47" s="26">
        <f>IFERROR(INDEX(Cost_Components!$M$2:$M$6,MATCH(E47,Cost_Components!$A$2:$A$6,0)),"")</f>
        <v>30</v>
      </c>
      <c r="AD47" s="26">
        <f>IFERROR(INDEX(Cost_Components!$N$2:$N$6,MATCH(E47,Cost_Components!$A$2:$A$6,0)),"")</f>
        <v>95</v>
      </c>
      <c r="AE47" s="16" t="str">
        <f>IFERROR(INDEX(Cost_Components!$O$2:$O$6,MATCH(E47,Cost_Components!$A$2:$A$6,0)),"")</f>
        <v>Both</v>
      </c>
      <c r="AF47" s="11">
        <v>193649401.67920601</v>
      </c>
      <c r="AG47" s="11">
        <v>193256188.51785201</v>
      </c>
      <c r="AH47" s="23">
        <f t="shared" si="17"/>
        <v>1</v>
      </c>
    </row>
    <row r="48" spans="1:34">
      <c r="A48" t="s">
        <v>115</v>
      </c>
      <c r="B48" s="20">
        <v>2045</v>
      </c>
      <c r="C48" t="s">
        <v>204</v>
      </c>
      <c r="E48" s="22" t="s">
        <v>260</v>
      </c>
      <c r="F48" s="22" t="s">
        <v>261</v>
      </c>
      <c r="G48" s="22" t="s">
        <v>213</v>
      </c>
      <c r="H48" s="22" t="s">
        <v>214</v>
      </c>
      <c r="I48" s="22" t="s">
        <v>265</v>
      </c>
      <c r="J48" s="17">
        <f>IFERROR(INDEX(Cost_Components!$K$2:$K$6,MATCH(E48,Cost_Components!$A$2:$A$6,0)),"")</f>
        <v>0.06</v>
      </c>
      <c r="K48" s="31">
        <v>0.41649999999999998</v>
      </c>
      <c r="L48" s="17">
        <f>IFERROR(INDEX(Cost_Components!$S$2:$S$6,MATCH(E48,Cost_Components!$A$2:$A$6,0)),"")</f>
        <v>0.113766857372906</v>
      </c>
      <c r="M48" s="28">
        <f>IFERROR(INDEX(Cost_Components!$L$2:$L$6,MATCH(E48,Cost_Components!$A$2:$A$6,0)),"")</f>
        <v>1</v>
      </c>
      <c r="N48" s="29">
        <f>IFERROR(INDEX(Cost_Components!$P$2:$P$6,MATCH(E48,Cost_Components!$A$2:$A$6,0)),"")</f>
        <v>22.229600000000001</v>
      </c>
      <c r="O48" s="23">
        <f t="shared" si="9"/>
        <v>11737670.07786114</v>
      </c>
      <c r="P48" s="23">
        <f t="shared" si="10"/>
        <v>11710170.99186744</v>
      </c>
      <c r="Q48" s="23">
        <f t="shared" si="11"/>
        <v>29614925.626429662</v>
      </c>
      <c r="R48" s="23">
        <f t="shared" si="12"/>
        <v>108674725.53271535</v>
      </c>
      <c r="S48" s="23">
        <f t="shared" si="13"/>
        <v>79059799.906285688</v>
      </c>
      <c r="T48" s="16">
        <f>IFERROR(INDEX(Cost_Components!$R$2:$R$6,MATCH(E48,Cost_Components!$A$2:$A$6,0)),"")</f>
        <v>1</v>
      </c>
      <c r="U48" s="26">
        <f>IFERROR(INDEX(Cost_Components!$Q$2:$Q$6,MATCH(E48,Cost_Components!$A$2:$A$6,0)),"")</f>
        <v>2023</v>
      </c>
      <c r="V48" s="30">
        <f>1/(1+Calculation_Assumptions!$B$5)^(B48-Calculation_Assumptions!$B$2)</f>
        <v>0.55367575418633497</v>
      </c>
      <c r="W48" s="23">
        <f t="shared" si="14"/>
        <v>16397066.281385662</v>
      </c>
      <c r="X48" s="23">
        <f t="shared" si="15"/>
        <v>60170560.620319128</v>
      </c>
      <c r="Y48" s="23">
        <f t="shared" si="16"/>
        <v>43773494.33893346</v>
      </c>
      <c r="Z48" s="17">
        <f>IFERROR(INDEX(Cost_Components!$T$2:$T$6,MATCH(E48,Cost_Components!$A$2:$A$6,0)),"")</f>
        <v>0.41649999999999998</v>
      </c>
      <c r="AA48" s="26">
        <f>IFERROR(INDEX(Cost_Components!$U$2:$U$6,MATCH(E48,Cost_Components!$A$2:$A$6,0)),"")</f>
        <v>2025</v>
      </c>
      <c r="AB48" s="26">
        <f>IFERROR(INDEX(Cost_Components!$V$2:$V$6,MATCH(E48,Cost_Components!$A$2:$A$6,0)),"")</f>
        <v>2040</v>
      </c>
      <c r="AC48" s="26">
        <f>IFERROR(INDEX(Cost_Components!$M$2:$M$6,MATCH(E48,Cost_Components!$A$2:$A$6,0)),"")</f>
        <v>30</v>
      </c>
      <c r="AD48" s="26">
        <f>IFERROR(INDEX(Cost_Components!$N$2:$N$6,MATCH(E48,Cost_Components!$A$2:$A$6,0)),"")</f>
        <v>95</v>
      </c>
      <c r="AE48" s="16" t="str">
        <f>IFERROR(INDEX(Cost_Components!$O$2:$O$6,MATCH(E48,Cost_Components!$A$2:$A$6,0)),"")</f>
        <v>Both</v>
      </c>
      <c r="AF48" s="11">
        <v>195627834.631019</v>
      </c>
      <c r="AG48" s="11">
        <v>195169516.531124</v>
      </c>
      <c r="AH48" s="23">
        <f t="shared" si="17"/>
        <v>1</v>
      </c>
    </row>
    <row r="49" spans="1:34">
      <c r="A49" t="s">
        <v>115</v>
      </c>
      <c r="B49" s="20">
        <v>2046</v>
      </c>
      <c r="C49" t="s">
        <v>204</v>
      </c>
      <c r="E49" s="22" t="s">
        <v>260</v>
      </c>
      <c r="F49" s="22" t="s">
        <v>261</v>
      </c>
      <c r="G49" s="22" t="s">
        <v>213</v>
      </c>
      <c r="H49" s="22" t="s">
        <v>214</v>
      </c>
      <c r="I49" s="22" t="s">
        <v>265</v>
      </c>
      <c r="J49" s="17">
        <f>IFERROR(INDEX(Cost_Components!$K$2:$K$6,MATCH(E49,Cost_Components!$A$2:$A$6,0)),"")</f>
        <v>0.06</v>
      </c>
      <c r="K49" s="31">
        <v>0.41649999999999998</v>
      </c>
      <c r="L49" s="17">
        <f>IFERROR(INDEX(Cost_Components!$S$2:$S$6,MATCH(E49,Cost_Components!$A$2:$A$6,0)),"")</f>
        <v>0.113766857372906</v>
      </c>
      <c r="M49" s="28">
        <f>IFERROR(INDEX(Cost_Components!$L$2:$L$6,MATCH(E49,Cost_Components!$A$2:$A$6,0)),"")</f>
        <v>1</v>
      </c>
      <c r="N49" s="29">
        <f>IFERROR(INDEX(Cost_Components!$P$2:$P$6,MATCH(E49,Cost_Components!$A$2:$A$6,0)),"")</f>
        <v>22.229600000000001</v>
      </c>
      <c r="O49" s="23">
        <f t="shared" si="9"/>
        <v>11849115.892673761</v>
      </c>
      <c r="P49" s="23">
        <f t="shared" si="10"/>
        <v>11814212.53951302</v>
      </c>
      <c r="Q49" s="23">
        <f t="shared" si="11"/>
        <v>29878045.840278152</v>
      </c>
      <c r="R49" s="23">
        <f t="shared" si="12"/>
        <v>109706560.91880064</v>
      </c>
      <c r="S49" s="23">
        <f t="shared" si="13"/>
        <v>79828515.078522488</v>
      </c>
      <c r="T49" s="16">
        <f>IFERROR(INDEX(Cost_Components!$R$2:$R$6,MATCH(E49,Cost_Components!$A$2:$A$6,0)),"")</f>
        <v>1</v>
      </c>
      <c r="U49" s="26">
        <f>IFERROR(INDEX(Cost_Components!$Q$2:$Q$6,MATCH(E49,Cost_Components!$A$2:$A$6,0)),"")</f>
        <v>2023</v>
      </c>
      <c r="V49" s="30">
        <f>1/(1+Calculation_Assumptions!$B$5)^(B49-Calculation_Assumptions!$B$2)</f>
        <v>0.5375492759090631</v>
      </c>
      <c r="W49" s="23">
        <f t="shared" si="14"/>
        <v>16060921.907019315</v>
      </c>
      <c r="X49" s="23">
        <f t="shared" si="15"/>
        <v>58972682.384374805</v>
      </c>
      <c r="Y49" s="23">
        <f t="shared" si="16"/>
        <v>42911760.477355488</v>
      </c>
      <c r="Z49" s="17">
        <f>IFERROR(INDEX(Cost_Components!$T$2:$T$6,MATCH(E49,Cost_Components!$A$2:$A$6,0)),"")</f>
        <v>0.41649999999999998</v>
      </c>
      <c r="AA49" s="26">
        <f>IFERROR(INDEX(Cost_Components!$U$2:$U$6,MATCH(E49,Cost_Components!$A$2:$A$6,0)),"")</f>
        <v>2025</v>
      </c>
      <c r="AB49" s="26">
        <f>IFERROR(INDEX(Cost_Components!$V$2:$V$6,MATCH(E49,Cost_Components!$A$2:$A$6,0)),"")</f>
        <v>2040</v>
      </c>
      <c r="AC49" s="26">
        <f>IFERROR(INDEX(Cost_Components!$M$2:$M$6,MATCH(E49,Cost_Components!$A$2:$A$6,0)),"")</f>
        <v>30</v>
      </c>
      <c r="AD49" s="26">
        <f>IFERROR(INDEX(Cost_Components!$N$2:$N$6,MATCH(E49,Cost_Components!$A$2:$A$6,0)),"")</f>
        <v>95</v>
      </c>
      <c r="AE49" s="16" t="str">
        <f>IFERROR(INDEX(Cost_Components!$O$2:$O$6,MATCH(E49,Cost_Components!$A$2:$A$6,0)),"")</f>
        <v>Both</v>
      </c>
      <c r="AF49" s="11">
        <v>197485264.87789601</v>
      </c>
      <c r="AG49" s="11">
        <v>196903542.32521701</v>
      </c>
      <c r="AH49" s="23">
        <f t="shared" si="17"/>
        <v>1</v>
      </c>
    </row>
    <row r="50" spans="1:34">
      <c r="A50" t="s">
        <v>115</v>
      </c>
      <c r="B50" s="20">
        <v>2047</v>
      </c>
      <c r="C50" t="s">
        <v>204</v>
      </c>
      <c r="E50" s="22" t="s">
        <v>260</v>
      </c>
      <c r="F50" s="22" t="s">
        <v>261</v>
      </c>
      <c r="G50" s="22" t="s">
        <v>213</v>
      </c>
      <c r="H50" s="22" t="s">
        <v>214</v>
      </c>
      <c r="I50" s="22" t="s">
        <v>265</v>
      </c>
      <c r="J50" s="17">
        <f>IFERROR(INDEX(Cost_Components!$K$2:$K$6,MATCH(E50,Cost_Components!$A$2:$A$6,0)),"")</f>
        <v>0.06</v>
      </c>
      <c r="K50" s="31">
        <v>0.41649999999999998</v>
      </c>
      <c r="L50" s="17">
        <f>IFERROR(INDEX(Cost_Components!$S$2:$S$6,MATCH(E50,Cost_Components!$A$2:$A$6,0)),"")</f>
        <v>0.113766857372906</v>
      </c>
      <c r="M50" s="28">
        <f>IFERROR(INDEX(Cost_Components!$L$2:$L$6,MATCH(E50,Cost_Components!$A$2:$A$6,0)),"")</f>
        <v>1</v>
      </c>
      <c r="N50" s="29">
        <f>IFERROR(INDEX(Cost_Components!$P$2:$P$6,MATCH(E50,Cost_Components!$A$2:$A$6,0)),"")</f>
        <v>22.229600000000001</v>
      </c>
      <c r="O50" s="23">
        <f t="shared" si="9"/>
        <v>11942804.805727979</v>
      </c>
      <c r="P50" s="23">
        <f t="shared" si="10"/>
        <v>11903723.608715519</v>
      </c>
      <c r="Q50" s="23">
        <f t="shared" si="11"/>
        <v>30104418.594272539</v>
      </c>
      <c r="R50" s="23">
        <f t="shared" si="12"/>
        <v>110573991.74996956</v>
      </c>
      <c r="S50" s="23">
        <f t="shared" si="13"/>
        <v>80469573.155697018</v>
      </c>
      <c r="T50" s="16">
        <f>IFERROR(INDEX(Cost_Components!$R$2:$R$6,MATCH(E50,Cost_Components!$A$2:$A$6,0)),"")</f>
        <v>1</v>
      </c>
      <c r="U50" s="26">
        <f>IFERROR(INDEX(Cost_Components!$Q$2:$Q$6,MATCH(E50,Cost_Components!$A$2:$A$6,0)),"")</f>
        <v>2023</v>
      </c>
      <c r="V50" s="30">
        <f>1/(1+Calculation_Assumptions!$B$5)^(B50-Calculation_Assumptions!$B$2)</f>
        <v>0.52189250088258554</v>
      </c>
      <c r="W50" s="23">
        <f t="shared" si="14"/>
        <v>15711270.307781106</v>
      </c>
      <c r="X50" s="23">
        <f t="shared" si="15"/>
        <v>57707737.086961992</v>
      </c>
      <c r="Y50" s="23">
        <f t="shared" si="16"/>
        <v>41996466.779180884</v>
      </c>
      <c r="Z50" s="17">
        <f>IFERROR(INDEX(Cost_Components!$T$2:$T$6,MATCH(E50,Cost_Components!$A$2:$A$6,0)),"")</f>
        <v>0.41649999999999998</v>
      </c>
      <c r="AA50" s="26">
        <f>IFERROR(INDEX(Cost_Components!$U$2:$U$6,MATCH(E50,Cost_Components!$A$2:$A$6,0)),"")</f>
        <v>2025</v>
      </c>
      <c r="AB50" s="26">
        <f>IFERROR(INDEX(Cost_Components!$V$2:$V$6,MATCH(E50,Cost_Components!$A$2:$A$6,0)),"")</f>
        <v>2040</v>
      </c>
      <c r="AC50" s="26">
        <f>IFERROR(INDEX(Cost_Components!$M$2:$M$6,MATCH(E50,Cost_Components!$A$2:$A$6,0)),"")</f>
        <v>30</v>
      </c>
      <c r="AD50" s="26">
        <f>IFERROR(INDEX(Cost_Components!$N$2:$N$6,MATCH(E50,Cost_Components!$A$2:$A$6,0)),"")</f>
        <v>95</v>
      </c>
      <c r="AE50" s="16" t="str">
        <f>IFERROR(INDEX(Cost_Components!$O$2:$O$6,MATCH(E50,Cost_Components!$A$2:$A$6,0)),"")</f>
        <v>Both</v>
      </c>
      <c r="AF50" s="11">
        <v>199046746.762133</v>
      </c>
      <c r="AG50" s="11">
        <v>198395393.47859201</v>
      </c>
      <c r="AH50" s="23">
        <f t="shared" si="17"/>
        <v>1</v>
      </c>
    </row>
    <row r="51" spans="1:34">
      <c r="A51" t="s">
        <v>115</v>
      </c>
      <c r="B51" s="20">
        <v>2048</v>
      </c>
      <c r="C51" t="s">
        <v>204</v>
      </c>
      <c r="E51" s="22" t="s">
        <v>260</v>
      </c>
      <c r="F51" s="22" t="s">
        <v>261</v>
      </c>
      <c r="G51" s="22" t="s">
        <v>213</v>
      </c>
      <c r="H51" s="22" t="s">
        <v>214</v>
      </c>
      <c r="I51" s="22" t="s">
        <v>265</v>
      </c>
      <c r="J51" s="17">
        <f>IFERROR(INDEX(Cost_Components!$K$2:$K$6,MATCH(E51,Cost_Components!$A$2:$A$6,0)),"")</f>
        <v>0.06</v>
      </c>
      <c r="K51" s="31">
        <v>0.41649999999999998</v>
      </c>
      <c r="L51" s="17">
        <f>IFERROR(INDEX(Cost_Components!$S$2:$S$6,MATCH(E51,Cost_Components!$A$2:$A$6,0)),"")</f>
        <v>0.113766857372906</v>
      </c>
      <c r="M51" s="28">
        <f>IFERROR(INDEX(Cost_Components!$L$2:$L$6,MATCH(E51,Cost_Components!$A$2:$A$6,0)),"")</f>
        <v>1</v>
      </c>
      <c r="N51" s="29">
        <f>IFERROR(INDEX(Cost_Components!$P$2:$P$6,MATCH(E51,Cost_Components!$A$2:$A$6,0)),"")</f>
        <v>22.229600000000001</v>
      </c>
      <c r="O51" s="23">
        <f t="shared" si="9"/>
        <v>12029034.77846556</v>
      </c>
      <c r="P51" s="23">
        <f t="shared" si="10"/>
        <v>11985747.72741198</v>
      </c>
      <c r="Q51" s="23">
        <f t="shared" si="11"/>
        <v>30311856.912334345</v>
      </c>
      <c r="R51" s="23">
        <f t="shared" si="12"/>
        <v>111372363.02448893</v>
      </c>
      <c r="S51" s="23">
        <f t="shared" si="13"/>
        <v>81060506.112154573</v>
      </c>
      <c r="T51" s="16">
        <f>IFERROR(INDEX(Cost_Components!$R$2:$R$6,MATCH(E51,Cost_Components!$A$2:$A$6,0)),"")</f>
        <v>1</v>
      </c>
      <c r="U51" s="26">
        <f>IFERROR(INDEX(Cost_Components!$Q$2:$Q$6,MATCH(E51,Cost_Components!$A$2:$A$6,0)),"")</f>
        <v>2023</v>
      </c>
      <c r="V51" s="30">
        <f>1/(1+Calculation_Assumptions!$B$5)^(B51-Calculation_Assumptions!$B$2)</f>
        <v>0.50669174842969467</v>
      </c>
      <c r="W51" s="23">
        <f t="shared" si="14"/>
        <v>15358767.777061416</v>
      </c>
      <c r="X51" s="23">
        <f t="shared" si="15"/>
        <v>56431457.347624972</v>
      </c>
      <c r="Y51" s="23">
        <f t="shared" si="16"/>
        <v>41072689.570563555</v>
      </c>
      <c r="Z51" s="17">
        <f>IFERROR(INDEX(Cost_Components!$T$2:$T$6,MATCH(E51,Cost_Components!$A$2:$A$6,0)),"")</f>
        <v>0.41649999999999998</v>
      </c>
      <c r="AA51" s="26">
        <f>IFERROR(INDEX(Cost_Components!$U$2:$U$6,MATCH(E51,Cost_Components!$A$2:$A$6,0)),"")</f>
        <v>2025</v>
      </c>
      <c r="AB51" s="26">
        <f>IFERROR(INDEX(Cost_Components!$V$2:$V$6,MATCH(E51,Cost_Components!$A$2:$A$6,0)),"")</f>
        <v>2040</v>
      </c>
      <c r="AC51" s="26">
        <f>IFERROR(INDEX(Cost_Components!$M$2:$M$6,MATCH(E51,Cost_Components!$A$2:$A$6,0)),"")</f>
        <v>30</v>
      </c>
      <c r="AD51" s="26">
        <f>IFERROR(INDEX(Cost_Components!$N$2:$N$6,MATCH(E51,Cost_Components!$A$2:$A$6,0)),"")</f>
        <v>95</v>
      </c>
      <c r="AE51" s="16" t="str">
        <f>IFERROR(INDEX(Cost_Components!$O$2:$O$6,MATCH(E51,Cost_Components!$A$2:$A$6,0)),"")</f>
        <v>Both</v>
      </c>
      <c r="AF51" s="11">
        <v>200483912.974426</v>
      </c>
      <c r="AG51" s="11">
        <v>199762462.12353301</v>
      </c>
      <c r="AH51" s="23">
        <f t="shared" si="17"/>
        <v>1</v>
      </c>
    </row>
    <row r="52" spans="1:34">
      <c r="A52" t="s">
        <v>115</v>
      </c>
      <c r="B52" s="20">
        <v>2049</v>
      </c>
      <c r="C52" t="s">
        <v>204</v>
      </c>
      <c r="E52" s="22" t="s">
        <v>260</v>
      </c>
      <c r="F52" s="22" t="s">
        <v>261</v>
      </c>
      <c r="G52" s="22" t="s">
        <v>213</v>
      </c>
      <c r="H52" s="22" t="s">
        <v>214</v>
      </c>
      <c r="I52" s="22" t="s">
        <v>265</v>
      </c>
      <c r="J52" s="17">
        <f>IFERROR(INDEX(Cost_Components!$K$2:$K$6,MATCH(E52,Cost_Components!$A$2:$A$6,0)),"")</f>
        <v>0.06</v>
      </c>
      <c r="K52" s="31">
        <v>0.41649999999999998</v>
      </c>
      <c r="L52" s="17">
        <f>IFERROR(INDEX(Cost_Components!$S$2:$S$6,MATCH(E52,Cost_Components!$A$2:$A$6,0)),"")</f>
        <v>0.113766857372906</v>
      </c>
      <c r="M52" s="28">
        <f>IFERROR(INDEX(Cost_Components!$L$2:$L$6,MATCH(E52,Cost_Components!$A$2:$A$6,0)),"")</f>
        <v>1</v>
      </c>
      <c r="N52" s="29">
        <f>IFERROR(INDEX(Cost_Components!$P$2:$P$6,MATCH(E52,Cost_Components!$A$2:$A$6,0)),"")</f>
        <v>22.229600000000001</v>
      </c>
      <c r="O52" s="23">
        <f t="shared" si="9"/>
        <v>12109657.0558041</v>
      </c>
      <c r="P52" s="23">
        <f t="shared" si="10"/>
        <v>12062163.93093792</v>
      </c>
      <c r="Q52" s="23">
        <f t="shared" si="11"/>
        <v>30505112.859292462</v>
      </c>
      <c r="R52" s="23">
        <f t="shared" si="12"/>
        <v>112118814.73112822</v>
      </c>
      <c r="S52" s="23">
        <f t="shared" si="13"/>
        <v>81613701.871835753</v>
      </c>
      <c r="T52" s="16">
        <f>IFERROR(INDEX(Cost_Components!$R$2:$R$6,MATCH(E52,Cost_Components!$A$2:$A$6,0)),"")</f>
        <v>1</v>
      </c>
      <c r="U52" s="26">
        <f>IFERROR(INDEX(Cost_Components!$Q$2:$Q$6,MATCH(E52,Cost_Components!$A$2:$A$6,0)),"")</f>
        <v>2023</v>
      </c>
      <c r="V52" s="30">
        <f>1/(1+Calculation_Assumptions!$B$5)^(B52-Calculation_Assumptions!$B$2)</f>
        <v>0.49193373633950943</v>
      </c>
      <c r="W52" s="23">
        <f t="shared" si="14"/>
        <v>15006494.146330157</v>
      </c>
      <c r="X52" s="23">
        <f t="shared" si="15"/>
        <v>55155027.444641136</v>
      </c>
      <c r="Y52" s="23">
        <f t="shared" si="16"/>
        <v>40148533.29831098</v>
      </c>
      <c r="Z52" s="17">
        <f>IFERROR(INDEX(Cost_Components!$T$2:$T$6,MATCH(E52,Cost_Components!$A$2:$A$6,0)),"")</f>
        <v>0.41649999999999998</v>
      </c>
      <c r="AA52" s="26">
        <f>IFERROR(INDEX(Cost_Components!$U$2:$U$6,MATCH(E52,Cost_Components!$A$2:$A$6,0)),"")</f>
        <v>2025</v>
      </c>
      <c r="AB52" s="26">
        <f>IFERROR(INDEX(Cost_Components!$V$2:$V$6,MATCH(E52,Cost_Components!$A$2:$A$6,0)),"")</f>
        <v>2040</v>
      </c>
      <c r="AC52" s="26">
        <f>IFERROR(INDEX(Cost_Components!$M$2:$M$6,MATCH(E52,Cost_Components!$A$2:$A$6,0)),"")</f>
        <v>30</v>
      </c>
      <c r="AD52" s="26">
        <f>IFERROR(INDEX(Cost_Components!$N$2:$N$6,MATCH(E52,Cost_Components!$A$2:$A$6,0)),"")</f>
        <v>95</v>
      </c>
      <c r="AE52" s="16" t="str">
        <f>IFERROR(INDEX(Cost_Components!$O$2:$O$6,MATCH(E52,Cost_Components!$A$2:$A$6,0)),"")</f>
        <v>Both</v>
      </c>
      <c r="AF52" s="11">
        <v>201827617.596735</v>
      </c>
      <c r="AG52" s="11">
        <v>201036065.515632</v>
      </c>
      <c r="AH52" s="23">
        <f t="shared" si="17"/>
        <v>1</v>
      </c>
    </row>
    <row r="53" spans="1:34">
      <c r="A53" t="s">
        <v>115</v>
      </c>
      <c r="B53" s="20">
        <v>2050</v>
      </c>
      <c r="C53" t="s">
        <v>204</v>
      </c>
      <c r="E53" s="22" t="s">
        <v>260</v>
      </c>
      <c r="F53" s="22" t="s">
        <v>261</v>
      </c>
      <c r="G53" s="22" t="s">
        <v>213</v>
      </c>
      <c r="H53" s="22" t="s">
        <v>214</v>
      </c>
      <c r="I53" s="22" t="s">
        <v>265</v>
      </c>
      <c r="J53" s="17">
        <f>IFERROR(INDEX(Cost_Components!$K$2:$K$6,MATCH(E53,Cost_Components!$A$2:$A$6,0)),"")</f>
        <v>0.06</v>
      </c>
      <c r="K53" s="31">
        <v>0.41649999999999998</v>
      </c>
      <c r="L53" s="17">
        <f>IFERROR(INDEX(Cost_Components!$S$2:$S$6,MATCH(E53,Cost_Components!$A$2:$A$6,0)),"")</f>
        <v>0.113766857372906</v>
      </c>
      <c r="M53" s="28">
        <f>IFERROR(INDEX(Cost_Components!$L$2:$L$6,MATCH(E53,Cost_Components!$A$2:$A$6,0)),"")</f>
        <v>1</v>
      </c>
      <c r="N53" s="29">
        <f>IFERROR(INDEX(Cost_Components!$P$2:$P$6,MATCH(E53,Cost_Components!$A$2:$A$6,0)),"")</f>
        <v>22.229600000000001</v>
      </c>
      <c r="O53" s="23">
        <f t="shared" si="9"/>
        <v>12187254.981649978</v>
      </c>
      <c r="P53" s="23">
        <f t="shared" si="10"/>
        <v>12135577.866125099</v>
      </c>
      <c r="Q53" s="23">
        <f t="shared" si="11"/>
        <v>30690776.094442636</v>
      </c>
      <c r="R53" s="23">
        <f t="shared" si="12"/>
        <v>112837265.09114596</v>
      </c>
      <c r="S53" s="23">
        <f t="shared" si="13"/>
        <v>82146488.996703327</v>
      </c>
      <c r="T53" s="16">
        <f>IFERROR(INDEX(Cost_Components!$R$2:$R$6,MATCH(E53,Cost_Components!$A$2:$A$6,0)),"")</f>
        <v>1</v>
      </c>
      <c r="U53" s="26">
        <f>IFERROR(INDEX(Cost_Components!$Q$2:$Q$6,MATCH(E53,Cost_Components!$A$2:$A$6,0)),"")</f>
        <v>2023</v>
      </c>
      <c r="V53" s="30">
        <f>1/(1+Calculation_Assumptions!$B$5)^(B53-Calculation_Assumptions!$B$2)</f>
        <v>0.47760556926165965</v>
      </c>
      <c r="W53" s="23">
        <f t="shared" si="14"/>
        <v>14658085.58766841</v>
      </c>
      <c r="X53" s="23">
        <f t="shared" si="15"/>
        <v>53891706.227785565</v>
      </c>
      <c r="Y53" s="23">
        <f t="shared" si="16"/>
        <v>39233620.640117154</v>
      </c>
      <c r="Z53" s="17">
        <f>IFERROR(INDEX(Cost_Components!$T$2:$T$6,MATCH(E53,Cost_Components!$A$2:$A$6,0)),"")</f>
        <v>0.41649999999999998</v>
      </c>
      <c r="AA53" s="26">
        <f>IFERROR(INDEX(Cost_Components!$U$2:$U$6,MATCH(E53,Cost_Components!$A$2:$A$6,0)),"")</f>
        <v>2025</v>
      </c>
      <c r="AB53" s="26">
        <f>IFERROR(INDEX(Cost_Components!$V$2:$V$6,MATCH(E53,Cost_Components!$A$2:$A$6,0)),"")</f>
        <v>2040</v>
      </c>
      <c r="AC53" s="26">
        <f>IFERROR(INDEX(Cost_Components!$M$2:$M$6,MATCH(E53,Cost_Components!$A$2:$A$6,0)),"")</f>
        <v>30</v>
      </c>
      <c r="AD53" s="26">
        <f>IFERROR(INDEX(Cost_Components!$N$2:$N$6,MATCH(E53,Cost_Components!$A$2:$A$6,0)),"")</f>
        <v>95</v>
      </c>
      <c r="AE53" s="16" t="str">
        <f>IFERROR(INDEX(Cost_Components!$O$2:$O$6,MATCH(E53,Cost_Components!$A$2:$A$6,0)),"")</f>
        <v>Both</v>
      </c>
      <c r="AF53" s="11">
        <v>203120916.36083299</v>
      </c>
      <c r="AG53" s="11">
        <v>202259631.10208499</v>
      </c>
      <c r="AH53" s="23">
        <f t="shared" si="17"/>
        <v>1</v>
      </c>
    </row>
    <row r="54" spans="1:34">
      <c r="A54" t="s">
        <v>115</v>
      </c>
      <c r="B54" s="20">
        <v>2025</v>
      </c>
      <c r="C54" t="s">
        <v>229</v>
      </c>
      <c r="D54" t="s">
        <v>233</v>
      </c>
      <c r="E54" s="22" t="s">
        <v>279</v>
      </c>
      <c r="F54" s="22" t="s">
        <v>280</v>
      </c>
      <c r="G54" s="22" t="s">
        <v>230</v>
      </c>
      <c r="H54" s="22" t="s">
        <v>237</v>
      </c>
      <c r="I54" s="22" t="s">
        <v>265</v>
      </c>
      <c r="J54" s="17">
        <f>IFERROR(INDEX(Cost_Components!$K$2:$K$6,MATCH(E54,Cost_Components!$A$2:$A$6,0)),"")</f>
        <v>0.2</v>
      </c>
      <c r="K54" s="31">
        <v>0.147914612579645</v>
      </c>
      <c r="L54" s="17">
        <f>IFERROR(INDEX(Cost_Components!$S$2:$S$6,MATCH(E54,Cost_Components!$A$2:$A$6,0)),"")</f>
        <v>0.147914612579645</v>
      </c>
      <c r="M54" s="28">
        <f>IFERROR(INDEX(Cost_Components!$L$2:$L$6,MATCH(E54,Cost_Components!$A$2:$A$6,0)),"")</f>
        <v>1</v>
      </c>
      <c r="N54" s="29">
        <f>IFERROR(INDEX(Cost_Components!$P$2:$P$6,MATCH(E54,Cost_Components!$A$2:$A$6,0)),"")</f>
        <v>0.70495847821973801</v>
      </c>
      <c r="O54" s="23">
        <f t="shared" si="9"/>
        <v>30364899.645414401</v>
      </c>
      <c r="P54" s="23">
        <f t="shared" si="10"/>
        <v>30364899.645414401</v>
      </c>
      <c r="Q54" s="23">
        <f t="shared" si="11"/>
        <v>3166259.2273478745</v>
      </c>
      <c r="R54" s="23">
        <f t="shared" si="12"/>
        <v>3166259.2273478745</v>
      </c>
      <c r="S54" s="23">
        <f t="shared" si="13"/>
        <v>0</v>
      </c>
      <c r="T54" s="16">
        <f>IFERROR(INDEX(Cost_Components!$R$2:$R$6,MATCH(E54,Cost_Components!$A$2:$A$6,0)),"")</f>
        <v>1</v>
      </c>
      <c r="U54" s="26">
        <f>IFERROR(INDEX(Cost_Components!$Q$2:$Q$6,MATCH(E54,Cost_Components!$A$2:$A$6,0)),"")</f>
        <v>2023</v>
      </c>
      <c r="V54" s="30">
        <f>1/(1+Calculation_Assumptions!$B$5)^(B54-Calculation_Assumptions!$B$2)</f>
        <v>1</v>
      </c>
      <c r="W54" s="23">
        <f t="shared" si="14"/>
        <v>3166259.2273478745</v>
      </c>
      <c r="X54" s="23">
        <f t="shared" si="15"/>
        <v>3166259.2273478745</v>
      </c>
      <c r="Y54" s="23">
        <f t="shared" si="16"/>
        <v>0</v>
      </c>
      <c r="Z54" s="17">
        <f>IFERROR(INDEX(Cost_Components!$T$2:$T$6,MATCH(E54,Cost_Components!$A$2:$A$6,0)),"")</f>
        <v>0.41649999999999998</v>
      </c>
      <c r="AA54" s="26">
        <f>IFERROR(INDEX(Cost_Components!$U$2:$U$6,MATCH(E54,Cost_Components!$A$2:$A$6,0)),"")</f>
        <v>2025</v>
      </c>
      <c r="AB54" s="26">
        <f>IFERROR(INDEX(Cost_Components!$V$2:$V$6,MATCH(E54,Cost_Components!$A$2:$A$6,0)),"")</f>
        <v>2040</v>
      </c>
      <c r="AC54" s="26">
        <f>IFERROR(INDEX(Cost_Components!$M$2:$M$6,MATCH(E54,Cost_Components!$A$2:$A$6,0)),"")</f>
        <v>30</v>
      </c>
      <c r="AD54" s="26">
        <f>IFERROR(INDEX(Cost_Components!$N$2:$N$6,MATCH(E54,Cost_Components!$A$2:$A$6,0)),"")</f>
        <v>95</v>
      </c>
      <c r="AE54" s="16" t="str">
        <f>IFERROR(INDEX(Cost_Components!$O$2:$O$6,MATCH(E54,Cost_Components!$A$2:$A$6,0)),"")</f>
        <v>Both</v>
      </c>
      <c r="AF54" s="11">
        <v>151824498.227072</v>
      </c>
      <c r="AG54" s="11">
        <v>151824498.227072</v>
      </c>
      <c r="AH54" s="23">
        <f t="shared" si="17"/>
        <v>1</v>
      </c>
    </row>
    <row r="55" spans="1:34">
      <c r="A55" t="s">
        <v>115</v>
      </c>
      <c r="B55" s="20">
        <v>2026</v>
      </c>
      <c r="C55" t="s">
        <v>229</v>
      </c>
      <c r="D55" t="s">
        <v>233</v>
      </c>
      <c r="E55" s="22" t="s">
        <v>279</v>
      </c>
      <c r="F55" s="22" t="s">
        <v>280</v>
      </c>
      <c r="G55" s="22" t="s">
        <v>230</v>
      </c>
      <c r="H55" s="22" t="s">
        <v>237</v>
      </c>
      <c r="I55" s="22" t="s">
        <v>265</v>
      </c>
      <c r="J55" s="17">
        <f>IFERROR(INDEX(Cost_Components!$K$2:$K$6,MATCH(E55,Cost_Components!$A$2:$A$6,0)),"")</f>
        <v>0.2</v>
      </c>
      <c r="K55" s="31">
        <v>0.14853345980212701</v>
      </c>
      <c r="L55" s="17">
        <f>IFERROR(INDEX(Cost_Components!$S$2:$S$6,MATCH(E55,Cost_Components!$A$2:$A$6,0)),"")</f>
        <v>0.147914612579645</v>
      </c>
      <c r="M55" s="28">
        <f>IFERROR(INDEX(Cost_Components!$L$2:$L$6,MATCH(E55,Cost_Components!$A$2:$A$6,0)),"")</f>
        <v>1</v>
      </c>
      <c r="N55" s="29">
        <f>IFERROR(INDEX(Cost_Components!$P$2:$P$6,MATCH(E55,Cost_Components!$A$2:$A$6,0)),"")</f>
        <v>0.70495847821973801</v>
      </c>
      <c r="O55" s="23">
        <f t="shared" si="9"/>
        <v>30765555.680188</v>
      </c>
      <c r="P55" s="23">
        <f t="shared" si="10"/>
        <v>30765555.680188</v>
      </c>
      <c r="Q55" s="23">
        <f t="shared" si="11"/>
        <v>3208037.0985711734</v>
      </c>
      <c r="R55" s="23">
        <f t="shared" si="12"/>
        <v>3221458.9290005439</v>
      </c>
      <c r="S55" s="23">
        <f t="shared" si="13"/>
        <v>13421.830429370515</v>
      </c>
      <c r="T55" s="16">
        <f>IFERROR(INDEX(Cost_Components!$R$2:$R$6,MATCH(E55,Cost_Components!$A$2:$A$6,0)),"")</f>
        <v>1</v>
      </c>
      <c r="U55" s="26">
        <f>IFERROR(INDEX(Cost_Components!$Q$2:$Q$6,MATCH(E55,Cost_Components!$A$2:$A$6,0)),"")</f>
        <v>2023</v>
      </c>
      <c r="V55" s="30">
        <f>1/(1+Calculation_Assumptions!$B$5)^(B55-Calculation_Assumptions!$B$2)</f>
        <v>0.970873786407767</v>
      </c>
      <c r="W55" s="23">
        <f t="shared" si="14"/>
        <v>3114599.1248263819</v>
      </c>
      <c r="X55" s="23">
        <f t="shared" si="15"/>
        <v>3127630.0281558679</v>
      </c>
      <c r="Y55" s="23">
        <f t="shared" si="16"/>
        <v>13030.903329485936</v>
      </c>
      <c r="Z55" s="17">
        <f>IFERROR(INDEX(Cost_Components!$T$2:$T$6,MATCH(E55,Cost_Components!$A$2:$A$6,0)),"")</f>
        <v>0.41649999999999998</v>
      </c>
      <c r="AA55" s="26">
        <f>IFERROR(INDEX(Cost_Components!$U$2:$U$6,MATCH(E55,Cost_Components!$A$2:$A$6,0)),"")</f>
        <v>2025</v>
      </c>
      <c r="AB55" s="26">
        <f>IFERROR(INDEX(Cost_Components!$V$2:$V$6,MATCH(E55,Cost_Components!$A$2:$A$6,0)),"")</f>
        <v>2040</v>
      </c>
      <c r="AC55" s="26">
        <f>IFERROR(INDEX(Cost_Components!$M$2:$M$6,MATCH(E55,Cost_Components!$A$2:$A$6,0)),"")</f>
        <v>30</v>
      </c>
      <c r="AD55" s="26">
        <f>IFERROR(INDEX(Cost_Components!$N$2:$N$6,MATCH(E55,Cost_Components!$A$2:$A$6,0)),"")</f>
        <v>95</v>
      </c>
      <c r="AE55" s="16" t="str">
        <f>IFERROR(INDEX(Cost_Components!$O$2:$O$6,MATCH(E55,Cost_Components!$A$2:$A$6,0)),"")</f>
        <v>Both</v>
      </c>
      <c r="AF55" s="11">
        <v>153827778.40094</v>
      </c>
      <c r="AG55" s="11">
        <v>153827778.40094</v>
      </c>
      <c r="AH55" s="23">
        <f t="shared" si="17"/>
        <v>1</v>
      </c>
    </row>
    <row r="56" spans="1:34">
      <c r="A56" t="s">
        <v>115</v>
      </c>
      <c r="B56" s="20">
        <v>2027</v>
      </c>
      <c r="C56" t="s">
        <v>229</v>
      </c>
      <c r="D56" t="s">
        <v>233</v>
      </c>
      <c r="E56" s="22" t="s">
        <v>279</v>
      </c>
      <c r="F56" s="22" t="s">
        <v>280</v>
      </c>
      <c r="G56" s="22" t="s">
        <v>230</v>
      </c>
      <c r="H56" s="22" t="s">
        <v>237</v>
      </c>
      <c r="I56" s="22" t="s">
        <v>265</v>
      </c>
      <c r="J56" s="17">
        <f>IFERROR(INDEX(Cost_Components!$K$2:$K$6,MATCH(E56,Cost_Components!$A$2:$A$6,0)),"")</f>
        <v>0.2</v>
      </c>
      <c r="K56" s="31">
        <v>0.14915230702460899</v>
      </c>
      <c r="L56" s="17">
        <f>IFERROR(INDEX(Cost_Components!$S$2:$S$6,MATCH(E56,Cost_Components!$A$2:$A$6,0)),"")</f>
        <v>0.147914612579645</v>
      </c>
      <c r="M56" s="28">
        <f>IFERROR(INDEX(Cost_Components!$L$2:$L$6,MATCH(E56,Cost_Components!$A$2:$A$6,0)),"")</f>
        <v>1</v>
      </c>
      <c r="N56" s="29">
        <f>IFERROR(INDEX(Cost_Components!$P$2:$P$6,MATCH(E56,Cost_Components!$A$2:$A$6,0)),"")</f>
        <v>0.70495847821973801</v>
      </c>
      <c r="O56" s="23">
        <f t="shared" si="9"/>
        <v>31208345.270757999</v>
      </c>
      <c r="P56" s="23">
        <f t="shared" si="10"/>
        <v>31208337.934682205</v>
      </c>
      <c r="Q56" s="23">
        <f t="shared" si="11"/>
        <v>3254207.6249147337</v>
      </c>
      <c r="R56" s="23">
        <f t="shared" si="12"/>
        <v>3281438.3949200842</v>
      </c>
      <c r="S56" s="23">
        <f t="shared" si="13"/>
        <v>27230.770005350467</v>
      </c>
      <c r="T56" s="16">
        <f>IFERROR(INDEX(Cost_Components!$R$2:$R$6,MATCH(E56,Cost_Components!$A$2:$A$6,0)),"")</f>
        <v>1</v>
      </c>
      <c r="U56" s="26">
        <f>IFERROR(INDEX(Cost_Components!$Q$2:$Q$6,MATCH(E56,Cost_Components!$A$2:$A$6,0)),"")</f>
        <v>2023</v>
      </c>
      <c r="V56" s="30">
        <f>1/(1+Calculation_Assumptions!$B$5)^(B56-Calculation_Assumptions!$B$2)</f>
        <v>0.94259590913375435</v>
      </c>
      <c r="W56" s="23">
        <f t="shared" si="14"/>
        <v>3067402.7947164988</v>
      </c>
      <c r="X56" s="23">
        <f t="shared" si="15"/>
        <v>3093070.4071261045</v>
      </c>
      <c r="Y56" s="23">
        <f t="shared" si="16"/>
        <v>25667.612409605492</v>
      </c>
      <c r="Z56" s="17">
        <f>IFERROR(INDEX(Cost_Components!$T$2:$T$6,MATCH(E56,Cost_Components!$A$2:$A$6,0)),"")</f>
        <v>0.41649999999999998</v>
      </c>
      <c r="AA56" s="26">
        <f>IFERROR(INDEX(Cost_Components!$U$2:$U$6,MATCH(E56,Cost_Components!$A$2:$A$6,0)),"")</f>
        <v>2025</v>
      </c>
      <c r="AB56" s="26">
        <f>IFERROR(INDEX(Cost_Components!$V$2:$V$6,MATCH(E56,Cost_Components!$A$2:$A$6,0)),"")</f>
        <v>2040</v>
      </c>
      <c r="AC56" s="26">
        <f>IFERROR(INDEX(Cost_Components!$M$2:$M$6,MATCH(E56,Cost_Components!$A$2:$A$6,0)),"")</f>
        <v>30</v>
      </c>
      <c r="AD56" s="26">
        <f>IFERROR(INDEX(Cost_Components!$N$2:$N$6,MATCH(E56,Cost_Components!$A$2:$A$6,0)),"")</f>
        <v>95</v>
      </c>
      <c r="AE56" s="16" t="str">
        <f>IFERROR(INDEX(Cost_Components!$O$2:$O$6,MATCH(E56,Cost_Components!$A$2:$A$6,0)),"")</f>
        <v>Both</v>
      </c>
      <c r="AF56" s="11">
        <v>156041726.35378999</v>
      </c>
      <c r="AG56" s="11">
        <v>156041689.67341101</v>
      </c>
      <c r="AH56" s="23">
        <f t="shared" si="17"/>
        <v>1</v>
      </c>
    </row>
    <row r="57" spans="1:34">
      <c r="A57" t="s">
        <v>115</v>
      </c>
      <c r="B57" s="20">
        <v>2028</v>
      </c>
      <c r="C57" t="s">
        <v>229</v>
      </c>
      <c r="D57" t="s">
        <v>233</v>
      </c>
      <c r="E57" s="22" t="s">
        <v>279</v>
      </c>
      <c r="F57" s="22" t="s">
        <v>280</v>
      </c>
      <c r="G57" s="22" t="s">
        <v>230</v>
      </c>
      <c r="H57" s="22" t="s">
        <v>237</v>
      </c>
      <c r="I57" s="22" t="s">
        <v>265</v>
      </c>
      <c r="J57" s="17">
        <f>IFERROR(INDEX(Cost_Components!$K$2:$K$6,MATCH(E57,Cost_Components!$A$2:$A$6,0)),"")</f>
        <v>0.2</v>
      </c>
      <c r="K57" s="31">
        <v>0.149771154247091</v>
      </c>
      <c r="L57" s="17">
        <f>IFERROR(INDEX(Cost_Components!$S$2:$S$6,MATCH(E57,Cost_Components!$A$2:$A$6,0)),"")</f>
        <v>0.147914612579645</v>
      </c>
      <c r="M57" s="28">
        <f>IFERROR(INDEX(Cost_Components!$L$2:$L$6,MATCH(E57,Cost_Components!$A$2:$A$6,0)),"")</f>
        <v>1</v>
      </c>
      <c r="N57" s="29">
        <f>IFERROR(INDEX(Cost_Components!$P$2:$P$6,MATCH(E57,Cost_Components!$A$2:$A$6,0)),"")</f>
        <v>0.70495847821973801</v>
      </c>
      <c r="O57" s="23">
        <f t="shared" si="9"/>
        <v>31656677.809931397</v>
      </c>
      <c r="P57" s="23">
        <f t="shared" si="10"/>
        <v>31656609.4112278</v>
      </c>
      <c r="Q57" s="23">
        <f t="shared" si="11"/>
        <v>3300950.5325331911</v>
      </c>
      <c r="R57" s="23">
        <f t="shared" si="12"/>
        <v>3342389.443092702</v>
      </c>
      <c r="S57" s="23">
        <f t="shared" si="13"/>
        <v>41438.910559510812</v>
      </c>
      <c r="T57" s="16">
        <f>IFERROR(INDEX(Cost_Components!$R$2:$R$6,MATCH(E57,Cost_Components!$A$2:$A$6,0)),"")</f>
        <v>1</v>
      </c>
      <c r="U57" s="26">
        <f>IFERROR(INDEX(Cost_Components!$Q$2:$Q$6,MATCH(E57,Cost_Components!$A$2:$A$6,0)),"")</f>
        <v>2023</v>
      </c>
      <c r="V57" s="30">
        <f>1/(1+Calculation_Assumptions!$B$5)^(B57-Calculation_Assumptions!$B$2)</f>
        <v>0.91514165935315961</v>
      </c>
      <c r="W57" s="23">
        <f t="shared" si="14"/>
        <v>3020837.3477851204</v>
      </c>
      <c r="X57" s="23">
        <f t="shared" si="15"/>
        <v>3058759.8211563383</v>
      </c>
      <c r="Y57" s="23">
        <f t="shared" si="16"/>
        <v>37922.473371217893</v>
      </c>
      <c r="Z57" s="17">
        <f>IFERROR(INDEX(Cost_Components!$T$2:$T$6,MATCH(E57,Cost_Components!$A$2:$A$6,0)),"")</f>
        <v>0.41649999999999998</v>
      </c>
      <c r="AA57" s="26">
        <f>IFERROR(INDEX(Cost_Components!$U$2:$U$6,MATCH(E57,Cost_Components!$A$2:$A$6,0)),"")</f>
        <v>2025</v>
      </c>
      <c r="AB57" s="26">
        <f>IFERROR(INDEX(Cost_Components!$V$2:$V$6,MATCH(E57,Cost_Components!$A$2:$A$6,0)),"")</f>
        <v>2040</v>
      </c>
      <c r="AC57" s="26">
        <f>IFERROR(INDEX(Cost_Components!$M$2:$M$6,MATCH(E57,Cost_Components!$A$2:$A$6,0)),"")</f>
        <v>30</v>
      </c>
      <c r="AD57" s="26">
        <f>IFERROR(INDEX(Cost_Components!$N$2:$N$6,MATCH(E57,Cost_Components!$A$2:$A$6,0)),"")</f>
        <v>95</v>
      </c>
      <c r="AE57" s="16" t="str">
        <f>IFERROR(INDEX(Cost_Components!$O$2:$O$6,MATCH(E57,Cost_Components!$A$2:$A$6,0)),"")</f>
        <v>Both</v>
      </c>
      <c r="AF57" s="11">
        <v>158283389.04965699</v>
      </c>
      <c r="AG57" s="11">
        <v>158283047.05613899</v>
      </c>
      <c r="AH57" s="23">
        <f t="shared" si="17"/>
        <v>1</v>
      </c>
    </row>
    <row r="58" spans="1:34">
      <c r="A58" t="s">
        <v>115</v>
      </c>
      <c r="B58" s="20">
        <v>2029</v>
      </c>
      <c r="C58" t="s">
        <v>229</v>
      </c>
      <c r="D58" t="s">
        <v>233</v>
      </c>
      <c r="E58" s="22" t="s">
        <v>279</v>
      </c>
      <c r="F58" s="22" t="s">
        <v>280</v>
      </c>
      <c r="G58" s="22" t="s">
        <v>230</v>
      </c>
      <c r="H58" s="22" t="s">
        <v>237</v>
      </c>
      <c r="I58" s="22" t="s">
        <v>265</v>
      </c>
      <c r="J58" s="17">
        <f>IFERROR(INDEX(Cost_Components!$K$2:$K$6,MATCH(E58,Cost_Components!$A$2:$A$6,0)),"")</f>
        <v>0.2</v>
      </c>
      <c r="K58" s="31">
        <v>0.15039000146957299</v>
      </c>
      <c r="L58" s="17">
        <f>IFERROR(INDEX(Cost_Components!$S$2:$S$6,MATCH(E58,Cost_Components!$A$2:$A$6,0)),"")</f>
        <v>0.147914612579645</v>
      </c>
      <c r="M58" s="28">
        <f>IFERROR(INDEX(Cost_Components!$L$2:$L$6,MATCH(E58,Cost_Components!$A$2:$A$6,0)),"")</f>
        <v>1</v>
      </c>
      <c r="N58" s="29">
        <f>IFERROR(INDEX(Cost_Components!$P$2:$P$6,MATCH(E58,Cost_Components!$A$2:$A$6,0)),"")</f>
        <v>0.70495847821973801</v>
      </c>
      <c r="O58" s="23">
        <f t="shared" si="9"/>
        <v>32100474.933576401</v>
      </c>
      <c r="P58" s="23">
        <f t="shared" si="10"/>
        <v>32100263.7657784</v>
      </c>
      <c r="Q58" s="23">
        <f t="shared" si="11"/>
        <v>3347211.9959416846</v>
      </c>
      <c r="R58" s="23">
        <f t="shared" si="12"/>
        <v>3403250.8329155636</v>
      </c>
      <c r="S58" s="23">
        <f t="shared" si="13"/>
        <v>56038.836973879021</v>
      </c>
      <c r="T58" s="16">
        <f>IFERROR(INDEX(Cost_Components!$R$2:$R$6,MATCH(E58,Cost_Components!$A$2:$A$6,0)),"")</f>
        <v>1</v>
      </c>
      <c r="U58" s="26">
        <f>IFERROR(INDEX(Cost_Components!$Q$2:$Q$6,MATCH(E58,Cost_Components!$A$2:$A$6,0)),"")</f>
        <v>2023</v>
      </c>
      <c r="V58" s="30">
        <f>1/(1+Calculation_Assumptions!$B$5)^(B58-Calculation_Assumptions!$B$2)</f>
        <v>0.888487047915689</v>
      </c>
      <c r="W58" s="23">
        <f t="shared" si="14"/>
        <v>2973954.5050222087</v>
      </c>
      <c r="X58" s="23">
        <f t="shared" si="15"/>
        <v>3023744.2858537589</v>
      </c>
      <c r="Y58" s="23">
        <f t="shared" si="16"/>
        <v>49789.780831550335</v>
      </c>
      <c r="Z58" s="17">
        <f>IFERROR(INDEX(Cost_Components!$T$2:$T$6,MATCH(E58,Cost_Components!$A$2:$A$6,0)),"")</f>
        <v>0.41649999999999998</v>
      </c>
      <c r="AA58" s="26">
        <f>IFERROR(INDEX(Cost_Components!$U$2:$U$6,MATCH(E58,Cost_Components!$A$2:$A$6,0)),"")</f>
        <v>2025</v>
      </c>
      <c r="AB58" s="26">
        <f>IFERROR(INDEX(Cost_Components!$V$2:$V$6,MATCH(E58,Cost_Components!$A$2:$A$6,0)),"")</f>
        <v>2040</v>
      </c>
      <c r="AC58" s="26">
        <f>IFERROR(INDEX(Cost_Components!$M$2:$M$6,MATCH(E58,Cost_Components!$A$2:$A$6,0)),"")</f>
        <v>30</v>
      </c>
      <c r="AD58" s="26">
        <f>IFERROR(INDEX(Cost_Components!$N$2:$N$6,MATCH(E58,Cost_Components!$A$2:$A$6,0)),"")</f>
        <v>95</v>
      </c>
      <c r="AE58" s="16" t="str">
        <f>IFERROR(INDEX(Cost_Components!$O$2:$O$6,MATCH(E58,Cost_Components!$A$2:$A$6,0)),"")</f>
        <v>Both</v>
      </c>
      <c r="AF58" s="11">
        <v>160502374.667882</v>
      </c>
      <c r="AG58" s="11">
        <v>160501318.82889199</v>
      </c>
      <c r="AH58" s="23">
        <f t="shared" si="17"/>
        <v>1</v>
      </c>
    </row>
    <row r="59" spans="1:34">
      <c r="A59" t="s">
        <v>115</v>
      </c>
      <c r="B59" s="20">
        <v>2030</v>
      </c>
      <c r="C59" t="s">
        <v>229</v>
      </c>
      <c r="D59" t="s">
        <v>233</v>
      </c>
      <c r="E59" s="22" t="s">
        <v>279</v>
      </c>
      <c r="F59" s="22" t="s">
        <v>280</v>
      </c>
      <c r="G59" s="22" t="s">
        <v>230</v>
      </c>
      <c r="H59" s="22" t="s">
        <v>237</v>
      </c>
      <c r="I59" s="22" t="s">
        <v>265</v>
      </c>
      <c r="J59" s="17">
        <f>IFERROR(INDEX(Cost_Components!$K$2:$K$6,MATCH(E59,Cost_Components!$A$2:$A$6,0)),"")</f>
        <v>0.2</v>
      </c>
      <c r="K59" s="31">
        <v>0.151008848692055</v>
      </c>
      <c r="L59" s="17">
        <f>IFERROR(INDEX(Cost_Components!$S$2:$S$6,MATCH(E59,Cost_Components!$A$2:$A$6,0)),"")</f>
        <v>0.147914612579645</v>
      </c>
      <c r="M59" s="28">
        <f>IFERROR(INDEX(Cost_Components!$L$2:$L$6,MATCH(E59,Cost_Components!$A$2:$A$6,0)),"")</f>
        <v>1</v>
      </c>
      <c r="N59" s="29">
        <f>IFERROR(INDEX(Cost_Components!$P$2:$P$6,MATCH(E59,Cost_Components!$A$2:$A$6,0)),"")</f>
        <v>0.70495847821973801</v>
      </c>
      <c r="O59" s="23">
        <f t="shared" si="9"/>
        <v>32490352.388942</v>
      </c>
      <c r="P59" s="23">
        <f t="shared" si="10"/>
        <v>32530776.390710402</v>
      </c>
      <c r="Q59" s="23">
        <f t="shared" si="11"/>
        <v>3392103.1231016112</v>
      </c>
      <c r="R59" s="23">
        <f t="shared" si="12"/>
        <v>3458759.4294510256</v>
      </c>
      <c r="S59" s="23">
        <f t="shared" si="13"/>
        <v>66656.306349414401</v>
      </c>
      <c r="T59" s="16">
        <f>IFERROR(INDEX(Cost_Components!$R$2:$R$6,MATCH(E59,Cost_Components!$A$2:$A$6,0)),"")</f>
        <v>1</v>
      </c>
      <c r="U59" s="26">
        <f>IFERROR(INDEX(Cost_Components!$Q$2:$Q$6,MATCH(E59,Cost_Components!$A$2:$A$6,0)),"")</f>
        <v>2023</v>
      </c>
      <c r="V59" s="30">
        <f>1/(1+Calculation_Assumptions!$B$5)^(B59-Calculation_Assumptions!$B$2)</f>
        <v>0.86260878438416411</v>
      </c>
      <c r="W59" s="23">
        <f t="shared" si="14"/>
        <v>2926057.9515244076</v>
      </c>
      <c r="X59" s="23">
        <f t="shared" si="15"/>
        <v>2983556.2669160143</v>
      </c>
      <c r="Y59" s="23">
        <f t="shared" si="16"/>
        <v>57498.315391606797</v>
      </c>
      <c r="Z59" s="17">
        <f>IFERROR(INDEX(Cost_Components!$T$2:$T$6,MATCH(E59,Cost_Components!$A$2:$A$6,0)),"")</f>
        <v>0.41649999999999998</v>
      </c>
      <c r="AA59" s="26">
        <f>IFERROR(INDEX(Cost_Components!$U$2:$U$6,MATCH(E59,Cost_Components!$A$2:$A$6,0)),"")</f>
        <v>2025</v>
      </c>
      <c r="AB59" s="26">
        <f>IFERROR(INDEX(Cost_Components!$V$2:$V$6,MATCH(E59,Cost_Components!$A$2:$A$6,0)),"")</f>
        <v>2040</v>
      </c>
      <c r="AC59" s="26">
        <f>IFERROR(INDEX(Cost_Components!$M$2:$M$6,MATCH(E59,Cost_Components!$A$2:$A$6,0)),"")</f>
        <v>30</v>
      </c>
      <c r="AD59" s="26">
        <f>IFERROR(INDEX(Cost_Components!$N$2:$N$6,MATCH(E59,Cost_Components!$A$2:$A$6,0)),"")</f>
        <v>95</v>
      </c>
      <c r="AE59" s="16" t="str">
        <f>IFERROR(INDEX(Cost_Components!$O$2:$O$6,MATCH(E59,Cost_Components!$A$2:$A$6,0)),"")</f>
        <v>Both</v>
      </c>
      <c r="AF59" s="11">
        <v>162451761.94470999</v>
      </c>
      <c r="AG59" s="11">
        <v>162653881.95355201</v>
      </c>
      <c r="AH59" s="23">
        <f t="shared" si="17"/>
        <v>1</v>
      </c>
    </row>
    <row r="60" spans="1:34">
      <c r="A60" t="s">
        <v>115</v>
      </c>
      <c r="B60" s="20">
        <v>2031</v>
      </c>
      <c r="C60" t="s">
        <v>229</v>
      </c>
      <c r="D60" t="s">
        <v>233</v>
      </c>
      <c r="E60" s="22" t="s">
        <v>279</v>
      </c>
      <c r="F60" s="22" t="s">
        <v>280</v>
      </c>
      <c r="G60" s="22" t="s">
        <v>230</v>
      </c>
      <c r="H60" s="22" t="s">
        <v>237</v>
      </c>
      <c r="I60" s="22" t="s">
        <v>265</v>
      </c>
      <c r="J60" s="17">
        <f>IFERROR(INDEX(Cost_Components!$K$2:$K$6,MATCH(E60,Cost_Components!$A$2:$A$6,0)),"")</f>
        <v>0.2</v>
      </c>
      <c r="K60" s="31">
        <v>0.177557963822849</v>
      </c>
      <c r="L60" s="17">
        <f>IFERROR(INDEX(Cost_Components!$S$2:$S$6,MATCH(E60,Cost_Components!$A$2:$A$6,0)),"")</f>
        <v>0.147914612579645</v>
      </c>
      <c r="M60" s="28">
        <f>IFERROR(INDEX(Cost_Components!$L$2:$L$6,MATCH(E60,Cost_Components!$A$2:$A$6,0)),"")</f>
        <v>1</v>
      </c>
      <c r="N60" s="29">
        <f>IFERROR(INDEX(Cost_Components!$P$2:$P$6,MATCH(E60,Cost_Components!$A$2:$A$6,0)),"")</f>
        <v>0.70495847821973801</v>
      </c>
      <c r="O60" s="23">
        <f t="shared" si="9"/>
        <v>32921478.519022204</v>
      </c>
      <c r="P60" s="23">
        <f t="shared" si="10"/>
        <v>32956928.071739204</v>
      </c>
      <c r="Q60" s="23">
        <f t="shared" si="11"/>
        <v>3436539.5186788654</v>
      </c>
      <c r="R60" s="23">
        <f t="shared" si="12"/>
        <v>4120814.1234224513</v>
      </c>
      <c r="S60" s="23">
        <f t="shared" si="13"/>
        <v>684274.60474358592</v>
      </c>
      <c r="T60" s="16">
        <f>IFERROR(INDEX(Cost_Components!$R$2:$R$6,MATCH(E60,Cost_Components!$A$2:$A$6,0)),"")</f>
        <v>1</v>
      </c>
      <c r="U60" s="26">
        <f>IFERROR(INDEX(Cost_Components!$Q$2:$Q$6,MATCH(E60,Cost_Components!$A$2:$A$6,0)),"")</f>
        <v>2023</v>
      </c>
      <c r="V60" s="30">
        <f>1/(1+Calculation_Assumptions!$B$5)^(B60-Calculation_Assumptions!$B$2)</f>
        <v>0.83748425668365445</v>
      </c>
      <c r="W60" s="23">
        <f t="shared" si="14"/>
        <v>2878047.7443647734</v>
      </c>
      <c r="X60" s="23">
        <f t="shared" si="15"/>
        <v>3451116.9530859566</v>
      </c>
      <c r="Y60" s="23">
        <f t="shared" si="16"/>
        <v>573069.20872118347</v>
      </c>
      <c r="Z60" s="17">
        <f>IFERROR(INDEX(Cost_Components!$T$2:$T$6,MATCH(E60,Cost_Components!$A$2:$A$6,0)),"")</f>
        <v>0.41649999999999998</v>
      </c>
      <c r="AA60" s="26">
        <f>IFERROR(INDEX(Cost_Components!$U$2:$U$6,MATCH(E60,Cost_Components!$A$2:$A$6,0)),"")</f>
        <v>2025</v>
      </c>
      <c r="AB60" s="26">
        <f>IFERROR(INDEX(Cost_Components!$V$2:$V$6,MATCH(E60,Cost_Components!$A$2:$A$6,0)),"")</f>
        <v>2040</v>
      </c>
      <c r="AC60" s="26">
        <f>IFERROR(INDEX(Cost_Components!$M$2:$M$6,MATCH(E60,Cost_Components!$A$2:$A$6,0)),"")</f>
        <v>30</v>
      </c>
      <c r="AD60" s="26">
        <f>IFERROR(INDEX(Cost_Components!$N$2:$N$6,MATCH(E60,Cost_Components!$A$2:$A$6,0)),"")</f>
        <v>95</v>
      </c>
      <c r="AE60" s="16" t="str">
        <f>IFERROR(INDEX(Cost_Components!$O$2:$O$6,MATCH(E60,Cost_Components!$A$2:$A$6,0)),"")</f>
        <v>Both</v>
      </c>
      <c r="AF60" s="11">
        <v>164607392.59511101</v>
      </c>
      <c r="AG60" s="11">
        <v>164784640.35869601</v>
      </c>
      <c r="AH60" s="23">
        <f t="shared" si="17"/>
        <v>1</v>
      </c>
    </row>
    <row r="61" spans="1:34">
      <c r="A61" t="s">
        <v>115</v>
      </c>
      <c r="B61" s="20">
        <v>2032</v>
      </c>
      <c r="C61" t="s">
        <v>229</v>
      </c>
      <c r="D61" t="s">
        <v>233</v>
      </c>
      <c r="E61" s="22" t="s">
        <v>279</v>
      </c>
      <c r="F61" s="22" t="s">
        <v>280</v>
      </c>
      <c r="G61" s="22" t="s">
        <v>230</v>
      </c>
      <c r="H61" s="22" t="s">
        <v>237</v>
      </c>
      <c r="I61" s="22" t="s">
        <v>265</v>
      </c>
      <c r="J61" s="17">
        <f>IFERROR(INDEX(Cost_Components!$K$2:$K$6,MATCH(E61,Cost_Components!$A$2:$A$6,0)),"")</f>
        <v>0.2</v>
      </c>
      <c r="K61" s="31">
        <v>0.20410707895364399</v>
      </c>
      <c r="L61" s="17">
        <f>IFERROR(INDEX(Cost_Components!$S$2:$S$6,MATCH(E61,Cost_Components!$A$2:$A$6,0)),"")</f>
        <v>0.147914612579645</v>
      </c>
      <c r="M61" s="28">
        <f>IFERROR(INDEX(Cost_Components!$L$2:$L$6,MATCH(E61,Cost_Components!$A$2:$A$6,0)),"")</f>
        <v>1</v>
      </c>
      <c r="N61" s="29">
        <f>IFERROR(INDEX(Cost_Components!$P$2:$P$6,MATCH(E61,Cost_Components!$A$2:$A$6,0)),"")</f>
        <v>0.70495847821973801</v>
      </c>
      <c r="O61" s="23">
        <f t="shared" si="9"/>
        <v>33344844.304155603</v>
      </c>
      <c r="P61" s="23">
        <f t="shared" si="10"/>
        <v>33381995.851857003</v>
      </c>
      <c r="Q61" s="23">
        <f t="shared" si="11"/>
        <v>3480862.8919408447</v>
      </c>
      <c r="R61" s="23">
        <f t="shared" si="12"/>
        <v>4797890.138341493</v>
      </c>
      <c r="S61" s="23">
        <f t="shared" si="13"/>
        <v>1317027.2464006483</v>
      </c>
      <c r="T61" s="16">
        <f>IFERROR(INDEX(Cost_Components!$R$2:$R$6,MATCH(E61,Cost_Components!$A$2:$A$6,0)),"")</f>
        <v>1</v>
      </c>
      <c r="U61" s="26">
        <f>IFERROR(INDEX(Cost_Components!$Q$2:$Q$6,MATCH(E61,Cost_Components!$A$2:$A$6,0)),"")</f>
        <v>2023</v>
      </c>
      <c r="V61" s="30">
        <f>1/(1+Calculation_Assumptions!$B$5)^(B61-Calculation_Assumptions!$B$2)</f>
        <v>0.81309151134335378</v>
      </c>
      <c r="W61" s="23">
        <f t="shared" si="14"/>
        <v>2830260.0695871785</v>
      </c>
      <c r="X61" s="23">
        <f t="shared" si="15"/>
        <v>3901123.7438434572</v>
      </c>
      <c r="Y61" s="23">
        <f t="shared" si="16"/>
        <v>1070863.6742562787</v>
      </c>
      <c r="Z61" s="17">
        <f>IFERROR(INDEX(Cost_Components!$T$2:$T$6,MATCH(E61,Cost_Components!$A$2:$A$6,0)),"")</f>
        <v>0.41649999999999998</v>
      </c>
      <c r="AA61" s="26">
        <f>IFERROR(INDEX(Cost_Components!$U$2:$U$6,MATCH(E61,Cost_Components!$A$2:$A$6,0)),"")</f>
        <v>2025</v>
      </c>
      <c r="AB61" s="26">
        <f>IFERROR(INDEX(Cost_Components!$V$2:$V$6,MATCH(E61,Cost_Components!$A$2:$A$6,0)),"")</f>
        <v>2040</v>
      </c>
      <c r="AC61" s="26">
        <f>IFERROR(INDEX(Cost_Components!$M$2:$M$6,MATCH(E61,Cost_Components!$A$2:$A$6,0)),"")</f>
        <v>30</v>
      </c>
      <c r="AD61" s="26">
        <f>IFERROR(INDEX(Cost_Components!$N$2:$N$6,MATCH(E61,Cost_Components!$A$2:$A$6,0)),"")</f>
        <v>95</v>
      </c>
      <c r="AE61" s="16" t="str">
        <f>IFERROR(INDEX(Cost_Components!$O$2:$O$6,MATCH(E61,Cost_Components!$A$2:$A$6,0)),"")</f>
        <v>Both</v>
      </c>
      <c r="AF61" s="11">
        <v>166724221.520778</v>
      </c>
      <c r="AG61" s="11">
        <v>166909979.259285</v>
      </c>
      <c r="AH61" s="23">
        <f t="shared" si="17"/>
        <v>1</v>
      </c>
    </row>
    <row r="62" spans="1:34">
      <c r="A62" t="s">
        <v>115</v>
      </c>
      <c r="B62" s="20">
        <v>2033</v>
      </c>
      <c r="C62" t="s">
        <v>229</v>
      </c>
      <c r="D62" t="s">
        <v>233</v>
      </c>
      <c r="E62" s="22" t="s">
        <v>279</v>
      </c>
      <c r="F62" s="22" t="s">
        <v>280</v>
      </c>
      <c r="G62" s="22" t="s">
        <v>230</v>
      </c>
      <c r="H62" s="22" t="s">
        <v>237</v>
      </c>
      <c r="I62" s="22" t="s">
        <v>265</v>
      </c>
      <c r="J62" s="17">
        <f>IFERROR(INDEX(Cost_Components!$K$2:$K$6,MATCH(E62,Cost_Components!$A$2:$A$6,0)),"")</f>
        <v>0.2</v>
      </c>
      <c r="K62" s="31">
        <v>0.23065619408443799</v>
      </c>
      <c r="L62" s="17">
        <f>IFERROR(INDEX(Cost_Components!$S$2:$S$6,MATCH(E62,Cost_Components!$A$2:$A$6,0)),"")</f>
        <v>0.147914612579645</v>
      </c>
      <c r="M62" s="28">
        <f>IFERROR(INDEX(Cost_Components!$L$2:$L$6,MATCH(E62,Cost_Components!$A$2:$A$6,0)),"")</f>
        <v>1</v>
      </c>
      <c r="N62" s="29">
        <f>IFERROR(INDEX(Cost_Components!$P$2:$P$6,MATCH(E62,Cost_Components!$A$2:$A$6,0)),"")</f>
        <v>0.70495847821973801</v>
      </c>
      <c r="O62" s="23">
        <f t="shared" si="9"/>
        <v>33772899.090698801</v>
      </c>
      <c r="P62" s="23">
        <f t="shared" si="10"/>
        <v>33804979.591030203</v>
      </c>
      <c r="Q62" s="23">
        <f t="shared" si="11"/>
        <v>3524968.9546255441</v>
      </c>
      <c r="R62" s="23">
        <f t="shared" si="12"/>
        <v>5491576.0473642154</v>
      </c>
      <c r="S62" s="23">
        <f t="shared" si="13"/>
        <v>1966607.0927386712</v>
      </c>
      <c r="T62" s="16">
        <f>IFERROR(INDEX(Cost_Components!$R$2:$R$6,MATCH(E62,Cost_Components!$A$2:$A$6,0)),"")</f>
        <v>1</v>
      </c>
      <c r="U62" s="26">
        <f>IFERROR(INDEX(Cost_Components!$Q$2:$Q$6,MATCH(E62,Cost_Components!$A$2:$A$6,0)),"")</f>
        <v>2023</v>
      </c>
      <c r="V62" s="30">
        <f>1/(1+Calculation_Assumptions!$B$5)^(B62-Calculation_Assumptions!$B$2)</f>
        <v>0.78940923431393573</v>
      </c>
      <c r="W62" s="23">
        <f t="shared" si="14"/>
        <v>2782643.0434513451</v>
      </c>
      <c r="X62" s="23">
        <f t="shared" si="15"/>
        <v>4335100.8427265352</v>
      </c>
      <c r="Y62" s="23">
        <f t="shared" si="16"/>
        <v>1552457.7992751896</v>
      </c>
      <c r="Z62" s="17">
        <f>IFERROR(INDEX(Cost_Components!$T$2:$T$6,MATCH(E62,Cost_Components!$A$2:$A$6,0)),"")</f>
        <v>0.41649999999999998</v>
      </c>
      <c r="AA62" s="26">
        <f>IFERROR(INDEX(Cost_Components!$U$2:$U$6,MATCH(E62,Cost_Components!$A$2:$A$6,0)),"")</f>
        <v>2025</v>
      </c>
      <c r="AB62" s="26">
        <f>IFERROR(INDEX(Cost_Components!$V$2:$V$6,MATCH(E62,Cost_Components!$A$2:$A$6,0)),"")</f>
        <v>2040</v>
      </c>
      <c r="AC62" s="26">
        <f>IFERROR(INDEX(Cost_Components!$M$2:$M$6,MATCH(E62,Cost_Components!$A$2:$A$6,0)),"")</f>
        <v>30</v>
      </c>
      <c r="AD62" s="26">
        <f>IFERROR(INDEX(Cost_Components!$N$2:$N$6,MATCH(E62,Cost_Components!$A$2:$A$6,0)),"")</f>
        <v>95</v>
      </c>
      <c r="AE62" s="16" t="str">
        <f>IFERROR(INDEX(Cost_Components!$O$2:$O$6,MATCH(E62,Cost_Components!$A$2:$A$6,0)),"")</f>
        <v>Both</v>
      </c>
      <c r="AF62" s="11">
        <v>168864495.45349401</v>
      </c>
      <c r="AG62" s="11">
        <v>169024897.95515099</v>
      </c>
      <c r="AH62" s="23">
        <f t="shared" si="17"/>
        <v>1</v>
      </c>
    </row>
    <row r="63" spans="1:34">
      <c r="A63" t="s">
        <v>115</v>
      </c>
      <c r="B63" s="20">
        <v>2034</v>
      </c>
      <c r="C63" t="s">
        <v>229</v>
      </c>
      <c r="D63" t="s">
        <v>233</v>
      </c>
      <c r="E63" s="22" t="s">
        <v>279</v>
      </c>
      <c r="F63" s="22" t="s">
        <v>280</v>
      </c>
      <c r="G63" s="22" t="s">
        <v>230</v>
      </c>
      <c r="H63" s="22" t="s">
        <v>237</v>
      </c>
      <c r="I63" s="22" t="s">
        <v>265</v>
      </c>
      <c r="J63" s="17">
        <f>IFERROR(INDEX(Cost_Components!$K$2:$K$6,MATCH(E63,Cost_Components!$A$2:$A$6,0)),"")</f>
        <v>0.2</v>
      </c>
      <c r="K63" s="31">
        <v>0.25720530921523299</v>
      </c>
      <c r="L63" s="17">
        <f>IFERROR(INDEX(Cost_Components!$S$2:$S$6,MATCH(E63,Cost_Components!$A$2:$A$6,0)),"")</f>
        <v>0.147914612579645</v>
      </c>
      <c r="M63" s="28">
        <f>IFERROR(INDEX(Cost_Components!$L$2:$L$6,MATCH(E63,Cost_Components!$A$2:$A$6,0)),"")</f>
        <v>1</v>
      </c>
      <c r="N63" s="29">
        <f>IFERROR(INDEX(Cost_Components!$P$2:$P$6,MATCH(E63,Cost_Components!$A$2:$A$6,0)),"")</f>
        <v>0.70495847821973801</v>
      </c>
      <c r="O63" s="23">
        <f t="shared" si="9"/>
        <v>34203334.118646801</v>
      </c>
      <c r="P63" s="23">
        <f t="shared" si="10"/>
        <v>34229810.976644598</v>
      </c>
      <c r="Q63" s="23">
        <f t="shared" si="11"/>
        <v>3569267.6781674051</v>
      </c>
      <c r="R63" s="23">
        <f t="shared" si="12"/>
        <v>6201716.506674964</v>
      </c>
      <c r="S63" s="23">
        <f t="shared" si="13"/>
        <v>2632448.8285075589</v>
      </c>
      <c r="T63" s="16">
        <f>IFERROR(INDEX(Cost_Components!$R$2:$R$6,MATCH(E63,Cost_Components!$A$2:$A$6,0)),"")</f>
        <v>1</v>
      </c>
      <c r="U63" s="26">
        <f>IFERROR(INDEX(Cost_Components!$Q$2:$Q$6,MATCH(E63,Cost_Components!$A$2:$A$6,0)),"")</f>
        <v>2023</v>
      </c>
      <c r="V63" s="30">
        <f>1/(1+Calculation_Assumptions!$B$5)^(B63-Calculation_Assumptions!$B$2)</f>
        <v>0.76641673234362695</v>
      </c>
      <c r="W63" s="23">
        <f t="shared" si="14"/>
        <v>2735546.4707607869</v>
      </c>
      <c r="X63" s="23">
        <f t="shared" si="15"/>
        <v>4753099.2999673588</v>
      </c>
      <c r="Y63" s="23">
        <f t="shared" si="16"/>
        <v>2017552.8292065721</v>
      </c>
      <c r="Z63" s="17">
        <f>IFERROR(INDEX(Cost_Components!$T$2:$T$6,MATCH(E63,Cost_Components!$A$2:$A$6,0)),"")</f>
        <v>0.41649999999999998</v>
      </c>
      <c r="AA63" s="26">
        <f>IFERROR(INDEX(Cost_Components!$U$2:$U$6,MATCH(E63,Cost_Components!$A$2:$A$6,0)),"")</f>
        <v>2025</v>
      </c>
      <c r="AB63" s="26">
        <f>IFERROR(INDEX(Cost_Components!$V$2:$V$6,MATCH(E63,Cost_Components!$A$2:$A$6,0)),"")</f>
        <v>2040</v>
      </c>
      <c r="AC63" s="26">
        <f>IFERROR(INDEX(Cost_Components!$M$2:$M$6,MATCH(E63,Cost_Components!$A$2:$A$6,0)),"")</f>
        <v>30</v>
      </c>
      <c r="AD63" s="26">
        <f>IFERROR(INDEX(Cost_Components!$N$2:$N$6,MATCH(E63,Cost_Components!$A$2:$A$6,0)),"")</f>
        <v>95</v>
      </c>
      <c r="AE63" s="16" t="str">
        <f>IFERROR(INDEX(Cost_Components!$O$2:$O$6,MATCH(E63,Cost_Components!$A$2:$A$6,0)),"")</f>
        <v>Both</v>
      </c>
      <c r="AF63" s="11">
        <v>171016670.593234</v>
      </c>
      <c r="AG63" s="11">
        <v>171149054.883223</v>
      </c>
      <c r="AH63" s="23">
        <f t="shared" si="17"/>
        <v>1</v>
      </c>
    </row>
    <row r="64" spans="1:34">
      <c r="A64" t="s">
        <v>115</v>
      </c>
      <c r="B64" s="20">
        <v>2035</v>
      </c>
      <c r="C64" t="s">
        <v>229</v>
      </c>
      <c r="D64" t="s">
        <v>233</v>
      </c>
      <c r="E64" s="22" t="s">
        <v>279</v>
      </c>
      <c r="F64" s="22" t="s">
        <v>280</v>
      </c>
      <c r="G64" s="22" t="s">
        <v>230</v>
      </c>
      <c r="H64" s="22" t="s">
        <v>237</v>
      </c>
      <c r="I64" s="22" t="s">
        <v>265</v>
      </c>
      <c r="J64" s="17">
        <f>IFERROR(INDEX(Cost_Components!$K$2:$K$6,MATCH(E64,Cost_Components!$A$2:$A$6,0)),"")</f>
        <v>0.2</v>
      </c>
      <c r="K64" s="31">
        <v>0.28375442434602699</v>
      </c>
      <c r="L64" s="17">
        <f>IFERROR(INDEX(Cost_Components!$S$2:$S$6,MATCH(E64,Cost_Components!$A$2:$A$6,0)),"")</f>
        <v>0.147914612579645</v>
      </c>
      <c r="M64" s="28">
        <f>IFERROR(INDEX(Cost_Components!$L$2:$L$6,MATCH(E64,Cost_Components!$A$2:$A$6,0)),"")</f>
        <v>1</v>
      </c>
      <c r="N64" s="29">
        <f>IFERROR(INDEX(Cost_Components!$P$2:$P$6,MATCH(E64,Cost_Components!$A$2:$A$6,0)),"")</f>
        <v>0.70495847821973801</v>
      </c>
      <c r="O64" s="23">
        <f t="shared" si="9"/>
        <v>34646568.297415204</v>
      </c>
      <c r="P64" s="23">
        <f t="shared" si="10"/>
        <v>34666731.833632201</v>
      </c>
      <c r="Q64" s="23">
        <f t="shared" si="11"/>
        <v>3614827.0151391197</v>
      </c>
      <c r="R64" s="23">
        <f t="shared" si="12"/>
        <v>6930529.3096912624</v>
      </c>
      <c r="S64" s="23">
        <f t="shared" si="13"/>
        <v>3315702.2945521427</v>
      </c>
      <c r="T64" s="16">
        <f>IFERROR(INDEX(Cost_Components!$R$2:$R$6,MATCH(E64,Cost_Components!$A$2:$A$6,0)),"")</f>
        <v>1</v>
      </c>
      <c r="U64" s="26">
        <f>IFERROR(INDEX(Cost_Components!$Q$2:$Q$6,MATCH(E64,Cost_Components!$A$2:$A$6,0)),"")</f>
        <v>2023</v>
      </c>
      <c r="V64" s="30">
        <f>1/(1+Calculation_Assumptions!$B$5)^(B64-Calculation_Assumptions!$B$2)</f>
        <v>0.74409391489672516</v>
      </c>
      <c r="W64" s="23">
        <f t="shared" si="14"/>
        <v>2689770.785369311</v>
      </c>
      <c r="X64" s="23">
        <f t="shared" si="15"/>
        <v>5156964.6863546697</v>
      </c>
      <c r="Y64" s="23">
        <f t="shared" si="16"/>
        <v>2467193.9009853583</v>
      </c>
      <c r="Z64" s="17">
        <f>IFERROR(INDEX(Cost_Components!$T$2:$T$6,MATCH(E64,Cost_Components!$A$2:$A$6,0)),"")</f>
        <v>0.41649999999999998</v>
      </c>
      <c r="AA64" s="26">
        <f>IFERROR(INDEX(Cost_Components!$U$2:$U$6,MATCH(E64,Cost_Components!$A$2:$A$6,0)),"")</f>
        <v>2025</v>
      </c>
      <c r="AB64" s="26">
        <f>IFERROR(INDEX(Cost_Components!$V$2:$V$6,MATCH(E64,Cost_Components!$A$2:$A$6,0)),"")</f>
        <v>2040</v>
      </c>
      <c r="AC64" s="26">
        <f>IFERROR(INDEX(Cost_Components!$M$2:$M$6,MATCH(E64,Cost_Components!$A$2:$A$6,0)),"")</f>
        <v>30</v>
      </c>
      <c r="AD64" s="26">
        <f>IFERROR(INDEX(Cost_Components!$N$2:$N$6,MATCH(E64,Cost_Components!$A$2:$A$6,0)),"")</f>
        <v>95</v>
      </c>
      <c r="AE64" s="16" t="str">
        <f>IFERROR(INDEX(Cost_Components!$O$2:$O$6,MATCH(E64,Cost_Components!$A$2:$A$6,0)),"")</f>
        <v>Both</v>
      </c>
      <c r="AF64" s="11">
        <v>173232841.48707601</v>
      </c>
      <c r="AG64" s="11">
        <v>173333659.168161</v>
      </c>
      <c r="AH64" s="23">
        <f t="shared" si="17"/>
        <v>1</v>
      </c>
    </row>
    <row r="65" spans="1:34">
      <c r="A65" t="s">
        <v>115</v>
      </c>
      <c r="B65" s="20">
        <v>2036</v>
      </c>
      <c r="C65" t="s">
        <v>229</v>
      </c>
      <c r="D65" t="s">
        <v>233</v>
      </c>
      <c r="E65" s="22" t="s">
        <v>279</v>
      </c>
      <c r="F65" s="22" t="s">
        <v>280</v>
      </c>
      <c r="G65" s="22" t="s">
        <v>230</v>
      </c>
      <c r="H65" s="22" t="s">
        <v>237</v>
      </c>
      <c r="I65" s="22" t="s">
        <v>265</v>
      </c>
      <c r="J65" s="17">
        <f>IFERROR(INDEX(Cost_Components!$K$2:$K$6,MATCH(E65,Cost_Components!$A$2:$A$6,0)),"")</f>
        <v>0.2</v>
      </c>
      <c r="K65" s="31">
        <v>0.31030353947682199</v>
      </c>
      <c r="L65" s="17">
        <f>IFERROR(INDEX(Cost_Components!$S$2:$S$6,MATCH(E65,Cost_Components!$A$2:$A$6,0)),"")</f>
        <v>0.147914612579645</v>
      </c>
      <c r="M65" s="28">
        <f>IFERROR(INDEX(Cost_Components!$L$2:$L$6,MATCH(E65,Cost_Components!$A$2:$A$6,0)),"")</f>
        <v>1</v>
      </c>
      <c r="N65" s="29">
        <f>IFERROR(INDEX(Cost_Components!$P$2:$P$6,MATCH(E65,Cost_Components!$A$2:$A$6,0)),"")</f>
        <v>0.70495847821973801</v>
      </c>
      <c r="O65" s="23">
        <f t="shared" si="9"/>
        <v>35101379.155328602</v>
      </c>
      <c r="P65" s="23">
        <f t="shared" si="10"/>
        <v>35114477.903158002</v>
      </c>
      <c r="Q65" s="23">
        <f t="shared" si="11"/>
        <v>3661515.1366445338</v>
      </c>
      <c r="R65" s="23">
        <f t="shared" si="12"/>
        <v>7678465.6870101765</v>
      </c>
      <c r="S65" s="23">
        <f t="shared" si="13"/>
        <v>4016950.5503656426</v>
      </c>
      <c r="T65" s="16">
        <f>IFERROR(INDEX(Cost_Components!$R$2:$R$6,MATCH(E65,Cost_Components!$A$2:$A$6,0)),"")</f>
        <v>1</v>
      </c>
      <c r="U65" s="26">
        <f>IFERROR(INDEX(Cost_Components!$Q$2:$Q$6,MATCH(E65,Cost_Components!$A$2:$A$6,0)),"")</f>
        <v>2023</v>
      </c>
      <c r="V65" s="30">
        <f>1/(1+Calculation_Assumptions!$B$5)^(B65-Calculation_Assumptions!$B$2)</f>
        <v>0.72242127659876232</v>
      </c>
      <c r="W65" s="23">
        <f t="shared" si="14"/>
        <v>2645156.4393004356</v>
      </c>
      <c r="X65" s="23">
        <f t="shared" si="15"/>
        <v>5547086.9839296844</v>
      </c>
      <c r="Y65" s="23">
        <f t="shared" si="16"/>
        <v>2901930.5446292483</v>
      </c>
      <c r="Z65" s="17">
        <f>IFERROR(INDEX(Cost_Components!$T$2:$T$6,MATCH(E65,Cost_Components!$A$2:$A$6,0)),"")</f>
        <v>0.41649999999999998</v>
      </c>
      <c r="AA65" s="26">
        <f>IFERROR(INDEX(Cost_Components!$U$2:$U$6,MATCH(E65,Cost_Components!$A$2:$A$6,0)),"")</f>
        <v>2025</v>
      </c>
      <c r="AB65" s="26">
        <f>IFERROR(INDEX(Cost_Components!$V$2:$V$6,MATCH(E65,Cost_Components!$A$2:$A$6,0)),"")</f>
        <v>2040</v>
      </c>
      <c r="AC65" s="26">
        <f>IFERROR(INDEX(Cost_Components!$M$2:$M$6,MATCH(E65,Cost_Components!$A$2:$A$6,0)),"")</f>
        <v>30</v>
      </c>
      <c r="AD65" s="26">
        <f>IFERROR(INDEX(Cost_Components!$N$2:$N$6,MATCH(E65,Cost_Components!$A$2:$A$6,0)),"")</f>
        <v>95</v>
      </c>
      <c r="AE65" s="16" t="str">
        <f>IFERROR(INDEX(Cost_Components!$O$2:$O$6,MATCH(E65,Cost_Components!$A$2:$A$6,0)),"")</f>
        <v>Both</v>
      </c>
      <c r="AF65" s="11">
        <v>175506895.77664301</v>
      </c>
      <c r="AG65" s="11">
        <v>175572389.51578999</v>
      </c>
      <c r="AH65" s="23">
        <f t="shared" si="17"/>
        <v>1</v>
      </c>
    </row>
    <row r="66" spans="1:34">
      <c r="A66" t="s">
        <v>115</v>
      </c>
      <c r="B66" s="20">
        <v>2037</v>
      </c>
      <c r="C66" t="s">
        <v>229</v>
      </c>
      <c r="D66" t="s">
        <v>233</v>
      </c>
      <c r="E66" s="22" t="s">
        <v>279</v>
      </c>
      <c r="F66" s="22" t="s">
        <v>280</v>
      </c>
      <c r="G66" s="22" t="s">
        <v>230</v>
      </c>
      <c r="H66" s="22" t="s">
        <v>237</v>
      </c>
      <c r="I66" s="22" t="s">
        <v>265</v>
      </c>
      <c r="J66" s="17">
        <f>IFERROR(INDEX(Cost_Components!$K$2:$K$6,MATCH(E66,Cost_Components!$A$2:$A$6,0)),"")</f>
        <v>0.2</v>
      </c>
      <c r="K66" s="31">
        <v>0.33685265460761599</v>
      </c>
      <c r="L66" s="17">
        <f>IFERROR(INDEX(Cost_Components!$S$2:$S$6,MATCH(E66,Cost_Components!$A$2:$A$6,0)),"")</f>
        <v>0.147914612579645</v>
      </c>
      <c r="M66" s="28">
        <f>IFERROR(INDEX(Cost_Components!$L$2:$L$6,MATCH(E66,Cost_Components!$A$2:$A$6,0)),"")</f>
        <v>1</v>
      </c>
      <c r="N66" s="29">
        <f>IFERROR(INDEX(Cost_Components!$P$2:$P$6,MATCH(E66,Cost_Components!$A$2:$A$6,0)),"")</f>
        <v>0.70495847821973801</v>
      </c>
      <c r="O66" s="23">
        <f t="shared" ref="O66:O97" si="18">AF66*J66</f>
        <v>35562507.7472018</v>
      </c>
      <c r="P66" s="23">
        <f t="shared" ref="P66:P97" si="19">AG66*J66</f>
        <v>35567717.990068801</v>
      </c>
      <c r="Q66" s="23">
        <f t="shared" ref="Q66:Q97" si="20">P66*L66*M66*N66</f>
        <v>3708776.1394518325</v>
      </c>
      <c r="R66" s="23">
        <f t="shared" ref="R66:R97" si="21">O66*K66*M66*N66</f>
        <v>8444926.8201938141</v>
      </c>
      <c r="S66" s="23">
        <f t="shared" ref="S66:S97" si="22">R66-Q66</f>
        <v>4736150.6807419816</v>
      </c>
      <c r="T66" s="16">
        <f>IFERROR(INDEX(Cost_Components!$R$2:$R$6,MATCH(E66,Cost_Components!$A$2:$A$6,0)),"")</f>
        <v>1</v>
      </c>
      <c r="U66" s="26">
        <f>IFERROR(INDEX(Cost_Components!$Q$2:$Q$6,MATCH(E66,Cost_Components!$A$2:$A$6,0)),"")</f>
        <v>2023</v>
      </c>
      <c r="V66" s="30">
        <f>1/(1+Calculation_Assumptions!$B$5)^(B66-Calculation_Assumptions!$B$2)</f>
        <v>0.70137988019297326</v>
      </c>
      <c r="W66" s="23">
        <f t="shared" ref="W66:W97" si="23">Q66*V66</f>
        <v>2601260.9643512843</v>
      </c>
      <c r="X66" s="23">
        <f t="shared" ref="X66:X97" si="24">R66*V66</f>
        <v>5923101.7613859642</v>
      </c>
      <c r="Y66" s="23">
        <f t="shared" ref="Y66:Y97" si="25">S66*V66</f>
        <v>3321840.7970346799</v>
      </c>
      <c r="Z66" s="17">
        <f>IFERROR(INDEX(Cost_Components!$T$2:$T$6,MATCH(E66,Cost_Components!$A$2:$A$6,0)),"")</f>
        <v>0.41649999999999998</v>
      </c>
      <c r="AA66" s="26">
        <f>IFERROR(INDEX(Cost_Components!$U$2:$U$6,MATCH(E66,Cost_Components!$A$2:$A$6,0)),"")</f>
        <v>2025</v>
      </c>
      <c r="AB66" s="26">
        <f>IFERROR(INDEX(Cost_Components!$V$2:$V$6,MATCH(E66,Cost_Components!$A$2:$A$6,0)),"")</f>
        <v>2040</v>
      </c>
      <c r="AC66" s="26">
        <f>IFERROR(INDEX(Cost_Components!$M$2:$M$6,MATCH(E66,Cost_Components!$A$2:$A$6,0)),"")</f>
        <v>30</v>
      </c>
      <c r="AD66" s="26">
        <f>IFERROR(INDEX(Cost_Components!$N$2:$N$6,MATCH(E66,Cost_Components!$A$2:$A$6,0)),"")</f>
        <v>95</v>
      </c>
      <c r="AE66" s="16" t="str">
        <f>IFERROR(INDEX(Cost_Components!$O$2:$O$6,MATCH(E66,Cost_Components!$A$2:$A$6,0)),"")</f>
        <v>Both</v>
      </c>
      <c r="AF66" s="11">
        <v>177812538.736009</v>
      </c>
      <c r="AG66" s="11">
        <v>177838589.950344</v>
      </c>
      <c r="AH66" s="23">
        <f t="shared" ref="AH66:AH97" si="26">IF(H66="shared-count-once",COUNTIFS($A$2:$A$131,A66,$B$2:$B$131,B66,$E$2:$E$131,E66),1)</f>
        <v>1</v>
      </c>
    </row>
    <row r="67" spans="1:34">
      <c r="A67" t="s">
        <v>115</v>
      </c>
      <c r="B67" s="20">
        <v>2038</v>
      </c>
      <c r="C67" t="s">
        <v>229</v>
      </c>
      <c r="D67" t="s">
        <v>233</v>
      </c>
      <c r="E67" s="22" t="s">
        <v>279</v>
      </c>
      <c r="F67" s="22" t="s">
        <v>280</v>
      </c>
      <c r="G67" s="22" t="s">
        <v>230</v>
      </c>
      <c r="H67" s="22" t="s">
        <v>237</v>
      </c>
      <c r="I67" s="22" t="s">
        <v>265</v>
      </c>
      <c r="J67" s="17">
        <f>IFERROR(INDEX(Cost_Components!$K$2:$K$6,MATCH(E67,Cost_Components!$A$2:$A$6,0)),"")</f>
        <v>0.2</v>
      </c>
      <c r="K67" s="31">
        <v>0.36340176973841098</v>
      </c>
      <c r="L67" s="17">
        <f>IFERROR(INDEX(Cost_Components!$S$2:$S$6,MATCH(E67,Cost_Components!$A$2:$A$6,0)),"")</f>
        <v>0.147914612579645</v>
      </c>
      <c r="M67" s="28">
        <f>IFERROR(INDEX(Cost_Components!$L$2:$L$6,MATCH(E67,Cost_Components!$A$2:$A$6,0)),"")</f>
        <v>1</v>
      </c>
      <c r="N67" s="29">
        <f>IFERROR(INDEX(Cost_Components!$P$2:$P$6,MATCH(E67,Cost_Components!$A$2:$A$6,0)),"")</f>
        <v>0.70495847821973801</v>
      </c>
      <c r="O67" s="23">
        <f t="shared" si="18"/>
        <v>36020730.046957999</v>
      </c>
      <c r="P67" s="23">
        <f t="shared" si="19"/>
        <v>36017072.320500396</v>
      </c>
      <c r="Q67" s="23">
        <f t="shared" si="20"/>
        <v>3755631.9602084351</v>
      </c>
      <c r="R67" s="23">
        <f t="shared" si="21"/>
        <v>9227904.3976845481</v>
      </c>
      <c r="S67" s="23">
        <f t="shared" si="22"/>
        <v>5472272.4374761134</v>
      </c>
      <c r="T67" s="16">
        <f>IFERROR(INDEX(Cost_Components!$R$2:$R$6,MATCH(E67,Cost_Components!$A$2:$A$6,0)),"")</f>
        <v>1</v>
      </c>
      <c r="U67" s="26">
        <f>IFERROR(INDEX(Cost_Components!$Q$2:$Q$6,MATCH(E67,Cost_Components!$A$2:$A$6,0)),"")</f>
        <v>2023</v>
      </c>
      <c r="V67" s="30">
        <f>1/(1+Calculation_Assumptions!$B$5)^(B67-Calculation_Assumptions!$B$2)</f>
        <v>0.68095133999317792</v>
      </c>
      <c r="W67" s="23">
        <f t="shared" si="23"/>
        <v>2557402.6158251395</v>
      </c>
      <c r="X67" s="23">
        <f t="shared" si="24"/>
        <v>6283753.8649322325</v>
      </c>
      <c r="Y67" s="23">
        <f t="shared" si="25"/>
        <v>3726351.2491070936</v>
      </c>
      <c r="Z67" s="17">
        <f>IFERROR(INDEX(Cost_Components!$T$2:$T$6,MATCH(E67,Cost_Components!$A$2:$A$6,0)),"")</f>
        <v>0.41649999999999998</v>
      </c>
      <c r="AA67" s="26">
        <f>IFERROR(INDEX(Cost_Components!$U$2:$U$6,MATCH(E67,Cost_Components!$A$2:$A$6,0)),"")</f>
        <v>2025</v>
      </c>
      <c r="AB67" s="26">
        <f>IFERROR(INDEX(Cost_Components!$V$2:$V$6,MATCH(E67,Cost_Components!$A$2:$A$6,0)),"")</f>
        <v>2040</v>
      </c>
      <c r="AC67" s="26">
        <f>IFERROR(INDEX(Cost_Components!$M$2:$M$6,MATCH(E67,Cost_Components!$A$2:$A$6,0)),"")</f>
        <v>30</v>
      </c>
      <c r="AD67" s="26">
        <f>IFERROR(INDEX(Cost_Components!$N$2:$N$6,MATCH(E67,Cost_Components!$A$2:$A$6,0)),"")</f>
        <v>95</v>
      </c>
      <c r="AE67" s="16" t="str">
        <f>IFERROR(INDEX(Cost_Components!$O$2:$O$6,MATCH(E67,Cost_Components!$A$2:$A$6,0)),"")</f>
        <v>Both</v>
      </c>
      <c r="AF67" s="11">
        <v>180103650.23479</v>
      </c>
      <c r="AG67" s="11">
        <v>180085361.60250199</v>
      </c>
      <c r="AH67" s="23">
        <f t="shared" si="26"/>
        <v>1</v>
      </c>
    </row>
    <row r="68" spans="1:34">
      <c r="A68" t="s">
        <v>115</v>
      </c>
      <c r="B68" s="20">
        <v>2039</v>
      </c>
      <c r="C68" t="s">
        <v>229</v>
      </c>
      <c r="D68" t="s">
        <v>233</v>
      </c>
      <c r="E68" s="22" t="s">
        <v>279</v>
      </c>
      <c r="F68" s="22" t="s">
        <v>280</v>
      </c>
      <c r="G68" s="22" t="s">
        <v>230</v>
      </c>
      <c r="H68" s="22" t="s">
        <v>237</v>
      </c>
      <c r="I68" s="22" t="s">
        <v>265</v>
      </c>
      <c r="J68" s="17">
        <f>IFERROR(INDEX(Cost_Components!$K$2:$K$6,MATCH(E68,Cost_Components!$A$2:$A$6,0)),"")</f>
        <v>0.2</v>
      </c>
      <c r="K68" s="31">
        <v>0.38995088486920498</v>
      </c>
      <c r="L68" s="17">
        <f>IFERROR(INDEX(Cost_Components!$S$2:$S$6,MATCH(E68,Cost_Components!$A$2:$A$6,0)),"")</f>
        <v>0.147914612579645</v>
      </c>
      <c r="M68" s="28">
        <f>IFERROR(INDEX(Cost_Components!$L$2:$L$6,MATCH(E68,Cost_Components!$A$2:$A$6,0)),"")</f>
        <v>1</v>
      </c>
      <c r="N68" s="29">
        <f>IFERROR(INDEX(Cost_Components!$P$2:$P$6,MATCH(E68,Cost_Components!$A$2:$A$6,0)),"")</f>
        <v>0.70495847821973801</v>
      </c>
      <c r="O68" s="23">
        <f t="shared" si="18"/>
        <v>36471752.361922197</v>
      </c>
      <c r="P68" s="23">
        <f t="shared" si="19"/>
        <v>36458207.9655362</v>
      </c>
      <c r="Q68" s="23">
        <f t="shared" si="20"/>
        <v>3801630.7885568631</v>
      </c>
      <c r="R68" s="23">
        <f t="shared" si="21"/>
        <v>10026054.904179284</v>
      </c>
      <c r="S68" s="23">
        <f t="shared" si="22"/>
        <v>6224424.1156224217</v>
      </c>
      <c r="T68" s="16">
        <f>IFERROR(INDEX(Cost_Components!$R$2:$R$6,MATCH(E68,Cost_Components!$A$2:$A$6,0)),"")</f>
        <v>1</v>
      </c>
      <c r="U68" s="26">
        <f>IFERROR(INDEX(Cost_Components!$Q$2:$Q$6,MATCH(E68,Cost_Components!$A$2:$A$6,0)),"")</f>
        <v>2023</v>
      </c>
      <c r="V68" s="30">
        <f>1/(1+Calculation_Assumptions!$B$5)^(B68-Calculation_Assumptions!$B$2)</f>
        <v>0.66111780581861923</v>
      </c>
      <c r="W68" s="23">
        <f t="shared" si="23"/>
        <v>2513325.8054632205</v>
      </c>
      <c r="X68" s="23">
        <f t="shared" si="24"/>
        <v>6628403.4192680148</v>
      </c>
      <c r="Y68" s="23">
        <f t="shared" si="25"/>
        <v>4115077.6138047948</v>
      </c>
      <c r="Z68" s="17">
        <f>IFERROR(INDEX(Cost_Components!$T$2:$T$6,MATCH(E68,Cost_Components!$A$2:$A$6,0)),"")</f>
        <v>0.41649999999999998</v>
      </c>
      <c r="AA68" s="26">
        <f>IFERROR(INDEX(Cost_Components!$U$2:$U$6,MATCH(E68,Cost_Components!$A$2:$A$6,0)),"")</f>
        <v>2025</v>
      </c>
      <c r="AB68" s="26">
        <f>IFERROR(INDEX(Cost_Components!$V$2:$V$6,MATCH(E68,Cost_Components!$A$2:$A$6,0)),"")</f>
        <v>2040</v>
      </c>
      <c r="AC68" s="26">
        <f>IFERROR(INDEX(Cost_Components!$M$2:$M$6,MATCH(E68,Cost_Components!$A$2:$A$6,0)),"")</f>
        <v>30</v>
      </c>
      <c r="AD68" s="26">
        <f>IFERROR(INDEX(Cost_Components!$N$2:$N$6,MATCH(E68,Cost_Components!$A$2:$A$6,0)),"")</f>
        <v>95</v>
      </c>
      <c r="AE68" s="16" t="str">
        <f>IFERROR(INDEX(Cost_Components!$O$2:$O$6,MATCH(E68,Cost_Components!$A$2:$A$6,0)),"")</f>
        <v>Both</v>
      </c>
      <c r="AF68" s="11">
        <v>182358761.80961099</v>
      </c>
      <c r="AG68" s="11">
        <v>182291039.82768101</v>
      </c>
      <c r="AH68" s="23">
        <f t="shared" si="26"/>
        <v>1</v>
      </c>
    </row>
    <row r="69" spans="1:34">
      <c r="A69" t="s">
        <v>115</v>
      </c>
      <c r="B69" s="20">
        <v>2040</v>
      </c>
      <c r="C69" t="s">
        <v>229</v>
      </c>
      <c r="D69" t="s">
        <v>233</v>
      </c>
      <c r="E69" s="22" t="s">
        <v>279</v>
      </c>
      <c r="F69" s="22" t="s">
        <v>280</v>
      </c>
      <c r="G69" s="22" t="s">
        <v>230</v>
      </c>
      <c r="H69" s="22" t="s">
        <v>237</v>
      </c>
      <c r="I69" s="22" t="s">
        <v>265</v>
      </c>
      <c r="J69" s="17">
        <f>IFERROR(INDEX(Cost_Components!$K$2:$K$6,MATCH(E69,Cost_Components!$A$2:$A$6,0)),"")</f>
        <v>0.2</v>
      </c>
      <c r="K69" s="31">
        <v>0.41649999999999998</v>
      </c>
      <c r="L69" s="17">
        <f>IFERROR(INDEX(Cost_Components!$S$2:$S$6,MATCH(E69,Cost_Components!$A$2:$A$6,0)),"")</f>
        <v>0.147914612579645</v>
      </c>
      <c r="M69" s="28">
        <f>IFERROR(INDEX(Cost_Components!$L$2:$L$6,MATCH(E69,Cost_Components!$A$2:$A$6,0)),"")</f>
        <v>1</v>
      </c>
      <c r="N69" s="29">
        <f>IFERROR(INDEX(Cost_Components!$P$2:$P$6,MATCH(E69,Cost_Components!$A$2:$A$6,0)),"")</f>
        <v>0.70495847821973801</v>
      </c>
      <c r="O69" s="23">
        <f t="shared" si="18"/>
        <v>36924801.035032801</v>
      </c>
      <c r="P69" s="23">
        <f t="shared" si="19"/>
        <v>36900272.615504406</v>
      </c>
      <c r="Q69" s="23">
        <f t="shared" si="20"/>
        <v>3847726.4876499283</v>
      </c>
      <c r="R69" s="23">
        <f t="shared" si="21"/>
        <v>10841683.069002016</v>
      </c>
      <c r="S69" s="23">
        <f t="shared" si="22"/>
        <v>6993956.5813520867</v>
      </c>
      <c r="T69" s="16">
        <f>IFERROR(INDEX(Cost_Components!$R$2:$R$6,MATCH(E69,Cost_Components!$A$2:$A$6,0)),"")</f>
        <v>1</v>
      </c>
      <c r="U69" s="26">
        <f>IFERROR(INDEX(Cost_Components!$Q$2:$Q$6,MATCH(E69,Cost_Components!$A$2:$A$6,0)),"")</f>
        <v>2023</v>
      </c>
      <c r="V69" s="30">
        <f>1/(1+Calculation_Assumptions!$B$5)^(B69-Calculation_Assumptions!$B$2)</f>
        <v>0.64186194739671765</v>
      </c>
      <c r="W69" s="23">
        <f t="shared" si="23"/>
        <v>2469709.2164129154</v>
      </c>
      <c r="X69" s="23">
        <f t="shared" si="24"/>
        <v>6958863.8077276563</v>
      </c>
      <c r="Y69" s="23">
        <f t="shared" si="25"/>
        <v>4489154.5913147405</v>
      </c>
      <c r="Z69" s="17">
        <f>IFERROR(INDEX(Cost_Components!$T$2:$T$6,MATCH(E69,Cost_Components!$A$2:$A$6,0)),"")</f>
        <v>0.41649999999999998</v>
      </c>
      <c r="AA69" s="26">
        <f>IFERROR(INDEX(Cost_Components!$U$2:$U$6,MATCH(E69,Cost_Components!$A$2:$A$6,0)),"")</f>
        <v>2025</v>
      </c>
      <c r="AB69" s="26">
        <f>IFERROR(INDEX(Cost_Components!$V$2:$V$6,MATCH(E69,Cost_Components!$A$2:$A$6,0)),"")</f>
        <v>2040</v>
      </c>
      <c r="AC69" s="26">
        <f>IFERROR(INDEX(Cost_Components!$M$2:$M$6,MATCH(E69,Cost_Components!$A$2:$A$6,0)),"")</f>
        <v>30</v>
      </c>
      <c r="AD69" s="26">
        <f>IFERROR(INDEX(Cost_Components!$N$2:$N$6,MATCH(E69,Cost_Components!$A$2:$A$6,0)),"")</f>
        <v>95</v>
      </c>
      <c r="AE69" s="16" t="str">
        <f>IFERROR(INDEX(Cost_Components!$O$2:$O$6,MATCH(E69,Cost_Components!$A$2:$A$6,0)),"")</f>
        <v>Both</v>
      </c>
      <c r="AF69" s="11">
        <v>184624005.17516401</v>
      </c>
      <c r="AG69" s="11">
        <v>184501363.07752201</v>
      </c>
      <c r="AH69" s="23">
        <f t="shared" si="26"/>
        <v>1</v>
      </c>
    </row>
    <row r="70" spans="1:34">
      <c r="A70" t="s">
        <v>115</v>
      </c>
      <c r="B70" s="20">
        <v>2041</v>
      </c>
      <c r="C70" t="s">
        <v>229</v>
      </c>
      <c r="D70" t="s">
        <v>233</v>
      </c>
      <c r="E70" s="22" t="s">
        <v>279</v>
      </c>
      <c r="F70" s="22" t="s">
        <v>280</v>
      </c>
      <c r="G70" s="22" t="s">
        <v>230</v>
      </c>
      <c r="H70" s="22" t="s">
        <v>237</v>
      </c>
      <c r="I70" s="22" t="s">
        <v>265</v>
      </c>
      <c r="J70" s="17">
        <f>IFERROR(INDEX(Cost_Components!$K$2:$K$6,MATCH(E70,Cost_Components!$A$2:$A$6,0)),"")</f>
        <v>0.2</v>
      </c>
      <c r="K70" s="31">
        <v>0.41649999999999998</v>
      </c>
      <c r="L70" s="17">
        <f>IFERROR(INDEX(Cost_Components!$S$2:$S$6,MATCH(E70,Cost_Components!$A$2:$A$6,0)),"")</f>
        <v>0.147914612579645</v>
      </c>
      <c r="M70" s="28">
        <f>IFERROR(INDEX(Cost_Components!$L$2:$L$6,MATCH(E70,Cost_Components!$A$2:$A$6,0)),"")</f>
        <v>1</v>
      </c>
      <c r="N70" s="29">
        <f>IFERROR(INDEX(Cost_Components!$P$2:$P$6,MATCH(E70,Cost_Components!$A$2:$A$6,0)),"")</f>
        <v>0.70495847821973801</v>
      </c>
      <c r="O70" s="23">
        <f t="shared" si="18"/>
        <v>37388660.092968397</v>
      </c>
      <c r="P70" s="23">
        <f t="shared" si="19"/>
        <v>37342238.671658002</v>
      </c>
      <c r="Q70" s="23">
        <f t="shared" si="20"/>
        <v>3893811.9060050719</v>
      </c>
      <c r="R70" s="23">
        <f t="shared" si="21"/>
        <v>10977879.141935552</v>
      </c>
      <c r="S70" s="23">
        <f t="shared" si="22"/>
        <v>7084067.2359304801</v>
      </c>
      <c r="T70" s="16">
        <f>IFERROR(INDEX(Cost_Components!$R$2:$R$6,MATCH(E70,Cost_Components!$A$2:$A$6,0)),"")</f>
        <v>1</v>
      </c>
      <c r="U70" s="26">
        <f>IFERROR(INDEX(Cost_Components!$Q$2:$Q$6,MATCH(E70,Cost_Components!$A$2:$A$6,0)),"")</f>
        <v>2023</v>
      </c>
      <c r="V70" s="30">
        <f>1/(1+Calculation_Assumptions!$B$5)^(B70-Calculation_Assumptions!$B$2)</f>
        <v>0.62316693922011435</v>
      </c>
      <c r="W70" s="23">
        <f t="shared" si="23"/>
        <v>2426494.8473640201</v>
      </c>
      <c r="X70" s="23">
        <f t="shared" si="24"/>
        <v>6841051.3440083126</v>
      </c>
      <c r="Y70" s="23">
        <f t="shared" si="25"/>
        <v>4414556.496644293</v>
      </c>
      <c r="Z70" s="17">
        <f>IFERROR(INDEX(Cost_Components!$T$2:$T$6,MATCH(E70,Cost_Components!$A$2:$A$6,0)),"")</f>
        <v>0.41649999999999998</v>
      </c>
      <c r="AA70" s="26">
        <f>IFERROR(INDEX(Cost_Components!$U$2:$U$6,MATCH(E70,Cost_Components!$A$2:$A$6,0)),"")</f>
        <v>2025</v>
      </c>
      <c r="AB70" s="26">
        <f>IFERROR(INDEX(Cost_Components!$V$2:$V$6,MATCH(E70,Cost_Components!$A$2:$A$6,0)),"")</f>
        <v>2040</v>
      </c>
      <c r="AC70" s="26">
        <f>IFERROR(INDEX(Cost_Components!$M$2:$M$6,MATCH(E70,Cost_Components!$A$2:$A$6,0)),"")</f>
        <v>30</v>
      </c>
      <c r="AD70" s="26">
        <f>IFERROR(INDEX(Cost_Components!$N$2:$N$6,MATCH(E70,Cost_Components!$A$2:$A$6,0)),"")</f>
        <v>95</v>
      </c>
      <c r="AE70" s="16" t="str">
        <f>IFERROR(INDEX(Cost_Components!$O$2:$O$6,MATCH(E70,Cost_Components!$A$2:$A$6,0)),"")</f>
        <v>Both</v>
      </c>
      <c r="AF70" s="11">
        <v>186943300.46484199</v>
      </c>
      <c r="AG70" s="11">
        <v>186711193.35828999</v>
      </c>
      <c r="AH70" s="23">
        <f t="shared" si="26"/>
        <v>1</v>
      </c>
    </row>
    <row r="71" spans="1:34">
      <c r="A71" t="s">
        <v>115</v>
      </c>
      <c r="B71" s="20">
        <v>2042</v>
      </c>
      <c r="C71" t="s">
        <v>229</v>
      </c>
      <c r="D71" t="s">
        <v>233</v>
      </c>
      <c r="E71" s="22" t="s">
        <v>279</v>
      </c>
      <c r="F71" s="22" t="s">
        <v>280</v>
      </c>
      <c r="G71" s="22" t="s">
        <v>230</v>
      </c>
      <c r="H71" s="22" t="s">
        <v>237</v>
      </c>
      <c r="I71" s="22" t="s">
        <v>265</v>
      </c>
      <c r="J71" s="17">
        <f>IFERROR(INDEX(Cost_Components!$K$2:$K$6,MATCH(E71,Cost_Components!$A$2:$A$6,0)),"")</f>
        <v>0.2</v>
      </c>
      <c r="K71" s="31">
        <v>0.41649999999999998</v>
      </c>
      <c r="L71" s="17">
        <f>IFERROR(INDEX(Cost_Components!$S$2:$S$6,MATCH(E71,Cost_Components!$A$2:$A$6,0)),"")</f>
        <v>0.147914612579645</v>
      </c>
      <c r="M71" s="28">
        <f>IFERROR(INDEX(Cost_Components!$L$2:$L$6,MATCH(E71,Cost_Components!$A$2:$A$6,0)),"")</f>
        <v>1</v>
      </c>
      <c r="N71" s="29">
        <f>IFERROR(INDEX(Cost_Components!$P$2:$P$6,MATCH(E71,Cost_Components!$A$2:$A$6,0)),"")</f>
        <v>0.70495847821973801</v>
      </c>
      <c r="O71" s="23">
        <f t="shared" si="18"/>
        <v>37858367.486206405</v>
      </c>
      <c r="P71" s="23">
        <f t="shared" si="19"/>
        <v>37798906.559352204</v>
      </c>
      <c r="Q71" s="23">
        <f t="shared" si="20"/>
        <v>3941430.3381464602</v>
      </c>
      <c r="R71" s="23">
        <f t="shared" si="21"/>
        <v>11115792.375044703</v>
      </c>
      <c r="S71" s="23">
        <f t="shared" si="22"/>
        <v>7174362.0368982432</v>
      </c>
      <c r="T71" s="16">
        <f>IFERROR(INDEX(Cost_Components!$R$2:$R$6,MATCH(E71,Cost_Components!$A$2:$A$6,0)),"")</f>
        <v>1</v>
      </c>
      <c r="U71" s="26">
        <f>IFERROR(INDEX(Cost_Components!$Q$2:$Q$6,MATCH(E71,Cost_Components!$A$2:$A$6,0)),"")</f>
        <v>2023</v>
      </c>
      <c r="V71" s="30">
        <f>1/(1+Calculation_Assumptions!$B$5)^(B71-Calculation_Assumptions!$B$2)</f>
        <v>0.60501644584477121</v>
      </c>
      <c r="W71" s="23">
        <f t="shared" si="23"/>
        <v>2384630.1747301263</v>
      </c>
      <c r="X71" s="23">
        <f t="shared" si="24"/>
        <v>6725237.1954979543</v>
      </c>
      <c r="Y71" s="23">
        <f t="shared" si="25"/>
        <v>4340607.0207678284</v>
      </c>
      <c r="Z71" s="17">
        <f>IFERROR(INDEX(Cost_Components!$T$2:$T$6,MATCH(E71,Cost_Components!$A$2:$A$6,0)),"")</f>
        <v>0.41649999999999998</v>
      </c>
      <c r="AA71" s="26">
        <f>IFERROR(INDEX(Cost_Components!$U$2:$U$6,MATCH(E71,Cost_Components!$A$2:$A$6,0)),"")</f>
        <v>2025</v>
      </c>
      <c r="AB71" s="26">
        <f>IFERROR(INDEX(Cost_Components!$V$2:$V$6,MATCH(E71,Cost_Components!$A$2:$A$6,0)),"")</f>
        <v>2040</v>
      </c>
      <c r="AC71" s="26">
        <f>IFERROR(INDEX(Cost_Components!$M$2:$M$6,MATCH(E71,Cost_Components!$A$2:$A$6,0)),"")</f>
        <v>30</v>
      </c>
      <c r="AD71" s="26">
        <f>IFERROR(INDEX(Cost_Components!$N$2:$N$6,MATCH(E71,Cost_Components!$A$2:$A$6,0)),"")</f>
        <v>95</v>
      </c>
      <c r="AE71" s="16" t="str">
        <f>IFERROR(INDEX(Cost_Components!$O$2:$O$6,MATCH(E71,Cost_Components!$A$2:$A$6,0)),"")</f>
        <v>Both</v>
      </c>
      <c r="AF71" s="11">
        <v>189291837.431032</v>
      </c>
      <c r="AG71" s="11">
        <v>188994532.79676101</v>
      </c>
      <c r="AH71" s="23">
        <f t="shared" si="26"/>
        <v>1</v>
      </c>
    </row>
    <row r="72" spans="1:34">
      <c r="A72" t="s">
        <v>115</v>
      </c>
      <c r="B72" s="20">
        <v>2043</v>
      </c>
      <c r="C72" t="s">
        <v>229</v>
      </c>
      <c r="D72" t="s">
        <v>233</v>
      </c>
      <c r="E72" s="22" t="s">
        <v>279</v>
      </c>
      <c r="F72" s="22" t="s">
        <v>280</v>
      </c>
      <c r="G72" s="22" t="s">
        <v>230</v>
      </c>
      <c r="H72" s="22" t="s">
        <v>237</v>
      </c>
      <c r="I72" s="22" t="s">
        <v>265</v>
      </c>
      <c r="J72" s="17">
        <f>IFERROR(INDEX(Cost_Components!$K$2:$K$6,MATCH(E72,Cost_Components!$A$2:$A$6,0)),"")</f>
        <v>0.2</v>
      </c>
      <c r="K72" s="31">
        <v>0.41649999999999998</v>
      </c>
      <c r="L72" s="17">
        <f>IFERROR(INDEX(Cost_Components!$S$2:$S$6,MATCH(E72,Cost_Components!$A$2:$A$6,0)),"")</f>
        <v>0.147914612579645</v>
      </c>
      <c r="M72" s="28">
        <f>IFERROR(INDEX(Cost_Components!$L$2:$L$6,MATCH(E72,Cost_Components!$A$2:$A$6,0)),"")</f>
        <v>1</v>
      </c>
      <c r="N72" s="29">
        <f>IFERROR(INDEX(Cost_Components!$P$2:$P$6,MATCH(E72,Cost_Components!$A$2:$A$6,0)),"")</f>
        <v>0.70495847821973801</v>
      </c>
      <c r="O72" s="23">
        <f t="shared" si="18"/>
        <v>38308711.697706804</v>
      </c>
      <c r="P72" s="23">
        <f t="shared" si="19"/>
        <v>38242826.185617402</v>
      </c>
      <c r="Q72" s="23">
        <f t="shared" si="20"/>
        <v>3987719.4624075792</v>
      </c>
      <c r="R72" s="23">
        <f t="shared" si="21"/>
        <v>11248020.283555698</v>
      </c>
      <c r="S72" s="23">
        <f t="shared" si="22"/>
        <v>7260300.821148118</v>
      </c>
      <c r="T72" s="16">
        <f>IFERROR(INDEX(Cost_Components!$R$2:$R$6,MATCH(E72,Cost_Components!$A$2:$A$6,0)),"")</f>
        <v>1</v>
      </c>
      <c r="U72" s="26">
        <f>IFERROR(INDEX(Cost_Components!$Q$2:$Q$6,MATCH(E72,Cost_Components!$A$2:$A$6,0)),"")</f>
        <v>2023</v>
      </c>
      <c r="V72" s="30">
        <f>1/(1+Calculation_Assumptions!$B$5)^(B72-Calculation_Assumptions!$B$2)</f>
        <v>0.5873946076162827</v>
      </c>
      <c r="W72" s="23">
        <f t="shared" si="23"/>
        <v>2342364.9089047136</v>
      </c>
      <c r="X72" s="23">
        <f t="shared" si="24"/>
        <v>6607026.4609191883</v>
      </c>
      <c r="Y72" s="23">
        <f t="shared" si="25"/>
        <v>4264661.5520144738</v>
      </c>
      <c r="Z72" s="17">
        <f>IFERROR(INDEX(Cost_Components!$T$2:$T$6,MATCH(E72,Cost_Components!$A$2:$A$6,0)),"")</f>
        <v>0.41649999999999998</v>
      </c>
      <c r="AA72" s="26">
        <f>IFERROR(INDEX(Cost_Components!$U$2:$U$6,MATCH(E72,Cost_Components!$A$2:$A$6,0)),"")</f>
        <v>2025</v>
      </c>
      <c r="AB72" s="26">
        <f>IFERROR(INDEX(Cost_Components!$V$2:$V$6,MATCH(E72,Cost_Components!$A$2:$A$6,0)),"")</f>
        <v>2040</v>
      </c>
      <c r="AC72" s="26">
        <f>IFERROR(INDEX(Cost_Components!$M$2:$M$6,MATCH(E72,Cost_Components!$A$2:$A$6,0)),"")</f>
        <v>30</v>
      </c>
      <c r="AD72" s="26">
        <f>IFERROR(INDEX(Cost_Components!$N$2:$N$6,MATCH(E72,Cost_Components!$A$2:$A$6,0)),"")</f>
        <v>95</v>
      </c>
      <c r="AE72" s="16" t="str">
        <f>IFERROR(INDEX(Cost_Components!$O$2:$O$6,MATCH(E72,Cost_Components!$A$2:$A$6,0)),"")</f>
        <v>Both</v>
      </c>
      <c r="AF72" s="11">
        <v>191543558.488534</v>
      </c>
      <c r="AG72" s="11">
        <v>191214130.928087</v>
      </c>
      <c r="AH72" s="23">
        <f t="shared" si="26"/>
        <v>1</v>
      </c>
    </row>
    <row r="73" spans="1:34">
      <c r="A73" t="s">
        <v>115</v>
      </c>
      <c r="B73" s="20">
        <v>2044</v>
      </c>
      <c r="C73" t="s">
        <v>229</v>
      </c>
      <c r="D73" t="s">
        <v>233</v>
      </c>
      <c r="E73" s="22" t="s">
        <v>279</v>
      </c>
      <c r="F73" s="22" t="s">
        <v>280</v>
      </c>
      <c r="G73" s="22" t="s">
        <v>230</v>
      </c>
      <c r="H73" s="22" t="s">
        <v>237</v>
      </c>
      <c r="I73" s="22" t="s">
        <v>265</v>
      </c>
      <c r="J73" s="17">
        <f>IFERROR(INDEX(Cost_Components!$K$2:$K$6,MATCH(E73,Cost_Components!$A$2:$A$6,0)),"")</f>
        <v>0.2</v>
      </c>
      <c r="K73" s="31">
        <v>0.41649999999999998</v>
      </c>
      <c r="L73" s="17">
        <f>IFERROR(INDEX(Cost_Components!$S$2:$S$6,MATCH(E73,Cost_Components!$A$2:$A$6,0)),"")</f>
        <v>0.147914612579645</v>
      </c>
      <c r="M73" s="28">
        <f>IFERROR(INDEX(Cost_Components!$L$2:$L$6,MATCH(E73,Cost_Components!$A$2:$A$6,0)),"")</f>
        <v>1</v>
      </c>
      <c r="N73" s="29">
        <f>IFERROR(INDEX(Cost_Components!$P$2:$P$6,MATCH(E73,Cost_Components!$A$2:$A$6,0)),"")</f>
        <v>0.70495847821973801</v>
      </c>
      <c r="O73" s="23">
        <f t="shared" si="18"/>
        <v>38729880.335841201</v>
      </c>
      <c r="P73" s="23">
        <f t="shared" si="19"/>
        <v>38651237.703570403</v>
      </c>
      <c r="Q73" s="23">
        <f t="shared" si="20"/>
        <v>4030306.0262485417</v>
      </c>
      <c r="R73" s="23">
        <f t="shared" si="21"/>
        <v>11371681.800077455</v>
      </c>
      <c r="S73" s="23">
        <f t="shared" si="22"/>
        <v>7341375.7738289135</v>
      </c>
      <c r="T73" s="16">
        <f>IFERROR(INDEX(Cost_Components!$R$2:$R$6,MATCH(E73,Cost_Components!$A$2:$A$6,0)),"")</f>
        <v>1</v>
      </c>
      <c r="U73" s="26">
        <f>IFERROR(INDEX(Cost_Components!$Q$2:$Q$6,MATCH(E73,Cost_Components!$A$2:$A$6,0)),"")</f>
        <v>2023</v>
      </c>
      <c r="V73" s="30">
        <f>1/(1+Calculation_Assumptions!$B$5)^(B73-Calculation_Assumptions!$B$2)</f>
        <v>0.57028602681192497</v>
      </c>
      <c r="W73" s="23">
        <f t="shared" si="23"/>
        <v>2298427.2105454388</v>
      </c>
      <c r="X73" s="23">
        <f t="shared" si="24"/>
        <v>6485111.231935651</v>
      </c>
      <c r="Y73" s="23">
        <f t="shared" si="25"/>
        <v>4186684.0213902122</v>
      </c>
      <c r="Z73" s="17">
        <f>IFERROR(INDEX(Cost_Components!$T$2:$T$6,MATCH(E73,Cost_Components!$A$2:$A$6,0)),"")</f>
        <v>0.41649999999999998</v>
      </c>
      <c r="AA73" s="26">
        <f>IFERROR(INDEX(Cost_Components!$U$2:$U$6,MATCH(E73,Cost_Components!$A$2:$A$6,0)),"")</f>
        <v>2025</v>
      </c>
      <c r="AB73" s="26">
        <f>IFERROR(INDEX(Cost_Components!$V$2:$V$6,MATCH(E73,Cost_Components!$A$2:$A$6,0)),"")</f>
        <v>2040</v>
      </c>
      <c r="AC73" s="26">
        <f>IFERROR(INDEX(Cost_Components!$M$2:$M$6,MATCH(E73,Cost_Components!$A$2:$A$6,0)),"")</f>
        <v>30</v>
      </c>
      <c r="AD73" s="26">
        <f>IFERROR(INDEX(Cost_Components!$N$2:$N$6,MATCH(E73,Cost_Components!$A$2:$A$6,0)),"")</f>
        <v>95</v>
      </c>
      <c r="AE73" s="16" t="str">
        <f>IFERROR(INDEX(Cost_Components!$O$2:$O$6,MATCH(E73,Cost_Components!$A$2:$A$6,0)),"")</f>
        <v>Both</v>
      </c>
      <c r="AF73" s="11">
        <v>193649401.67920601</v>
      </c>
      <c r="AG73" s="11">
        <v>193256188.51785201</v>
      </c>
      <c r="AH73" s="23">
        <f t="shared" si="26"/>
        <v>1</v>
      </c>
    </row>
    <row r="74" spans="1:34">
      <c r="A74" t="s">
        <v>115</v>
      </c>
      <c r="B74" s="20">
        <v>2045</v>
      </c>
      <c r="C74" t="s">
        <v>229</v>
      </c>
      <c r="D74" t="s">
        <v>233</v>
      </c>
      <c r="E74" s="22" t="s">
        <v>279</v>
      </c>
      <c r="F74" s="22" t="s">
        <v>280</v>
      </c>
      <c r="G74" s="22" t="s">
        <v>230</v>
      </c>
      <c r="H74" s="22" t="s">
        <v>237</v>
      </c>
      <c r="I74" s="22" t="s">
        <v>265</v>
      </c>
      <c r="J74" s="17">
        <f>IFERROR(INDEX(Cost_Components!$K$2:$K$6,MATCH(E74,Cost_Components!$A$2:$A$6,0)),"")</f>
        <v>0.2</v>
      </c>
      <c r="K74" s="31">
        <v>0.41649999999999998</v>
      </c>
      <c r="L74" s="17">
        <f>IFERROR(INDEX(Cost_Components!$S$2:$S$6,MATCH(E74,Cost_Components!$A$2:$A$6,0)),"")</f>
        <v>0.147914612579645</v>
      </c>
      <c r="M74" s="28">
        <f>IFERROR(INDEX(Cost_Components!$L$2:$L$6,MATCH(E74,Cost_Components!$A$2:$A$6,0)),"")</f>
        <v>1</v>
      </c>
      <c r="N74" s="29">
        <f>IFERROR(INDEX(Cost_Components!$P$2:$P$6,MATCH(E74,Cost_Components!$A$2:$A$6,0)),"")</f>
        <v>0.70495847821973801</v>
      </c>
      <c r="O74" s="23">
        <f t="shared" si="18"/>
        <v>39125566.926203802</v>
      </c>
      <c r="P74" s="23">
        <f t="shared" si="19"/>
        <v>39033903.306224801</v>
      </c>
      <c r="Q74" s="23">
        <f t="shared" si="20"/>
        <v>4070207.9692663606</v>
      </c>
      <c r="R74" s="23">
        <f t="shared" si="21"/>
        <v>11487861.399888847</v>
      </c>
      <c r="S74" s="23">
        <f t="shared" si="22"/>
        <v>7417653.4306224864</v>
      </c>
      <c r="T74" s="16">
        <f>IFERROR(INDEX(Cost_Components!$R$2:$R$6,MATCH(E74,Cost_Components!$A$2:$A$6,0)),"")</f>
        <v>1</v>
      </c>
      <c r="U74" s="26">
        <f>IFERROR(INDEX(Cost_Components!$Q$2:$Q$6,MATCH(E74,Cost_Components!$A$2:$A$6,0)),"")</f>
        <v>2023</v>
      </c>
      <c r="V74" s="30">
        <f>1/(1+Calculation_Assumptions!$B$5)^(B74-Calculation_Assumptions!$B$2)</f>
        <v>0.55367575418633497</v>
      </c>
      <c r="W74" s="23">
        <f t="shared" si="23"/>
        <v>2253575.4670787831</v>
      </c>
      <c r="X74" s="23">
        <f t="shared" si="24"/>
        <v>6360550.3245715434</v>
      </c>
      <c r="Y74" s="23">
        <f t="shared" si="25"/>
        <v>4106974.8574927598</v>
      </c>
      <c r="Z74" s="17">
        <f>IFERROR(INDEX(Cost_Components!$T$2:$T$6,MATCH(E74,Cost_Components!$A$2:$A$6,0)),"")</f>
        <v>0.41649999999999998</v>
      </c>
      <c r="AA74" s="26">
        <f>IFERROR(INDEX(Cost_Components!$U$2:$U$6,MATCH(E74,Cost_Components!$A$2:$A$6,0)),"")</f>
        <v>2025</v>
      </c>
      <c r="AB74" s="26">
        <f>IFERROR(INDEX(Cost_Components!$V$2:$V$6,MATCH(E74,Cost_Components!$A$2:$A$6,0)),"")</f>
        <v>2040</v>
      </c>
      <c r="AC74" s="26">
        <f>IFERROR(INDEX(Cost_Components!$M$2:$M$6,MATCH(E74,Cost_Components!$A$2:$A$6,0)),"")</f>
        <v>30</v>
      </c>
      <c r="AD74" s="26">
        <f>IFERROR(INDEX(Cost_Components!$N$2:$N$6,MATCH(E74,Cost_Components!$A$2:$A$6,0)),"")</f>
        <v>95</v>
      </c>
      <c r="AE74" s="16" t="str">
        <f>IFERROR(INDEX(Cost_Components!$O$2:$O$6,MATCH(E74,Cost_Components!$A$2:$A$6,0)),"")</f>
        <v>Both</v>
      </c>
      <c r="AF74" s="11">
        <v>195627834.631019</v>
      </c>
      <c r="AG74" s="11">
        <v>195169516.531124</v>
      </c>
      <c r="AH74" s="23">
        <f t="shared" si="26"/>
        <v>1</v>
      </c>
    </row>
    <row r="75" spans="1:34">
      <c r="A75" t="s">
        <v>115</v>
      </c>
      <c r="B75" s="20">
        <v>2046</v>
      </c>
      <c r="C75" t="s">
        <v>229</v>
      </c>
      <c r="D75" t="s">
        <v>233</v>
      </c>
      <c r="E75" s="22" t="s">
        <v>279</v>
      </c>
      <c r="F75" s="22" t="s">
        <v>280</v>
      </c>
      <c r="G75" s="22" t="s">
        <v>230</v>
      </c>
      <c r="H75" s="22" t="s">
        <v>237</v>
      </c>
      <c r="I75" s="22" t="s">
        <v>265</v>
      </c>
      <c r="J75" s="17">
        <f>IFERROR(INDEX(Cost_Components!$K$2:$K$6,MATCH(E75,Cost_Components!$A$2:$A$6,0)),"")</f>
        <v>0.2</v>
      </c>
      <c r="K75" s="31">
        <v>0.41649999999999998</v>
      </c>
      <c r="L75" s="17">
        <f>IFERROR(INDEX(Cost_Components!$S$2:$S$6,MATCH(E75,Cost_Components!$A$2:$A$6,0)),"")</f>
        <v>0.147914612579645</v>
      </c>
      <c r="M75" s="28">
        <f>IFERROR(INDEX(Cost_Components!$L$2:$L$6,MATCH(E75,Cost_Components!$A$2:$A$6,0)),"")</f>
        <v>1</v>
      </c>
      <c r="N75" s="29">
        <f>IFERROR(INDEX(Cost_Components!$P$2:$P$6,MATCH(E75,Cost_Components!$A$2:$A$6,0)),"")</f>
        <v>0.70495847821973801</v>
      </c>
      <c r="O75" s="23">
        <f t="shared" si="18"/>
        <v>39497052.975579202</v>
      </c>
      <c r="P75" s="23">
        <f t="shared" si="19"/>
        <v>39380708.465043403</v>
      </c>
      <c r="Q75" s="23">
        <f t="shared" si="20"/>
        <v>4106370.6125493618</v>
      </c>
      <c r="R75" s="23">
        <f t="shared" si="21"/>
        <v>11596935.352868648</v>
      </c>
      <c r="S75" s="23">
        <f t="shared" si="22"/>
        <v>7490564.7403192865</v>
      </c>
      <c r="T75" s="16">
        <f>IFERROR(INDEX(Cost_Components!$R$2:$R$6,MATCH(E75,Cost_Components!$A$2:$A$6,0)),"")</f>
        <v>1</v>
      </c>
      <c r="U75" s="26">
        <f>IFERROR(INDEX(Cost_Components!$Q$2:$Q$6,MATCH(E75,Cost_Components!$A$2:$A$6,0)),"")</f>
        <v>2023</v>
      </c>
      <c r="V75" s="30">
        <f>1/(1+Calculation_Assumptions!$B$5)^(B75-Calculation_Assumptions!$B$2)</f>
        <v>0.5375492759090631</v>
      </c>
      <c r="W75" s="23">
        <f t="shared" si="23"/>
        <v>2207376.5493901651</v>
      </c>
      <c r="X75" s="23">
        <f t="shared" si="24"/>
        <v>6233924.2016987568</v>
      </c>
      <c r="Y75" s="23">
        <f t="shared" si="25"/>
        <v>4026547.6523085916</v>
      </c>
      <c r="Z75" s="17">
        <f>IFERROR(INDEX(Cost_Components!$T$2:$T$6,MATCH(E75,Cost_Components!$A$2:$A$6,0)),"")</f>
        <v>0.41649999999999998</v>
      </c>
      <c r="AA75" s="26">
        <f>IFERROR(INDEX(Cost_Components!$U$2:$U$6,MATCH(E75,Cost_Components!$A$2:$A$6,0)),"")</f>
        <v>2025</v>
      </c>
      <c r="AB75" s="26">
        <f>IFERROR(INDEX(Cost_Components!$V$2:$V$6,MATCH(E75,Cost_Components!$A$2:$A$6,0)),"")</f>
        <v>2040</v>
      </c>
      <c r="AC75" s="26">
        <f>IFERROR(INDEX(Cost_Components!$M$2:$M$6,MATCH(E75,Cost_Components!$A$2:$A$6,0)),"")</f>
        <v>30</v>
      </c>
      <c r="AD75" s="26">
        <f>IFERROR(INDEX(Cost_Components!$N$2:$N$6,MATCH(E75,Cost_Components!$A$2:$A$6,0)),"")</f>
        <v>95</v>
      </c>
      <c r="AE75" s="16" t="str">
        <f>IFERROR(INDEX(Cost_Components!$O$2:$O$6,MATCH(E75,Cost_Components!$A$2:$A$6,0)),"")</f>
        <v>Both</v>
      </c>
      <c r="AF75" s="11">
        <v>197485264.87789601</v>
      </c>
      <c r="AG75" s="11">
        <v>196903542.32521701</v>
      </c>
      <c r="AH75" s="23">
        <f t="shared" si="26"/>
        <v>1</v>
      </c>
    </row>
    <row r="76" spans="1:34">
      <c r="A76" t="s">
        <v>115</v>
      </c>
      <c r="B76" s="20">
        <v>2047</v>
      </c>
      <c r="C76" t="s">
        <v>229</v>
      </c>
      <c r="D76" t="s">
        <v>233</v>
      </c>
      <c r="E76" s="22" t="s">
        <v>279</v>
      </c>
      <c r="F76" s="22" t="s">
        <v>280</v>
      </c>
      <c r="G76" s="22" t="s">
        <v>230</v>
      </c>
      <c r="H76" s="22" t="s">
        <v>237</v>
      </c>
      <c r="I76" s="22" t="s">
        <v>265</v>
      </c>
      <c r="J76" s="17">
        <f>IFERROR(INDEX(Cost_Components!$K$2:$K$6,MATCH(E76,Cost_Components!$A$2:$A$6,0)),"")</f>
        <v>0.2</v>
      </c>
      <c r="K76" s="31">
        <v>0.41649999999999998</v>
      </c>
      <c r="L76" s="17">
        <f>IFERROR(INDEX(Cost_Components!$S$2:$S$6,MATCH(E76,Cost_Components!$A$2:$A$6,0)),"")</f>
        <v>0.147914612579645</v>
      </c>
      <c r="M76" s="28">
        <f>IFERROR(INDEX(Cost_Components!$L$2:$L$6,MATCH(E76,Cost_Components!$A$2:$A$6,0)),"")</f>
        <v>1</v>
      </c>
      <c r="N76" s="29">
        <f>IFERROR(INDEX(Cost_Components!$P$2:$P$6,MATCH(E76,Cost_Components!$A$2:$A$6,0)),"")</f>
        <v>0.70495847821973801</v>
      </c>
      <c r="O76" s="23">
        <f t="shared" si="18"/>
        <v>39809349.352426603</v>
      </c>
      <c r="P76" s="23">
        <f t="shared" si="19"/>
        <v>39679078.6957184</v>
      </c>
      <c r="Q76" s="23">
        <f t="shared" si="20"/>
        <v>4137482.7685937602</v>
      </c>
      <c r="R76" s="23">
        <f t="shared" si="21"/>
        <v>11688630.317945505</v>
      </c>
      <c r="S76" s="23">
        <f t="shared" si="22"/>
        <v>7551147.5493517444</v>
      </c>
      <c r="T76" s="16">
        <f>IFERROR(INDEX(Cost_Components!$R$2:$R$6,MATCH(E76,Cost_Components!$A$2:$A$6,0)),"")</f>
        <v>1</v>
      </c>
      <c r="U76" s="26">
        <f>IFERROR(INDEX(Cost_Components!$Q$2:$Q$6,MATCH(E76,Cost_Components!$A$2:$A$6,0)),"")</f>
        <v>2023</v>
      </c>
      <c r="V76" s="30">
        <f>1/(1+Calculation_Assumptions!$B$5)^(B76-Calculation_Assumptions!$B$2)</f>
        <v>0.52189250088258554</v>
      </c>
      <c r="W76" s="23">
        <f t="shared" si="23"/>
        <v>2159321.2294600015</v>
      </c>
      <c r="X76" s="23">
        <f t="shared" si="24"/>
        <v>6100208.5085245902</v>
      </c>
      <c r="Y76" s="23">
        <f t="shared" si="25"/>
        <v>3940887.2790645887</v>
      </c>
      <c r="Z76" s="17">
        <f>IFERROR(INDEX(Cost_Components!$T$2:$T$6,MATCH(E76,Cost_Components!$A$2:$A$6,0)),"")</f>
        <v>0.41649999999999998</v>
      </c>
      <c r="AA76" s="26">
        <f>IFERROR(INDEX(Cost_Components!$U$2:$U$6,MATCH(E76,Cost_Components!$A$2:$A$6,0)),"")</f>
        <v>2025</v>
      </c>
      <c r="AB76" s="26">
        <f>IFERROR(INDEX(Cost_Components!$V$2:$V$6,MATCH(E76,Cost_Components!$A$2:$A$6,0)),"")</f>
        <v>2040</v>
      </c>
      <c r="AC76" s="26">
        <f>IFERROR(INDEX(Cost_Components!$M$2:$M$6,MATCH(E76,Cost_Components!$A$2:$A$6,0)),"")</f>
        <v>30</v>
      </c>
      <c r="AD76" s="26">
        <f>IFERROR(INDEX(Cost_Components!$N$2:$N$6,MATCH(E76,Cost_Components!$A$2:$A$6,0)),"")</f>
        <v>95</v>
      </c>
      <c r="AE76" s="16" t="str">
        <f>IFERROR(INDEX(Cost_Components!$O$2:$O$6,MATCH(E76,Cost_Components!$A$2:$A$6,0)),"")</f>
        <v>Both</v>
      </c>
      <c r="AF76" s="11">
        <v>199046746.762133</v>
      </c>
      <c r="AG76" s="11">
        <v>198395393.47859201</v>
      </c>
      <c r="AH76" s="23">
        <f t="shared" si="26"/>
        <v>1</v>
      </c>
    </row>
    <row r="77" spans="1:34">
      <c r="A77" t="s">
        <v>115</v>
      </c>
      <c r="B77" s="20">
        <v>2048</v>
      </c>
      <c r="C77" t="s">
        <v>229</v>
      </c>
      <c r="D77" t="s">
        <v>233</v>
      </c>
      <c r="E77" s="22" t="s">
        <v>279</v>
      </c>
      <c r="F77" s="22" t="s">
        <v>280</v>
      </c>
      <c r="G77" s="22" t="s">
        <v>230</v>
      </c>
      <c r="H77" s="22" t="s">
        <v>237</v>
      </c>
      <c r="I77" s="22" t="s">
        <v>265</v>
      </c>
      <c r="J77" s="17">
        <f>IFERROR(INDEX(Cost_Components!$K$2:$K$6,MATCH(E77,Cost_Components!$A$2:$A$6,0)),"")</f>
        <v>0.2</v>
      </c>
      <c r="K77" s="31">
        <v>0.41649999999999998</v>
      </c>
      <c r="L77" s="17">
        <f>IFERROR(INDEX(Cost_Components!$S$2:$S$6,MATCH(E77,Cost_Components!$A$2:$A$6,0)),"")</f>
        <v>0.147914612579645</v>
      </c>
      <c r="M77" s="28">
        <f>IFERROR(INDEX(Cost_Components!$L$2:$L$6,MATCH(E77,Cost_Components!$A$2:$A$6,0)),"")</f>
        <v>1</v>
      </c>
      <c r="N77" s="29">
        <f>IFERROR(INDEX(Cost_Components!$P$2:$P$6,MATCH(E77,Cost_Components!$A$2:$A$6,0)),"")</f>
        <v>0.70495847821973801</v>
      </c>
      <c r="O77" s="23">
        <f t="shared" si="18"/>
        <v>40096782.5948852</v>
      </c>
      <c r="P77" s="23">
        <f t="shared" si="19"/>
        <v>39952492.424706601</v>
      </c>
      <c r="Q77" s="23">
        <f t="shared" si="20"/>
        <v>4165992.6188617228</v>
      </c>
      <c r="R77" s="23">
        <f t="shared" si="21"/>
        <v>11773025.088692546</v>
      </c>
      <c r="S77" s="23">
        <f t="shared" si="22"/>
        <v>7607032.4698308231</v>
      </c>
      <c r="T77" s="16">
        <f>IFERROR(INDEX(Cost_Components!$R$2:$R$6,MATCH(E77,Cost_Components!$A$2:$A$6,0)),"")</f>
        <v>1</v>
      </c>
      <c r="U77" s="26">
        <f>IFERROR(INDEX(Cost_Components!$Q$2:$Q$6,MATCH(E77,Cost_Components!$A$2:$A$6,0)),"")</f>
        <v>2023</v>
      </c>
      <c r="V77" s="30">
        <f>1/(1+Calculation_Assumptions!$B$5)^(B77-Calculation_Assumptions!$B$2)</f>
        <v>0.50669174842969467</v>
      </c>
      <c r="W77" s="23">
        <f t="shared" si="23"/>
        <v>2110874.0839962489</v>
      </c>
      <c r="X77" s="23">
        <f t="shared" si="24"/>
        <v>5965294.6664962871</v>
      </c>
      <c r="Y77" s="23">
        <f t="shared" si="25"/>
        <v>3854420.5825000382</v>
      </c>
      <c r="Z77" s="17">
        <f>IFERROR(INDEX(Cost_Components!$T$2:$T$6,MATCH(E77,Cost_Components!$A$2:$A$6,0)),"")</f>
        <v>0.41649999999999998</v>
      </c>
      <c r="AA77" s="26">
        <f>IFERROR(INDEX(Cost_Components!$U$2:$U$6,MATCH(E77,Cost_Components!$A$2:$A$6,0)),"")</f>
        <v>2025</v>
      </c>
      <c r="AB77" s="26">
        <f>IFERROR(INDEX(Cost_Components!$V$2:$V$6,MATCH(E77,Cost_Components!$A$2:$A$6,0)),"")</f>
        <v>2040</v>
      </c>
      <c r="AC77" s="26">
        <f>IFERROR(INDEX(Cost_Components!$M$2:$M$6,MATCH(E77,Cost_Components!$A$2:$A$6,0)),"")</f>
        <v>30</v>
      </c>
      <c r="AD77" s="26">
        <f>IFERROR(INDEX(Cost_Components!$N$2:$N$6,MATCH(E77,Cost_Components!$A$2:$A$6,0)),"")</f>
        <v>95</v>
      </c>
      <c r="AE77" s="16" t="str">
        <f>IFERROR(INDEX(Cost_Components!$O$2:$O$6,MATCH(E77,Cost_Components!$A$2:$A$6,0)),"")</f>
        <v>Both</v>
      </c>
      <c r="AF77" s="11">
        <v>200483912.974426</v>
      </c>
      <c r="AG77" s="11">
        <v>199762462.12353301</v>
      </c>
      <c r="AH77" s="23">
        <f t="shared" si="26"/>
        <v>1</v>
      </c>
    </row>
    <row r="78" spans="1:34">
      <c r="A78" t="s">
        <v>115</v>
      </c>
      <c r="B78" s="20">
        <v>2049</v>
      </c>
      <c r="C78" t="s">
        <v>229</v>
      </c>
      <c r="D78" t="s">
        <v>233</v>
      </c>
      <c r="E78" s="22" t="s">
        <v>279</v>
      </c>
      <c r="F78" s="22" t="s">
        <v>280</v>
      </c>
      <c r="G78" s="22" t="s">
        <v>230</v>
      </c>
      <c r="H78" s="22" t="s">
        <v>237</v>
      </c>
      <c r="I78" s="22" t="s">
        <v>265</v>
      </c>
      <c r="J78" s="17">
        <f>IFERROR(INDEX(Cost_Components!$K$2:$K$6,MATCH(E78,Cost_Components!$A$2:$A$6,0)),"")</f>
        <v>0.2</v>
      </c>
      <c r="K78" s="31">
        <v>0.41649999999999998</v>
      </c>
      <c r="L78" s="17">
        <f>IFERROR(INDEX(Cost_Components!$S$2:$S$6,MATCH(E78,Cost_Components!$A$2:$A$6,0)),"")</f>
        <v>0.147914612579645</v>
      </c>
      <c r="M78" s="28">
        <f>IFERROR(INDEX(Cost_Components!$L$2:$L$6,MATCH(E78,Cost_Components!$A$2:$A$6,0)),"")</f>
        <v>1</v>
      </c>
      <c r="N78" s="29">
        <f>IFERROR(INDEX(Cost_Components!$P$2:$P$6,MATCH(E78,Cost_Components!$A$2:$A$6,0)),"")</f>
        <v>0.70495847821973801</v>
      </c>
      <c r="O78" s="23">
        <f t="shared" si="18"/>
        <v>40365523.519347005</v>
      </c>
      <c r="P78" s="23">
        <f t="shared" si="19"/>
        <v>40207213.103126399</v>
      </c>
      <c r="Q78" s="23">
        <f t="shared" si="20"/>
        <v>4192553.27632679</v>
      </c>
      <c r="R78" s="23">
        <f t="shared" si="21"/>
        <v>11851931.510637006</v>
      </c>
      <c r="S78" s="23">
        <f t="shared" si="22"/>
        <v>7659378.2343102153</v>
      </c>
      <c r="T78" s="16">
        <f>IFERROR(INDEX(Cost_Components!$R$2:$R$6,MATCH(E78,Cost_Components!$A$2:$A$6,0)),"")</f>
        <v>1</v>
      </c>
      <c r="U78" s="26">
        <f>IFERROR(INDEX(Cost_Components!$Q$2:$Q$6,MATCH(E78,Cost_Components!$A$2:$A$6,0)),"")</f>
        <v>2023</v>
      </c>
      <c r="V78" s="30">
        <f>1/(1+Calculation_Assumptions!$B$5)^(B78-Calculation_Assumptions!$B$2)</f>
        <v>0.49193373633950943</v>
      </c>
      <c r="W78" s="23">
        <f t="shared" si="23"/>
        <v>2062458.3980258896</v>
      </c>
      <c r="X78" s="23">
        <f t="shared" si="24"/>
        <v>5830364.9508676287</v>
      </c>
      <c r="Y78" s="23">
        <f t="shared" si="25"/>
        <v>3767906.5528417388</v>
      </c>
      <c r="Z78" s="17">
        <f>IFERROR(INDEX(Cost_Components!$T$2:$T$6,MATCH(E78,Cost_Components!$A$2:$A$6,0)),"")</f>
        <v>0.41649999999999998</v>
      </c>
      <c r="AA78" s="26">
        <f>IFERROR(INDEX(Cost_Components!$U$2:$U$6,MATCH(E78,Cost_Components!$A$2:$A$6,0)),"")</f>
        <v>2025</v>
      </c>
      <c r="AB78" s="26">
        <f>IFERROR(INDEX(Cost_Components!$V$2:$V$6,MATCH(E78,Cost_Components!$A$2:$A$6,0)),"")</f>
        <v>2040</v>
      </c>
      <c r="AC78" s="26">
        <f>IFERROR(INDEX(Cost_Components!$M$2:$M$6,MATCH(E78,Cost_Components!$A$2:$A$6,0)),"")</f>
        <v>30</v>
      </c>
      <c r="AD78" s="26">
        <f>IFERROR(INDEX(Cost_Components!$N$2:$N$6,MATCH(E78,Cost_Components!$A$2:$A$6,0)),"")</f>
        <v>95</v>
      </c>
      <c r="AE78" s="16" t="str">
        <f>IFERROR(INDEX(Cost_Components!$O$2:$O$6,MATCH(E78,Cost_Components!$A$2:$A$6,0)),"")</f>
        <v>Both</v>
      </c>
      <c r="AF78" s="11">
        <v>201827617.596735</v>
      </c>
      <c r="AG78" s="11">
        <v>201036065.515632</v>
      </c>
      <c r="AH78" s="23">
        <f t="shared" si="26"/>
        <v>1</v>
      </c>
    </row>
    <row r="79" spans="1:34">
      <c r="A79" t="s">
        <v>115</v>
      </c>
      <c r="B79" s="20">
        <v>2050</v>
      </c>
      <c r="C79" t="s">
        <v>229</v>
      </c>
      <c r="D79" t="s">
        <v>233</v>
      </c>
      <c r="E79" s="22" t="s">
        <v>279</v>
      </c>
      <c r="F79" s="22" t="s">
        <v>280</v>
      </c>
      <c r="G79" s="22" t="s">
        <v>230</v>
      </c>
      <c r="H79" s="22" t="s">
        <v>237</v>
      </c>
      <c r="I79" s="22" t="s">
        <v>265</v>
      </c>
      <c r="J79" s="17">
        <f>IFERROR(INDEX(Cost_Components!$K$2:$K$6,MATCH(E79,Cost_Components!$A$2:$A$6,0)),"")</f>
        <v>0.2</v>
      </c>
      <c r="K79" s="31">
        <v>0.41649999999999998</v>
      </c>
      <c r="L79" s="17">
        <f>IFERROR(INDEX(Cost_Components!$S$2:$S$6,MATCH(E79,Cost_Components!$A$2:$A$6,0)),"")</f>
        <v>0.147914612579645</v>
      </c>
      <c r="M79" s="28">
        <f>IFERROR(INDEX(Cost_Components!$L$2:$L$6,MATCH(E79,Cost_Components!$A$2:$A$6,0)),"")</f>
        <v>1</v>
      </c>
      <c r="N79" s="29">
        <f>IFERROR(INDEX(Cost_Components!$P$2:$P$6,MATCH(E79,Cost_Components!$A$2:$A$6,0)),"")</f>
        <v>0.70495847821973801</v>
      </c>
      <c r="O79" s="23">
        <f t="shared" si="18"/>
        <v>40624183.272166602</v>
      </c>
      <c r="P79" s="23">
        <f t="shared" si="19"/>
        <v>40451926.220417</v>
      </c>
      <c r="Q79" s="23">
        <f t="shared" si="20"/>
        <v>4218070.4087633342</v>
      </c>
      <c r="R79" s="23">
        <f t="shared" si="21"/>
        <v>11927877.947291216</v>
      </c>
      <c r="S79" s="23">
        <f t="shared" si="22"/>
        <v>7709807.5385278817</v>
      </c>
      <c r="T79" s="16">
        <f>IFERROR(INDEX(Cost_Components!$R$2:$R$6,MATCH(E79,Cost_Components!$A$2:$A$6,0)),"")</f>
        <v>1</v>
      </c>
      <c r="U79" s="26">
        <f>IFERROR(INDEX(Cost_Components!$Q$2:$Q$6,MATCH(E79,Cost_Components!$A$2:$A$6,0)),"")</f>
        <v>2023</v>
      </c>
      <c r="V79" s="30">
        <f>1/(1+Calculation_Assumptions!$B$5)^(B79-Calculation_Assumptions!$B$2)</f>
        <v>0.47760556926165965</v>
      </c>
      <c r="W79" s="23">
        <f t="shared" si="23"/>
        <v>2014573.9187631735</v>
      </c>
      <c r="X79" s="23">
        <f t="shared" si="24"/>
        <v>5696820.9370996179</v>
      </c>
      <c r="Y79" s="23">
        <f t="shared" si="25"/>
        <v>3682247.0183364437</v>
      </c>
      <c r="Z79" s="17">
        <f>IFERROR(INDEX(Cost_Components!$T$2:$T$6,MATCH(E79,Cost_Components!$A$2:$A$6,0)),"")</f>
        <v>0.41649999999999998</v>
      </c>
      <c r="AA79" s="26">
        <f>IFERROR(INDEX(Cost_Components!$U$2:$U$6,MATCH(E79,Cost_Components!$A$2:$A$6,0)),"")</f>
        <v>2025</v>
      </c>
      <c r="AB79" s="26">
        <f>IFERROR(INDEX(Cost_Components!$V$2:$V$6,MATCH(E79,Cost_Components!$A$2:$A$6,0)),"")</f>
        <v>2040</v>
      </c>
      <c r="AC79" s="26">
        <f>IFERROR(INDEX(Cost_Components!$M$2:$M$6,MATCH(E79,Cost_Components!$A$2:$A$6,0)),"")</f>
        <v>30</v>
      </c>
      <c r="AD79" s="26">
        <f>IFERROR(INDEX(Cost_Components!$N$2:$N$6,MATCH(E79,Cost_Components!$A$2:$A$6,0)),"")</f>
        <v>95</v>
      </c>
      <c r="AE79" s="16" t="str">
        <f>IFERROR(INDEX(Cost_Components!$O$2:$O$6,MATCH(E79,Cost_Components!$A$2:$A$6,0)),"")</f>
        <v>Both</v>
      </c>
      <c r="AF79" s="11">
        <v>203120916.36083299</v>
      </c>
      <c r="AG79" s="11">
        <v>202259631.10208499</v>
      </c>
      <c r="AH79" s="23">
        <f t="shared" si="26"/>
        <v>1</v>
      </c>
    </row>
    <row r="80" spans="1:34">
      <c r="A80" t="s">
        <v>115</v>
      </c>
      <c r="B80" s="20">
        <v>2025</v>
      </c>
      <c r="C80" t="s">
        <v>229</v>
      </c>
      <c r="D80" t="s">
        <v>233</v>
      </c>
      <c r="E80" s="22" t="s">
        <v>276</v>
      </c>
      <c r="F80" s="22" t="s">
        <v>277</v>
      </c>
      <c r="G80" s="22" t="s">
        <v>230</v>
      </c>
      <c r="H80" s="22" t="s">
        <v>237</v>
      </c>
      <c r="I80" s="22" t="s">
        <v>274</v>
      </c>
      <c r="J80" s="17">
        <f>IFERROR(INDEX(Cost_Components!$K$2:$K$6,MATCH(E80,Cost_Components!$A$2:$A$6,0)),"")</f>
        <v>0.6</v>
      </c>
      <c r="K80" s="31">
        <v>0.147914612579645</v>
      </c>
      <c r="L80" s="17">
        <f>IFERROR(INDEX(Cost_Components!$S$2:$S$6,MATCH(E80,Cost_Components!$A$2:$A$6,0)),"")</f>
        <v>0.147914612579645</v>
      </c>
      <c r="M80" s="28">
        <f>IFERROR(INDEX(Cost_Components!$L$2:$L$6,MATCH(E80,Cost_Components!$A$2:$A$6,0)),"")</f>
        <v>1</v>
      </c>
      <c r="N80" s="29">
        <f>IFERROR(INDEX(Cost_Components!$P$2:$P$6,MATCH(E80,Cost_Components!$A$2:$A$6,0)),"")</f>
        <v>752.57623226071905</v>
      </c>
      <c r="O80" s="23">
        <f t="shared" si="18"/>
        <v>9028121.1142474785</v>
      </c>
      <c r="P80" s="23">
        <f t="shared" si="19"/>
        <v>9028121.1142474785</v>
      </c>
      <c r="Q80" s="23">
        <f t="shared" si="20"/>
        <v>1004983555.1720512</v>
      </c>
      <c r="R80" s="23">
        <f t="shared" si="21"/>
        <v>1004983555.1720512</v>
      </c>
      <c r="S80" s="23">
        <f t="shared" si="22"/>
        <v>0</v>
      </c>
      <c r="T80" s="16">
        <f>IFERROR(INDEX(Cost_Components!$R$2:$R$6,MATCH(E80,Cost_Components!$A$2:$A$6,0)),"")</f>
        <v>1</v>
      </c>
      <c r="U80" s="26">
        <f>IFERROR(INDEX(Cost_Components!$Q$2:$Q$6,MATCH(E80,Cost_Components!$A$2:$A$6,0)),"")</f>
        <v>2023</v>
      </c>
      <c r="V80" s="30">
        <f>1/(1+Calculation_Assumptions!$B$5)^(B80-Calculation_Assumptions!$B$2)</f>
        <v>1</v>
      </c>
      <c r="W80" s="23">
        <f t="shared" si="23"/>
        <v>1004983555.1720512</v>
      </c>
      <c r="X80" s="23">
        <f t="shared" si="24"/>
        <v>1004983555.1720512</v>
      </c>
      <c r="Y80" s="23">
        <f t="shared" si="25"/>
        <v>0</v>
      </c>
      <c r="Z80" s="17">
        <f>IFERROR(INDEX(Cost_Components!$T$2:$T$6,MATCH(E80,Cost_Components!$A$2:$A$6,0)),"")</f>
        <v>0.41649999999999998</v>
      </c>
      <c r="AA80" s="26">
        <f>IFERROR(INDEX(Cost_Components!$U$2:$U$6,MATCH(E80,Cost_Components!$A$2:$A$6,0)),"")</f>
        <v>2025</v>
      </c>
      <c r="AB80" s="26">
        <f>IFERROR(INDEX(Cost_Components!$V$2:$V$6,MATCH(E80,Cost_Components!$A$2:$A$6,0)),"")</f>
        <v>2040</v>
      </c>
      <c r="AC80" s="26">
        <f>IFERROR(INDEX(Cost_Components!$M$2:$M$6,MATCH(E80,Cost_Components!$A$2:$A$6,0)),"")</f>
        <v>30</v>
      </c>
      <c r="AD80" s="26">
        <f>IFERROR(INDEX(Cost_Components!$N$2:$N$6,MATCH(E80,Cost_Components!$A$2:$A$6,0)),"")</f>
        <v>95</v>
      </c>
      <c r="AE80" s="16" t="str">
        <f>IFERROR(INDEX(Cost_Components!$O$2:$O$6,MATCH(E80,Cost_Components!$A$2:$A$6,0)),"")</f>
        <v>Both</v>
      </c>
      <c r="AF80" s="11">
        <v>15046868.523745799</v>
      </c>
      <c r="AG80" s="11">
        <v>15046868.523745799</v>
      </c>
      <c r="AH80" s="23">
        <f t="shared" si="26"/>
        <v>1</v>
      </c>
    </row>
    <row r="81" spans="1:34">
      <c r="A81" t="s">
        <v>115</v>
      </c>
      <c r="B81" s="20">
        <v>2026</v>
      </c>
      <c r="C81" t="s">
        <v>229</v>
      </c>
      <c r="D81" t="s">
        <v>233</v>
      </c>
      <c r="E81" s="22" t="s">
        <v>276</v>
      </c>
      <c r="F81" s="22" t="s">
        <v>277</v>
      </c>
      <c r="G81" s="22" t="s">
        <v>230</v>
      </c>
      <c r="H81" s="22" t="s">
        <v>237</v>
      </c>
      <c r="I81" s="22" t="s">
        <v>274</v>
      </c>
      <c r="J81" s="17">
        <f>IFERROR(INDEX(Cost_Components!$K$2:$K$6,MATCH(E81,Cost_Components!$A$2:$A$6,0)),"")</f>
        <v>0.6</v>
      </c>
      <c r="K81" s="31">
        <v>0.14853345980212701</v>
      </c>
      <c r="L81" s="17">
        <f>IFERROR(INDEX(Cost_Components!$S$2:$S$6,MATCH(E81,Cost_Components!$A$2:$A$6,0)),"")</f>
        <v>0.147914612579645</v>
      </c>
      <c r="M81" s="28">
        <f>IFERROR(INDEX(Cost_Components!$L$2:$L$6,MATCH(E81,Cost_Components!$A$2:$A$6,0)),"")</f>
        <v>1</v>
      </c>
      <c r="N81" s="29">
        <f>IFERROR(INDEX(Cost_Components!$P$2:$P$6,MATCH(E81,Cost_Components!$A$2:$A$6,0)),"")</f>
        <v>752.57623226071905</v>
      </c>
      <c r="O81" s="23">
        <f t="shared" si="18"/>
        <v>9063585.5864279997</v>
      </c>
      <c r="P81" s="23">
        <f t="shared" si="19"/>
        <v>9063567.5154285599</v>
      </c>
      <c r="Q81" s="23">
        <f t="shared" si="20"/>
        <v>1008929342.9861735</v>
      </c>
      <c r="R81" s="23">
        <f t="shared" si="21"/>
        <v>1013152535.6921709</v>
      </c>
      <c r="S81" s="23">
        <f t="shared" si="22"/>
        <v>4223192.7059973478</v>
      </c>
      <c r="T81" s="16">
        <f>IFERROR(INDEX(Cost_Components!$R$2:$R$6,MATCH(E81,Cost_Components!$A$2:$A$6,0)),"")</f>
        <v>1</v>
      </c>
      <c r="U81" s="26">
        <f>IFERROR(INDEX(Cost_Components!$Q$2:$Q$6,MATCH(E81,Cost_Components!$A$2:$A$6,0)),"")</f>
        <v>2023</v>
      </c>
      <c r="V81" s="30">
        <f>1/(1+Calculation_Assumptions!$B$5)^(B81-Calculation_Assumptions!$B$2)</f>
        <v>0.970873786407767</v>
      </c>
      <c r="W81" s="23">
        <f t="shared" si="23"/>
        <v>979543051.44288695</v>
      </c>
      <c r="X81" s="23">
        <f t="shared" si="24"/>
        <v>983643238.53608823</v>
      </c>
      <c r="Y81" s="23">
        <f t="shared" si="25"/>
        <v>4100187.0932013085</v>
      </c>
      <c r="Z81" s="17">
        <f>IFERROR(INDEX(Cost_Components!$T$2:$T$6,MATCH(E81,Cost_Components!$A$2:$A$6,0)),"")</f>
        <v>0.41649999999999998</v>
      </c>
      <c r="AA81" s="26">
        <f>IFERROR(INDEX(Cost_Components!$U$2:$U$6,MATCH(E81,Cost_Components!$A$2:$A$6,0)),"")</f>
        <v>2025</v>
      </c>
      <c r="AB81" s="26">
        <f>IFERROR(INDEX(Cost_Components!$V$2:$V$6,MATCH(E81,Cost_Components!$A$2:$A$6,0)),"")</f>
        <v>2040</v>
      </c>
      <c r="AC81" s="26">
        <f>IFERROR(INDEX(Cost_Components!$M$2:$M$6,MATCH(E81,Cost_Components!$A$2:$A$6,0)),"")</f>
        <v>30</v>
      </c>
      <c r="AD81" s="26">
        <f>IFERROR(INDEX(Cost_Components!$N$2:$N$6,MATCH(E81,Cost_Components!$A$2:$A$6,0)),"")</f>
        <v>95</v>
      </c>
      <c r="AE81" s="16" t="str">
        <f>IFERROR(INDEX(Cost_Components!$O$2:$O$6,MATCH(E81,Cost_Components!$A$2:$A$6,0)),"")</f>
        <v>Both</v>
      </c>
      <c r="AF81" s="11">
        <v>15105975.97738</v>
      </c>
      <c r="AG81" s="11">
        <v>15105945.859047599</v>
      </c>
      <c r="AH81" s="23">
        <f t="shared" si="26"/>
        <v>1</v>
      </c>
    </row>
    <row r="82" spans="1:34">
      <c r="A82" t="s">
        <v>115</v>
      </c>
      <c r="B82" s="20">
        <v>2027</v>
      </c>
      <c r="C82" t="s">
        <v>229</v>
      </c>
      <c r="D82" t="s">
        <v>233</v>
      </c>
      <c r="E82" s="22" t="s">
        <v>276</v>
      </c>
      <c r="F82" s="22" t="s">
        <v>277</v>
      </c>
      <c r="G82" s="22" t="s">
        <v>230</v>
      </c>
      <c r="H82" s="22" t="s">
        <v>237</v>
      </c>
      <c r="I82" s="22" t="s">
        <v>274</v>
      </c>
      <c r="J82" s="17">
        <f>IFERROR(INDEX(Cost_Components!$K$2:$K$6,MATCH(E82,Cost_Components!$A$2:$A$6,0)),"")</f>
        <v>0.6</v>
      </c>
      <c r="K82" s="31">
        <v>0.14915230702460899</v>
      </c>
      <c r="L82" s="17">
        <f>IFERROR(INDEX(Cost_Components!$S$2:$S$6,MATCH(E82,Cost_Components!$A$2:$A$6,0)),"")</f>
        <v>0.147914612579645</v>
      </c>
      <c r="M82" s="28">
        <f>IFERROR(INDEX(Cost_Components!$L$2:$L$6,MATCH(E82,Cost_Components!$A$2:$A$6,0)),"")</f>
        <v>1</v>
      </c>
      <c r="N82" s="29">
        <f>IFERROR(INDEX(Cost_Components!$P$2:$P$6,MATCH(E82,Cost_Components!$A$2:$A$6,0)),"")</f>
        <v>752.57623226071905</v>
      </c>
      <c r="O82" s="23">
        <f t="shared" si="18"/>
        <v>9101730.9892315194</v>
      </c>
      <c r="P82" s="23">
        <f t="shared" si="19"/>
        <v>9101678.4888022803</v>
      </c>
      <c r="Q82" s="23">
        <f t="shared" si="20"/>
        <v>1013171743.0412353</v>
      </c>
      <c r="R82" s="23">
        <f t="shared" si="21"/>
        <v>1021655480.3198297</v>
      </c>
      <c r="S82" s="23">
        <f t="shared" si="22"/>
        <v>8483737.2785943747</v>
      </c>
      <c r="T82" s="16">
        <f>IFERROR(INDEX(Cost_Components!$R$2:$R$6,MATCH(E82,Cost_Components!$A$2:$A$6,0)),"")</f>
        <v>1</v>
      </c>
      <c r="U82" s="26">
        <f>IFERROR(INDEX(Cost_Components!$Q$2:$Q$6,MATCH(E82,Cost_Components!$A$2:$A$6,0)),"")</f>
        <v>2023</v>
      </c>
      <c r="V82" s="30">
        <f>1/(1+Calculation_Assumptions!$B$5)^(B82-Calculation_Assumptions!$B$2)</f>
        <v>0.94259590913375435</v>
      </c>
      <c r="W82" s="23">
        <f t="shared" si="23"/>
        <v>955011540.24058378</v>
      </c>
      <c r="X82" s="23">
        <f t="shared" si="24"/>
        <v>963008276.2935524</v>
      </c>
      <c r="Y82" s="23">
        <f t="shared" si="25"/>
        <v>7996736.0529685877</v>
      </c>
      <c r="Z82" s="17">
        <f>IFERROR(INDEX(Cost_Components!$T$2:$T$6,MATCH(E82,Cost_Components!$A$2:$A$6,0)),"")</f>
        <v>0.41649999999999998</v>
      </c>
      <c r="AA82" s="26">
        <f>IFERROR(INDEX(Cost_Components!$U$2:$U$6,MATCH(E82,Cost_Components!$A$2:$A$6,0)),"")</f>
        <v>2025</v>
      </c>
      <c r="AB82" s="26">
        <f>IFERROR(INDEX(Cost_Components!$V$2:$V$6,MATCH(E82,Cost_Components!$A$2:$A$6,0)),"")</f>
        <v>2040</v>
      </c>
      <c r="AC82" s="26">
        <f>IFERROR(INDEX(Cost_Components!$M$2:$M$6,MATCH(E82,Cost_Components!$A$2:$A$6,0)),"")</f>
        <v>30</v>
      </c>
      <c r="AD82" s="26">
        <f>IFERROR(INDEX(Cost_Components!$N$2:$N$6,MATCH(E82,Cost_Components!$A$2:$A$6,0)),"")</f>
        <v>95</v>
      </c>
      <c r="AE82" s="16" t="str">
        <f>IFERROR(INDEX(Cost_Components!$O$2:$O$6,MATCH(E82,Cost_Components!$A$2:$A$6,0)),"")</f>
        <v>Both</v>
      </c>
      <c r="AF82" s="11">
        <v>15169551.648719201</v>
      </c>
      <c r="AG82" s="11">
        <v>15169464.1480038</v>
      </c>
      <c r="AH82" s="23">
        <f t="shared" si="26"/>
        <v>1</v>
      </c>
    </row>
    <row r="83" spans="1:34">
      <c r="A83" t="s">
        <v>115</v>
      </c>
      <c r="B83" s="20">
        <v>2028</v>
      </c>
      <c r="C83" t="s">
        <v>229</v>
      </c>
      <c r="D83" t="s">
        <v>233</v>
      </c>
      <c r="E83" s="22" t="s">
        <v>276</v>
      </c>
      <c r="F83" s="22" t="s">
        <v>277</v>
      </c>
      <c r="G83" s="22" t="s">
        <v>230</v>
      </c>
      <c r="H83" s="22" t="s">
        <v>237</v>
      </c>
      <c r="I83" s="22" t="s">
        <v>274</v>
      </c>
      <c r="J83" s="17">
        <f>IFERROR(INDEX(Cost_Components!$K$2:$K$6,MATCH(E83,Cost_Components!$A$2:$A$6,0)),"")</f>
        <v>0.6</v>
      </c>
      <c r="K83" s="31">
        <v>0.149771154247091</v>
      </c>
      <c r="L83" s="17">
        <f>IFERROR(INDEX(Cost_Components!$S$2:$S$6,MATCH(E83,Cost_Components!$A$2:$A$6,0)),"")</f>
        <v>0.147914612579645</v>
      </c>
      <c r="M83" s="28">
        <f>IFERROR(INDEX(Cost_Components!$L$2:$L$6,MATCH(E83,Cost_Components!$A$2:$A$6,0)),"")</f>
        <v>1</v>
      </c>
      <c r="N83" s="29">
        <f>IFERROR(INDEX(Cost_Components!$P$2:$P$6,MATCH(E83,Cost_Components!$A$2:$A$6,0)),"")</f>
        <v>752.57623226071905</v>
      </c>
      <c r="O83" s="23">
        <f t="shared" si="18"/>
        <v>9141067.6926385202</v>
      </c>
      <c r="P83" s="23">
        <f t="shared" si="19"/>
        <v>9140964.8983498197</v>
      </c>
      <c r="Q83" s="23">
        <f t="shared" si="20"/>
        <v>1017544989.1505197</v>
      </c>
      <c r="R83" s="23">
        <f t="shared" si="21"/>
        <v>1030328232.3498821</v>
      </c>
      <c r="S83" s="23">
        <f t="shared" si="22"/>
        <v>12783243.199362397</v>
      </c>
      <c r="T83" s="16">
        <f>IFERROR(INDEX(Cost_Components!$R$2:$R$6,MATCH(E83,Cost_Components!$A$2:$A$6,0)),"")</f>
        <v>1</v>
      </c>
      <c r="U83" s="26">
        <f>IFERROR(INDEX(Cost_Components!$Q$2:$Q$6,MATCH(E83,Cost_Components!$A$2:$A$6,0)),"")</f>
        <v>2023</v>
      </c>
      <c r="V83" s="30">
        <f>1/(1+Calculation_Assumptions!$B$5)^(B83-Calculation_Assumptions!$B$2)</f>
        <v>0.91514165935315961</v>
      </c>
      <c r="W83" s="23">
        <f t="shared" si="23"/>
        <v>931197809.83769941</v>
      </c>
      <c r="X83" s="23">
        <f t="shared" si="24"/>
        <v>942896288.23107886</v>
      </c>
      <c r="Y83" s="23">
        <f t="shared" si="25"/>
        <v>11698478.393379496</v>
      </c>
      <c r="Z83" s="17">
        <f>IFERROR(INDEX(Cost_Components!$T$2:$T$6,MATCH(E83,Cost_Components!$A$2:$A$6,0)),"")</f>
        <v>0.41649999999999998</v>
      </c>
      <c r="AA83" s="26">
        <f>IFERROR(INDEX(Cost_Components!$U$2:$U$6,MATCH(E83,Cost_Components!$A$2:$A$6,0)),"")</f>
        <v>2025</v>
      </c>
      <c r="AB83" s="26">
        <f>IFERROR(INDEX(Cost_Components!$V$2:$V$6,MATCH(E83,Cost_Components!$A$2:$A$6,0)),"")</f>
        <v>2040</v>
      </c>
      <c r="AC83" s="26">
        <f>IFERROR(INDEX(Cost_Components!$M$2:$M$6,MATCH(E83,Cost_Components!$A$2:$A$6,0)),"")</f>
        <v>30</v>
      </c>
      <c r="AD83" s="26">
        <f>IFERROR(INDEX(Cost_Components!$N$2:$N$6,MATCH(E83,Cost_Components!$A$2:$A$6,0)),"")</f>
        <v>95</v>
      </c>
      <c r="AE83" s="16" t="str">
        <f>IFERROR(INDEX(Cost_Components!$O$2:$O$6,MATCH(E83,Cost_Components!$A$2:$A$6,0)),"")</f>
        <v>Both</v>
      </c>
      <c r="AF83" s="11">
        <v>15235112.8210642</v>
      </c>
      <c r="AG83" s="11">
        <v>15234941.4972497</v>
      </c>
      <c r="AH83" s="23">
        <f t="shared" si="26"/>
        <v>1</v>
      </c>
    </row>
    <row r="84" spans="1:34">
      <c r="A84" t="s">
        <v>115</v>
      </c>
      <c r="B84" s="20">
        <v>2029</v>
      </c>
      <c r="C84" t="s">
        <v>229</v>
      </c>
      <c r="D84" t="s">
        <v>233</v>
      </c>
      <c r="E84" s="22" t="s">
        <v>276</v>
      </c>
      <c r="F84" s="22" t="s">
        <v>277</v>
      </c>
      <c r="G84" s="22" t="s">
        <v>230</v>
      </c>
      <c r="H84" s="22" t="s">
        <v>237</v>
      </c>
      <c r="I84" s="22" t="s">
        <v>274</v>
      </c>
      <c r="J84" s="17">
        <f>IFERROR(INDEX(Cost_Components!$K$2:$K$6,MATCH(E84,Cost_Components!$A$2:$A$6,0)),"")</f>
        <v>0.6</v>
      </c>
      <c r="K84" s="31">
        <v>0.15039000146957299</v>
      </c>
      <c r="L84" s="17">
        <f>IFERROR(INDEX(Cost_Components!$S$2:$S$6,MATCH(E84,Cost_Components!$A$2:$A$6,0)),"")</f>
        <v>0.147914612579645</v>
      </c>
      <c r="M84" s="28">
        <f>IFERROR(INDEX(Cost_Components!$L$2:$L$6,MATCH(E84,Cost_Components!$A$2:$A$6,0)),"")</f>
        <v>1</v>
      </c>
      <c r="N84" s="29">
        <f>IFERROR(INDEX(Cost_Components!$P$2:$P$6,MATCH(E84,Cost_Components!$A$2:$A$6,0)),"")</f>
        <v>752.57623226071905</v>
      </c>
      <c r="O84" s="23">
        <f t="shared" si="18"/>
        <v>9179612.3133840598</v>
      </c>
      <c r="P84" s="23">
        <f t="shared" si="19"/>
        <v>9179443.0871562604</v>
      </c>
      <c r="Q84" s="23">
        <f t="shared" si="20"/>
        <v>1021828266.5339227</v>
      </c>
      <c r="R84" s="23">
        <f t="shared" si="21"/>
        <v>1038947977.0543221</v>
      </c>
      <c r="S84" s="23">
        <f t="shared" si="22"/>
        <v>17119710.520399451</v>
      </c>
      <c r="T84" s="16">
        <f>IFERROR(INDEX(Cost_Components!$R$2:$R$6,MATCH(E84,Cost_Components!$A$2:$A$6,0)),"")</f>
        <v>1</v>
      </c>
      <c r="U84" s="26">
        <f>IFERROR(INDEX(Cost_Components!$Q$2:$Q$6,MATCH(E84,Cost_Components!$A$2:$A$6,0)),"")</f>
        <v>2023</v>
      </c>
      <c r="V84" s="30">
        <f>1/(1+Calculation_Assumptions!$B$5)^(B84-Calculation_Assumptions!$B$2)</f>
        <v>0.888487047915689</v>
      </c>
      <c r="W84" s="23">
        <f t="shared" si="23"/>
        <v>907881180.00953078</v>
      </c>
      <c r="X84" s="23">
        <f t="shared" si="24"/>
        <v>923091821.07097161</v>
      </c>
      <c r="Y84" s="23">
        <f t="shared" si="25"/>
        <v>15210641.061440872</v>
      </c>
      <c r="Z84" s="17">
        <f>IFERROR(INDEX(Cost_Components!$T$2:$T$6,MATCH(E84,Cost_Components!$A$2:$A$6,0)),"")</f>
        <v>0.41649999999999998</v>
      </c>
      <c r="AA84" s="26">
        <f>IFERROR(INDEX(Cost_Components!$U$2:$U$6,MATCH(E84,Cost_Components!$A$2:$A$6,0)),"")</f>
        <v>2025</v>
      </c>
      <c r="AB84" s="26">
        <f>IFERROR(INDEX(Cost_Components!$V$2:$V$6,MATCH(E84,Cost_Components!$A$2:$A$6,0)),"")</f>
        <v>2040</v>
      </c>
      <c r="AC84" s="26">
        <f>IFERROR(INDEX(Cost_Components!$M$2:$M$6,MATCH(E84,Cost_Components!$A$2:$A$6,0)),"")</f>
        <v>30</v>
      </c>
      <c r="AD84" s="26">
        <f>IFERROR(INDEX(Cost_Components!$N$2:$N$6,MATCH(E84,Cost_Components!$A$2:$A$6,0)),"")</f>
        <v>95</v>
      </c>
      <c r="AE84" s="16" t="str">
        <f>IFERROR(INDEX(Cost_Components!$O$2:$O$6,MATCH(E84,Cost_Components!$A$2:$A$6,0)),"")</f>
        <v>Both</v>
      </c>
      <c r="AF84" s="11">
        <v>15299353.8556401</v>
      </c>
      <c r="AG84" s="11">
        <v>15299071.811927101</v>
      </c>
      <c r="AH84" s="23">
        <f t="shared" si="26"/>
        <v>1</v>
      </c>
    </row>
    <row r="85" spans="1:34">
      <c r="A85" t="s">
        <v>115</v>
      </c>
      <c r="B85" s="20">
        <v>2030</v>
      </c>
      <c r="C85" t="s">
        <v>229</v>
      </c>
      <c r="D85" t="s">
        <v>233</v>
      </c>
      <c r="E85" s="22" t="s">
        <v>276</v>
      </c>
      <c r="F85" s="22" t="s">
        <v>277</v>
      </c>
      <c r="G85" s="22" t="s">
        <v>230</v>
      </c>
      <c r="H85" s="22" t="s">
        <v>237</v>
      </c>
      <c r="I85" s="22" t="s">
        <v>274</v>
      </c>
      <c r="J85" s="17">
        <f>IFERROR(INDEX(Cost_Components!$K$2:$K$6,MATCH(E85,Cost_Components!$A$2:$A$6,0)),"")</f>
        <v>0.6</v>
      </c>
      <c r="K85" s="31">
        <v>0.151008848692055</v>
      </c>
      <c r="L85" s="17">
        <f>IFERROR(INDEX(Cost_Components!$S$2:$S$6,MATCH(E85,Cost_Components!$A$2:$A$6,0)),"")</f>
        <v>0.147914612579645</v>
      </c>
      <c r="M85" s="28">
        <f>IFERROR(INDEX(Cost_Components!$L$2:$L$6,MATCH(E85,Cost_Components!$A$2:$A$6,0)),"")</f>
        <v>1</v>
      </c>
      <c r="N85" s="29">
        <f>IFERROR(INDEX(Cost_Components!$P$2:$P$6,MATCH(E85,Cost_Components!$A$2:$A$6,0)),"")</f>
        <v>752.57623226071905</v>
      </c>
      <c r="O85" s="23">
        <f t="shared" si="18"/>
        <v>9217506.5507974196</v>
      </c>
      <c r="P85" s="23">
        <f t="shared" si="19"/>
        <v>9217254.0861129593</v>
      </c>
      <c r="Q85" s="23">
        <f t="shared" si="20"/>
        <v>1026037274.3302561</v>
      </c>
      <c r="R85" s="23">
        <f t="shared" si="21"/>
        <v>1047529711.2591325</v>
      </c>
      <c r="S85" s="23">
        <f t="shared" si="22"/>
        <v>21492436.9288764</v>
      </c>
      <c r="T85" s="16">
        <f>IFERROR(INDEX(Cost_Components!$R$2:$R$6,MATCH(E85,Cost_Components!$A$2:$A$6,0)),"")</f>
        <v>1</v>
      </c>
      <c r="U85" s="26">
        <f>IFERROR(INDEX(Cost_Components!$Q$2:$Q$6,MATCH(E85,Cost_Components!$A$2:$A$6,0)),"")</f>
        <v>2023</v>
      </c>
      <c r="V85" s="30">
        <f>1/(1+Calculation_Assumptions!$B$5)^(B85-Calculation_Assumptions!$B$2)</f>
        <v>0.86260878438416411</v>
      </c>
      <c r="W85" s="23">
        <f t="shared" si="23"/>
        <v>885068765.94286335</v>
      </c>
      <c r="X85" s="23">
        <f t="shared" si="24"/>
        <v>903608330.83553469</v>
      </c>
      <c r="Y85" s="23">
        <f t="shared" si="25"/>
        <v>18539564.892671388</v>
      </c>
      <c r="Z85" s="17">
        <f>IFERROR(INDEX(Cost_Components!$T$2:$T$6,MATCH(E85,Cost_Components!$A$2:$A$6,0)),"")</f>
        <v>0.41649999999999998</v>
      </c>
      <c r="AA85" s="26">
        <f>IFERROR(INDEX(Cost_Components!$U$2:$U$6,MATCH(E85,Cost_Components!$A$2:$A$6,0)),"")</f>
        <v>2025</v>
      </c>
      <c r="AB85" s="26">
        <f>IFERROR(INDEX(Cost_Components!$V$2:$V$6,MATCH(E85,Cost_Components!$A$2:$A$6,0)),"")</f>
        <v>2040</v>
      </c>
      <c r="AC85" s="26">
        <f>IFERROR(INDEX(Cost_Components!$M$2:$M$6,MATCH(E85,Cost_Components!$A$2:$A$6,0)),"")</f>
        <v>30</v>
      </c>
      <c r="AD85" s="26">
        <f>IFERROR(INDEX(Cost_Components!$N$2:$N$6,MATCH(E85,Cost_Components!$A$2:$A$6,0)),"")</f>
        <v>95</v>
      </c>
      <c r="AE85" s="16" t="str">
        <f>IFERROR(INDEX(Cost_Components!$O$2:$O$6,MATCH(E85,Cost_Components!$A$2:$A$6,0)),"")</f>
        <v>Both</v>
      </c>
      <c r="AF85" s="11">
        <v>15362510.917995701</v>
      </c>
      <c r="AG85" s="11">
        <v>15362090.143521599</v>
      </c>
      <c r="AH85" s="23">
        <f t="shared" si="26"/>
        <v>1</v>
      </c>
    </row>
    <row r="86" spans="1:34">
      <c r="A86" t="s">
        <v>115</v>
      </c>
      <c r="B86" s="20">
        <v>2031</v>
      </c>
      <c r="C86" t="s">
        <v>229</v>
      </c>
      <c r="D86" t="s">
        <v>233</v>
      </c>
      <c r="E86" s="22" t="s">
        <v>276</v>
      </c>
      <c r="F86" s="22" t="s">
        <v>277</v>
      </c>
      <c r="G86" s="22" t="s">
        <v>230</v>
      </c>
      <c r="H86" s="22" t="s">
        <v>237</v>
      </c>
      <c r="I86" s="22" t="s">
        <v>274</v>
      </c>
      <c r="J86" s="17">
        <f>IFERROR(INDEX(Cost_Components!$K$2:$K$6,MATCH(E86,Cost_Components!$A$2:$A$6,0)),"")</f>
        <v>0.6</v>
      </c>
      <c r="K86" s="31">
        <v>0.177557963822849</v>
      </c>
      <c r="L86" s="17">
        <f>IFERROR(INDEX(Cost_Components!$S$2:$S$6,MATCH(E86,Cost_Components!$A$2:$A$6,0)),"")</f>
        <v>0.147914612579645</v>
      </c>
      <c r="M86" s="28">
        <f>IFERROR(INDEX(Cost_Components!$L$2:$L$6,MATCH(E86,Cost_Components!$A$2:$A$6,0)),"")</f>
        <v>1</v>
      </c>
      <c r="N86" s="29">
        <f>IFERROR(INDEX(Cost_Components!$P$2:$P$6,MATCH(E86,Cost_Components!$A$2:$A$6,0)),"")</f>
        <v>752.57623226071905</v>
      </c>
      <c r="O86" s="23">
        <f t="shared" si="18"/>
        <v>9255981.3616270199</v>
      </c>
      <c r="P86" s="23">
        <f t="shared" si="19"/>
        <v>9254867.0790534001</v>
      </c>
      <c r="Q86" s="23">
        <f t="shared" si="20"/>
        <v>1030224240.6865549</v>
      </c>
      <c r="R86" s="23">
        <f t="shared" si="21"/>
        <v>1236838871.5016863</v>
      </c>
      <c r="S86" s="23">
        <f t="shared" si="22"/>
        <v>206614630.81513143</v>
      </c>
      <c r="T86" s="16">
        <f>IFERROR(INDEX(Cost_Components!$R$2:$R$6,MATCH(E86,Cost_Components!$A$2:$A$6,0)),"")</f>
        <v>1</v>
      </c>
      <c r="U86" s="26">
        <f>IFERROR(INDEX(Cost_Components!$Q$2:$Q$6,MATCH(E86,Cost_Components!$A$2:$A$6,0)),"")</f>
        <v>2023</v>
      </c>
      <c r="V86" s="30">
        <f>1/(1+Calculation_Assumptions!$B$5)^(B86-Calculation_Assumptions!$B$2)</f>
        <v>0.83748425668365445</v>
      </c>
      <c r="W86" s="23">
        <f t="shared" si="23"/>
        <v>862796582.42886174</v>
      </c>
      <c r="X86" s="23">
        <f t="shared" si="24"/>
        <v>1035833082.9370397</v>
      </c>
      <c r="Y86" s="23">
        <f t="shared" si="25"/>
        <v>173036500.50817803</v>
      </c>
      <c r="Z86" s="17">
        <f>IFERROR(INDEX(Cost_Components!$T$2:$T$6,MATCH(E86,Cost_Components!$A$2:$A$6,0)),"")</f>
        <v>0.41649999999999998</v>
      </c>
      <c r="AA86" s="26">
        <f>IFERROR(INDEX(Cost_Components!$U$2:$U$6,MATCH(E86,Cost_Components!$A$2:$A$6,0)),"")</f>
        <v>2025</v>
      </c>
      <c r="AB86" s="26">
        <f>IFERROR(INDEX(Cost_Components!$V$2:$V$6,MATCH(E86,Cost_Components!$A$2:$A$6,0)),"")</f>
        <v>2040</v>
      </c>
      <c r="AC86" s="26">
        <f>IFERROR(INDEX(Cost_Components!$M$2:$M$6,MATCH(E86,Cost_Components!$A$2:$A$6,0)),"")</f>
        <v>30</v>
      </c>
      <c r="AD86" s="26">
        <f>IFERROR(INDEX(Cost_Components!$N$2:$N$6,MATCH(E86,Cost_Components!$A$2:$A$6,0)),"")</f>
        <v>95</v>
      </c>
      <c r="AE86" s="16" t="str">
        <f>IFERROR(INDEX(Cost_Components!$O$2:$O$6,MATCH(E86,Cost_Components!$A$2:$A$6,0)),"")</f>
        <v>Both</v>
      </c>
      <c r="AF86" s="11">
        <v>15426635.6027117</v>
      </c>
      <c r="AG86" s="11">
        <v>15424778.465089001</v>
      </c>
      <c r="AH86" s="23">
        <f t="shared" si="26"/>
        <v>1</v>
      </c>
    </row>
    <row r="87" spans="1:34">
      <c r="A87" t="s">
        <v>115</v>
      </c>
      <c r="B87" s="20">
        <v>2032</v>
      </c>
      <c r="C87" t="s">
        <v>229</v>
      </c>
      <c r="D87" t="s">
        <v>233</v>
      </c>
      <c r="E87" s="22" t="s">
        <v>276</v>
      </c>
      <c r="F87" s="22" t="s">
        <v>277</v>
      </c>
      <c r="G87" s="22" t="s">
        <v>230</v>
      </c>
      <c r="H87" s="22" t="s">
        <v>237</v>
      </c>
      <c r="I87" s="22" t="s">
        <v>274</v>
      </c>
      <c r="J87" s="17">
        <f>IFERROR(INDEX(Cost_Components!$K$2:$K$6,MATCH(E87,Cost_Components!$A$2:$A$6,0)),"")</f>
        <v>0.6</v>
      </c>
      <c r="K87" s="31">
        <v>0.20410707895364399</v>
      </c>
      <c r="L87" s="17">
        <f>IFERROR(INDEX(Cost_Components!$S$2:$S$6,MATCH(E87,Cost_Components!$A$2:$A$6,0)),"")</f>
        <v>0.147914612579645</v>
      </c>
      <c r="M87" s="28">
        <f>IFERROR(INDEX(Cost_Components!$L$2:$L$6,MATCH(E87,Cost_Components!$A$2:$A$6,0)),"")</f>
        <v>1</v>
      </c>
      <c r="N87" s="29">
        <f>IFERROR(INDEX(Cost_Components!$P$2:$P$6,MATCH(E87,Cost_Components!$A$2:$A$6,0)),"")</f>
        <v>752.57623226071905</v>
      </c>
      <c r="O87" s="23">
        <f t="shared" si="18"/>
        <v>9293933.6334224399</v>
      </c>
      <c r="P87" s="23">
        <f t="shared" si="19"/>
        <v>9291224.4351526201</v>
      </c>
      <c r="Q87" s="23">
        <f t="shared" si="20"/>
        <v>1034271433.2891872</v>
      </c>
      <c r="R87" s="23">
        <f t="shared" si="21"/>
        <v>1427605237.9147642</v>
      </c>
      <c r="S87" s="23">
        <f t="shared" si="22"/>
        <v>393333804.62557697</v>
      </c>
      <c r="T87" s="16">
        <f>IFERROR(INDEX(Cost_Components!$R$2:$R$6,MATCH(E87,Cost_Components!$A$2:$A$6,0)),"")</f>
        <v>1</v>
      </c>
      <c r="U87" s="26">
        <f>IFERROR(INDEX(Cost_Components!$Q$2:$Q$6,MATCH(E87,Cost_Components!$A$2:$A$6,0)),"")</f>
        <v>2023</v>
      </c>
      <c r="V87" s="30">
        <f>1/(1+Calculation_Assumptions!$B$5)^(B87-Calculation_Assumptions!$B$2)</f>
        <v>0.81309151134335378</v>
      </c>
      <c r="W87" s="23">
        <f t="shared" si="23"/>
        <v>840957322.83236194</v>
      </c>
      <c r="X87" s="23">
        <f t="shared" si="24"/>
        <v>1160773700.4978037</v>
      </c>
      <c r="Y87" s="23">
        <f t="shared" si="25"/>
        <v>319816377.66544181</v>
      </c>
      <c r="Z87" s="17">
        <f>IFERROR(INDEX(Cost_Components!$T$2:$T$6,MATCH(E87,Cost_Components!$A$2:$A$6,0)),"")</f>
        <v>0.41649999999999998</v>
      </c>
      <c r="AA87" s="26">
        <f>IFERROR(INDEX(Cost_Components!$U$2:$U$6,MATCH(E87,Cost_Components!$A$2:$A$6,0)),"")</f>
        <v>2025</v>
      </c>
      <c r="AB87" s="26">
        <f>IFERROR(INDEX(Cost_Components!$V$2:$V$6,MATCH(E87,Cost_Components!$A$2:$A$6,0)),"")</f>
        <v>2040</v>
      </c>
      <c r="AC87" s="26">
        <f>IFERROR(INDEX(Cost_Components!$M$2:$M$6,MATCH(E87,Cost_Components!$A$2:$A$6,0)),"")</f>
        <v>30</v>
      </c>
      <c r="AD87" s="26">
        <f>IFERROR(INDEX(Cost_Components!$N$2:$N$6,MATCH(E87,Cost_Components!$A$2:$A$6,0)),"")</f>
        <v>95</v>
      </c>
      <c r="AE87" s="16" t="str">
        <f>IFERROR(INDEX(Cost_Components!$O$2:$O$6,MATCH(E87,Cost_Components!$A$2:$A$6,0)),"")</f>
        <v>Both</v>
      </c>
      <c r="AF87" s="11">
        <v>15489889.3890374</v>
      </c>
      <c r="AG87" s="11">
        <v>15485374.0585877</v>
      </c>
      <c r="AH87" s="23">
        <f t="shared" si="26"/>
        <v>1</v>
      </c>
    </row>
    <row r="88" spans="1:34">
      <c r="A88" t="s">
        <v>115</v>
      </c>
      <c r="B88" s="20">
        <v>2033</v>
      </c>
      <c r="C88" t="s">
        <v>229</v>
      </c>
      <c r="D88" t="s">
        <v>233</v>
      </c>
      <c r="E88" s="22" t="s">
        <v>276</v>
      </c>
      <c r="F88" s="22" t="s">
        <v>277</v>
      </c>
      <c r="G88" s="22" t="s">
        <v>230</v>
      </c>
      <c r="H88" s="22" t="s">
        <v>237</v>
      </c>
      <c r="I88" s="22" t="s">
        <v>274</v>
      </c>
      <c r="J88" s="17">
        <f>IFERROR(INDEX(Cost_Components!$K$2:$K$6,MATCH(E88,Cost_Components!$A$2:$A$6,0)),"")</f>
        <v>0.6</v>
      </c>
      <c r="K88" s="31">
        <v>0.23065619408443799</v>
      </c>
      <c r="L88" s="17">
        <f>IFERROR(INDEX(Cost_Components!$S$2:$S$6,MATCH(E88,Cost_Components!$A$2:$A$6,0)),"")</f>
        <v>0.147914612579645</v>
      </c>
      <c r="M88" s="28">
        <f>IFERROR(INDEX(Cost_Components!$L$2:$L$6,MATCH(E88,Cost_Components!$A$2:$A$6,0)),"")</f>
        <v>1</v>
      </c>
      <c r="N88" s="29">
        <f>IFERROR(INDEX(Cost_Components!$P$2:$P$6,MATCH(E88,Cost_Components!$A$2:$A$6,0)),"")</f>
        <v>752.57623226071905</v>
      </c>
      <c r="O88" s="23">
        <f t="shared" si="18"/>
        <v>9330021.1473191399</v>
      </c>
      <c r="P88" s="23">
        <f t="shared" si="19"/>
        <v>9325015.1939930394</v>
      </c>
      <c r="Q88" s="23">
        <f t="shared" si="20"/>
        <v>1038032919.9287289</v>
      </c>
      <c r="R88" s="23">
        <f t="shared" si="21"/>
        <v>1619564498.2435746</v>
      </c>
      <c r="S88" s="23">
        <f t="shared" si="22"/>
        <v>581531578.31484568</v>
      </c>
      <c r="T88" s="16">
        <f>IFERROR(INDEX(Cost_Components!$R$2:$R$6,MATCH(E88,Cost_Components!$A$2:$A$6,0)),"")</f>
        <v>1</v>
      </c>
      <c r="U88" s="26">
        <f>IFERROR(INDEX(Cost_Components!$Q$2:$Q$6,MATCH(E88,Cost_Components!$A$2:$A$6,0)),"")</f>
        <v>2023</v>
      </c>
      <c r="V88" s="30">
        <f>1/(1+Calculation_Assumptions!$B$5)^(B88-Calculation_Assumptions!$B$2)</f>
        <v>0.78940923431393573</v>
      </c>
      <c r="W88" s="23">
        <f t="shared" si="23"/>
        <v>819432772.51359689</v>
      </c>
      <c r="X88" s="23">
        <f t="shared" si="24"/>
        <v>1278499170.4804938</v>
      </c>
      <c r="Y88" s="23">
        <f t="shared" si="25"/>
        <v>459066397.96689689</v>
      </c>
      <c r="Z88" s="17">
        <f>IFERROR(INDEX(Cost_Components!$T$2:$T$6,MATCH(E88,Cost_Components!$A$2:$A$6,0)),"")</f>
        <v>0.41649999999999998</v>
      </c>
      <c r="AA88" s="26">
        <f>IFERROR(INDEX(Cost_Components!$U$2:$U$6,MATCH(E88,Cost_Components!$A$2:$A$6,0)),"")</f>
        <v>2025</v>
      </c>
      <c r="AB88" s="26">
        <f>IFERROR(INDEX(Cost_Components!$V$2:$V$6,MATCH(E88,Cost_Components!$A$2:$A$6,0)),"")</f>
        <v>2040</v>
      </c>
      <c r="AC88" s="26">
        <f>IFERROR(INDEX(Cost_Components!$M$2:$M$6,MATCH(E88,Cost_Components!$A$2:$A$6,0)),"")</f>
        <v>30</v>
      </c>
      <c r="AD88" s="26">
        <f>IFERROR(INDEX(Cost_Components!$N$2:$N$6,MATCH(E88,Cost_Components!$A$2:$A$6,0)),"")</f>
        <v>95</v>
      </c>
      <c r="AE88" s="16" t="str">
        <f>IFERROR(INDEX(Cost_Components!$O$2:$O$6,MATCH(E88,Cost_Components!$A$2:$A$6,0)),"")</f>
        <v>Both</v>
      </c>
      <c r="AF88" s="11">
        <v>15550035.2455319</v>
      </c>
      <c r="AG88" s="11">
        <v>15541691.9899884</v>
      </c>
      <c r="AH88" s="23">
        <f t="shared" si="26"/>
        <v>1</v>
      </c>
    </row>
    <row r="89" spans="1:34">
      <c r="A89" t="s">
        <v>115</v>
      </c>
      <c r="B89" s="20">
        <v>2034</v>
      </c>
      <c r="C89" t="s">
        <v>229</v>
      </c>
      <c r="D89" t="s">
        <v>233</v>
      </c>
      <c r="E89" s="22" t="s">
        <v>276</v>
      </c>
      <c r="F89" s="22" t="s">
        <v>277</v>
      </c>
      <c r="G89" s="22" t="s">
        <v>230</v>
      </c>
      <c r="H89" s="22" t="s">
        <v>237</v>
      </c>
      <c r="I89" s="22" t="s">
        <v>274</v>
      </c>
      <c r="J89" s="17">
        <f>IFERROR(INDEX(Cost_Components!$K$2:$K$6,MATCH(E89,Cost_Components!$A$2:$A$6,0)),"")</f>
        <v>0.6</v>
      </c>
      <c r="K89" s="31">
        <v>0.25720530921523299</v>
      </c>
      <c r="L89" s="17">
        <f>IFERROR(INDEX(Cost_Components!$S$2:$S$6,MATCH(E89,Cost_Components!$A$2:$A$6,0)),"")</f>
        <v>0.147914612579645</v>
      </c>
      <c r="M89" s="28">
        <f>IFERROR(INDEX(Cost_Components!$L$2:$L$6,MATCH(E89,Cost_Components!$A$2:$A$6,0)),"")</f>
        <v>1</v>
      </c>
      <c r="N89" s="29">
        <f>IFERROR(INDEX(Cost_Components!$P$2:$P$6,MATCH(E89,Cost_Components!$A$2:$A$6,0)),"")</f>
        <v>752.57623226071905</v>
      </c>
      <c r="O89" s="23">
        <f t="shared" si="18"/>
        <v>9363727.4015611801</v>
      </c>
      <c r="P89" s="23">
        <f t="shared" si="19"/>
        <v>9355744.1509262994</v>
      </c>
      <c r="Q89" s="23">
        <f t="shared" si="20"/>
        <v>1041453575.8985276</v>
      </c>
      <c r="R89" s="23">
        <f t="shared" si="21"/>
        <v>1812504900.1059246</v>
      </c>
      <c r="S89" s="23">
        <f t="shared" si="22"/>
        <v>771051324.20739698</v>
      </c>
      <c r="T89" s="16">
        <f>IFERROR(INDEX(Cost_Components!$R$2:$R$6,MATCH(E89,Cost_Components!$A$2:$A$6,0)),"")</f>
        <v>1</v>
      </c>
      <c r="U89" s="26">
        <f>IFERROR(INDEX(Cost_Components!$Q$2:$Q$6,MATCH(E89,Cost_Components!$A$2:$A$6,0)),"")</f>
        <v>2023</v>
      </c>
      <c r="V89" s="30">
        <f>1/(1+Calculation_Assumptions!$B$5)^(B89-Calculation_Assumptions!$B$2)</f>
        <v>0.76641673234362695</v>
      </c>
      <c r="W89" s="23">
        <f t="shared" si="23"/>
        <v>798187446.52773499</v>
      </c>
      <c r="X89" s="23">
        <f t="shared" si="24"/>
        <v>1389134082.8959947</v>
      </c>
      <c r="Y89" s="23">
        <f t="shared" si="25"/>
        <v>590946636.36825967</v>
      </c>
      <c r="Z89" s="17">
        <f>IFERROR(INDEX(Cost_Components!$T$2:$T$6,MATCH(E89,Cost_Components!$A$2:$A$6,0)),"")</f>
        <v>0.41649999999999998</v>
      </c>
      <c r="AA89" s="26">
        <f>IFERROR(INDEX(Cost_Components!$U$2:$U$6,MATCH(E89,Cost_Components!$A$2:$A$6,0)),"")</f>
        <v>2025</v>
      </c>
      <c r="AB89" s="26">
        <f>IFERROR(INDEX(Cost_Components!$V$2:$V$6,MATCH(E89,Cost_Components!$A$2:$A$6,0)),"")</f>
        <v>2040</v>
      </c>
      <c r="AC89" s="26">
        <f>IFERROR(INDEX(Cost_Components!$M$2:$M$6,MATCH(E89,Cost_Components!$A$2:$A$6,0)),"")</f>
        <v>30</v>
      </c>
      <c r="AD89" s="26">
        <f>IFERROR(INDEX(Cost_Components!$N$2:$N$6,MATCH(E89,Cost_Components!$A$2:$A$6,0)),"")</f>
        <v>95</v>
      </c>
      <c r="AE89" s="16" t="str">
        <f>IFERROR(INDEX(Cost_Components!$O$2:$O$6,MATCH(E89,Cost_Components!$A$2:$A$6,0)),"")</f>
        <v>Both</v>
      </c>
      <c r="AF89" s="11">
        <v>15606212.3359353</v>
      </c>
      <c r="AG89" s="11">
        <v>15592906.918210501</v>
      </c>
      <c r="AH89" s="23">
        <f t="shared" si="26"/>
        <v>1</v>
      </c>
    </row>
    <row r="90" spans="1:34">
      <c r="A90" t="s">
        <v>115</v>
      </c>
      <c r="B90" s="20">
        <v>2035</v>
      </c>
      <c r="C90" t="s">
        <v>229</v>
      </c>
      <c r="D90" t="s">
        <v>233</v>
      </c>
      <c r="E90" s="22" t="s">
        <v>276</v>
      </c>
      <c r="F90" s="22" t="s">
        <v>277</v>
      </c>
      <c r="G90" s="22" t="s">
        <v>230</v>
      </c>
      <c r="H90" s="22" t="s">
        <v>237</v>
      </c>
      <c r="I90" s="22" t="s">
        <v>274</v>
      </c>
      <c r="J90" s="17">
        <f>IFERROR(INDEX(Cost_Components!$K$2:$K$6,MATCH(E90,Cost_Components!$A$2:$A$6,0)),"")</f>
        <v>0.6</v>
      </c>
      <c r="K90" s="31">
        <v>0.28375442434602699</v>
      </c>
      <c r="L90" s="17">
        <f>IFERROR(INDEX(Cost_Components!$S$2:$S$6,MATCH(E90,Cost_Components!$A$2:$A$6,0)),"")</f>
        <v>0.147914612579645</v>
      </c>
      <c r="M90" s="28">
        <f>IFERROR(INDEX(Cost_Components!$L$2:$L$6,MATCH(E90,Cost_Components!$A$2:$A$6,0)),"")</f>
        <v>1</v>
      </c>
      <c r="N90" s="29">
        <f>IFERROR(INDEX(Cost_Components!$P$2:$P$6,MATCH(E90,Cost_Components!$A$2:$A$6,0)),"")</f>
        <v>752.57623226071905</v>
      </c>
      <c r="O90" s="23">
        <f t="shared" si="18"/>
        <v>9396275.6752784997</v>
      </c>
      <c r="P90" s="23">
        <f t="shared" si="19"/>
        <v>9384648.2194991987</v>
      </c>
      <c r="Q90" s="23">
        <f t="shared" si="20"/>
        <v>1044671090.730876</v>
      </c>
      <c r="R90" s="23">
        <f t="shared" si="21"/>
        <v>2006544936.5205567</v>
      </c>
      <c r="S90" s="23">
        <f t="shared" si="22"/>
        <v>961873845.78968072</v>
      </c>
      <c r="T90" s="16">
        <f>IFERROR(INDEX(Cost_Components!$R$2:$R$6,MATCH(E90,Cost_Components!$A$2:$A$6,0)),"")</f>
        <v>1</v>
      </c>
      <c r="U90" s="26">
        <f>IFERROR(INDEX(Cost_Components!$Q$2:$Q$6,MATCH(E90,Cost_Components!$A$2:$A$6,0)),"")</f>
        <v>2023</v>
      </c>
      <c r="V90" s="30">
        <f>1/(1+Calculation_Assumptions!$B$5)^(B90-Calculation_Assumptions!$B$2)</f>
        <v>0.74409391489672516</v>
      </c>
      <c r="W90" s="23">
        <f t="shared" si="23"/>
        <v>777333401.68136942</v>
      </c>
      <c r="X90" s="23">
        <f t="shared" si="24"/>
        <v>1493057877.231782</v>
      </c>
      <c r="Y90" s="23">
        <f t="shared" si="25"/>
        <v>715724475.55041242</v>
      </c>
      <c r="Z90" s="17">
        <f>IFERROR(INDEX(Cost_Components!$T$2:$T$6,MATCH(E90,Cost_Components!$A$2:$A$6,0)),"")</f>
        <v>0.41649999999999998</v>
      </c>
      <c r="AA90" s="26">
        <f>IFERROR(INDEX(Cost_Components!$U$2:$U$6,MATCH(E90,Cost_Components!$A$2:$A$6,0)),"")</f>
        <v>2025</v>
      </c>
      <c r="AB90" s="26">
        <f>IFERROR(INDEX(Cost_Components!$V$2:$V$6,MATCH(E90,Cost_Components!$A$2:$A$6,0)),"")</f>
        <v>2040</v>
      </c>
      <c r="AC90" s="26">
        <f>IFERROR(INDEX(Cost_Components!$M$2:$M$6,MATCH(E90,Cost_Components!$A$2:$A$6,0)),"")</f>
        <v>30</v>
      </c>
      <c r="AD90" s="26">
        <f>IFERROR(INDEX(Cost_Components!$N$2:$N$6,MATCH(E90,Cost_Components!$A$2:$A$6,0)),"")</f>
        <v>95</v>
      </c>
      <c r="AE90" s="16" t="str">
        <f>IFERROR(INDEX(Cost_Components!$O$2:$O$6,MATCH(E90,Cost_Components!$A$2:$A$6,0)),"")</f>
        <v>Both</v>
      </c>
      <c r="AF90" s="11">
        <v>15660459.4587975</v>
      </c>
      <c r="AG90" s="11">
        <v>15641080.365831999</v>
      </c>
      <c r="AH90" s="23">
        <f t="shared" si="26"/>
        <v>1</v>
      </c>
    </row>
    <row r="91" spans="1:34">
      <c r="A91" t="s">
        <v>115</v>
      </c>
      <c r="B91" s="20">
        <v>2036</v>
      </c>
      <c r="C91" t="s">
        <v>229</v>
      </c>
      <c r="D91" t="s">
        <v>233</v>
      </c>
      <c r="E91" s="22" t="s">
        <v>276</v>
      </c>
      <c r="F91" s="22" t="s">
        <v>277</v>
      </c>
      <c r="G91" s="22" t="s">
        <v>230</v>
      </c>
      <c r="H91" s="22" t="s">
        <v>237</v>
      </c>
      <c r="I91" s="22" t="s">
        <v>274</v>
      </c>
      <c r="J91" s="17">
        <f>IFERROR(INDEX(Cost_Components!$K$2:$K$6,MATCH(E91,Cost_Components!$A$2:$A$6,0)),"")</f>
        <v>0.6</v>
      </c>
      <c r="K91" s="31">
        <v>0.31030353947682199</v>
      </c>
      <c r="L91" s="17">
        <f>IFERROR(INDEX(Cost_Components!$S$2:$S$6,MATCH(E91,Cost_Components!$A$2:$A$6,0)),"")</f>
        <v>0.147914612579645</v>
      </c>
      <c r="M91" s="28">
        <f>IFERROR(INDEX(Cost_Components!$L$2:$L$6,MATCH(E91,Cost_Components!$A$2:$A$6,0)),"")</f>
        <v>1</v>
      </c>
      <c r="N91" s="29">
        <f>IFERROR(INDEX(Cost_Components!$P$2:$P$6,MATCH(E91,Cost_Components!$A$2:$A$6,0)),"")</f>
        <v>752.57623226071905</v>
      </c>
      <c r="O91" s="23">
        <f t="shared" si="18"/>
        <v>9430158.4211978987</v>
      </c>
      <c r="P91" s="23">
        <f t="shared" si="19"/>
        <v>9414227.8694528397</v>
      </c>
      <c r="Q91" s="23">
        <f t="shared" si="20"/>
        <v>1047963809.2705334</v>
      </c>
      <c r="R91" s="23">
        <f t="shared" si="21"/>
        <v>2202197252.5041885</v>
      </c>
      <c r="S91" s="23">
        <f t="shared" si="22"/>
        <v>1154233443.233655</v>
      </c>
      <c r="T91" s="16">
        <f>IFERROR(INDEX(Cost_Components!$R$2:$R$6,MATCH(E91,Cost_Components!$A$2:$A$6,0)),"")</f>
        <v>1</v>
      </c>
      <c r="U91" s="26">
        <f>IFERROR(INDEX(Cost_Components!$Q$2:$Q$6,MATCH(E91,Cost_Components!$A$2:$A$6,0)),"")</f>
        <v>2023</v>
      </c>
      <c r="V91" s="30">
        <f>1/(1+Calculation_Assumptions!$B$5)^(B91-Calculation_Assumptions!$B$2)</f>
        <v>0.72242127659876232</v>
      </c>
      <c r="W91" s="23">
        <f t="shared" si="23"/>
        <v>757071352.92252064</v>
      </c>
      <c r="X91" s="23">
        <f t="shared" si="24"/>
        <v>1590914150.4763627</v>
      </c>
      <c r="Y91" s="23">
        <f t="shared" si="25"/>
        <v>833842797.55384207</v>
      </c>
      <c r="Z91" s="17">
        <f>IFERROR(INDEX(Cost_Components!$T$2:$T$6,MATCH(E91,Cost_Components!$A$2:$A$6,0)),"")</f>
        <v>0.41649999999999998</v>
      </c>
      <c r="AA91" s="26">
        <f>IFERROR(INDEX(Cost_Components!$U$2:$U$6,MATCH(E91,Cost_Components!$A$2:$A$6,0)),"")</f>
        <v>2025</v>
      </c>
      <c r="AB91" s="26">
        <f>IFERROR(INDEX(Cost_Components!$V$2:$V$6,MATCH(E91,Cost_Components!$A$2:$A$6,0)),"")</f>
        <v>2040</v>
      </c>
      <c r="AC91" s="26">
        <f>IFERROR(INDEX(Cost_Components!$M$2:$M$6,MATCH(E91,Cost_Components!$A$2:$A$6,0)),"")</f>
        <v>30</v>
      </c>
      <c r="AD91" s="26">
        <f>IFERROR(INDEX(Cost_Components!$N$2:$N$6,MATCH(E91,Cost_Components!$A$2:$A$6,0)),"")</f>
        <v>95</v>
      </c>
      <c r="AE91" s="16" t="str">
        <f>IFERROR(INDEX(Cost_Components!$O$2:$O$6,MATCH(E91,Cost_Components!$A$2:$A$6,0)),"")</f>
        <v>Both</v>
      </c>
      <c r="AF91" s="11">
        <v>15716930.7019965</v>
      </c>
      <c r="AG91" s="11">
        <v>15690379.782421401</v>
      </c>
      <c r="AH91" s="23">
        <f t="shared" si="26"/>
        <v>1</v>
      </c>
    </row>
    <row r="92" spans="1:34">
      <c r="A92" t="s">
        <v>115</v>
      </c>
      <c r="B92" s="20">
        <v>2037</v>
      </c>
      <c r="C92" t="s">
        <v>229</v>
      </c>
      <c r="D92" t="s">
        <v>233</v>
      </c>
      <c r="E92" s="22" t="s">
        <v>276</v>
      </c>
      <c r="F92" s="22" t="s">
        <v>277</v>
      </c>
      <c r="G92" s="22" t="s">
        <v>230</v>
      </c>
      <c r="H92" s="22" t="s">
        <v>237</v>
      </c>
      <c r="I92" s="22" t="s">
        <v>274</v>
      </c>
      <c r="J92" s="17">
        <f>IFERROR(INDEX(Cost_Components!$K$2:$K$6,MATCH(E92,Cost_Components!$A$2:$A$6,0)),"")</f>
        <v>0.6</v>
      </c>
      <c r="K92" s="31">
        <v>0.33685265460761599</v>
      </c>
      <c r="L92" s="17">
        <f>IFERROR(INDEX(Cost_Components!$S$2:$S$6,MATCH(E92,Cost_Components!$A$2:$A$6,0)),"")</f>
        <v>0.147914612579645</v>
      </c>
      <c r="M92" s="28">
        <f>IFERROR(INDEX(Cost_Components!$L$2:$L$6,MATCH(E92,Cost_Components!$A$2:$A$6,0)),"")</f>
        <v>1</v>
      </c>
      <c r="N92" s="29">
        <f>IFERROR(INDEX(Cost_Components!$P$2:$P$6,MATCH(E92,Cost_Components!$A$2:$A$6,0)),"")</f>
        <v>752.57623226071905</v>
      </c>
      <c r="O92" s="23">
        <f t="shared" si="18"/>
        <v>9464854.1321374197</v>
      </c>
      <c r="P92" s="23">
        <f t="shared" si="19"/>
        <v>9443969.2443019189</v>
      </c>
      <c r="Q92" s="23">
        <f t="shared" si="20"/>
        <v>1051274530.543907</v>
      </c>
      <c r="R92" s="23">
        <f t="shared" si="21"/>
        <v>2399409631.3750553</v>
      </c>
      <c r="S92" s="23">
        <f t="shared" si="22"/>
        <v>1348135100.8311481</v>
      </c>
      <c r="T92" s="16">
        <f>IFERROR(INDEX(Cost_Components!$R$2:$R$6,MATCH(E92,Cost_Components!$A$2:$A$6,0)),"")</f>
        <v>1</v>
      </c>
      <c r="U92" s="26">
        <f>IFERROR(INDEX(Cost_Components!$Q$2:$Q$6,MATCH(E92,Cost_Components!$A$2:$A$6,0)),"")</f>
        <v>2023</v>
      </c>
      <c r="V92" s="30">
        <f>1/(1+Calculation_Assumptions!$B$5)^(B92-Calculation_Assumptions!$B$2)</f>
        <v>0.70137988019297326</v>
      </c>
      <c r="W92" s="23">
        <f t="shared" si="23"/>
        <v>737342804.28280973</v>
      </c>
      <c r="X92" s="23">
        <f t="shared" si="24"/>
        <v>1682897639.7877023</v>
      </c>
      <c r="Y92" s="23">
        <f t="shared" si="25"/>
        <v>945554835.50489259</v>
      </c>
      <c r="Z92" s="17">
        <f>IFERROR(INDEX(Cost_Components!$T$2:$T$6,MATCH(E92,Cost_Components!$A$2:$A$6,0)),"")</f>
        <v>0.41649999999999998</v>
      </c>
      <c r="AA92" s="26">
        <f>IFERROR(INDEX(Cost_Components!$U$2:$U$6,MATCH(E92,Cost_Components!$A$2:$A$6,0)),"")</f>
        <v>2025</v>
      </c>
      <c r="AB92" s="26">
        <f>IFERROR(INDEX(Cost_Components!$V$2:$V$6,MATCH(E92,Cost_Components!$A$2:$A$6,0)),"")</f>
        <v>2040</v>
      </c>
      <c r="AC92" s="26">
        <f>IFERROR(INDEX(Cost_Components!$M$2:$M$6,MATCH(E92,Cost_Components!$A$2:$A$6,0)),"")</f>
        <v>30</v>
      </c>
      <c r="AD92" s="26">
        <f>IFERROR(INDEX(Cost_Components!$N$2:$N$6,MATCH(E92,Cost_Components!$A$2:$A$6,0)),"")</f>
        <v>95</v>
      </c>
      <c r="AE92" s="16" t="str">
        <f>IFERROR(INDEX(Cost_Components!$O$2:$O$6,MATCH(E92,Cost_Components!$A$2:$A$6,0)),"")</f>
        <v>Both</v>
      </c>
      <c r="AF92" s="11">
        <v>15774756.886895699</v>
      </c>
      <c r="AG92" s="11">
        <v>15739948.740503199</v>
      </c>
      <c r="AH92" s="23">
        <f t="shared" si="26"/>
        <v>1</v>
      </c>
    </row>
    <row r="93" spans="1:34">
      <c r="A93" t="s">
        <v>115</v>
      </c>
      <c r="B93" s="20">
        <v>2038</v>
      </c>
      <c r="C93" t="s">
        <v>229</v>
      </c>
      <c r="D93" t="s">
        <v>233</v>
      </c>
      <c r="E93" s="22" t="s">
        <v>276</v>
      </c>
      <c r="F93" s="22" t="s">
        <v>277</v>
      </c>
      <c r="G93" s="22" t="s">
        <v>230</v>
      </c>
      <c r="H93" s="22" t="s">
        <v>237</v>
      </c>
      <c r="I93" s="22" t="s">
        <v>274</v>
      </c>
      <c r="J93" s="17">
        <f>IFERROR(INDEX(Cost_Components!$K$2:$K$6,MATCH(E93,Cost_Components!$A$2:$A$6,0)),"")</f>
        <v>0.6</v>
      </c>
      <c r="K93" s="31">
        <v>0.36340176973841098</v>
      </c>
      <c r="L93" s="17">
        <f>IFERROR(INDEX(Cost_Components!$S$2:$S$6,MATCH(E93,Cost_Components!$A$2:$A$6,0)),"")</f>
        <v>0.147914612579645</v>
      </c>
      <c r="M93" s="28">
        <f>IFERROR(INDEX(Cost_Components!$L$2:$L$6,MATCH(E93,Cost_Components!$A$2:$A$6,0)),"")</f>
        <v>1</v>
      </c>
      <c r="N93" s="29">
        <f>IFERROR(INDEX(Cost_Components!$P$2:$P$6,MATCH(E93,Cost_Components!$A$2:$A$6,0)),"")</f>
        <v>752.57623226071905</v>
      </c>
      <c r="O93" s="23">
        <f t="shared" si="18"/>
        <v>9499695.1135940999</v>
      </c>
      <c r="P93" s="23">
        <f t="shared" si="19"/>
        <v>9473212.5017140191</v>
      </c>
      <c r="Q93" s="23">
        <f t="shared" si="20"/>
        <v>1054529802.8676738</v>
      </c>
      <c r="R93" s="23">
        <f t="shared" si="21"/>
        <v>2598048196.7012987</v>
      </c>
      <c r="S93" s="23">
        <f t="shared" si="22"/>
        <v>1543518393.8336248</v>
      </c>
      <c r="T93" s="16">
        <f>IFERROR(INDEX(Cost_Components!$R$2:$R$6,MATCH(E93,Cost_Components!$A$2:$A$6,0)),"")</f>
        <v>1</v>
      </c>
      <c r="U93" s="26">
        <f>IFERROR(INDEX(Cost_Components!$Q$2:$Q$6,MATCH(E93,Cost_Components!$A$2:$A$6,0)),"")</f>
        <v>2023</v>
      </c>
      <c r="V93" s="30">
        <f>1/(1+Calculation_Assumptions!$B$5)^(B93-Calculation_Assumptions!$B$2)</f>
        <v>0.68095133999317792</v>
      </c>
      <c r="W93" s="23">
        <f t="shared" si="23"/>
        <v>718083482.32548416</v>
      </c>
      <c r="X93" s="23">
        <f t="shared" si="24"/>
        <v>1769144400.9106088</v>
      </c>
      <c r="Y93" s="23">
        <f t="shared" si="25"/>
        <v>1051060918.5851246</v>
      </c>
      <c r="Z93" s="17">
        <f>IFERROR(INDEX(Cost_Components!$T$2:$T$6,MATCH(E93,Cost_Components!$A$2:$A$6,0)),"")</f>
        <v>0.41649999999999998</v>
      </c>
      <c r="AA93" s="26">
        <f>IFERROR(INDEX(Cost_Components!$U$2:$U$6,MATCH(E93,Cost_Components!$A$2:$A$6,0)),"")</f>
        <v>2025</v>
      </c>
      <c r="AB93" s="26">
        <f>IFERROR(INDEX(Cost_Components!$V$2:$V$6,MATCH(E93,Cost_Components!$A$2:$A$6,0)),"")</f>
        <v>2040</v>
      </c>
      <c r="AC93" s="26">
        <f>IFERROR(INDEX(Cost_Components!$M$2:$M$6,MATCH(E93,Cost_Components!$A$2:$A$6,0)),"")</f>
        <v>30</v>
      </c>
      <c r="AD93" s="26">
        <f>IFERROR(INDEX(Cost_Components!$N$2:$N$6,MATCH(E93,Cost_Components!$A$2:$A$6,0)),"")</f>
        <v>95</v>
      </c>
      <c r="AE93" s="16" t="str">
        <f>IFERROR(INDEX(Cost_Components!$O$2:$O$6,MATCH(E93,Cost_Components!$A$2:$A$6,0)),"")</f>
        <v>Both</v>
      </c>
      <c r="AF93" s="11">
        <v>15832825.1893235</v>
      </c>
      <c r="AG93" s="11">
        <v>15788687.5028567</v>
      </c>
      <c r="AH93" s="23">
        <f t="shared" si="26"/>
        <v>1</v>
      </c>
    </row>
    <row r="94" spans="1:34">
      <c r="A94" t="s">
        <v>115</v>
      </c>
      <c r="B94" s="20">
        <v>2039</v>
      </c>
      <c r="C94" t="s">
        <v>229</v>
      </c>
      <c r="D94" t="s">
        <v>233</v>
      </c>
      <c r="E94" s="22" t="s">
        <v>276</v>
      </c>
      <c r="F94" s="22" t="s">
        <v>277</v>
      </c>
      <c r="G94" s="22" t="s">
        <v>230</v>
      </c>
      <c r="H94" s="22" t="s">
        <v>237</v>
      </c>
      <c r="I94" s="22" t="s">
        <v>274</v>
      </c>
      <c r="J94" s="17">
        <f>IFERROR(INDEX(Cost_Components!$K$2:$K$6,MATCH(E94,Cost_Components!$A$2:$A$6,0)),"")</f>
        <v>0.6</v>
      </c>
      <c r="K94" s="31">
        <v>0.38995088486920498</v>
      </c>
      <c r="L94" s="17">
        <f>IFERROR(INDEX(Cost_Components!$S$2:$S$6,MATCH(E94,Cost_Components!$A$2:$A$6,0)),"")</f>
        <v>0.147914612579645</v>
      </c>
      <c r="M94" s="28">
        <f>IFERROR(INDEX(Cost_Components!$L$2:$L$6,MATCH(E94,Cost_Components!$A$2:$A$6,0)),"")</f>
        <v>1</v>
      </c>
      <c r="N94" s="29">
        <f>IFERROR(INDEX(Cost_Components!$P$2:$P$6,MATCH(E94,Cost_Components!$A$2:$A$6,0)),"")</f>
        <v>752.57623226071905</v>
      </c>
      <c r="O94" s="23">
        <f t="shared" si="18"/>
        <v>9534100.7145239394</v>
      </c>
      <c r="P94" s="23">
        <f t="shared" si="19"/>
        <v>9501382.2945399601</v>
      </c>
      <c r="Q94" s="23">
        <f t="shared" si="20"/>
        <v>1057665580.3106676</v>
      </c>
      <c r="R94" s="23">
        <f t="shared" si="21"/>
        <v>2797951253.7335672</v>
      </c>
      <c r="S94" s="23">
        <f t="shared" si="22"/>
        <v>1740285673.4228997</v>
      </c>
      <c r="T94" s="16">
        <f>IFERROR(INDEX(Cost_Components!$R$2:$R$6,MATCH(E94,Cost_Components!$A$2:$A$6,0)),"")</f>
        <v>1</v>
      </c>
      <c r="U94" s="26">
        <f>IFERROR(INDEX(Cost_Components!$Q$2:$Q$6,MATCH(E94,Cost_Components!$A$2:$A$6,0)),"")</f>
        <v>2023</v>
      </c>
      <c r="V94" s="30">
        <f>1/(1+Calculation_Assumptions!$B$5)^(B94-Calculation_Assumptions!$B$2)</f>
        <v>0.66111780581861923</v>
      </c>
      <c r="W94" s="23">
        <f t="shared" si="23"/>
        <v>699241547.74486518</v>
      </c>
      <c r="X94" s="23">
        <f t="shared" si="24"/>
        <v>1849775393.6557908</v>
      </c>
      <c r="Y94" s="23">
        <f t="shared" si="25"/>
        <v>1150533845.9109256</v>
      </c>
      <c r="Z94" s="17">
        <f>IFERROR(INDEX(Cost_Components!$T$2:$T$6,MATCH(E94,Cost_Components!$A$2:$A$6,0)),"")</f>
        <v>0.41649999999999998</v>
      </c>
      <c r="AA94" s="26">
        <f>IFERROR(INDEX(Cost_Components!$U$2:$U$6,MATCH(E94,Cost_Components!$A$2:$A$6,0)),"")</f>
        <v>2025</v>
      </c>
      <c r="AB94" s="26">
        <f>IFERROR(INDEX(Cost_Components!$V$2:$V$6,MATCH(E94,Cost_Components!$A$2:$A$6,0)),"")</f>
        <v>2040</v>
      </c>
      <c r="AC94" s="26">
        <f>IFERROR(INDEX(Cost_Components!$M$2:$M$6,MATCH(E94,Cost_Components!$A$2:$A$6,0)),"")</f>
        <v>30</v>
      </c>
      <c r="AD94" s="26">
        <f>IFERROR(INDEX(Cost_Components!$N$2:$N$6,MATCH(E94,Cost_Components!$A$2:$A$6,0)),"")</f>
        <v>95</v>
      </c>
      <c r="AE94" s="16" t="str">
        <f>IFERROR(INDEX(Cost_Components!$O$2:$O$6,MATCH(E94,Cost_Components!$A$2:$A$6,0)),"")</f>
        <v>Both</v>
      </c>
      <c r="AF94" s="11">
        <v>15890167.8575399</v>
      </c>
      <c r="AG94" s="11">
        <v>15835637.1575666</v>
      </c>
      <c r="AH94" s="23">
        <f t="shared" si="26"/>
        <v>1</v>
      </c>
    </row>
    <row r="95" spans="1:34">
      <c r="A95" t="s">
        <v>115</v>
      </c>
      <c r="B95" s="20">
        <v>2040</v>
      </c>
      <c r="C95" t="s">
        <v>229</v>
      </c>
      <c r="D95" t="s">
        <v>233</v>
      </c>
      <c r="E95" s="22" t="s">
        <v>276</v>
      </c>
      <c r="F95" s="22" t="s">
        <v>277</v>
      </c>
      <c r="G95" s="22" t="s">
        <v>230</v>
      </c>
      <c r="H95" s="22" t="s">
        <v>237</v>
      </c>
      <c r="I95" s="22" t="s">
        <v>274</v>
      </c>
      <c r="J95" s="17">
        <f>IFERROR(INDEX(Cost_Components!$K$2:$K$6,MATCH(E95,Cost_Components!$A$2:$A$6,0)),"")</f>
        <v>0.6</v>
      </c>
      <c r="K95" s="31">
        <v>0.41649999999999998</v>
      </c>
      <c r="L95" s="17">
        <f>IFERROR(INDEX(Cost_Components!$S$2:$S$6,MATCH(E95,Cost_Components!$A$2:$A$6,0)),"")</f>
        <v>0.147914612579645</v>
      </c>
      <c r="M95" s="28">
        <f>IFERROR(INDEX(Cost_Components!$L$2:$L$6,MATCH(E95,Cost_Components!$A$2:$A$6,0)),"")</f>
        <v>1</v>
      </c>
      <c r="N95" s="29">
        <f>IFERROR(INDEX(Cost_Components!$P$2:$P$6,MATCH(E95,Cost_Components!$A$2:$A$6,0)),"")</f>
        <v>752.57623226071905</v>
      </c>
      <c r="O95" s="23">
        <f t="shared" si="18"/>
        <v>9568609.6673450395</v>
      </c>
      <c r="P95" s="23">
        <f t="shared" si="19"/>
        <v>9529029.4116532188</v>
      </c>
      <c r="Q95" s="23">
        <f t="shared" si="20"/>
        <v>1060743175.049942</v>
      </c>
      <c r="R95" s="23">
        <f t="shared" si="21"/>
        <v>2999261570.0581055</v>
      </c>
      <c r="S95" s="23">
        <f t="shared" si="22"/>
        <v>1938518395.0081635</v>
      </c>
      <c r="T95" s="16">
        <f>IFERROR(INDEX(Cost_Components!$R$2:$R$6,MATCH(E95,Cost_Components!$A$2:$A$6,0)),"")</f>
        <v>1</v>
      </c>
      <c r="U95" s="26">
        <f>IFERROR(INDEX(Cost_Components!$Q$2:$Q$6,MATCH(E95,Cost_Components!$A$2:$A$6,0)),"")</f>
        <v>2023</v>
      </c>
      <c r="V95" s="30">
        <f>1/(1+Calculation_Assumptions!$B$5)^(B95-Calculation_Assumptions!$B$2)</f>
        <v>0.64186194739671765</v>
      </c>
      <c r="W95" s="23">
        <f t="shared" si="23"/>
        <v>680850680.02533317</v>
      </c>
      <c r="X95" s="23">
        <f t="shared" si="24"/>
        <v>1925111872.1096325</v>
      </c>
      <c r="Y95" s="23">
        <f t="shared" si="25"/>
        <v>1244261192.0842993</v>
      </c>
      <c r="Z95" s="17">
        <f>IFERROR(INDEX(Cost_Components!$T$2:$T$6,MATCH(E95,Cost_Components!$A$2:$A$6,0)),"")</f>
        <v>0.41649999999999998</v>
      </c>
      <c r="AA95" s="26">
        <f>IFERROR(INDEX(Cost_Components!$U$2:$U$6,MATCH(E95,Cost_Components!$A$2:$A$6,0)),"")</f>
        <v>2025</v>
      </c>
      <c r="AB95" s="26">
        <f>IFERROR(INDEX(Cost_Components!$V$2:$V$6,MATCH(E95,Cost_Components!$A$2:$A$6,0)),"")</f>
        <v>2040</v>
      </c>
      <c r="AC95" s="26">
        <f>IFERROR(INDEX(Cost_Components!$M$2:$M$6,MATCH(E95,Cost_Components!$A$2:$A$6,0)),"")</f>
        <v>30</v>
      </c>
      <c r="AD95" s="26">
        <f>IFERROR(INDEX(Cost_Components!$N$2:$N$6,MATCH(E95,Cost_Components!$A$2:$A$6,0)),"")</f>
        <v>95</v>
      </c>
      <c r="AE95" s="16" t="str">
        <f>IFERROR(INDEX(Cost_Components!$O$2:$O$6,MATCH(E95,Cost_Components!$A$2:$A$6,0)),"")</f>
        <v>Both</v>
      </c>
      <c r="AF95" s="11">
        <v>15947682.7789084</v>
      </c>
      <c r="AG95" s="11">
        <v>15881715.6860887</v>
      </c>
      <c r="AH95" s="23">
        <f t="shared" si="26"/>
        <v>1</v>
      </c>
    </row>
    <row r="96" spans="1:34">
      <c r="A96" t="s">
        <v>115</v>
      </c>
      <c r="B96" s="20">
        <v>2041</v>
      </c>
      <c r="C96" t="s">
        <v>229</v>
      </c>
      <c r="D96" t="s">
        <v>233</v>
      </c>
      <c r="E96" s="22" t="s">
        <v>276</v>
      </c>
      <c r="F96" s="22" t="s">
        <v>277</v>
      </c>
      <c r="G96" s="22" t="s">
        <v>230</v>
      </c>
      <c r="H96" s="22" t="s">
        <v>237</v>
      </c>
      <c r="I96" s="22" t="s">
        <v>274</v>
      </c>
      <c r="J96" s="17">
        <f>IFERROR(INDEX(Cost_Components!$K$2:$K$6,MATCH(E96,Cost_Components!$A$2:$A$6,0)),"")</f>
        <v>0.6</v>
      </c>
      <c r="K96" s="31">
        <v>0.41649999999999998</v>
      </c>
      <c r="L96" s="17">
        <f>IFERROR(INDEX(Cost_Components!$S$2:$S$6,MATCH(E96,Cost_Components!$A$2:$A$6,0)),"")</f>
        <v>0.147914612579645</v>
      </c>
      <c r="M96" s="28">
        <f>IFERROR(INDEX(Cost_Components!$L$2:$L$6,MATCH(E96,Cost_Components!$A$2:$A$6,0)),"")</f>
        <v>1</v>
      </c>
      <c r="N96" s="29">
        <f>IFERROR(INDEX(Cost_Components!$P$2:$P$6,MATCH(E96,Cost_Components!$A$2:$A$6,0)),"")</f>
        <v>752.57623226071905</v>
      </c>
      <c r="O96" s="23">
        <f t="shared" si="18"/>
        <v>9602720.4072455391</v>
      </c>
      <c r="P96" s="23">
        <f t="shared" si="19"/>
        <v>9556629.6457165796</v>
      </c>
      <c r="Q96" s="23">
        <f t="shared" si="20"/>
        <v>1063815550.9077275</v>
      </c>
      <c r="R96" s="23">
        <f t="shared" si="21"/>
        <v>3009953513.2835627</v>
      </c>
      <c r="S96" s="23">
        <f t="shared" si="22"/>
        <v>1946137962.3758352</v>
      </c>
      <c r="T96" s="16">
        <f>IFERROR(INDEX(Cost_Components!$R$2:$R$6,MATCH(E96,Cost_Components!$A$2:$A$6,0)),"")</f>
        <v>1</v>
      </c>
      <c r="U96" s="26">
        <f>IFERROR(INDEX(Cost_Components!$Q$2:$Q$6,MATCH(E96,Cost_Components!$A$2:$A$6,0)),"")</f>
        <v>2023</v>
      </c>
      <c r="V96" s="30">
        <f>1/(1+Calculation_Assumptions!$B$5)^(B96-Calculation_Assumptions!$B$2)</f>
        <v>0.62316693922011435</v>
      </c>
      <c r="W96" s="23">
        <f t="shared" si="23"/>
        <v>662934680.7539283</v>
      </c>
      <c r="X96" s="23">
        <f t="shared" si="24"/>
        <v>1875703518.0677476</v>
      </c>
      <c r="Y96" s="23">
        <f t="shared" si="25"/>
        <v>1212768837.3138192</v>
      </c>
      <c r="Z96" s="17">
        <f>IFERROR(INDEX(Cost_Components!$T$2:$T$6,MATCH(E96,Cost_Components!$A$2:$A$6,0)),"")</f>
        <v>0.41649999999999998</v>
      </c>
      <c r="AA96" s="26">
        <f>IFERROR(INDEX(Cost_Components!$U$2:$U$6,MATCH(E96,Cost_Components!$A$2:$A$6,0)),"")</f>
        <v>2025</v>
      </c>
      <c r="AB96" s="26">
        <f>IFERROR(INDEX(Cost_Components!$V$2:$V$6,MATCH(E96,Cost_Components!$A$2:$A$6,0)),"")</f>
        <v>2040</v>
      </c>
      <c r="AC96" s="26">
        <f>IFERROR(INDEX(Cost_Components!$M$2:$M$6,MATCH(E96,Cost_Components!$A$2:$A$6,0)),"")</f>
        <v>30</v>
      </c>
      <c r="AD96" s="26">
        <f>IFERROR(INDEX(Cost_Components!$N$2:$N$6,MATCH(E96,Cost_Components!$A$2:$A$6,0)),"")</f>
        <v>95</v>
      </c>
      <c r="AE96" s="16" t="str">
        <f>IFERROR(INDEX(Cost_Components!$O$2:$O$6,MATCH(E96,Cost_Components!$A$2:$A$6,0)),"")</f>
        <v>Both</v>
      </c>
      <c r="AF96" s="11">
        <v>16004534.012075899</v>
      </c>
      <c r="AG96" s="11">
        <v>15927716.076194299</v>
      </c>
      <c r="AH96" s="23">
        <f t="shared" si="26"/>
        <v>1</v>
      </c>
    </row>
    <row r="97" spans="1:34">
      <c r="A97" t="s">
        <v>115</v>
      </c>
      <c r="B97" s="20">
        <v>2042</v>
      </c>
      <c r="C97" t="s">
        <v>229</v>
      </c>
      <c r="D97" t="s">
        <v>233</v>
      </c>
      <c r="E97" s="22" t="s">
        <v>276</v>
      </c>
      <c r="F97" s="22" t="s">
        <v>277</v>
      </c>
      <c r="G97" s="22" t="s">
        <v>230</v>
      </c>
      <c r="H97" s="22" t="s">
        <v>237</v>
      </c>
      <c r="I97" s="22" t="s">
        <v>274</v>
      </c>
      <c r="J97" s="17">
        <f>IFERROR(INDEX(Cost_Components!$K$2:$K$6,MATCH(E97,Cost_Components!$A$2:$A$6,0)),"")</f>
        <v>0.6</v>
      </c>
      <c r="K97" s="31">
        <v>0.41649999999999998</v>
      </c>
      <c r="L97" s="17">
        <f>IFERROR(INDEX(Cost_Components!$S$2:$S$6,MATCH(E97,Cost_Components!$A$2:$A$6,0)),"")</f>
        <v>0.147914612579645</v>
      </c>
      <c r="M97" s="28">
        <f>IFERROR(INDEX(Cost_Components!$L$2:$L$6,MATCH(E97,Cost_Components!$A$2:$A$6,0)),"")</f>
        <v>1</v>
      </c>
      <c r="N97" s="29">
        <f>IFERROR(INDEX(Cost_Components!$P$2:$P$6,MATCH(E97,Cost_Components!$A$2:$A$6,0)),"")</f>
        <v>752.57623226071905</v>
      </c>
      <c r="O97" s="23">
        <f t="shared" si="18"/>
        <v>9636292.9124989193</v>
      </c>
      <c r="P97" s="23">
        <f t="shared" si="19"/>
        <v>9584010.4177306201</v>
      </c>
      <c r="Q97" s="23">
        <f t="shared" si="20"/>
        <v>1066863496.9037777</v>
      </c>
      <c r="R97" s="23">
        <f t="shared" si="21"/>
        <v>3020476747.9349532</v>
      </c>
      <c r="S97" s="23">
        <f t="shared" si="22"/>
        <v>1953613251.0311756</v>
      </c>
      <c r="T97" s="16">
        <f>IFERROR(INDEX(Cost_Components!$R$2:$R$6,MATCH(E97,Cost_Components!$A$2:$A$6,0)),"")</f>
        <v>1</v>
      </c>
      <c r="U97" s="26">
        <f>IFERROR(INDEX(Cost_Components!$Q$2:$Q$6,MATCH(E97,Cost_Components!$A$2:$A$6,0)),"")</f>
        <v>2023</v>
      </c>
      <c r="V97" s="30">
        <f>1/(1+Calculation_Assumptions!$B$5)^(B97-Calculation_Assumptions!$B$2)</f>
        <v>0.60501644584477121</v>
      </c>
      <c r="W97" s="23">
        <f t="shared" si="23"/>
        <v>645469961.09824765</v>
      </c>
      <c r="X97" s="23">
        <f t="shared" si="24"/>
        <v>1827438106.7923782</v>
      </c>
      <c r="Y97" s="23">
        <f t="shared" si="25"/>
        <v>1181968145.6941307</v>
      </c>
      <c r="Z97" s="17">
        <f>IFERROR(INDEX(Cost_Components!$T$2:$T$6,MATCH(E97,Cost_Components!$A$2:$A$6,0)),"")</f>
        <v>0.41649999999999998</v>
      </c>
      <c r="AA97" s="26">
        <f>IFERROR(INDEX(Cost_Components!$U$2:$U$6,MATCH(E97,Cost_Components!$A$2:$A$6,0)),"")</f>
        <v>2025</v>
      </c>
      <c r="AB97" s="26">
        <f>IFERROR(INDEX(Cost_Components!$V$2:$V$6,MATCH(E97,Cost_Components!$A$2:$A$6,0)),"")</f>
        <v>2040</v>
      </c>
      <c r="AC97" s="26">
        <f>IFERROR(INDEX(Cost_Components!$M$2:$M$6,MATCH(E97,Cost_Components!$A$2:$A$6,0)),"")</f>
        <v>30</v>
      </c>
      <c r="AD97" s="26">
        <f>IFERROR(INDEX(Cost_Components!$N$2:$N$6,MATCH(E97,Cost_Components!$A$2:$A$6,0)),"")</f>
        <v>95</v>
      </c>
      <c r="AE97" s="16" t="str">
        <f>IFERROR(INDEX(Cost_Components!$O$2:$O$6,MATCH(E97,Cost_Components!$A$2:$A$6,0)),"")</f>
        <v>Both</v>
      </c>
      <c r="AF97" s="11">
        <v>16060488.187498201</v>
      </c>
      <c r="AG97" s="11">
        <v>15973350.696217701</v>
      </c>
      <c r="AH97" s="23">
        <f t="shared" si="26"/>
        <v>1</v>
      </c>
    </row>
    <row r="98" spans="1:34">
      <c r="A98" t="s">
        <v>115</v>
      </c>
      <c r="B98" s="20">
        <v>2043</v>
      </c>
      <c r="C98" t="s">
        <v>229</v>
      </c>
      <c r="D98" t="s">
        <v>233</v>
      </c>
      <c r="E98" s="22" t="s">
        <v>276</v>
      </c>
      <c r="F98" s="22" t="s">
        <v>277</v>
      </c>
      <c r="G98" s="22" t="s">
        <v>230</v>
      </c>
      <c r="H98" s="22" t="s">
        <v>237</v>
      </c>
      <c r="I98" s="22" t="s">
        <v>274</v>
      </c>
      <c r="J98" s="17">
        <f>IFERROR(INDEX(Cost_Components!$K$2:$K$6,MATCH(E98,Cost_Components!$A$2:$A$6,0)),"")</f>
        <v>0.6</v>
      </c>
      <c r="K98" s="31">
        <v>0.41649999999999998</v>
      </c>
      <c r="L98" s="17">
        <f>IFERROR(INDEX(Cost_Components!$S$2:$S$6,MATCH(E98,Cost_Components!$A$2:$A$6,0)),"")</f>
        <v>0.147914612579645</v>
      </c>
      <c r="M98" s="28">
        <f>IFERROR(INDEX(Cost_Components!$L$2:$L$6,MATCH(E98,Cost_Components!$A$2:$A$6,0)),"")</f>
        <v>1</v>
      </c>
      <c r="N98" s="29">
        <f>IFERROR(INDEX(Cost_Components!$P$2:$P$6,MATCH(E98,Cost_Components!$A$2:$A$6,0)),"")</f>
        <v>752.57623226071905</v>
      </c>
      <c r="O98" s="23">
        <f t="shared" ref="O98:O131" si="27">AF98*J98</f>
        <v>9668069.9516846985</v>
      </c>
      <c r="P98" s="23">
        <f t="shared" ref="P98:P131" si="28">AG98*J98</f>
        <v>9609891.8994730189</v>
      </c>
      <c r="Q98" s="23">
        <f t="shared" ref="Q98:Q129" si="29">P98*L98*M98*N98</f>
        <v>1069744546.3719276</v>
      </c>
      <c r="R98" s="23">
        <f t="shared" ref="R98:R131" si="30">O98*K98*M98*N98</f>
        <v>3030437197.3370638</v>
      </c>
      <c r="S98" s="23">
        <f t="shared" ref="S98:S129" si="31">R98-Q98</f>
        <v>1960692650.9651361</v>
      </c>
      <c r="T98" s="16">
        <f>IFERROR(INDEX(Cost_Components!$R$2:$R$6,MATCH(E98,Cost_Components!$A$2:$A$6,0)),"")</f>
        <v>1</v>
      </c>
      <c r="U98" s="26">
        <f>IFERROR(INDEX(Cost_Components!$Q$2:$Q$6,MATCH(E98,Cost_Components!$A$2:$A$6,0)),"")</f>
        <v>2023</v>
      </c>
      <c r="V98" s="30">
        <f>1/(1+Calculation_Assumptions!$B$5)^(B98-Calculation_Assumptions!$B$2)</f>
        <v>0.5873946076162827</v>
      </c>
      <c r="W98" s="23">
        <f t="shared" ref="W98:W129" si="32">Q98*V98</f>
        <v>628362178.06579673</v>
      </c>
      <c r="X98" s="23">
        <f t="shared" ref="X98:X131" si="33">R98*V98</f>
        <v>1780062468.4355922</v>
      </c>
      <c r="Y98" s="23">
        <f t="shared" ref="Y98:Y131" si="34">S98*V98</f>
        <v>1151700290.3697953</v>
      </c>
      <c r="Z98" s="17">
        <f>IFERROR(INDEX(Cost_Components!$T$2:$T$6,MATCH(E98,Cost_Components!$A$2:$A$6,0)),"")</f>
        <v>0.41649999999999998</v>
      </c>
      <c r="AA98" s="26">
        <f>IFERROR(INDEX(Cost_Components!$U$2:$U$6,MATCH(E98,Cost_Components!$A$2:$A$6,0)),"")</f>
        <v>2025</v>
      </c>
      <c r="AB98" s="26">
        <f>IFERROR(INDEX(Cost_Components!$V$2:$V$6,MATCH(E98,Cost_Components!$A$2:$A$6,0)),"")</f>
        <v>2040</v>
      </c>
      <c r="AC98" s="26">
        <f>IFERROR(INDEX(Cost_Components!$M$2:$M$6,MATCH(E98,Cost_Components!$A$2:$A$6,0)),"")</f>
        <v>30</v>
      </c>
      <c r="AD98" s="26">
        <f>IFERROR(INDEX(Cost_Components!$N$2:$N$6,MATCH(E98,Cost_Components!$A$2:$A$6,0)),"")</f>
        <v>95</v>
      </c>
      <c r="AE98" s="16" t="str">
        <f>IFERROR(INDEX(Cost_Components!$O$2:$O$6,MATCH(E98,Cost_Components!$A$2:$A$6,0)),"")</f>
        <v>Both</v>
      </c>
      <c r="AF98" s="11">
        <v>16113449.919474499</v>
      </c>
      <c r="AG98" s="11">
        <v>16016486.499121699</v>
      </c>
      <c r="AH98" s="23">
        <f t="shared" ref="AH98:AH131" si="35">IF(H98="shared-count-once",COUNTIFS($A$2:$A$131,A98,$B$2:$B$131,B98,$E$2:$E$131,E98),1)</f>
        <v>1</v>
      </c>
    </row>
    <row r="99" spans="1:34">
      <c r="A99" t="s">
        <v>115</v>
      </c>
      <c r="B99" s="20">
        <v>2044</v>
      </c>
      <c r="C99" t="s">
        <v>229</v>
      </c>
      <c r="D99" t="s">
        <v>233</v>
      </c>
      <c r="E99" s="22" t="s">
        <v>276</v>
      </c>
      <c r="F99" s="22" t="s">
        <v>277</v>
      </c>
      <c r="G99" s="22" t="s">
        <v>230</v>
      </c>
      <c r="H99" s="22" t="s">
        <v>237</v>
      </c>
      <c r="I99" s="22" t="s">
        <v>274</v>
      </c>
      <c r="J99" s="17">
        <f>IFERROR(INDEX(Cost_Components!$K$2:$K$6,MATCH(E99,Cost_Components!$A$2:$A$6,0)),"")</f>
        <v>0.6</v>
      </c>
      <c r="K99" s="31">
        <v>0.41649999999999998</v>
      </c>
      <c r="L99" s="17">
        <f>IFERROR(INDEX(Cost_Components!$S$2:$S$6,MATCH(E99,Cost_Components!$A$2:$A$6,0)),"")</f>
        <v>0.147914612579645</v>
      </c>
      <c r="M99" s="28">
        <f>IFERROR(INDEX(Cost_Components!$L$2:$L$6,MATCH(E99,Cost_Components!$A$2:$A$6,0)),"")</f>
        <v>1</v>
      </c>
      <c r="N99" s="29">
        <f>IFERROR(INDEX(Cost_Components!$P$2:$P$6,MATCH(E99,Cost_Components!$A$2:$A$6,0)),"")</f>
        <v>752.57623226071905</v>
      </c>
      <c r="O99" s="23">
        <f t="shared" si="27"/>
        <v>9697546.4493277185</v>
      </c>
      <c r="P99" s="23">
        <f t="shared" si="28"/>
        <v>9633750.9334637988</v>
      </c>
      <c r="Q99" s="23">
        <f t="shared" si="29"/>
        <v>1072400462.9795576</v>
      </c>
      <c r="R99" s="23">
        <f t="shared" si="30"/>
        <v>3039676546.5919852</v>
      </c>
      <c r="S99" s="23">
        <f t="shared" si="31"/>
        <v>1967276083.6124277</v>
      </c>
      <c r="T99" s="16">
        <f>IFERROR(INDEX(Cost_Components!$R$2:$R$6,MATCH(E99,Cost_Components!$A$2:$A$6,0)),"")</f>
        <v>1</v>
      </c>
      <c r="U99" s="26">
        <f>IFERROR(INDEX(Cost_Components!$Q$2:$Q$6,MATCH(E99,Cost_Components!$A$2:$A$6,0)),"")</f>
        <v>2023</v>
      </c>
      <c r="V99" s="30">
        <f>1/(1+Calculation_Assumptions!$B$5)^(B99-Calculation_Assumptions!$B$2)</f>
        <v>0.57028602681192497</v>
      </c>
      <c r="W99" s="23">
        <f t="shared" si="32"/>
        <v>611574999.18388081</v>
      </c>
      <c r="X99" s="23">
        <f t="shared" si="33"/>
        <v>1733485060.5493364</v>
      </c>
      <c r="Y99" s="23">
        <f t="shared" si="34"/>
        <v>1121910061.3654556</v>
      </c>
      <c r="Z99" s="17">
        <f>IFERROR(INDEX(Cost_Components!$T$2:$T$6,MATCH(E99,Cost_Components!$A$2:$A$6,0)),"")</f>
        <v>0.41649999999999998</v>
      </c>
      <c r="AA99" s="26">
        <f>IFERROR(INDEX(Cost_Components!$U$2:$U$6,MATCH(E99,Cost_Components!$A$2:$A$6,0)),"")</f>
        <v>2025</v>
      </c>
      <c r="AB99" s="26">
        <f>IFERROR(INDEX(Cost_Components!$V$2:$V$6,MATCH(E99,Cost_Components!$A$2:$A$6,0)),"")</f>
        <v>2040</v>
      </c>
      <c r="AC99" s="26">
        <f>IFERROR(INDEX(Cost_Components!$M$2:$M$6,MATCH(E99,Cost_Components!$A$2:$A$6,0)),"")</f>
        <v>30</v>
      </c>
      <c r="AD99" s="26">
        <f>IFERROR(INDEX(Cost_Components!$N$2:$N$6,MATCH(E99,Cost_Components!$A$2:$A$6,0)),"")</f>
        <v>95</v>
      </c>
      <c r="AE99" s="16" t="str">
        <f>IFERROR(INDEX(Cost_Components!$O$2:$O$6,MATCH(E99,Cost_Components!$A$2:$A$6,0)),"")</f>
        <v>Both</v>
      </c>
      <c r="AF99" s="11">
        <v>16162577.415546199</v>
      </c>
      <c r="AG99" s="11">
        <v>16056251.555772999</v>
      </c>
      <c r="AH99" s="23">
        <f t="shared" si="35"/>
        <v>1</v>
      </c>
    </row>
    <row r="100" spans="1:34">
      <c r="A100" t="s">
        <v>115</v>
      </c>
      <c r="B100" s="20">
        <v>2045</v>
      </c>
      <c r="C100" t="s">
        <v>229</v>
      </c>
      <c r="D100" t="s">
        <v>233</v>
      </c>
      <c r="E100" s="22" t="s">
        <v>276</v>
      </c>
      <c r="F100" s="22" t="s">
        <v>277</v>
      </c>
      <c r="G100" s="22" t="s">
        <v>230</v>
      </c>
      <c r="H100" s="22" t="s">
        <v>237</v>
      </c>
      <c r="I100" s="22" t="s">
        <v>274</v>
      </c>
      <c r="J100" s="17">
        <f>IFERROR(INDEX(Cost_Components!$K$2:$K$6,MATCH(E100,Cost_Components!$A$2:$A$6,0)),"")</f>
        <v>0.6</v>
      </c>
      <c r="K100" s="31">
        <v>0.41649999999999998</v>
      </c>
      <c r="L100" s="17">
        <f>IFERROR(INDEX(Cost_Components!$S$2:$S$6,MATCH(E100,Cost_Components!$A$2:$A$6,0)),"")</f>
        <v>0.147914612579645</v>
      </c>
      <c r="M100" s="28">
        <f>IFERROR(INDEX(Cost_Components!$L$2:$L$6,MATCH(E100,Cost_Components!$A$2:$A$6,0)),"")</f>
        <v>1</v>
      </c>
      <c r="N100" s="29">
        <f>IFERROR(INDEX(Cost_Components!$P$2:$P$6,MATCH(E100,Cost_Components!$A$2:$A$6,0)),"")</f>
        <v>752.57623226071905</v>
      </c>
      <c r="O100" s="23">
        <f t="shared" si="27"/>
        <v>9724821.8075335193</v>
      </c>
      <c r="P100" s="23">
        <f t="shared" si="28"/>
        <v>9655670.6711312402</v>
      </c>
      <c r="Q100" s="23">
        <f t="shared" si="29"/>
        <v>1074840502.8960247</v>
      </c>
      <c r="R100" s="23">
        <f t="shared" si="30"/>
        <v>3048225953.0909681</v>
      </c>
      <c r="S100" s="23">
        <f t="shared" si="31"/>
        <v>1973385450.1949434</v>
      </c>
      <c r="T100" s="16">
        <f>IFERROR(INDEX(Cost_Components!$R$2:$R$6,MATCH(E100,Cost_Components!$A$2:$A$6,0)),"")</f>
        <v>1</v>
      </c>
      <c r="U100" s="26">
        <f>IFERROR(INDEX(Cost_Components!$Q$2:$Q$6,MATCH(E100,Cost_Components!$A$2:$A$6,0)),"")</f>
        <v>2023</v>
      </c>
      <c r="V100" s="30">
        <f>1/(1+Calculation_Assumptions!$B$5)^(B100-Calculation_Assumptions!$B$2)</f>
        <v>0.55367575418633497</v>
      </c>
      <c r="W100" s="23">
        <f t="shared" si="32"/>
        <v>595113126.07097602</v>
      </c>
      <c r="X100" s="23">
        <f t="shared" si="33"/>
        <v>1687728803.5080016</v>
      </c>
      <c r="Y100" s="23">
        <f t="shared" si="34"/>
        <v>1092615677.4370255</v>
      </c>
      <c r="Z100" s="17">
        <f>IFERROR(INDEX(Cost_Components!$T$2:$T$6,MATCH(E100,Cost_Components!$A$2:$A$6,0)),"")</f>
        <v>0.41649999999999998</v>
      </c>
      <c r="AA100" s="26">
        <f>IFERROR(INDEX(Cost_Components!$U$2:$U$6,MATCH(E100,Cost_Components!$A$2:$A$6,0)),"")</f>
        <v>2025</v>
      </c>
      <c r="AB100" s="26">
        <f>IFERROR(INDEX(Cost_Components!$V$2:$V$6,MATCH(E100,Cost_Components!$A$2:$A$6,0)),"")</f>
        <v>2040</v>
      </c>
      <c r="AC100" s="26">
        <f>IFERROR(INDEX(Cost_Components!$M$2:$M$6,MATCH(E100,Cost_Components!$A$2:$A$6,0)),"")</f>
        <v>30</v>
      </c>
      <c r="AD100" s="26">
        <f>IFERROR(INDEX(Cost_Components!$N$2:$N$6,MATCH(E100,Cost_Components!$A$2:$A$6,0)),"")</f>
        <v>95</v>
      </c>
      <c r="AE100" s="16" t="str">
        <f>IFERROR(INDEX(Cost_Components!$O$2:$O$6,MATCH(E100,Cost_Components!$A$2:$A$6,0)),"")</f>
        <v>Both</v>
      </c>
      <c r="AF100" s="11">
        <v>16208036.3458892</v>
      </c>
      <c r="AG100" s="11">
        <v>16092784.4518854</v>
      </c>
      <c r="AH100" s="23">
        <f t="shared" si="35"/>
        <v>1</v>
      </c>
    </row>
    <row r="101" spans="1:34">
      <c r="A101" t="s">
        <v>115</v>
      </c>
      <c r="B101" s="20">
        <v>2046</v>
      </c>
      <c r="C101" t="s">
        <v>229</v>
      </c>
      <c r="D101" t="s">
        <v>233</v>
      </c>
      <c r="E101" s="22" t="s">
        <v>276</v>
      </c>
      <c r="F101" s="22" t="s">
        <v>277</v>
      </c>
      <c r="G101" s="22" t="s">
        <v>230</v>
      </c>
      <c r="H101" s="22" t="s">
        <v>237</v>
      </c>
      <c r="I101" s="22" t="s">
        <v>274</v>
      </c>
      <c r="J101" s="17">
        <f>IFERROR(INDEX(Cost_Components!$K$2:$K$6,MATCH(E101,Cost_Components!$A$2:$A$6,0)),"")</f>
        <v>0.6</v>
      </c>
      <c r="K101" s="31">
        <v>0.41649999999999998</v>
      </c>
      <c r="L101" s="17">
        <f>IFERROR(INDEX(Cost_Components!$S$2:$S$6,MATCH(E101,Cost_Components!$A$2:$A$6,0)),"")</f>
        <v>0.147914612579645</v>
      </c>
      <c r="M101" s="28">
        <f>IFERROR(INDEX(Cost_Components!$L$2:$L$6,MATCH(E101,Cost_Components!$A$2:$A$6,0)),"")</f>
        <v>1</v>
      </c>
      <c r="N101" s="29">
        <f>IFERROR(INDEX(Cost_Components!$P$2:$P$6,MATCH(E101,Cost_Components!$A$2:$A$6,0)),"")</f>
        <v>752.57623226071905</v>
      </c>
      <c r="O101" s="23">
        <f t="shared" si="27"/>
        <v>9749940.3092266805</v>
      </c>
      <c r="P101" s="23">
        <f t="shared" si="28"/>
        <v>9675685.2989548799</v>
      </c>
      <c r="Q101" s="23">
        <f t="shared" si="29"/>
        <v>1077068471.6584182</v>
      </c>
      <c r="R101" s="23">
        <f t="shared" si="30"/>
        <v>3056099297.228188</v>
      </c>
      <c r="S101" s="23">
        <f t="shared" si="31"/>
        <v>1979030825.5697699</v>
      </c>
      <c r="T101" s="16">
        <f>IFERROR(INDEX(Cost_Components!$R$2:$R$6,MATCH(E101,Cost_Components!$A$2:$A$6,0)),"")</f>
        <v>1</v>
      </c>
      <c r="U101" s="26">
        <f>IFERROR(INDEX(Cost_Components!$Q$2:$Q$6,MATCH(E101,Cost_Components!$A$2:$A$6,0)),"")</f>
        <v>2023</v>
      </c>
      <c r="V101" s="30">
        <f>1/(1+Calculation_Assumptions!$B$5)^(B101-Calculation_Assumptions!$B$2)</f>
        <v>0.5375492759090631</v>
      </c>
      <c r="W101" s="23">
        <f t="shared" si="32"/>
        <v>578977377.04446399</v>
      </c>
      <c r="X101" s="23">
        <f t="shared" si="33"/>
        <v>1642803964.3312092</v>
      </c>
      <c r="Y101" s="23">
        <f t="shared" si="34"/>
        <v>1063826587.2867452</v>
      </c>
      <c r="Z101" s="17">
        <f>IFERROR(INDEX(Cost_Components!$T$2:$T$6,MATCH(E101,Cost_Components!$A$2:$A$6,0)),"")</f>
        <v>0.41649999999999998</v>
      </c>
      <c r="AA101" s="26">
        <f>IFERROR(INDEX(Cost_Components!$U$2:$U$6,MATCH(E101,Cost_Components!$A$2:$A$6,0)),"")</f>
        <v>2025</v>
      </c>
      <c r="AB101" s="26">
        <f>IFERROR(INDEX(Cost_Components!$V$2:$V$6,MATCH(E101,Cost_Components!$A$2:$A$6,0)),"")</f>
        <v>2040</v>
      </c>
      <c r="AC101" s="26">
        <f>IFERROR(INDEX(Cost_Components!$M$2:$M$6,MATCH(E101,Cost_Components!$A$2:$A$6,0)),"")</f>
        <v>30</v>
      </c>
      <c r="AD101" s="26">
        <f>IFERROR(INDEX(Cost_Components!$N$2:$N$6,MATCH(E101,Cost_Components!$A$2:$A$6,0)),"")</f>
        <v>95</v>
      </c>
      <c r="AE101" s="16" t="str">
        <f>IFERROR(INDEX(Cost_Components!$O$2:$O$6,MATCH(E101,Cost_Components!$A$2:$A$6,0)),"")</f>
        <v>Both</v>
      </c>
      <c r="AF101" s="11">
        <v>16249900.515377801</v>
      </c>
      <c r="AG101" s="11">
        <v>16126142.1649248</v>
      </c>
      <c r="AH101" s="23">
        <f t="shared" si="35"/>
        <v>1</v>
      </c>
    </row>
    <row r="102" spans="1:34">
      <c r="A102" t="s">
        <v>115</v>
      </c>
      <c r="B102" s="20">
        <v>2047</v>
      </c>
      <c r="C102" t="s">
        <v>229</v>
      </c>
      <c r="D102" t="s">
        <v>233</v>
      </c>
      <c r="E102" s="22" t="s">
        <v>276</v>
      </c>
      <c r="F102" s="22" t="s">
        <v>277</v>
      </c>
      <c r="G102" s="22" t="s">
        <v>230</v>
      </c>
      <c r="H102" s="22" t="s">
        <v>237</v>
      </c>
      <c r="I102" s="22" t="s">
        <v>274</v>
      </c>
      <c r="J102" s="17">
        <f>IFERROR(INDEX(Cost_Components!$K$2:$K$6,MATCH(E102,Cost_Components!$A$2:$A$6,0)),"")</f>
        <v>0.6</v>
      </c>
      <c r="K102" s="31">
        <v>0.41649999999999998</v>
      </c>
      <c r="L102" s="17">
        <f>IFERROR(INDEX(Cost_Components!$S$2:$S$6,MATCH(E102,Cost_Components!$A$2:$A$6,0)),"")</f>
        <v>0.147914612579645</v>
      </c>
      <c r="M102" s="28">
        <f>IFERROR(INDEX(Cost_Components!$L$2:$L$6,MATCH(E102,Cost_Components!$A$2:$A$6,0)),"")</f>
        <v>1</v>
      </c>
      <c r="N102" s="29">
        <f>IFERROR(INDEX(Cost_Components!$P$2:$P$6,MATCH(E102,Cost_Components!$A$2:$A$6,0)),"")</f>
        <v>752.57623226071905</v>
      </c>
      <c r="O102" s="23">
        <f t="shared" si="27"/>
        <v>9770975.8619930986</v>
      </c>
      <c r="P102" s="23">
        <f t="shared" si="28"/>
        <v>9691861.23259422</v>
      </c>
      <c r="Q102" s="23">
        <f t="shared" si="29"/>
        <v>1078869128.4164932</v>
      </c>
      <c r="R102" s="23">
        <f t="shared" si="30"/>
        <v>3062692849.1872106</v>
      </c>
      <c r="S102" s="23">
        <f t="shared" si="31"/>
        <v>1983823720.7707174</v>
      </c>
      <c r="T102" s="16">
        <f>IFERROR(INDEX(Cost_Components!$R$2:$R$6,MATCH(E102,Cost_Components!$A$2:$A$6,0)),"")</f>
        <v>1</v>
      </c>
      <c r="U102" s="26">
        <f>IFERROR(INDEX(Cost_Components!$Q$2:$Q$6,MATCH(E102,Cost_Components!$A$2:$A$6,0)),"")</f>
        <v>2023</v>
      </c>
      <c r="V102" s="30">
        <f>1/(1+Calculation_Assumptions!$B$5)^(B102-Calculation_Assumptions!$B$2)</f>
        <v>0.52189250088258554</v>
      </c>
      <c r="W102" s="23">
        <f t="shared" si="32"/>
        <v>563053707.554299</v>
      </c>
      <c r="X102" s="23">
        <f t="shared" si="33"/>
        <v>1598396430.4975247</v>
      </c>
      <c r="Y102" s="23">
        <f t="shared" si="34"/>
        <v>1035342722.9432257</v>
      </c>
      <c r="Z102" s="17">
        <f>IFERROR(INDEX(Cost_Components!$T$2:$T$6,MATCH(E102,Cost_Components!$A$2:$A$6,0)),"")</f>
        <v>0.41649999999999998</v>
      </c>
      <c r="AA102" s="26">
        <f>IFERROR(INDEX(Cost_Components!$U$2:$U$6,MATCH(E102,Cost_Components!$A$2:$A$6,0)),"")</f>
        <v>2025</v>
      </c>
      <c r="AB102" s="26">
        <f>IFERROR(INDEX(Cost_Components!$V$2:$V$6,MATCH(E102,Cost_Components!$A$2:$A$6,0)),"")</f>
        <v>2040</v>
      </c>
      <c r="AC102" s="26">
        <f>IFERROR(INDEX(Cost_Components!$M$2:$M$6,MATCH(E102,Cost_Components!$A$2:$A$6,0)),"")</f>
        <v>30</v>
      </c>
      <c r="AD102" s="26">
        <f>IFERROR(INDEX(Cost_Components!$N$2:$N$6,MATCH(E102,Cost_Components!$A$2:$A$6,0)),"")</f>
        <v>95</v>
      </c>
      <c r="AE102" s="16" t="str">
        <f>IFERROR(INDEX(Cost_Components!$O$2:$O$6,MATCH(E102,Cost_Components!$A$2:$A$6,0)),"")</f>
        <v>Both</v>
      </c>
      <c r="AF102" s="11">
        <v>16284959.7699885</v>
      </c>
      <c r="AG102" s="11">
        <v>16153102.054323699</v>
      </c>
      <c r="AH102" s="23">
        <f t="shared" si="35"/>
        <v>1</v>
      </c>
    </row>
    <row r="103" spans="1:34">
      <c r="A103" t="s">
        <v>115</v>
      </c>
      <c r="B103" s="20">
        <v>2048</v>
      </c>
      <c r="C103" t="s">
        <v>229</v>
      </c>
      <c r="D103" t="s">
        <v>233</v>
      </c>
      <c r="E103" s="22" t="s">
        <v>276</v>
      </c>
      <c r="F103" s="22" t="s">
        <v>277</v>
      </c>
      <c r="G103" s="22" t="s">
        <v>230</v>
      </c>
      <c r="H103" s="22" t="s">
        <v>237</v>
      </c>
      <c r="I103" s="22" t="s">
        <v>274</v>
      </c>
      <c r="J103" s="17">
        <f>IFERROR(INDEX(Cost_Components!$K$2:$K$6,MATCH(E103,Cost_Components!$A$2:$A$6,0)),"")</f>
        <v>0.6</v>
      </c>
      <c r="K103" s="31">
        <v>0.41649999999999998</v>
      </c>
      <c r="L103" s="17">
        <f>IFERROR(INDEX(Cost_Components!$S$2:$S$6,MATCH(E103,Cost_Components!$A$2:$A$6,0)),"")</f>
        <v>0.147914612579645</v>
      </c>
      <c r="M103" s="28">
        <f>IFERROR(INDEX(Cost_Components!$L$2:$L$6,MATCH(E103,Cost_Components!$A$2:$A$6,0)),"")</f>
        <v>1</v>
      </c>
      <c r="N103" s="29">
        <f>IFERROR(INDEX(Cost_Components!$P$2:$P$6,MATCH(E103,Cost_Components!$A$2:$A$6,0)),"")</f>
        <v>752.57623226071905</v>
      </c>
      <c r="O103" s="23">
        <f t="shared" si="27"/>
        <v>9790005.4749233387</v>
      </c>
      <c r="P103" s="23">
        <f t="shared" si="28"/>
        <v>9706268.05470258</v>
      </c>
      <c r="Q103" s="23">
        <f t="shared" si="29"/>
        <v>1080472852.9476521</v>
      </c>
      <c r="R103" s="23">
        <f t="shared" si="30"/>
        <v>3068657643.3149858</v>
      </c>
      <c r="S103" s="23">
        <f t="shared" si="31"/>
        <v>1988184790.3673337</v>
      </c>
      <c r="T103" s="16">
        <f>IFERROR(INDEX(Cost_Components!$R$2:$R$6,MATCH(E103,Cost_Components!$A$2:$A$6,0)),"")</f>
        <v>1</v>
      </c>
      <c r="U103" s="26">
        <f>IFERROR(INDEX(Cost_Components!$Q$2:$Q$6,MATCH(E103,Cost_Components!$A$2:$A$6,0)),"")</f>
        <v>2023</v>
      </c>
      <c r="V103" s="30">
        <f>1/(1+Calculation_Assumptions!$B$5)^(B103-Calculation_Assumptions!$B$2)</f>
        <v>0.50669174842969467</v>
      </c>
      <c r="W103" s="23">
        <f t="shared" si="32"/>
        <v>547466678.99086618</v>
      </c>
      <c r="X103" s="23">
        <f t="shared" si="33"/>
        <v>1554863506.6234164</v>
      </c>
      <c r="Y103" s="23">
        <f t="shared" si="34"/>
        <v>1007396827.6325502</v>
      </c>
      <c r="Z103" s="17">
        <f>IFERROR(INDEX(Cost_Components!$T$2:$T$6,MATCH(E103,Cost_Components!$A$2:$A$6,0)),"")</f>
        <v>0.41649999999999998</v>
      </c>
      <c r="AA103" s="26">
        <f>IFERROR(INDEX(Cost_Components!$U$2:$U$6,MATCH(E103,Cost_Components!$A$2:$A$6,0)),"")</f>
        <v>2025</v>
      </c>
      <c r="AB103" s="26">
        <f>IFERROR(INDEX(Cost_Components!$V$2:$V$6,MATCH(E103,Cost_Components!$A$2:$A$6,0)),"")</f>
        <v>2040</v>
      </c>
      <c r="AC103" s="26">
        <f>IFERROR(INDEX(Cost_Components!$M$2:$M$6,MATCH(E103,Cost_Components!$A$2:$A$6,0)),"")</f>
        <v>30</v>
      </c>
      <c r="AD103" s="26">
        <f>IFERROR(INDEX(Cost_Components!$N$2:$N$6,MATCH(E103,Cost_Components!$A$2:$A$6,0)),"")</f>
        <v>95</v>
      </c>
      <c r="AE103" s="16" t="str">
        <f>IFERROR(INDEX(Cost_Components!$O$2:$O$6,MATCH(E103,Cost_Components!$A$2:$A$6,0)),"")</f>
        <v>Both</v>
      </c>
      <c r="AF103" s="11">
        <v>16316675.7915389</v>
      </c>
      <c r="AG103" s="11">
        <v>16177113.424504301</v>
      </c>
      <c r="AH103" s="23">
        <f t="shared" si="35"/>
        <v>1</v>
      </c>
    </row>
    <row r="104" spans="1:34">
      <c r="A104" t="s">
        <v>115</v>
      </c>
      <c r="B104" s="20">
        <v>2049</v>
      </c>
      <c r="C104" t="s">
        <v>229</v>
      </c>
      <c r="D104" t="s">
        <v>233</v>
      </c>
      <c r="E104" s="22" t="s">
        <v>276</v>
      </c>
      <c r="F104" s="22" t="s">
        <v>277</v>
      </c>
      <c r="G104" s="22" t="s">
        <v>230</v>
      </c>
      <c r="H104" s="22" t="s">
        <v>237</v>
      </c>
      <c r="I104" s="22" t="s">
        <v>274</v>
      </c>
      <c r="J104" s="17">
        <f>IFERROR(INDEX(Cost_Components!$K$2:$K$6,MATCH(E104,Cost_Components!$A$2:$A$6,0)),"")</f>
        <v>0.6</v>
      </c>
      <c r="K104" s="31">
        <v>0.41649999999999998</v>
      </c>
      <c r="L104" s="17">
        <f>IFERROR(INDEX(Cost_Components!$S$2:$S$6,MATCH(E104,Cost_Components!$A$2:$A$6,0)),"")</f>
        <v>0.147914612579645</v>
      </c>
      <c r="M104" s="28">
        <f>IFERROR(INDEX(Cost_Components!$L$2:$L$6,MATCH(E104,Cost_Components!$A$2:$A$6,0)),"")</f>
        <v>1</v>
      </c>
      <c r="N104" s="29">
        <f>IFERROR(INDEX(Cost_Components!$P$2:$P$6,MATCH(E104,Cost_Components!$A$2:$A$6,0)),"")</f>
        <v>752.57623226071905</v>
      </c>
      <c r="O104" s="23">
        <f t="shared" si="27"/>
        <v>9807301.2004828192</v>
      </c>
      <c r="P104" s="23">
        <f t="shared" si="28"/>
        <v>9719168.3849344198</v>
      </c>
      <c r="Q104" s="23">
        <f t="shared" si="29"/>
        <v>1081908879.2897031</v>
      </c>
      <c r="R104" s="23">
        <f t="shared" si="30"/>
        <v>3074078953.9128933</v>
      </c>
      <c r="S104" s="23">
        <f t="shared" si="31"/>
        <v>1992170074.6231902</v>
      </c>
      <c r="T104" s="16">
        <f>IFERROR(INDEX(Cost_Components!$R$2:$R$6,MATCH(E104,Cost_Components!$A$2:$A$6,0)),"")</f>
        <v>1</v>
      </c>
      <c r="U104" s="26">
        <f>IFERROR(INDEX(Cost_Components!$Q$2:$Q$6,MATCH(E104,Cost_Components!$A$2:$A$6,0)),"")</f>
        <v>2023</v>
      </c>
      <c r="V104" s="30">
        <f>1/(1+Calculation_Assumptions!$B$5)^(B104-Calculation_Assumptions!$B$2)</f>
        <v>0.49193373633950943</v>
      </c>
      <c r="W104" s="23">
        <f t="shared" si="32"/>
        <v>532227477.36787498</v>
      </c>
      <c r="X104" s="23">
        <f t="shared" si="33"/>
        <v>1512243145.6010201</v>
      </c>
      <c r="Y104" s="23">
        <f t="shared" si="34"/>
        <v>980015668.23314524</v>
      </c>
      <c r="Z104" s="17">
        <f>IFERROR(INDEX(Cost_Components!$T$2:$T$6,MATCH(E104,Cost_Components!$A$2:$A$6,0)),"")</f>
        <v>0.41649999999999998</v>
      </c>
      <c r="AA104" s="26">
        <f>IFERROR(INDEX(Cost_Components!$U$2:$U$6,MATCH(E104,Cost_Components!$A$2:$A$6,0)),"")</f>
        <v>2025</v>
      </c>
      <c r="AB104" s="26">
        <f>IFERROR(INDEX(Cost_Components!$V$2:$V$6,MATCH(E104,Cost_Components!$A$2:$A$6,0)),"")</f>
        <v>2040</v>
      </c>
      <c r="AC104" s="26">
        <f>IFERROR(INDEX(Cost_Components!$M$2:$M$6,MATCH(E104,Cost_Components!$A$2:$A$6,0)),"")</f>
        <v>30</v>
      </c>
      <c r="AD104" s="26">
        <f>IFERROR(INDEX(Cost_Components!$N$2:$N$6,MATCH(E104,Cost_Components!$A$2:$A$6,0)),"")</f>
        <v>95</v>
      </c>
      <c r="AE104" s="16" t="str">
        <f>IFERROR(INDEX(Cost_Components!$O$2:$O$6,MATCH(E104,Cost_Components!$A$2:$A$6,0)),"")</f>
        <v>Both</v>
      </c>
      <c r="AF104" s="11">
        <v>16345502.0008047</v>
      </c>
      <c r="AG104" s="11">
        <v>16198613.9748907</v>
      </c>
      <c r="AH104" s="23">
        <f t="shared" si="35"/>
        <v>1</v>
      </c>
    </row>
    <row r="105" spans="1:34">
      <c r="A105" t="s">
        <v>115</v>
      </c>
      <c r="B105" s="20">
        <v>2050</v>
      </c>
      <c r="C105" t="s">
        <v>229</v>
      </c>
      <c r="D105" t="s">
        <v>233</v>
      </c>
      <c r="E105" s="22" t="s">
        <v>276</v>
      </c>
      <c r="F105" s="22" t="s">
        <v>277</v>
      </c>
      <c r="G105" s="22" t="s">
        <v>230</v>
      </c>
      <c r="H105" s="22" t="s">
        <v>237</v>
      </c>
      <c r="I105" s="22" t="s">
        <v>274</v>
      </c>
      <c r="J105" s="17">
        <f>IFERROR(INDEX(Cost_Components!$K$2:$K$6,MATCH(E105,Cost_Components!$A$2:$A$6,0)),"")</f>
        <v>0.6</v>
      </c>
      <c r="K105" s="31">
        <v>0.41649999999999998</v>
      </c>
      <c r="L105" s="17">
        <f>IFERROR(INDEX(Cost_Components!$S$2:$S$6,MATCH(E105,Cost_Components!$A$2:$A$6,0)),"")</f>
        <v>0.147914612579645</v>
      </c>
      <c r="M105" s="28">
        <f>IFERROR(INDEX(Cost_Components!$L$2:$L$6,MATCH(E105,Cost_Components!$A$2:$A$6,0)),"")</f>
        <v>1</v>
      </c>
      <c r="N105" s="29">
        <f>IFERROR(INDEX(Cost_Components!$P$2:$P$6,MATCH(E105,Cost_Components!$A$2:$A$6,0)),"")</f>
        <v>752.57623226071905</v>
      </c>
      <c r="O105" s="23">
        <f t="shared" si="27"/>
        <v>9823456.5361170005</v>
      </c>
      <c r="P105" s="23">
        <f t="shared" si="28"/>
        <v>9731149.0716801602</v>
      </c>
      <c r="Q105" s="23">
        <f t="shared" si="29"/>
        <v>1083242533.6577351</v>
      </c>
      <c r="R105" s="23">
        <f t="shared" si="30"/>
        <v>3079142811.568656</v>
      </c>
      <c r="S105" s="23">
        <f t="shared" si="31"/>
        <v>1995900277.9109209</v>
      </c>
      <c r="T105" s="16">
        <f>IFERROR(INDEX(Cost_Components!$R$2:$R$6,MATCH(E105,Cost_Components!$A$2:$A$6,0)),"")</f>
        <v>1</v>
      </c>
      <c r="U105" s="26">
        <f>IFERROR(INDEX(Cost_Components!$Q$2:$Q$6,MATCH(E105,Cost_Components!$A$2:$A$6,0)),"")</f>
        <v>2023</v>
      </c>
      <c r="V105" s="30">
        <f>1/(1+Calculation_Assumptions!$B$5)^(B105-Calculation_Assumptions!$B$2)</f>
        <v>0.47760556926165965</v>
      </c>
      <c r="W105" s="23">
        <f t="shared" si="32"/>
        <v>517362666.93604511</v>
      </c>
      <c r="X105" s="23">
        <f t="shared" si="33"/>
        <v>1470615755.3571951</v>
      </c>
      <c r="Y105" s="23">
        <f t="shared" si="34"/>
        <v>953253088.42115009</v>
      </c>
      <c r="Z105" s="17">
        <f>IFERROR(INDEX(Cost_Components!$T$2:$T$6,MATCH(E105,Cost_Components!$A$2:$A$6,0)),"")</f>
        <v>0.41649999999999998</v>
      </c>
      <c r="AA105" s="26">
        <f>IFERROR(INDEX(Cost_Components!$U$2:$U$6,MATCH(E105,Cost_Components!$A$2:$A$6,0)),"")</f>
        <v>2025</v>
      </c>
      <c r="AB105" s="26">
        <f>IFERROR(INDEX(Cost_Components!$V$2:$V$6,MATCH(E105,Cost_Components!$A$2:$A$6,0)),"")</f>
        <v>2040</v>
      </c>
      <c r="AC105" s="26">
        <f>IFERROR(INDEX(Cost_Components!$M$2:$M$6,MATCH(E105,Cost_Components!$A$2:$A$6,0)),"")</f>
        <v>30</v>
      </c>
      <c r="AD105" s="26">
        <f>IFERROR(INDEX(Cost_Components!$N$2:$N$6,MATCH(E105,Cost_Components!$A$2:$A$6,0)),"")</f>
        <v>95</v>
      </c>
      <c r="AE105" s="16" t="str">
        <f>IFERROR(INDEX(Cost_Components!$O$2:$O$6,MATCH(E105,Cost_Components!$A$2:$A$6,0)),"")</f>
        <v>Both</v>
      </c>
      <c r="AF105" s="11">
        <v>16372427.560195001</v>
      </c>
      <c r="AG105" s="11">
        <v>16218581.7861336</v>
      </c>
      <c r="AH105" s="23">
        <f t="shared" si="35"/>
        <v>1</v>
      </c>
    </row>
    <row r="106" spans="1:34">
      <c r="A106" t="s">
        <v>115</v>
      </c>
      <c r="B106" s="20">
        <v>2025</v>
      </c>
      <c r="C106" t="s">
        <v>229</v>
      </c>
      <c r="D106" t="s">
        <v>233</v>
      </c>
      <c r="E106" s="22" t="s">
        <v>270</v>
      </c>
      <c r="F106" s="22" t="s">
        <v>271</v>
      </c>
      <c r="G106" s="22" t="s">
        <v>230</v>
      </c>
      <c r="H106" s="22" t="s">
        <v>237</v>
      </c>
      <c r="I106" s="22" t="s">
        <v>274</v>
      </c>
      <c r="J106" s="17">
        <f>IFERROR(INDEX(Cost_Components!$K$2:$K$6,MATCH(E106,Cost_Components!$A$2:$A$6,0)),"")</f>
        <v>0.2</v>
      </c>
      <c r="K106" s="31">
        <v>0.147914612579645</v>
      </c>
      <c r="L106" s="17">
        <f>IFERROR(INDEX(Cost_Components!$S$2:$S$6,MATCH(E106,Cost_Components!$A$2:$A$6,0)),"")</f>
        <v>0.147914612579645</v>
      </c>
      <c r="M106" s="28">
        <f>IFERROR(INDEX(Cost_Components!$L$2:$L$6,MATCH(E106,Cost_Components!$A$2:$A$6,0)),"")</f>
        <v>1</v>
      </c>
      <c r="N106" s="29">
        <f>IFERROR(INDEX(Cost_Components!$P$2:$P$6,MATCH(E106,Cost_Components!$A$2:$A$6,0)),"")</f>
        <v>1154.0355216616899</v>
      </c>
      <c r="O106" s="23">
        <f t="shared" si="27"/>
        <v>3009373.70474916</v>
      </c>
      <c r="P106" s="23">
        <f t="shared" si="28"/>
        <v>3009373.70474916</v>
      </c>
      <c r="Q106" s="23">
        <f t="shared" si="29"/>
        <v>513696230.64427173</v>
      </c>
      <c r="R106" s="23">
        <f t="shared" si="30"/>
        <v>513696230.64427173</v>
      </c>
      <c r="S106" s="23">
        <f t="shared" si="31"/>
        <v>0</v>
      </c>
      <c r="T106" s="16">
        <f>IFERROR(INDEX(Cost_Components!$R$2:$R$6,MATCH(E106,Cost_Components!$A$2:$A$6,0)),"")</f>
        <v>1</v>
      </c>
      <c r="U106" s="26">
        <f>IFERROR(INDEX(Cost_Components!$Q$2:$Q$6,MATCH(E106,Cost_Components!$A$2:$A$6,0)),"")</f>
        <v>2023</v>
      </c>
      <c r="V106" s="30">
        <f>1/(1+Calculation_Assumptions!$B$5)^(B106-Calculation_Assumptions!$B$2)</f>
        <v>1</v>
      </c>
      <c r="W106" s="23">
        <f t="shared" si="32"/>
        <v>513696230.64427173</v>
      </c>
      <c r="X106" s="23">
        <f t="shared" si="33"/>
        <v>513696230.64427173</v>
      </c>
      <c r="Y106" s="23">
        <f t="shared" si="34"/>
        <v>0</v>
      </c>
      <c r="Z106" s="17">
        <f>IFERROR(INDEX(Cost_Components!$T$2:$T$6,MATCH(E106,Cost_Components!$A$2:$A$6,0)),"")</f>
        <v>0.41649999999999998</v>
      </c>
      <c r="AA106" s="26">
        <f>IFERROR(INDEX(Cost_Components!$U$2:$U$6,MATCH(E106,Cost_Components!$A$2:$A$6,0)),"")</f>
        <v>2025</v>
      </c>
      <c r="AB106" s="26">
        <f>IFERROR(INDEX(Cost_Components!$V$2:$V$6,MATCH(E106,Cost_Components!$A$2:$A$6,0)),"")</f>
        <v>2040</v>
      </c>
      <c r="AC106" s="26">
        <f>IFERROR(INDEX(Cost_Components!$M$2:$M$6,MATCH(E106,Cost_Components!$A$2:$A$6,0)),"")</f>
        <v>30</v>
      </c>
      <c r="AD106" s="26">
        <f>IFERROR(INDEX(Cost_Components!$N$2:$N$6,MATCH(E106,Cost_Components!$A$2:$A$6,0)),"")</f>
        <v>95</v>
      </c>
      <c r="AE106" s="16" t="str">
        <f>IFERROR(INDEX(Cost_Components!$O$2:$O$6,MATCH(E106,Cost_Components!$A$2:$A$6,0)),"")</f>
        <v>Both</v>
      </c>
      <c r="AF106" s="11">
        <v>15046868.523745799</v>
      </c>
      <c r="AG106" s="11">
        <v>15046868.523745799</v>
      </c>
      <c r="AH106" s="23">
        <f t="shared" si="35"/>
        <v>1</v>
      </c>
    </row>
    <row r="107" spans="1:34">
      <c r="A107" t="s">
        <v>115</v>
      </c>
      <c r="B107" s="20">
        <v>2026</v>
      </c>
      <c r="C107" t="s">
        <v>229</v>
      </c>
      <c r="D107" t="s">
        <v>233</v>
      </c>
      <c r="E107" s="22" t="s">
        <v>270</v>
      </c>
      <c r="F107" s="22" t="s">
        <v>271</v>
      </c>
      <c r="G107" s="22" t="s">
        <v>230</v>
      </c>
      <c r="H107" s="22" t="s">
        <v>237</v>
      </c>
      <c r="I107" s="22" t="s">
        <v>274</v>
      </c>
      <c r="J107" s="17">
        <f>IFERROR(INDEX(Cost_Components!$K$2:$K$6,MATCH(E107,Cost_Components!$A$2:$A$6,0)),"")</f>
        <v>0.2</v>
      </c>
      <c r="K107" s="31">
        <v>0.14853345980212701</v>
      </c>
      <c r="L107" s="17">
        <f>IFERROR(INDEX(Cost_Components!$S$2:$S$6,MATCH(E107,Cost_Components!$A$2:$A$6,0)),"")</f>
        <v>0.147914612579645</v>
      </c>
      <c r="M107" s="28">
        <f>IFERROR(INDEX(Cost_Components!$L$2:$L$6,MATCH(E107,Cost_Components!$A$2:$A$6,0)),"")</f>
        <v>1</v>
      </c>
      <c r="N107" s="29">
        <f>IFERROR(INDEX(Cost_Components!$P$2:$P$6,MATCH(E107,Cost_Components!$A$2:$A$6,0)),"")</f>
        <v>1154.0355216616899</v>
      </c>
      <c r="O107" s="23">
        <f t="shared" si="27"/>
        <v>3021195.1954760002</v>
      </c>
      <c r="P107" s="23">
        <f t="shared" si="28"/>
        <v>3021189.1718095201</v>
      </c>
      <c r="Q107" s="23">
        <f t="shared" si="29"/>
        <v>515713115.71329129</v>
      </c>
      <c r="R107" s="23">
        <f t="shared" si="30"/>
        <v>517871795.98541158</v>
      </c>
      <c r="S107" s="23">
        <f t="shared" si="31"/>
        <v>2158680.272120297</v>
      </c>
      <c r="T107" s="16">
        <f>IFERROR(INDEX(Cost_Components!$R$2:$R$6,MATCH(E107,Cost_Components!$A$2:$A$6,0)),"")</f>
        <v>1</v>
      </c>
      <c r="U107" s="26">
        <f>IFERROR(INDEX(Cost_Components!$Q$2:$Q$6,MATCH(E107,Cost_Components!$A$2:$A$6,0)),"")</f>
        <v>2023</v>
      </c>
      <c r="V107" s="30">
        <f>1/(1+Calculation_Assumptions!$B$5)^(B107-Calculation_Assumptions!$B$2)</f>
        <v>0.970873786407767</v>
      </c>
      <c r="W107" s="23">
        <f t="shared" si="32"/>
        <v>500692345.35271001</v>
      </c>
      <c r="X107" s="23">
        <f t="shared" si="33"/>
        <v>502788151.4421472</v>
      </c>
      <c r="Y107" s="23">
        <f t="shared" si="34"/>
        <v>2095806.0894371816</v>
      </c>
      <c r="Z107" s="17">
        <f>IFERROR(INDEX(Cost_Components!$T$2:$T$6,MATCH(E107,Cost_Components!$A$2:$A$6,0)),"")</f>
        <v>0.41649999999999998</v>
      </c>
      <c r="AA107" s="26">
        <f>IFERROR(INDEX(Cost_Components!$U$2:$U$6,MATCH(E107,Cost_Components!$A$2:$A$6,0)),"")</f>
        <v>2025</v>
      </c>
      <c r="AB107" s="26">
        <f>IFERROR(INDEX(Cost_Components!$V$2:$V$6,MATCH(E107,Cost_Components!$A$2:$A$6,0)),"")</f>
        <v>2040</v>
      </c>
      <c r="AC107" s="26">
        <f>IFERROR(INDEX(Cost_Components!$M$2:$M$6,MATCH(E107,Cost_Components!$A$2:$A$6,0)),"")</f>
        <v>30</v>
      </c>
      <c r="AD107" s="26">
        <f>IFERROR(INDEX(Cost_Components!$N$2:$N$6,MATCH(E107,Cost_Components!$A$2:$A$6,0)),"")</f>
        <v>95</v>
      </c>
      <c r="AE107" s="16" t="str">
        <f>IFERROR(INDEX(Cost_Components!$O$2:$O$6,MATCH(E107,Cost_Components!$A$2:$A$6,0)),"")</f>
        <v>Both</v>
      </c>
      <c r="AF107" s="11">
        <v>15105975.97738</v>
      </c>
      <c r="AG107" s="11">
        <v>15105945.859047599</v>
      </c>
      <c r="AH107" s="23">
        <f t="shared" si="35"/>
        <v>1</v>
      </c>
    </row>
    <row r="108" spans="1:34">
      <c r="A108" t="s">
        <v>115</v>
      </c>
      <c r="B108" s="20">
        <v>2027</v>
      </c>
      <c r="C108" t="s">
        <v>229</v>
      </c>
      <c r="D108" t="s">
        <v>233</v>
      </c>
      <c r="E108" s="22" t="s">
        <v>270</v>
      </c>
      <c r="F108" s="22" t="s">
        <v>271</v>
      </c>
      <c r="G108" s="22" t="s">
        <v>230</v>
      </c>
      <c r="H108" s="22" t="s">
        <v>237</v>
      </c>
      <c r="I108" s="22" t="s">
        <v>274</v>
      </c>
      <c r="J108" s="17">
        <f>IFERROR(INDEX(Cost_Components!$K$2:$K$6,MATCH(E108,Cost_Components!$A$2:$A$6,0)),"")</f>
        <v>0.2</v>
      </c>
      <c r="K108" s="31">
        <v>0.14915230702460899</v>
      </c>
      <c r="L108" s="17">
        <f>IFERROR(INDEX(Cost_Components!$S$2:$S$6,MATCH(E108,Cost_Components!$A$2:$A$6,0)),"")</f>
        <v>0.147914612579645</v>
      </c>
      <c r="M108" s="28">
        <f>IFERROR(INDEX(Cost_Components!$L$2:$L$6,MATCH(E108,Cost_Components!$A$2:$A$6,0)),"")</f>
        <v>1</v>
      </c>
      <c r="N108" s="29">
        <f>IFERROR(INDEX(Cost_Components!$P$2:$P$6,MATCH(E108,Cost_Components!$A$2:$A$6,0)),"")</f>
        <v>1154.0355216616899</v>
      </c>
      <c r="O108" s="23">
        <f t="shared" si="27"/>
        <v>3033910.3297438403</v>
      </c>
      <c r="P108" s="23">
        <f t="shared" si="28"/>
        <v>3033892.8296007602</v>
      </c>
      <c r="Q108" s="23">
        <f t="shared" si="29"/>
        <v>517881613.80060297</v>
      </c>
      <c r="R108" s="23">
        <f t="shared" si="30"/>
        <v>522218066.71006793</v>
      </c>
      <c r="S108" s="23">
        <f t="shared" si="31"/>
        <v>4336452.9094649553</v>
      </c>
      <c r="T108" s="16">
        <f>IFERROR(INDEX(Cost_Components!$R$2:$R$6,MATCH(E108,Cost_Components!$A$2:$A$6,0)),"")</f>
        <v>1</v>
      </c>
      <c r="U108" s="26">
        <f>IFERROR(INDEX(Cost_Components!$Q$2:$Q$6,MATCH(E108,Cost_Components!$A$2:$A$6,0)),"")</f>
        <v>2023</v>
      </c>
      <c r="V108" s="30">
        <f>1/(1+Calculation_Assumptions!$B$5)^(B108-Calculation_Assumptions!$B$2)</f>
        <v>0.94259590913375435</v>
      </c>
      <c r="W108" s="23">
        <f t="shared" si="32"/>
        <v>488153090.58403522</v>
      </c>
      <c r="X108" s="23">
        <f t="shared" si="33"/>
        <v>492240613.35664803</v>
      </c>
      <c r="Y108" s="23">
        <f t="shared" si="34"/>
        <v>4087522.7726128339</v>
      </c>
      <c r="Z108" s="17">
        <f>IFERROR(INDEX(Cost_Components!$T$2:$T$6,MATCH(E108,Cost_Components!$A$2:$A$6,0)),"")</f>
        <v>0.41649999999999998</v>
      </c>
      <c r="AA108" s="26">
        <f>IFERROR(INDEX(Cost_Components!$U$2:$U$6,MATCH(E108,Cost_Components!$A$2:$A$6,0)),"")</f>
        <v>2025</v>
      </c>
      <c r="AB108" s="26">
        <f>IFERROR(INDEX(Cost_Components!$V$2:$V$6,MATCH(E108,Cost_Components!$A$2:$A$6,0)),"")</f>
        <v>2040</v>
      </c>
      <c r="AC108" s="26">
        <f>IFERROR(INDEX(Cost_Components!$M$2:$M$6,MATCH(E108,Cost_Components!$A$2:$A$6,0)),"")</f>
        <v>30</v>
      </c>
      <c r="AD108" s="26">
        <f>IFERROR(INDEX(Cost_Components!$N$2:$N$6,MATCH(E108,Cost_Components!$A$2:$A$6,0)),"")</f>
        <v>95</v>
      </c>
      <c r="AE108" s="16" t="str">
        <f>IFERROR(INDEX(Cost_Components!$O$2:$O$6,MATCH(E108,Cost_Components!$A$2:$A$6,0)),"")</f>
        <v>Both</v>
      </c>
      <c r="AF108" s="11">
        <v>15169551.648719201</v>
      </c>
      <c r="AG108" s="11">
        <v>15169464.1480038</v>
      </c>
      <c r="AH108" s="23">
        <f t="shared" si="35"/>
        <v>1</v>
      </c>
    </row>
    <row r="109" spans="1:34">
      <c r="A109" t="s">
        <v>115</v>
      </c>
      <c r="B109" s="20">
        <v>2028</v>
      </c>
      <c r="C109" t="s">
        <v>229</v>
      </c>
      <c r="D109" t="s">
        <v>233</v>
      </c>
      <c r="E109" s="22" t="s">
        <v>270</v>
      </c>
      <c r="F109" s="22" t="s">
        <v>271</v>
      </c>
      <c r="G109" s="22" t="s">
        <v>230</v>
      </c>
      <c r="H109" s="22" t="s">
        <v>237</v>
      </c>
      <c r="I109" s="22" t="s">
        <v>274</v>
      </c>
      <c r="J109" s="17">
        <f>IFERROR(INDEX(Cost_Components!$K$2:$K$6,MATCH(E109,Cost_Components!$A$2:$A$6,0)),"")</f>
        <v>0.2</v>
      </c>
      <c r="K109" s="31">
        <v>0.149771154247091</v>
      </c>
      <c r="L109" s="17">
        <f>IFERROR(INDEX(Cost_Components!$S$2:$S$6,MATCH(E109,Cost_Components!$A$2:$A$6,0)),"")</f>
        <v>0.147914612579645</v>
      </c>
      <c r="M109" s="28">
        <f>IFERROR(INDEX(Cost_Components!$L$2:$L$6,MATCH(E109,Cost_Components!$A$2:$A$6,0)),"")</f>
        <v>1</v>
      </c>
      <c r="N109" s="29">
        <f>IFERROR(INDEX(Cost_Components!$P$2:$P$6,MATCH(E109,Cost_Components!$A$2:$A$6,0)),"")</f>
        <v>1154.0355216616899</v>
      </c>
      <c r="O109" s="23">
        <f>AF109*J109</f>
        <v>3047022.5642128401</v>
      </c>
      <c r="P109" s="23">
        <f t="shared" si="28"/>
        <v>3046988.2994499402</v>
      </c>
      <c r="Q109" s="23">
        <f t="shared" si="29"/>
        <v>520116993.70354533</v>
      </c>
      <c r="R109" s="23">
        <f t="shared" si="30"/>
        <v>526651134.3003009</v>
      </c>
      <c r="S109" s="23">
        <f t="shared" si="31"/>
        <v>6534140.5967555642</v>
      </c>
      <c r="T109" s="16">
        <f>IFERROR(INDEX(Cost_Components!$R$2:$R$6,MATCH(E109,Cost_Components!$A$2:$A$6,0)),"")</f>
        <v>1</v>
      </c>
      <c r="U109" s="26">
        <f>IFERROR(INDEX(Cost_Components!$Q$2:$Q$6,MATCH(E109,Cost_Components!$A$2:$A$6,0)),"")</f>
        <v>2023</v>
      </c>
      <c r="V109" s="30">
        <f>1/(1+Calculation_Assumptions!$B$5)^(B109-Calculation_Assumptions!$B$2)</f>
        <v>0.91514165935315961</v>
      </c>
      <c r="W109" s="23">
        <f t="shared" si="32"/>
        <v>475980728.67563933</v>
      </c>
      <c r="X109" s="23">
        <f t="shared" si="33"/>
        <v>481960392.94380105</v>
      </c>
      <c r="Y109" s="23">
        <f t="shared" si="34"/>
        <v>5979664.2681617318</v>
      </c>
      <c r="Z109" s="17">
        <f>IFERROR(INDEX(Cost_Components!$T$2:$T$6,MATCH(E109,Cost_Components!$A$2:$A$6,0)),"")</f>
        <v>0.41649999999999998</v>
      </c>
      <c r="AA109" s="26">
        <f>IFERROR(INDEX(Cost_Components!$U$2:$U$6,MATCH(E109,Cost_Components!$A$2:$A$6,0)),"")</f>
        <v>2025</v>
      </c>
      <c r="AB109" s="26">
        <f>IFERROR(INDEX(Cost_Components!$V$2:$V$6,MATCH(E109,Cost_Components!$A$2:$A$6,0)),"")</f>
        <v>2040</v>
      </c>
      <c r="AC109" s="26">
        <f>IFERROR(INDEX(Cost_Components!$M$2:$M$6,MATCH(E109,Cost_Components!$A$2:$A$6,0)),"")</f>
        <v>30</v>
      </c>
      <c r="AD109" s="26">
        <f>IFERROR(INDEX(Cost_Components!$N$2:$N$6,MATCH(E109,Cost_Components!$A$2:$A$6,0)),"")</f>
        <v>95</v>
      </c>
      <c r="AE109" s="16" t="str">
        <f>IFERROR(INDEX(Cost_Components!$O$2:$O$6,MATCH(E109,Cost_Components!$A$2:$A$6,0)),"")</f>
        <v>Both</v>
      </c>
      <c r="AF109" s="11">
        <v>15235112.8210642</v>
      </c>
      <c r="AG109" s="11">
        <v>15234941.4972497</v>
      </c>
      <c r="AH109" s="23">
        <f t="shared" si="35"/>
        <v>1</v>
      </c>
    </row>
    <row r="110" spans="1:34">
      <c r="A110" t="s">
        <v>115</v>
      </c>
      <c r="B110" s="20">
        <v>2029</v>
      </c>
      <c r="C110" t="s">
        <v>229</v>
      </c>
      <c r="D110" t="s">
        <v>233</v>
      </c>
      <c r="E110" s="22" t="s">
        <v>270</v>
      </c>
      <c r="F110" s="22" t="s">
        <v>271</v>
      </c>
      <c r="G110" s="22" t="s">
        <v>230</v>
      </c>
      <c r="H110" s="22" t="s">
        <v>237</v>
      </c>
      <c r="I110" s="22" t="s">
        <v>274</v>
      </c>
      <c r="J110" s="17">
        <f>IFERROR(INDEX(Cost_Components!$K$2:$K$6,MATCH(E110,Cost_Components!$A$2:$A$6,0)),"")</f>
        <v>0.2</v>
      </c>
      <c r="K110" s="31">
        <v>0.15039000146957299</v>
      </c>
      <c r="L110" s="17">
        <f>IFERROR(INDEX(Cost_Components!$S$2:$S$6,MATCH(E110,Cost_Components!$A$2:$A$6,0)),"")</f>
        <v>0.147914612579645</v>
      </c>
      <c r="M110" s="28">
        <f>IFERROR(INDEX(Cost_Components!$L$2:$L$6,MATCH(E110,Cost_Components!$A$2:$A$6,0)),"")</f>
        <v>1</v>
      </c>
      <c r="N110" s="29">
        <f>IFERROR(INDEX(Cost_Components!$P$2:$P$6,MATCH(E110,Cost_Components!$A$2:$A$6,0)),"")</f>
        <v>1154.0355216616899</v>
      </c>
      <c r="O110" s="23">
        <f t="shared" si="27"/>
        <v>3059870.7711280202</v>
      </c>
      <c r="P110" s="23">
        <f t="shared" si="28"/>
        <v>3059814.3623854201</v>
      </c>
      <c r="Q110" s="23">
        <f t="shared" si="29"/>
        <v>522306386.191944</v>
      </c>
      <c r="R110" s="23">
        <f t="shared" si="30"/>
        <v>531057107.2547825</v>
      </c>
      <c r="S110" s="23">
        <f t="shared" si="31"/>
        <v>8750721.0628384948</v>
      </c>
      <c r="T110" s="16">
        <f>IFERROR(INDEX(Cost_Components!$R$2:$R$6,MATCH(E110,Cost_Components!$A$2:$A$6,0)),"")</f>
        <v>1</v>
      </c>
      <c r="U110" s="26">
        <f>IFERROR(INDEX(Cost_Components!$Q$2:$Q$6,MATCH(E110,Cost_Components!$A$2:$A$6,0)),"")</f>
        <v>2023</v>
      </c>
      <c r="V110" s="30">
        <f>1/(1+Calculation_Assumptions!$B$5)^(B110-Calculation_Assumptions!$B$2)</f>
        <v>0.888487047915689</v>
      </c>
      <c r="W110" s="23">
        <f t="shared" si="32"/>
        <v>464062459.17519212</v>
      </c>
      <c r="X110" s="23">
        <f t="shared" si="33"/>
        <v>471837361.49944711</v>
      </c>
      <c r="Y110" s="23">
        <f t="shared" si="34"/>
        <v>7774902.3242550148</v>
      </c>
      <c r="Z110" s="17">
        <f>IFERROR(INDEX(Cost_Components!$T$2:$T$6,MATCH(E110,Cost_Components!$A$2:$A$6,0)),"")</f>
        <v>0.41649999999999998</v>
      </c>
      <c r="AA110" s="26">
        <f>IFERROR(INDEX(Cost_Components!$U$2:$U$6,MATCH(E110,Cost_Components!$A$2:$A$6,0)),"")</f>
        <v>2025</v>
      </c>
      <c r="AB110" s="26">
        <f>IFERROR(INDEX(Cost_Components!$V$2:$V$6,MATCH(E110,Cost_Components!$A$2:$A$6,0)),"")</f>
        <v>2040</v>
      </c>
      <c r="AC110" s="26">
        <f>IFERROR(INDEX(Cost_Components!$M$2:$M$6,MATCH(E110,Cost_Components!$A$2:$A$6,0)),"")</f>
        <v>30</v>
      </c>
      <c r="AD110" s="26">
        <f>IFERROR(INDEX(Cost_Components!$N$2:$N$6,MATCH(E110,Cost_Components!$A$2:$A$6,0)),"")</f>
        <v>95</v>
      </c>
      <c r="AE110" s="16" t="str">
        <f>IFERROR(INDEX(Cost_Components!$O$2:$O$6,MATCH(E110,Cost_Components!$A$2:$A$6,0)),"")</f>
        <v>Both</v>
      </c>
      <c r="AF110" s="11">
        <v>15299353.8556401</v>
      </c>
      <c r="AG110" s="11">
        <v>15299071.811927101</v>
      </c>
      <c r="AH110" s="23">
        <f t="shared" si="35"/>
        <v>1</v>
      </c>
    </row>
    <row r="111" spans="1:34">
      <c r="A111" t="s">
        <v>115</v>
      </c>
      <c r="B111" s="20">
        <v>2030</v>
      </c>
      <c r="C111" t="s">
        <v>229</v>
      </c>
      <c r="D111" t="s">
        <v>233</v>
      </c>
      <c r="E111" s="22" t="s">
        <v>270</v>
      </c>
      <c r="F111" s="22" t="s">
        <v>271</v>
      </c>
      <c r="G111" s="22" t="s">
        <v>230</v>
      </c>
      <c r="H111" s="22" t="s">
        <v>237</v>
      </c>
      <c r="I111" s="22" t="s">
        <v>274</v>
      </c>
      <c r="J111" s="17">
        <f>IFERROR(INDEX(Cost_Components!$K$2:$K$6,MATCH(E111,Cost_Components!$A$2:$A$6,0)),"")</f>
        <v>0.2</v>
      </c>
      <c r="K111" s="31">
        <v>0.151008848692055</v>
      </c>
      <c r="L111" s="17">
        <f>IFERROR(INDEX(Cost_Components!$S$2:$S$6,MATCH(E111,Cost_Components!$A$2:$A$6,0)),"")</f>
        <v>0.147914612579645</v>
      </c>
      <c r="M111" s="28">
        <f>IFERROR(INDEX(Cost_Components!$L$2:$L$6,MATCH(E111,Cost_Components!$A$2:$A$6,0)),"")</f>
        <v>1</v>
      </c>
      <c r="N111" s="29">
        <f>IFERROR(INDEX(Cost_Components!$P$2:$P$6,MATCH(E111,Cost_Components!$A$2:$A$6,0)),"")</f>
        <v>1154.0355216616899</v>
      </c>
      <c r="O111" s="23">
        <f t="shared" si="27"/>
        <v>3072502.1835991405</v>
      </c>
      <c r="P111" s="23">
        <f t="shared" si="28"/>
        <v>3072418.0287043201</v>
      </c>
      <c r="Q111" s="23">
        <f t="shared" si="29"/>
        <v>524457815.8632074</v>
      </c>
      <c r="R111" s="23">
        <f t="shared" si="30"/>
        <v>535443651.18449622</v>
      </c>
      <c r="S111" s="23">
        <f t="shared" si="31"/>
        <v>10985835.321288824</v>
      </c>
      <c r="T111" s="16">
        <f>IFERROR(INDEX(Cost_Components!$R$2:$R$6,MATCH(E111,Cost_Components!$A$2:$A$6,0)),"")</f>
        <v>1</v>
      </c>
      <c r="U111" s="26">
        <f>IFERROR(INDEX(Cost_Components!$Q$2:$Q$6,MATCH(E111,Cost_Components!$A$2:$A$6,0)),"")</f>
        <v>2023</v>
      </c>
      <c r="V111" s="30">
        <f>1/(1+Calculation_Assumptions!$B$5)^(B111-Calculation_Assumptions!$B$2)</f>
        <v>0.86260878438416411</v>
      </c>
      <c r="W111" s="23">
        <f t="shared" si="32"/>
        <v>452401919.0025351</v>
      </c>
      <c r="X111" s="23">
        <f t="shared" si="33"/>
        <v>461878397.05447668</v>
      </c>
      <c r="Y111" s="23">
        <f t="shared" si="34"/>
        <v>9476478.0519415662</v>
      </c>
      <c r="Z111" s="17">
        <f>IFERROR(INDEX(Cost_Components!$T$2:$T$6,MATCH(E111,Cost_Components!$A$2:$A$6,0)),"")</f>
        <v>0.41649999999999998</v>
      </c>
      <c r="AA111" s="26">
        <f>IFERROR(INDEX(Cost_Components!$U$2:$U$6,MATCH(E111,Cost_Components!$A$2:$A$6,0)),"")</f>
        <v>2025</v>
      </c>
      <c r="AB111" s="26">
        <f>IFERROR(INDEX(Cost_Components!$V$2:$V$6,MATCH(E111,Cost_Components!$A$2:$A$6,0)),"")</f>
        <v>2040</v>
      </c>
      <c r="AC111" s="26">
        <f>IFERROR(INDEX(Cost_Components!$M$2:$M$6,MATCH(E111,Cost_Components!$A$2:$A$6,0)),"")</f>
        <v>30</v>
      </c>
      <c r="AD111" s="26">
        <f>IFERROR(INDEX(Cost_Components!$N$2:$N$6,MATCH(E111,Cost_Components!$A$2:$A$6,0)),"")</f>
        <v>95</v>
      </c>
      <c r="AE111" s="16" t="str">
        <f>IFERROR(INDEX(Cost_Components!$O$2:$O$6,MATCH(E111,Cost_Components!$A$2:$A$6,0)),"")</f>
        <v>Both</v>
      </c>
      <c r="AF111" s="11">
        <v>15362510.917995701</v>
      </c>
      <c r="AG111" s="11">
        <v>15362090.143521599</v>
      </c>
      <c r="AH111" s="23">
        <f t="shared" si="35"/>
        <v>1</v>
      </c>
    </row>
    <row r="112" spans="1:34">
      <c r="A112" t="s">
        <v>115</v>
      </c>
      <c r="B112" s="20">
        <v>2031</v>
      </c>
      <c r="C112" t="s">
        <v>229</v>
      </c>
      <c r="D112" t="s">
        <v>233</v>
      </c>
      <c r="E112" s="22" t="s">
        <v>270</v>
      </c>
      <c r="F112" s="22" t="s">
        <v>271</v>
      </c>
      <c r="G112" s="22" t="s">
        <v>230</v>
      </c>
      <c r="H112" s="22" t="s">
        <v>237</v>
      </c>
      <c r="I112" s="22" t="s">
        <v>274</v>
      </c>
      <c r="J112" s="17">
        <f>IFERROR(INDEX(Cost_Components!$K$2:$K$6,MATCH(E112,Cost_Components!$A$2:$A$6,0)),"")</f>
        <v>0.2</v>
      </c>
      <c r="K112" s="31">
        <v>0.177557963822849</v>
      </c>
      <c r="L112" s="17">
        <f>IFERROR(INDEX(Cost_Components!$S$2:$S$6,MATCH(E112,Cost_Components!$A$2:$A$6,0)),"")</f>
        <v>0.147914612579645</v>
      </c>
      <c r="M112" s="28">
        <f>IFERROR(INDEX(Cost_Components!$L$2:$L$6,MATCH(E112,Cost_Components!$A$2:$A$6,0)),"")</f>
        <v>1</v>
      </c>
      <c r="N112" s="29">
        <f>IFERROR(INDEX(Cost_Components!$P$2:$P$6,MATCH(E112,Cost_Components!$A$2:$A$6,0)),"")</f>
        <v>1154.0355216616899</v>
      </c>
      <c r="O112" s="23">
        <f t="shared" si="27"/>
        <v>3085327.12054234</v>
      </c>
      <c r="P112" s="23">
        <f t="shared" si="28"/>
        <v>3084955.6930178003</v>
      </c>
      <c r="Q112" s="23">
        <f t="shared" si="29"/>
        <v>526597979.07682019</v>
      </c>
      <c r="R112" s="23">
        <f t="shared" si="30"/>
        <v>632208818.67659879</v>
      </c>
      <c r="S112" s="23">
        <f t="shared" si="31"/>
        <v>105610839.59977859</v>
      </c>
      <c r="T112" s="16">
        <f>IFERROR(INDEX(Cost_Components!$R$2:$R$6,MATCH(E112,Cost_Components!$A$2:$A$6,0)),"")</f>
        <v>1</v>
      </c>
      <c r="U112" s="26">
        <f>IFERROR(INDEX(Cost_Components!$Q$2:$Q$6,MATCH(E112,Cost_Components!$A$2:$A$6,0)),"")</f>
        <v>2023</v>
      </c>
      <c r="V112" s="30">
        <f>1/(1+Calculation_Assumptions!$B$5)^(B112-Calculation_Assumptions!$B$2)</f>
        <v>0.83748425668365445</v>
      </c>
      <c r="W112" s="23">
        <f t="shared" si="32"/>
        <v>441017517.07826537</v>
      </c>
      <c r="X112" s="23">
        <f t="shared" si="33"/>
        <v>529464932.57822263</v>
      </c>
      <c r="Y112" s="23">
        <f t="shared" si="34"/>
        <v>88447415.499957234</v>
      </c>
      <c r="Z112" s="17">
        <f>IFERROR(INDEX(Cost_Components!$T$2:$T$6,MATCH(E112,Cost_Components!$A$2:$A$6,0)),"")</f>
        <v>0.41649999999999998</v>
      </c>
      <c r="AA112" s="26">
        <f>IFERROR(INDEX(Cost_Components!$U$2:$U$6,MATCH(E112,Cost_Components!$A$2:$A$6,0)),"")</f>
        <v>2025</v>
      </c>
      <c r="AB112" s="26">
        <f>IFERROR(INDEX(Cost_Components!$V$2:$V$6,MATCH(E112,Cost_Components!$A$2:$A$6,0)),"")</f>
        <v>2040</v>
      </c>
      <c r="AC112" s="26">
        <f>IFERROR(INDEX(Cost_Components!$M$2:$M$6,MATCH(E112,Cost_Components!$A$2:$A$6,0)),"")</f>
        <v>30</v>
      </c>
      <c r="AD112" s="26">
        <f>IFERROR(INDEX(Cost_Components!$N$2:$N$6,MATCH(E112,Cost_Components!$A$2:$A$6,0)),"")</f>
        <v>95</v>
      </c>
      <c r="AE112" s="16" t="str">
        <f>IFERROR(INDEX(Cost_Components!$O$2:$O$6,MATCH(E112,Cost_Components!$A$2:$A$6,0)),"")</f>
        <v>Both</v>
      </c>
      <c r="AF112" s="11">
        <v>15426635.6027117</v>
      </c>
      <c r="AG112" s="11">
        <v>15424778.465089001</v>
      </c>
      <c r="AH112" s="23">
        <f t="shared" si="35"/>
        <v>1</v>
      </c>
    </row>
    <row r="113" spans="1:34">
      <c r="A113" t="s">
        <v>115</v>
      </c>
      <c r="B113" s="20">
        <v>2032</v>
      </c>
      <c r="C113" t="s">
        <v>229</v>
      </c>
      <c r="D113" t="s">
        <v>233</v>
      </c>
      <c r="E113" s="22" t="s">
        <v>270</v>
      </c>
      <c r="F113" s="22" t="s">
        <v>271</v>
      </c>
      <c r="G113" s="22" t="s">
        <v>230</v>
      </c>
      <c r="H113" s="22" t="s">
        <v>237</v>
      </c>
      <c r="I113" s="22" t="s">
        <v>274</v>
      </c>
      <c r="J113" s="17">
        <f>IFERROR(INDEX(Cost_Components!$K$2:$K$6,MATCH(E113,Cost_Components!$A$2:$A$6,0)),"")</f>
        <v>0.2</v>
      </c>
      <c r="K113" s="31">
        <v>0.20410707895364399</v>
      </c>
      <c r="L113" s="17">
        <f>IFERROR(INDEX(Cost_Components!$S$2:$S$6,MATCH(E113,Cost_Components!$A$2:$A$6,0)),"")</f>
        <v>0.147914612579645</v>
      </c>
      <c r="M113" s="28">
        <f>IFERROR(INDEX(Cost_Components!$L$2:$L$6,MATCH(E113,Cost_Components!$A$2:$A$6,0)),"")</f>
        <v>1</v>
      </c>
      <c r="N113" s="29">
        <f>IFERROR(INDEX(Cost_Components!$P$2:$P$6,MATCH(E113,Cost_Components!$A$2:$A$6,0)),"")</f>
        <v>1154.0355216616899</v>
      </c>
      <c r="O113" s="23">
        <f t="shared" si="27"/>
        <v>3097977.8778074803</v>
      </c>
      <c r="P113" s="23">
        <f t="shared" si="28"/>
        <v>3097074.81171754</v>
      </c>
      <c r="Q113" s="23">
        <f t="shared" si="29"/>
        <v>528666697.091124</v>
      </c>
      <c r="R113" s="23">
        <f t="shared" si="30"/>
        <v>729718835.48809314</v>
      </c>
      <c r="S113" s="23">
        <f t="shared" si="31"/>
        <v>201052138.39696914</v>
      </c>
      <c r="T113" s="16">
        <f>IFERROR(INDEX(Cost_Components!$R$2:$R$6,MATCH(E113,Cost_Components!$A$2:$A$6,0)),"")</f>
        <v>1</v>
      </c>
      <c r="U113" s="26">
        <f>IFERROR(INDEX(Cost_Components!$Q$2:$Q$6,MATCH(E113,Cost_Components!$A$2:$A$6,0)),"")</f>
        <v>2023</v>
      </c>
      <c r="V113" s="30">
        <f>1/(1+Calculation_Assumptions!$B$5)^(B113-Calculation_Assumptions!$B$2)</f>
        <v>0.81309151134335378</v>
      </c>
      <c r="W113" s="23">
        <f t="shared" si="32"/>
        <v>429854403.734721</v>
      </c>
      <c r="X113" s="23">
        <f t="shared" si="33"/>
        <v>593328190.80272579</v>
      </c>
      <c r="Y113" s="23">
        <f t="shared" si="34"/>
        <v>163473787.06800476</v>
      </c>
      <c r="Z113" s="17">
        <f>IFERROR(INDEX(Cost_Components!$T$2:$T$6,MATCH(E113,Cost_Components!$A$2:$A$6,0)),"")</f>
        <v>0.41649999999999998</v>
      </c>
      <c r="AA113" s="26">
        <f>IFERROR(INDEX(Cost_Components!$U$2:$U$6,MATCH(E113,Cost_Components!$A$2:$A$6,0)),"")</f>
        <v>2025</v>
      </c>
      <c r="AB113" s="26">
        <f>IFERROR(INDEX(Cost_Components!$V$2:$V$6,MATCH(E113,Cost_Components!$A$2:$A$6,0)),"")</f>
        <v>2040</v>
      </c>
      <c r="AC113" s="26">
        <f>IFERROR(INDEX(Cost_Components!$M$2:$M$6,MATCH(E113,Cost_Components!$A$2:$A$6,0)),"")</f>
        <v>30</v>
      </c>
      <c r="AD113" s="26">
        <f>IFERROR(INDEX(Cost_Components!$N$2:$N$6,MATCH(E113,Cost_Components!$A$2:$A$6,0)),"")</f>
        <v>95</v>
      </c>
      <c r="AE113" s="16" t="str">
        <f>IFERROR(INDEX(Cost_Components!$O$2:$O$6,MATCH(E113,Cost_Components!$A$2:$A$6,0)),"")</f>
        <v>Both</v>
      </c>
      <c r="AF113" s="11">
        <v>15489889.3890374</v>
      </c>
      <c r="AG113" s="11">
        <v>15485374.0585877</v>
      </c>
      <c r="AH113" s="23">
        <f t="shared" si="35"/>
        <v>1</v>
      </c>
    </row>
    <row r="114" spans="1:34">
      <c r="A114" t="s">
        <v>115</v>
      </c>
      <c r="B114" s="20">
        <v>2033</v>
      </c>
      <c r="C114" t="s">
        <v>229</v>
      </c>
      <c r="D114" t="s">
        <v>233</v>
      </c>
      <c r="E114" s="22" t="s">
        <v>270</v>
      </c>
      <c r="F114" s="22" t="s">
        <v>271</v>
      </c>
      <c r="G114" s="22" t="s">
        <v>230</v>
      </c>
      <c r="H114" s="22" t="s">
        <v>237</v>
      </c>
      <c r="I114" s="22" t="s">
        <v>274</v>
      </c>
      <c r="J114" s="17">
        <f>IFERROR(INDEX(Cost_Components!$K$2:$K$6,MATCH(E114,Cost_Components!$A$2:$A$6,0)),"")</f>
        <v>0.2</v>
      </c>
      <c r="K114" s="31">
        <v>0.23065619408443799</v>
      </c>
      <c r="L114" s="17">
        <f>IFERROR(INDEX(Cost_Components!$S$2:$S$6,MATCH(E114,Cost_Components!$A$2:$A$6,0)),"")</f>
        <v>0.147914612579645</v>
      </c>
      <c r="M114" s="28">
        <f>IFERROR(INDEX(Cost_Components!$L$2:$L$6,MATCH(E114,Cost_Components!$A$2:$A$6,0)),"")</f>
        <v>1</v>
      </c>
      <c r="N114" s="29">
        <f>IFERROR(INDEX(Cost_Components!$P$2:$P$6,MATCH(E114,Cost_Components!$A$2:$A$6,0)),"")</f>
        <v>1154.0355216616899</v>
      </c>
      <c r="O114" s="23">
        <f t="shared" si="27"/>
        <v>3110007.04910638</v>
      </c>
      <c r="P114" s="23">
        <f t="shared" si="28"/>
        <v>3108338.3979976801</v>
      </c>
      <c r="Q114" s="23">
        <f t="shared" si="29"/>
        <v>530589376.81897354</v>
      </c>
      <c r="R114" s="23">
        <f t="shared" si="30"/>
        <v>827838598.70281625</v>
      </c>
      <c r="S114" s="23">
        <f t="shared" si="31"/>
        <v>297249221.88384271</v>
      </c>
      <c r="T114" s="16">
        <f>IFERROR(INDEX(Cost_Components!$R$2:$R$6,MATCH(E114,Cost_Components!$A$2:$A$6,0)),"")</f>
        <v>1</v>
      </c>
      <c r="U114" s="26">
        <f>IFERROR(INDEX(Cost_Components!$Q$2:$Q$6,MATCH(E114,Cost_Components!$A$2:$A$6,0)),"")</f>
        <v>2023</v>
      </c>
      <c r="V114" s="30">
        <f>1/(1+Calculation_Assumptions!$B$5)^(B114-Calculation_Assumptions!$B$2)</f>
        <v>0.78940923431393573</v>
      </c>
      <c r="W114" s="23">
        <f t="shared" si="32"/>
        <v>418852153.68977422</v>
      </c>
      <c r="X114" s="23">
        <f t="shared" si="33"/>
        <v>653503434.33751166</v>
      </c>
      <c r="Y114" s="23">
        <f t="shared" si="34"/>
        <v>234651280.64773744</v>
      </c>
      <c r="Z114" s="17">
        <f>IFERROR(INDEX(Cost_Components!$T$2:$T$6,MATCH(E114,Cost_Components!$A$2:$A$6,0)),"")</f>
        <v>0.41649999999999998</v>
      </c>
      <c r="AA114" s="26">
        <f>IFERROR(INDEX(Cost_Components!$U$2:$U$6,MATCH(E114,Cost_Components!$A$2:$A$6,0)),"")</f>
        <v>2025</v>
      </c>
      <c r="AB114" s="26">
        <f>IFERROR(INDEX(Cost_Components!$V$2:$V$6,MATCH(E114,Cost_Components!$A$2:$A$6,0)),"")</f>
        <v>2040</v>
      </c>
      <c r="AC114" s="26">
        <f>IFERROR(INDEX(Cost_Components!$M$2:$M$6,MATCH(E114,Cost_Components!$A$2:$A$6,0)),"")</f>
        <v>30</v>
      </c>
      <c r="AD114" s="26">
        <f>IFERROR(INDEX(Cost_Components!$N$2:$N$6,MATCH(E114,Cost_Components!$A$2:$A$6,0)),"")</f>
        <v>95</v>
      </c>
      <c r="AE114" s="16" t="str">
        <f>IFERROR(INDEX(Cost_Components!$O$2:$O$6,MATCH(E114,Cost_Components!$A$2:$A$6,0)),"")</f>
        <v>Both</v>
      </c>
      <c r="AF114" s="11">
        <v>15550035.2455319</v>
      </c>
      <c r="AG114" s="11">
        <v>15541691.9899884</v>
      </c>
      <c r="AH114" s="23">
        <f t="shared" si="35"/>
        <v>1</v>
      </c>
    </row>
    <row r="115" spans="1:34">
      <c r="A115" t="s">
        <v>115</v>
      </c>
      <c r="B115" s="20">
        <v>2034</v>
      </c>
      <c r="C115" t="s">
        <v>229</v>
      </c>
      <c r="D115" t="s">
        <v>233</v>
      </c>
      <c r="E115" s="22" t="s">
        <v>270</v>
      </c>
      <c r="F115" s="22" t="s">
        <v>271</v>
      </c>
      <c r="G115" s="22" t="s">
        <v>230</v>
      </c>
      <c r="H115" s="22" t="s">
        <v>237</v>
      </c>
      <c r="I115" s="22" t="s">
        <v>274</v>
      </c>
      <c r="J115" s="17">
        <f>IFERROR(INDEX(Cost_Components!$K$2:$K$6,MATCH(E115,Cost_Components!$A$2:$A$6,0)),"")</f>
        <v>0.2</v>
      </c>
      <c r="K115" s="31">
        <v>0.25720530921523299</v>
      </c>
      <c r="L115" s="17">
        <f>IFERROR(INDEX(Cost_Components!$S$2:$S$6,MATCH(E115,Cost_Components!$A$2:$A$6,0)),"")</f>
        <v>0.147914612579645</v>
      </c>
      <c r="M115" s="28">
        <f>IFERROR(INDEX(Cost_Components!$L$2:$L$6,MATCH(E115,Cost_Components!$A$2:$A$6,0)),"")</f>
        <v>1</v>
      </c>
      <c r="N115" s="29">
        <f>IFERROR(INDEX(Cost_Components!$P$2:$P$6,MATCH(E115,Cost_Components!$A$2:$A$6,0)),"")</f>
        <v>1154.0355216616899</v>
      </c>
      <c r="O115" s="23">
        <f t="shared" si="27"/>
        <v>3121242.46718706</v>
      </c>
      <c r="P115" s="23">
        <f t="shared" si="28"/>
        <v>3118581.3836421003</v>
      </c>
      <c r="Q115" s="23">
        <f t="shared" si="29"/>
        <v>532337841.32764465</v>
      </c>
      <c r="R115" s="23">
        <f t="shared" si="30"/>
        <v>926459871.32524467</v>
      </c>
      <c r="S115" s="23">
        <f t="shared" si="31"/>
        <v>394122029.99760002</v>
      </c>
      <c r="T115" s="16">
        <f>IFERROR(INDEX(Cost_Components!$R$2:$R$6,MATCH(E115,Cost_Components!$A$2:$A$6,0)),"")</f>
        <v>1</v>
      </c>
      <c r="U115" s="26">
        <f>IFERROR(INDEX(Cost_Components!$Q$2:$Q$6,MATCH(E115,Cost_Components!$A$2:$A$6,0)),"")</f>
        <v>2023</v>
      </c>
      <c r="V115" s="30">
        <f>1/(1+Calculation_Assumptions!$B$5)^(B115-Calculation_Assumptions!$B$2)</f>
        <v>0.76641673234362695</v>
      </c>
      <c r="W115" s="23">
        <f t="shared" si="32"/>
        <v>407992628.85319358</v>
      </c>
      <c r="X115" s="23">
        <f t="shared" si="33"/>
        <v>710054347.22859108</v>
      </c>
      <c r="Y115" s="23">
        <f t="shared" si="34"/>
        <v>302061718.3753975</v>
      </c>
      <c r="Z115" s="17">
        <f>IFERROR(INDEX(Cost_Components!$T$2:$T$6,MATCH(E115,Cost_Components!$A$2:$A$6,0)),"")</f>
        <v>0.41649999999999998</v>
      </c>
      <c r="AA115" s="26">
        <f>IFERROR(INDEX(Cost_Components!$U$2:$U$6,MATCH(E115,Cost_Components!$A$2:$A$6,0)),"")</f>
        <v>2025</v>
      </c>
      <c r="AB115" s="26">
        <f>IFERROR(INDEX(Cost_Components!$V$2:$V$6,MATCH(E115,Cost_Components!$A$2:$A$6,0)),"")</f>
        <v>2040</v>
      </c>
      <c r="AC115" s="26">
        <f>IFERROR(INDEX(Cost_Components!$M$2:$M$6,MATCH(E115,Cost_Components!$A$2:$A$6,0)),"")</f>
        <v>30</v>
      </c>
      <c r="AD115" s="26">
        <f>IFERROR(INDEX(Cost_Components!$N$2:$N$6,MATCH(E115,Cost_Components!$A$2:$A$6,0)),"")</f>
        <v>95</v>
      </c>
      <c r="AE115" s="16" t="str">
        <f>IFERROR(INDEX(Cost_Components!$O$2:$O$6,MATCH(E115,Cost_Components!$A$2:$A$6,0)),"")</f>
        <v>Both</v>
      </c>
      <c r="AF115" s="11">
        <v>15606212.3359353</v>
      </c>
      <c r="AG115" s="11">
        <v>15592906.918210501</v>
      </c>
      <c r="AH115" s="23">
        <f t="shared" si="35"/>
        <v>1</v>
      </c>
    </row>
    <row r="116" spans="1:34">
      <c r="A116" t="s">
        <v>115</v>
      </c>
      <c r="B116" s="20">
        <v>2035</v>
      </c>
      <c r="C116" t="s">
        <v>229</v>
      </c>
      <c r="D116" t="s">
        <v>233</v>
      </c>
      <c r="E116" s="22" t="s">
        <v>270</v>
      </c>
      <c r="F116" s="22" t="s">
        <v>271</v>
      </c>
      <c r="G116" s="22" t="s">
        <v>230</v>
      </c>
      <c r="H116" s="22" t="s">
        <v>237</v>
      </c>
      <c r="I116" s="22" t="s">
        <v>274</v>
      </c>
      <c r="J116" s="17">
        <f>IFERROR(INDEX(Cost_Components!$K$2:$K$6,MATCH(E116,Cost_Components!$A$2:$A$6,0)),"")</f>
        <v>0.2</v>
      </c>
      <c r="K116" s="31">
        <v>0.28375442434602699</v>
      </c>
      <c r="L116" s="17">
        <f>IFERROR(INDEX(Cost_Components!$S$2:$S$6,MATCH(E116,Cost_Components!$A$2:$A$6,0)),"")</f>
        <v>0.147914612579645</v>
      </c>
      <c r="M116" s="28">
        <f>IFERROR(INDEX(Cost_Components!$L$2:$L$6,MATCH(E116,Cost_Components!$A$2:$A$6,0)),"")</f>
        <v>1</v>
      </c>
      <c r="N116" s="29">
        <f>IFERROR(INDEX(Cost_Components!$P$2:$P$6,MATCH(E116,Cost_Components!$A$2:$A$6,0)),"")</f>
        <v>1154.0355216616899</v>
      </c>
      <c r="O116" s="23">
        <f t="shared" si="27"/>
        <v>3132091.8917594999</v>
      </c>
      <c r="P116" s="23">
        <f t="shared" si="28"/>
        <v>3128216.0731664002</v>
      </c>
      <c r="Q116" s="23">
        <f t="shared" si="29"/>
        <v>533982470.46900058</v>
      </c>
      <c r="R116" s="23">
        <f t="shared" si="30"/>
        <v>1025643220.9306114</v>
      </c>
      <c r="S116" s="23">
        <f t="shared" si="31"/>
        <v>491660750.46161079</v>
      </c>
      <c r="T116" s="16">
        <f>IFERROR(INDEX(Cost_Components!$R$2:$R$6,MATCH(E116,Cost_Components!$A$2:$A$6,0)),"")</f>
        <v>1</v>
      </c>
      <c r="U116" s="26">
        <f>IFERROR(INDEX(Cost_Components!$Q$2:$Q$6,MATCH(E116,Cost_Components!$A$2:$A$6,0)),"")</f>
        <v>2023</v>
      </c>
      <c r="V116" s="30">
        <f>1/(1+Calculation_Assumptions!$B$5)^(B116-Calculation_Assumptions!$B$2)</f>
        <v>0.74409391489672516</v>
      </c>
      <c r="W116" s="23">
        <f t="shared" si="32"/>
        <v>397333106.93750358</v>
      </c>
      <c r="X116" s="23">
        <f t="shared" si="33"/>
        <v>763174879.54954541</v>
      </c>
      <c r="Y116" s="23">
        <f t="shared" si="34"/>
        <v>365841772.61204183</v>
      </c>
      <c r="Z116" s="17">
        <f>IFERROR(INDEX(Cost_Components!$T$2:$T$6,MATCH(E116,Cost_Components!$A$2:$A$6,0)),"")</f>
        <v>0.41649999999999998</v>
      </c>
      <c r="AA116" s="26">
        <f>IFERROR(INDEX(Cost_Components!$U$2:$U$6,MATCH(E116,Cost_Components!$A$2:$A$6,0)),"")</f>
        <v>2025</v>
      </c>
      <c r="AB116" s="26">
        <f>IFERROR(INDEX(Cost_Components!$V$2:$V$6,MATCH(E116,Cost_Components!$A$2:$A$6,0)),"")</f>
        <v>2040</v>
      </c>
      <c r="AC116" s="26">
        <f>IFERROR(INDEX(Cost_Components!$M$2:$M$6,MATCH(E116,Cost_Components!$A$2:$A$6,0)),"")</f>
        <v>30</v>
      </c>
      <c r="AD116" s="26">
        <f>IFERROR(INDEX(Cost_Components!$N$2:$N$6,MATCH(E116,Cost_Components!$A$2:$A$6,0)),"")</f>
        <v>95</v>
      </c>
      <c r="AE116" s="16" t="str">
        <f>IFERROR(INDEX(Cost_Components!$O$2:$O$6,MATCH(E116,Cost_Components!$A$2:$A$6,0)),"")</f>
        <v>Both</v>
      </c>
      <c r="AF116" s="11">
        <v>15660459.4587975</v>
      </c>
      <c r="AG116" s="11">
        <v>15641080.365831999</v>
      </c>
      <c r="AH116" s="23">
        <f t="shared" si="35"/>
        <v>1</v>
      </c>
    </row>
    <row r="117" spans="1:34">
      <c r="A117" t="s">
        <v>115</v>
      </c>
      <c r="B117" s="20">
        <v>2036</v>
      </c>
      <c r="C117" t="s">
        <v>229</v>
      </c>
      <c r="D117" t="s">
        <v>233</v>
      </c>
      <c r="E117" s="22" t="s">
        <v>270</v>
      </c>
      <c r="F117" s="22" t="s">
        <v>271</v>
      </c>
      <c r="G117" s="22" t="s">
        <v>230</v>
      </c>
      <c r="H117" s="22" t="s">
        <v>237</v>
      </c>
      <c r="I117" s="22" t="s">
        <v>274</v>
      </c>
      <c r="J117" s="17">
        <f>IFERROR(INDEX(Cost_Components!$K$2:$K$6,MATCH(E117,Cost_Components!$A$2:$A$6,0)),"")</f>
        <v>0.2</v>
      </c>
      <c r="K117" s="31">
        <v>0.31030353947682199</v>
      </c>
      <c r="L117" s="17">
        <f>IFERROR(INDEX(Cost_Components!$S$2:$S$6,MATCH(E117,Cost_Components!$A$2:$A$6,0)),"")</f>
        <v>0.147914612579645</v>
      </c>
      <c r="M117" s="28">
        <f>IFERROR(INDEX(Cost_Components!$L$2:$L$6,MATCH(E117,Cost_Components!$A$2:$A$6,0)),"")</f>
        <v>1</v>
      </c>
      <c r="N117" s="29">
        <f>IFERROR(INDEX(Cost_Components!$P$2:$P$6,MATCH(E117,Cost_Components!$A$2:$A$6,0)),"")</f>
        <v>1154.0355216616899</v>
      </c>
      <c r="O117" s="23">
        <f t="shared" si="27"/>
        <v>3143386.1403993</v>
      </c>
      <c r="P117" s="23">
        <f t="shared" si="28"/>
        <v>3138075.9564842805</v>
      </c>
      <c r="Q117" s="23">
        <f t="shared" si="29"/>
        <v>535665539.90201724</v>
      </c>
      <c r="R117" s="23">
        <f t="shared" si="30"/>
        <v>1125650685.45117</v>
      </c>
      <c r="S117" s="23">
        <f t="shared" si="31"/>
        <v>589985145.54915273</v>
      </c>
      <c r="T117" s="16">
        <f>IFERROR(INDEX(Cost_Components!$R$2:$R$6,MATCH(E117,Cost_Components!$A$2:$A$6,0)),"")</f>
        <v>1</v>
      </c>
      <c r="U117" s="26">
        <f>IFERROR(INDEX(Cost_Components!$Q$2:$Q$6,MATCH(E117,Cost_Components!$A$2:$A$6,0)),"")</f>
        <v>2023</v>
      </c>
      <c r="V117" s="30">
        <f>1/(1+Calculation_Assumptions!$B$5)^(B117-Calculation_Assumptions!$B$2)</f>
        <v>0.72242127659876232</v>
      </c>
      <c r="W117" s="23">
        <f t="shared" si="32"/>
        <v>386976183.16598052</v>
      </c>
      <c r="X117" s="23">
        <f t="shared" si="33"/>
        <v>813194005.18790603</v>
      </c>
      <c r="Y117" s="23">
        <f t="shared" si="34"/>
        <v>426217822.02192551</v>
      </c>
      <c r="Z117" s="17">
        <f>IFERROR(INDEX(Cost_Components!$T$2:$T$6,MATCH(E117,Cost_Components!$A$2:$A$6,0)),"")</f>
        <v>0.41649999999999998</v>
      </c>
      <c r="AA117" s="26">
        <f>IFERROR(INDEX(Cost_Components!$U$2:$U$6,MATCH(E117,Cost_Components!$A$2:$A$6,0)),"")</f>
        <v>2025</v>
      </c>
      <c r="AB117" s="26">
        <f>IFERROR(INDEX(Cost_Components!$V$2:$V$6,MATCH(E117,Cost_Components!$A$2:$A$6,0)),"")</f>
        <v>2040</v>
      </c>
      <c r="AC117" s="26">
        <f>IFERROR(INDEX(Cost_Components!$M$2:$M$6,MATCH(E117,Cost_Components!$A$2:$A$6,0)),"")</f>
        <v>30</v>
      </c>
      <c r="AD117" s="26">
        <f>IFERROR(INDEX(Cost_Components!$N$2:$N$6,MATCH(E117,Cost_Components!$A$2:$A$6,0)),"")</f>
        <v>95</v>
      </c>
      <c r="AE117" s="16" t="str">
        <f>IFERROR(INDEX(Cost_Components!$O$2:$O$6,MATCH(E117,Cost_Components!$A$2:$A$6,0)),"")</f>
        <v>Both</v>
      </c>
      <c r="AF117" s="11">
        <v>15716930.7019965</v>
      </c>
      <c r="AG117" s="11">
        <v>15690379.782421401</v>
      </c>
      <c r="AH117" s="23">
        <f t="shared" si="35"/>
        <v>1</v>
      </c>
    </row>
    <row r="118" spans="1:34">
      <c r="A118" t="s">
        <v>115</v>
      </c>
      <c r="B118" s="20">
        <v>2037</v>
      </c>
      <c r="C118" t="s">
        <v>229</v>
      </c>
      <c r="D118" t="s">
        <v>233</v>
      </c>
      <c r="E118" s="22" t="s">
        <v>270</v>
      </c>
      <c r="F118" s="22" t="s">
        <v>271</v>
      </c>
      <c r="G118" s="22" t="s">
        <v>230</v>
      </c>
      <c r="H118" s="22" t="s">
        <v>237</v>
      </c>
      <c r="I118" s="22" t="s">
        <v>274</v>
      </c>
      <c r="J118" s="17">
        <f>IFERROR(INDEX(Cost_Components!$K$2:$K$6,MATCH(E118,Cost_Components!$A$2:$A$6,0)),"")</f>
        <v>0.2</v>
      </c>
      <c r="K118" s="31">
        <v>0.33685265460761599</v>
      </c>
      <c r="L118" s="17">
        <f>IFERROR(INDEX(Cost_Components!$S$2:$S$6,MATCH(E118,Cost_Components!$A$2:$A$6,0)),"")</f>
        <v>0.147914612579645</v>
      </c>
      <c r="M118" s="28">
        <f>IFERROR(INDEX(Cost_Components!$L$2:$L$6,MATCH(E118,Cost_Components!$A$2:$A$6,0)),"")</f>
        <v>1</v>
      </c>
      <c r="N118" s="29">
        <f>IFERROR(INDEX(Cost_Components!$P$2:$P$6,MATCH(E118,Cost_Components!$A$2:$A$6,0)),"")</f>
        <v>1154.0355216616899</v>
      </c>
      <c r="O118" s="23">
        <f t="shared" si="27"/>
        <v>3154951.3773791399</v>
      </c>
      <c r="P118" s="23">
        <f t="shared" si="28"/>
        <v>3147989.7481006403</v>
      </c>
      <c r="Q118" s="23">
        <f t="shared" si="29"/>
        <v>537357811.4124248</v>
      </c>
      <c r="R118" s="23">
        <f t="shared" si="30"/>
        <v>1226455574.3878953</v>
      </c>
      <c r="S118" s="23">
        <f t="shared" si="31"/>
        <v>689097762.97547054</v>
      </c>
      <c r="T118" s="16">
        <f>IFERROR(INDEX(Cost_Components!$R$2:$R$6,MATCH(E118,Cost_Components!$A$2:$A$6,0)),"")</f>
        <v>1</v>
      </c>
      <c r="U118" s="26">
        <f>IFERROR(INDEX(Cost_Components!$Q$2:$Q$6,MATCH(E118,Cost_Components!$A$2:$A$6,0)),"")</f>
        <v>2023</v>
      </c>
      <c r="V118" s="30">
        <f>1/(1+Calculation_Assumptions!$B$5)^(B118-Calculation_Assumptions!$B$2)</f>
        <v>0.70137988019297326</v>
      </c>
      <c r="W118" s="23">
        <f t="shared" si="32"/>
        <v>376891957.3892048</v>
      </c>
      <c r="X118" s="23">
        <f t="shared" si="33"/>
        <v>860211263.8261863</v>
      </c>
      <c r="Y118" s="23">
        <f t="shared" si="34"/>
        <v>483319306.43698144</v>
      </c>
      <c r="Z118" s="17">
        <f>IFERROR(INDEX(Cost_Components!$T$2:$T$6,MATCH(E118,Cost_Components!$A$2:$A$6,0)),"")</f>
        <v>0.41649999999999998</v>
      </c>
      <c r="AA118" s="26">
        <f>IFERROR(INDEX(Cost_Components!$U$2:$U$6,MATCH(E118,Cost_Components!$A$2:$A$6,0)),"")</f>
        <v>2025</v>
      </c>
      <c r="AB118" s="26">
        <f>IFERROR(INDEX(Cost_Components!$V$2:$V$6,MATCH(E118,Cost_Components!$A$2:$A$6,0)),"")</f>
        <v>2040</v>
      </c>
      <c r="AC118" s="26">
        <f>IFERROR(INDEX(Cost_Components!$M$2:$M$6,MATCH(E118,Cost_Components!$A$2:$A$6,0)),"")</f>
        <v>30</v>
      </c>
      <c r="AD118" s="26">
        <f>IFERROR(INDEX(Cost_Components!$N$2:$N$6,MATCH(E118,Cost_Components!$A$2:$A$6,0)),"")</f>
        <v>95</v>
      </c>
      <c r="AE118" s="16" t="str">
        <f>IFERROR(INDEX(Cost_Components!$O$2:$O$6,MATCH(E118,Cost_Components!$A$2:$A$6,0)),"")</f>
        <v>Both</v>
      </c>
      <c r="AF118" s="11">
        <v>15774756.886895699</v>
      </c>
      <c r="AG118" s="11">
        <v>15739948.740503199</v>
      </c>
      <c r="AH118" s="23">
        <f t="shared" si="35"/>
        <v>1</v>
      </c>
    </row>
    <row r="119" spans="1:34">
      <c r="A119" t="s">
        <v>115</v>
      </c>
      <c r="B119" s="20">
        <v>2038</v>
      </c>
      <c r="C119" t="s">
        <v>229</v>
      </c>
      <c r="D119" t="s">
        <v>233</v>
      </c>
      <c r="E119" s="22" t="s">
        <v>270</v>
      </c>
      <c r="F119" s="22" t="s">
        <v>271</v>
      </c>
      <c r="G119" s="22" t="s">
        <v>230</v>
      </c>
      <c r="H119" s="22" t="s">
        <v>237</v>
      </c>
      <c r="I119" s="22" t="s">
        <v>274</v>
      </c>
      <c r="J119" s="17">
        <f>IFERROR(INDEX(Cost_Components!$K$2:$K$6,MATCH(E119,Cost_Components!$A$2:$A$6,0)),"")</f>
        <v>0.2</v>
      </c>
      <c r="K119" s="31">
        <v>0.36340176973841098</v>
      </c>
      <c r="L119" s="17">
        <f>IFERROR(INDEX(Cost_Components!$S$2:$S$6,MATCH(E119,Cost_Components!$A$2:$A$6,0)),"")</f>
        <v>0.147914612579645</v>
      </c>
      <c r="M119" s="28">
        <f>IFERROR(INDEX(Cost_Components!$L$2:$L$6,MATCH(E119,Cost_Components!$A$2:$A$6,0)),"")</f>
        <v>1</v>
      </c>
      <c r="N119" s="29">
        <f>IFERROR(INDEX(Cost_Components!$P$2:$P$6,MATCH(E119,Cost_Components!$A$2:$A$6,0)),"")</f>
        <v>1154.0355216616899</v>
      </c>
      <c r="O119" s="23">
        <f t="shared" si="27"/>
        <v>3166565.0378647</v>
      </c>
      <c r="P119" s="23">
        <f t="shared" si="28"/>
        <v>3157737.5005713403</v>
      </c>
      <c r="Q119" s="23">
        <f t="shared" si="29"/>
        <v>539021740.25368166</v>
      </c>
      <c r="R119" s="23">
        <f t="shared" si="30"/>
        <v>1327989456.9509869</v>
      </c>
      <c r="S119" s="23">
        <f t="shared" si="31"/>
        <v>788967716.6973052</v>
      </c>
      <c r="T119" s="16">
        <f>IFERROR(INDEX(Cost_Components!$R$2:$R$6,MATCH(E119,Cost_Components!$A$2:$A$6,0)),"")</f>
        <v>1</v>
      </c>
      <c r="U119" s="26">
        <f>IFERROR(INDEX(Cost_Components!$Q$2:$Q$6,MATCH(E119,Cost_Components!$A$2:$A$6,0)),"")</f>
        <v>2023</v>
      </c>
      <c r="V119" s="30">
        <f>1/(1+Calculation_Assumptions!$B$5)^(B119-Calculation_Assumptions!$B$2)</f>
        <v>0.68095133999317792</v>
      </c>
      <c r="W119" s="23">
        <f t="shared" si="32"/>
        <v>367047576.31119919</v>
      </c>
      <c r="X119" s="23">
        <f t="shared" si="33"/>
        <v>904296200.20758712</v>
      </c>
      <c r="Y119" s="23">
        <f t="shared" si="34"/>
        <v>537248623.89638793</v>
      </c>
      <c r="Z119" s="17">
        <f>IFERROR(INDEX(Cost_Components!$T$2:$T$6,MATCH(E119,Cost_Components!$A$2:$A$6,0)),"")</f>
        <v>0.41649999999999998</v>
      </c>
      <c r="AA119" s="26">
        <f>IFERROR(INDEX(Cost_Components!$U$2:$U$6,MATCH(E119,Cost_Components!$A$2:$A$6,0)),"")</f>
        <v>2025</v>
      </c>
      <c r="AB119" s="26">
        <f>IFERROR(INDEX(Cost_Components!$V$2:$V$6,MATCH(E119,Cost_Components!$A$2:$A$6,0)),"")</f>
        <v>2040</v>
      </c>
      <c r="AC119" s="26">
        <f>IFERROR(INDEX(Cost_Components!$M$2:$M$6,MATCH(E119,Cost_Components!$A$2:$A$6,0)),"")</f>
        <v>30</v>
      </c>
      <c r="AD119" s="26">
        <f>IFERROR(INDEX(Cost_Components!$N$2:$N$6,MATCH(E119,Cost_Components!$A$2:$A$6,0)),"")</f>
        <v>95</v>
      </c>
      <c r="AE119" s="16" t="str">
        <f>IFERROR(INDEX(Cost_Components!$O$2:$O$6,MATCH(E119,Cost_Components!$A$2:$A$6,0)),"")</f>
        <v>Both</v>
      </c>
      <c r="AF119" s="11">
        <v>15832825.1893235</v>
      </c>
      <c r="AG119" s="11">
        <v>15788687.5028567</v>
      </c>
      <c r="AH119" s="23">
        <f t="shared" si="35"/>
        <v>1</v>
      </c>
    </row>
    <row r="120" spans="1:34">
      <c r="A120" t="s">
        <v>115</v>
      </c>
      <c r="B120" s="20">
        <v>2039</v>
      </c>
      <c r="C120" t="s">
        <v>229</v>
      </c>
      <c r="D120" t="s">
        <v>233</v>
      </c>
      <c r="E120" s="22" t="s">
        <v>270</v>
      </c>
      <c r="F120" s="22" t="s">
        <v>271</v>
      </c>
      <c r="G120" s="22" t="s">
        <v>230</v>
      </c>
      <c r="H120" s="22" t="s">
        <v>237</v>
      </c>
      <c r="I120" s="22" t="s">
        <v>274</v>
      </c>
      <c r="J120" s="17">
        <f>IFERROR(INDEX(Cost_Components!$K$2:$K$6,MATCH(E120,Cost_Components!$A$2:$A$6,0)),"")</f>
        <v>0.2</v>
      </c>
      <c r="K120" s="31">
        <v>0.38995088486920498</v>
      </c>
      <c r="L120" s="17">
        <f>IFERROR(INDEX(Cost_Components!$S$2:$S$6,MATCH(E120,Cost_Components!$A$2:$A$6,0)),"")</f>
        <v>0.147914612579645</v>
      </c>
      <c r="M120" s="28">
        <f>IFERROR(INDEX(Cost_Components!$L$2:$L$6,MATCH(E120,Cost_Components!$A$2:$A$6,0)),"")</f>
        <v>1</v>
      </c>
      <c r="N120" s="29">
        <f>IFERROR(INDEX(Cost_Components!$P$2:$P$6,MATCH(E120,Cost_Components!$A$2:$A$6,0)),"")</f>
        <v>1154.0355216616899</v>
      </c>
      <c r="O120" s="23">
        <f t="shared" si="27"/>
        <v>3178033.5715079801</v>
      </c>
      <c r="P120" s="23">
        <f t="shared" si="28"/>
        <v>3167127.4315133202</v>
      </c>
      <c r="Q120" s="23">
        <f t="shared" si="29"/>
        <v>540624589.41903889</v>
      </c>
      <c r="R120" s="23">
        <f t="shared" si="30"/>
        <v>1430169683.0484807</v>
      </c>
      <c r="S120" s="23">
        <f t="shared" si="31"/>
        <v>889545093.62944186</v>
      </c>
      <c r="T120" s="16">
        <f>IFERROR(INDEX(Cost_Components!$R$2:$R$6,MATCH(E120,Cost_Components!$A$2:$A$6,0)),"")</f>
        <v>1</v>
      </c>
      <c r="U120" s="26">
        <f>IFERROR(INDEX(Cost_Components!$Q$2:$Q$6,MATCH(E120,Cost_Components!$A$2:$A$6,0)),"")</f>
        <v>2023</v>
      </c>
      <c r="V120" s="30">
        <f>1/(1+Calculation_Assumptions!$B$5)^(B120-Calculation_Assumptions!$B$2)</f>
        <v>0.66111780581861923</v>
      </c>
      <c r="W120" s="23">
        <f t="shared" si="32"/>
        <v>357416542.32830691</v>
      </c>
      <c r="X120" s="23">
        <f t="shared" si="33"/>
        <v>945510642.80532169</v>
      </c>
      <c r="Y120" s="23">
        <f t="shared" si="34"/>
        <v>588094100.47701478</v>
      </c>
      <c r="Z120" s="17">
        <f>IFERROR(INDEX(Cost_Components!$T$2:$T$6,MATCH(E120,Cost_Components!$A$2:$A$6,0)),"")</f>
        <v>0.41649999999999998</v>
      </c>
      <c r="AA120" s="26">
        <f>IFERROR(INDEX(Cost_Components!$U$2:$U$6,MATCH(E120,Cost_Components!$A$2:$A$6,0)),"")</f>
        <v>2025</v>
      </c>
      <c r="AB120" s="26">
        <f>IFERROR(INDEX(Cost_Components!$V$2:$V$6,MATCH(E120,Cost_Components!$A$2:$A$6,0)),"")</f>
        <v>2040</v>
      </c>
      <c r="AC120" s="26">
        <f>IFERROR(INDEX(Cost_Components!$M$2:$M$6,MATCH(E120,Cost_Components!$A$2:$A$6,0)),"")</f>
        <v>30</v>
      </c>
      <c r="AD120" s="26">
        <f>IFERROR(INDEX(Cost_Components!$N$2:$N$6,MATCH(E120,Cost_Components!$A$2:$A$6,0)),"")</f>
        <v>95</v>
      </c>
      <c r="AE120" s="16" t="str">
        <f>IFERROR(INDEX(Cost_Components!$O$2:$O$6,MATCH(E120,Cost_Components!$A$2:$A$6,0)),"")</f>
        <v>Both</v>
      </c>
      <c r="AF120" s="11">
        <v>15890167.8575399</v>
      </c>
      <c r="AG120" s="11">
        <v>15835637.1575666</v>
      </c>
      <c r="AH120" s="23">
        <f t="shared" si="35"/>
        <v>1</v>
      </c>
    </row>
    <row r="121" spans="1:34">
      <c r="A121" t="s">
        <v>115</v>
      </c>
      <c r="B121" s="20">
        <v>2040</v>
      </c>
      <c r="C121" t="s">
        <v>229</v>
      </c>
      <c r="D121" t="s">
        <v>233</v>
      </c>
      <c r="E121" s="22" t="s">
        <v>270</v>
      </c>
      <c r="F121" s="22" t="s">
        <v>271</v>
      </c>
      <c r="G121" s="22" t="s">
        <v>230</v>
      </c>
      <c r="H121" s="22" t="s">
        <v>237</v>
      </c>
      <c r="I121" s="22" t="s">
        <v>274</v>
      </c>
      <c r="J121" s="17">
        <f>IFERROR(INDEX(Cost_Components!$K$2:$K$6,MATCH(E121,Cost_Components!$A$2:$A$6,0)),"")</f>
        <v>0.2</v>
      </c>
      <c r="K121" s="31">
        <v>0.41649999999999998</v>
      </c>
      <c r="L121" s="17">
        <f>IFERROR(INDEX(Cost_Components!$S$2:$S$6,MATCH(E121,Cost_Components!$A$2:$A$6,0)),"")</f>
        <v>0.147914612579645</v>
      </c>
      <c r="M121" s="28">
        <f>IFERROR(INDEX(Cost_Components!$L$2:$L$6,MATCH(E121,Cost_Components!$A$2:$A$6,0)),"")</f>
        <v>1</v>
      </c>
      <c r="N121" s="29">
        <f>IFERROR(INDEX(Cost_Components!$P$2:$P$6,MATCH(E121,Cost_Components!$A$2:$A$6,0)),"")</f>
        <v>1154.0355216616899</v>
      </c>
      <c r="O121" s="23">
        <f t="shared" si="27"/>
        <v>3189536.5557816802</v>
      </c>
      <c r="P121" s="23">
        <f t="shared" si="28"/>
        <v>3176343.1372177401</v>
      </c>
      <c r="Q121" s="23">
        <f t="shared" si="29"/>
        <v>542197698.55985987</v>
      </c>
      <c r="R121" s="23">
        <f t="shared" si="30"/>
        <v>1533069228.1738901</v>
      </c>
      <c r="S121" s="23">
        <f t="shared" si="31"/>
        <v>990871529.61403024</v>
      </c>
      <c r="T121" s="16">
        <f>IFERROR(INDEX(Cost_Components!$R$2:$R$6,MATCH(E121,Cost_Components!$A$2:$A$6,0)),"")</f>
        <v>1</v>
      </c>
      <c r="U121" s="26">
        <f>IFERROR(INDEX(Cost_Components!$Q$2:$Q$6,MATCH(E121,Cost_Components!$A$2:$A$6,0)),"")</f>
        <v>2023</v>
      </c>
      <c r="V121" s="30">
        <f>1/(1+Calculation_Assumptions!$B$5)^(B121-Calculation_Assumptions!$B$2)</f>
        <v>0.64186194739671765</v>
      </c>
      <c r="W121" s="23">
        <f t="shared" si="32"/>
        <v>348016070.67165017</v>
      </c>
      <c r="X121" s="23">
        <f t="shared" si="33"/>
        <v>984018800.28967595</v>
      </c>
      <c r="Y121" s="23">
        <f t="shared" si="34"/>
        <v>636002729.61802578</v>
      </c>
      <c r="Z121" s="17">
        <f>IFERROR(INDEX(Cost_Components!$T$2:$T$6,MATCH(E121,Cost_Components!$A$2:$A$6,0)),"")</f>
        <v>0.41649999999999998</v>
      </c>
      <c r="AA121" s="26">
        <f>IFERROR(INDEX(Cost_Components!$U$2:$U$6,MATCH(E121,Cost_Components!$A$2:$A$6,0)),"")</f>
        <v>2025</v>
      </c>
      <c r="AB121" s="26">
        <f>IFERROR(INDEX(Cost_Components!$V$2:$V$6,MATCH(E121,Cost_Components!$A$2:$A$6,0)),"")</f>
        <v>2040</v>
      </c>
      <c r="AC121" s="26">
        <f>IFERROR(INDEX(Cost_Components!$M$2:$M$6,MATCH(E121,Cost_Components!$A$2:$A$6,0)),"")</f>
        <v>30</v>
      </c>
      <c r="AD121" s="26">
        <f>IFERROR(INDEX(Cost_Components!$N$2:$N$6,MATCH(E121,Cost_Components!$A$2:$A$6,0)),"")</f>
        <v>95</v>
      </c>
      <c r="AE121" s="16" t="str">
        <f>IFERROR(INDEX(Cost_Components!$O$2:$O$6,MATCH(E121,Cost_Components!$A$2:$A$6,0)),"")</f>
        <v>Both</v>
      </c>
      <c r="AF121" s="11">
        <v>15947682.7789084</v>
      </c>
      <c r="AG121" s="11">
        <v>15881715.6860887</v>
      </c>
      <c r="AH121" s="23">
        <f t="shared" si="35"/>
        <v>1</v>
      </c>
    </row>
    <row r="122" spans="1:34">
      <c r="A122" t="s">
        <v>115</v>
      </c>
      <c r="B122" s="20">
        <v>2041</v>
      </c>
      <c r="C122" t="s">
        <v>229</v>
      </c>
      <c r="D122" t="s">
        <v>233</v>
      </c>
      <c r="E122" s="22" t="s">
        <v>270</v>
      </c>
      <c r="F122" s="22" t="s">
        <v>271</v>
      </c>
      <c r="G122" s="22" t="s">
        <v>230</v>
      </c>
      <c r="H122" s="22" t="s">
        <v>237</v>
      </c>
      <c r="I122" s="22" t="s">
        <v>274</v>
      </c>
      <c r="J122" s="17">
        <f>IFERROR(INDEX(Cost_Components!$K$2:$K$6,MATCH(E122,Cost_Components!$A$2:$A$6,0)),"")</f>
        <v>0.2</v>
      </c>
      <c r="K122" s="31">
        <v>0.41649999999999998</v>
      </c>
      <c r="L122" s="17">
        <f>IFERROR(INDEX(Cost_Components!$S$2:$S$6,MATCH(E122,Cost_Components!$A$2:$A$6,0)),"")</f>
        <v>0.147914612579645</v>
      </c>
      <c r="M122" s="28">
        <f>IFERROR(INDEX(Cost_Components!$L$2:$L$6,MATCH(E122,Cost_Components!$A$2:$A$6,0)),"")</f>
        <v>1</v>
      </c>
      <c r="N122" s="29">
        <f>IFERROR(INDEX(Cost_Components!$P$2:$P$6,MATCH(E122,Cost_Components!$A$2:$A$6,0)),"")</f>
        <v>1154.0355216616899</v>
      </c>
      <c r="O122" s="23">
        <f t="shared" si="27"/>
        <v>3200906.80241518</v>
      </c>
      <c r="P122" s="23">
        <f t="shared" si="28"/>
        <v>3185543.2152388599</v>
      </c>
      <c r="Q122" s="23">
        <f t="shared" si="29"/>
        <v>543768140.07519054</v>
      </c>
      <c r="R122" s="23">
        <f t="shared" si="30"/>
        <v>1538534403.1062698</v>
      </c>
      <c r="S122" s="23">
        <f t="shared" si="31"/>
        <v>994766263.03107929</v>
      </c>
      <c r="T122" s="16">
        <f>IFERROR(INDEX(Cost_Components!$R$2:$R$6,MATCH(E122,Cost_Components!$A$2:$A$6,0)),"")</f>
        <v>1</v>
      </c>
      <c r="U122" s="26">
        <f>IFERROR(INDEX(Cost_Components!$Q$2:$Q$6,MATCH(E122,Cost_Components!$A$2:$A$6,0)),"")</f>
        <v>2023</v>
      </c>
      <c r="V122" s="30">
        <f>1/(1+Calculation_Assumptions!$B$5)^(B122-Calculation_Assumptions!$B$2)</f>
        <v>0.62316693922011435</v>
      </c>
      <c r="W122" s="23">
        <f t="shared" si="32"/>
        <v>338858327.49607086</v>
      </c>
      <c r="X122" s="23">
        <f t="shared" si="33"/>
        <v>958763774.86857975</v>
      </c>
      <c r="Y122" s="23">
        <f t="shared" si="34"/>
        <v>619905447.37250888</v>
      </c>
      <c r="Z122" s="17">
        <f>IFERROR(INDEX(Cost_Components!$T$2:$T$6,MATCH(E122,Cost_Components!$A$2:$A$6,0)),"")</f>
        <v>0.41649999999999998</v>
      </c>
      <c r="AA122" s="26">
        <f>IFERROR(INDEX(Cost_Components!$U$2:$U$6,MATCH(E122,Cost_Components!$A$2:$A$6,0)),"")</f>
        <v>2025</v>
      </c>
      <c r="AB122" s="26">
        <f>IFERROR(INDEX(Cost_Components!$V$2:$V$6,MATCH(E122,Cost_Components!$A$2:$A$6,0)),"")</f>
        <v>2040</v>
      </c>
      <c r="AC122" s="26">
        <f>IFERROR(INDEX(Cost_Components!$M$2:$M$6,MATCH(E122,Cost_Components!$A$2:$A$6,0)),"")</f>
        <v>30</v>
      </c>
      <c r="AD122" s="26">
        <f>IFERROR(INDEX(Cost_Components!$N$2:$N$6,MATCH(E122,Cost_Components!$A$2:$A$6,0)),"")</f>
        <v>95</v>
      </c>
      <c r="AE122" s="16" t="str">
        <f>IFERROR(INDEX(Cost_Components!$O$2:$O$6,MATCH(E122,Cost_Components!$A$2:$A$6,0)),"")</f>
        <v>Both</v>
      </c>
      <c r="AF122" s="11">
        <v>16004534.012075899</v>
      </c>
      <c r="AG122" s="11">
        <v>15927716.076194299</v>
      </c>
      <c r="AH122" s="23">
        <f t="shared" si="35"/>
        <v>1</v>
      </c>
    </row>
    <row r="123" spans="1:34">
      <c r="A123" t="s">
        <v>115</v>
      </c>
      <c r="B123" s="20">
        <v>2042</v>
      </c>
      <c r="C123" t="s">
        <v>229</v>
      </c>
      <c r="D123" t="s">
        <v>233</v>
      </c>
      <c r="E123" s="22" t="s">
        <v>270</v>
      </c>
      <c r="F123" s="22" t="s">
        <v>271</v>
      </c>
      <c r="G123" s="22" t="s">
        <v>230</v>
      </c>
      <c r="H123" s="22" t="s">
        <v>237</v>
      </c>
      <c r="I123" s="22" t="s">
        <v>274</v>
      </c>
      <c r="J123" s="17">
        <f>IFERROR(INDEX(Cost_Components!$K$2:$K$6,MATCH(E123,Cost_Components!$A$2:$A$6,0)),"")</f>
        <v>0.2</v>
      </c>
      <c r="K123" s="31">
        <v>0.41649999999999998</v>
      </c>
      <c r="L123" s="17">
        <f>IFERROR(INDEX(Cost_Components!$S$2:$S$6,MATCH(E123,Cost_Components!$A$2:$A$6,0)),"")</f>
        <v>0.147914612579645</v>
      </c>
      <c r="M123" s="28">
        <f>IFERROR(INDEX(Cost_Components!$L$2:$L$6,MATCH(E123,Cost_Components!$A$2:$A$6,0)),"")</f>
        <v>1</v>
      </c>
      <c r="N123" s="29">
        <f>IFERROR(INDEX(Cost_Components!$P$2:$P$6,MATCH(E123,Cost_Components!$A$2:$A$6,0)),"")</f>
        <v>1154.0355216616899</v>
      </c>
      <c r="O123" s="23">
        <f t="shared" si="27"/>
        <v>3212097.6374996402</v>
      </c>
      <c r="P123" s="23">
        <f t="shared" si="28"/>
        <v>3194670.1392435404</v>
      </c>
      <c r="Q123" s="23">
        <f t="shared" si="29"/>
        <v>545326094.29376507</v>
      </c>
      <c r="R123" s="23">
        <f t="shared" si="30"/>
        <v>1543913342.8379545</v>
      </c>
      <c r="S123" s="23">
        <f t="shared" si="31"/>
        <v>998587248.54418945</v>
      </c>
      <c r="T123" s="16">
        <f>IFERROR(INDEX(Cost_Components!$R$2:$R$6,MATCH(E123,Cost_Components!$A$2:$A$6,0)),"")</f>
        <v>1</v>
      </c>
      <c r="U123" s="26">
        <f>IFERROR(INDEX(Cost_Components!$Q$2:$Q$6,MATCH(E123,Cost_Components!$A$2:$A$6,0)),"")</f>
        <v>2023</v>
      </c>
      <c r="V123" s="30">
        <f>1/(1+Calculation_Assumptions!$B$5)^(B123-Calculation_Assumptions!$B$2)</f>
        <v>0.60501644584477121</v>
      </c>
      <c r="W123" s="23">
        <f t="shared" si="32"/>
        <v>329931255.39602429</v>
      </c>
      <c r="X123" s="23">
        <f t="shared" si="33"/>
        <v>934092963.37613904</v>
      </c>
      <c r="Y123" s="23">
        <f t="shared" si="34"/>
        <v>604161707.9801147</v>
      </c>
      <c r="Z123" s="17">
        <f>IFERROR(INDEX(Cost_Components!$T$2:$T$6,MATCH(E123,Cost_Components!$A$2:$A$6,0)),"")</f>
        <v>0.41649999999999998</v>
      </c>
      <c r="AA123" s="26">
        <f>IFERROR(INDEX(Cost_Components!$U$2:$U$6,MATCH(E123,Cost_Components!$A$2:$A$6,0)),"")</f>
        <v>2025</v>
      </c>
      <c r="AB123" s="26">
        <f>IFERROR(INDEX(Cost_Components!$V$2:$V$6,MATCH(E123,Cost_Components!$A$2:$A$6,0)),"")</f>
        <v>2040</v>
      </c>
      <c r="AC123" s="26">
        <f>IFERROR(INDEX(Cost_Components!$M$2:$M$6,MATCH(E123,Cost_Components!$A$2:$A$6,0)),"")</f>
        <v>30</v>
      </c>
      <c r="AD123" s="26">
        <f>IFERROR(INDEX(Cost_Components!$N$2:$N$6,MATCH(E123,Cost_Components!$A$2:$A$6,0)),"")</f>
        <v>95</v>
      </c>
      <c r="AE123" s="16" t="str">
        <f>IFERROR(INDEX(Cost_Components!$O$2:$O$6,MATCH(E123,Cost_Components!$A$2:$A$6,0)),"")</f>
        <v>Both</v>
      </c>
      <c r="AF123" s="11">
        <v>16060488.187498201</v>
      </c>
      <c r="AG123" s="11">
        <v>15973350.696217701</v>
      </c>
      <c r="AH123" s="23">
        <f t="shared" si="35"/>
        <v>1</v>
      </c>
    </row>
    <row r="124" spans="1:34">
      <c r="A124" t="s">
        <v>115</v>
      </c>
      <c r="B124" s="20">
        <v>2043</v>
      </c>
      <c r="C124" t="s">
        <v>229</v>
      </c>
      <c r="D124" t="s">
        <v>233</v>
      </c>
      <c r="E124" s="22" t="s">
        <v>270</v>
      </c>
      <c r="F124" s="22" t="s">
        <v>271</v>
      </c>
      <c r="G124" s="22" t="s">
        <v>230</v>
      </c>
      <c r="H124" s="22" t="s">
        <v>237</v>
      </c>
      <c r="I124" s="22" t="s">
        <v>274</v>
      </c>
      <c r="J124" s="17">
        <f>IFERROR(INDEX(Cost_Components!$K$2:$K$6,MATCH(E124,Cost_Components!$A$2:$A$6,0)),"")</f>
        <v>0.2</v>
      </c>
      <c r="K124" s="31">
        <v>0.41649999999999998</v>
      </c>
      <c r="L124" s="17">
        <f>IFERROR(INDEX(Cost_Components!$S$2:$S$6,MATCH(E124,Cost_Components!$A$2:$A$6,0)),"")</f>
        <v>0.147914612579645</v>
      </c>
      <c r="M124" s="28">
        <f>IFERROR(INDEX(Cost_Components!$L$2:$L$6,MATCH(E124,Cost_Components!$A$2:$A$6,0)),"")</f>
        <v>1</v>
      </c>
      <c r="N124" s="29">
        <f>IFERROR(INDEX(Cost_Components!$P$2:$P$6,MATCH(E124,Cost_Components!$A$2:$A$6,0)),"")</f>
        <v>1154.0355216616899</v>
      </c>
      <c r="O124" s="23">
        <f t="shared" si="27"/>
        <v>3222689.9838949</v>
      </c>
      <c r="P124" s="23">
        <f t="shared" si="28"/>
        <v>3203297.2998243403</v>
      </c>
      <c r="Q124" s="23">
        <f t="shared" si="29"/>
        <v>546798739.53703475</v>
      </c>
      <c r="R124" s="23">
        <f t="shared" si="30"/>
        <v>1549004615.5130694</v>
      </c>
      <c r="S124" s="23">
        <f t="shared" si="31"/>
        <v>1002205875.9760346</v>
      </c>
      <c r="T124" s="16">
        <f>IFERROR(INDEX(Cost_Components!$R$2:$R$6,MATCH(E124,Cost_Components!$A$2:$A$6,0)),"")</f>
        <v>1</v>
      </c>
      <c r="U124" s="26">
        <f>IFERROR(INDEX(Cost_Components!$Q$2:$Q$6,MATCH(E124,Cost_Components!$A$2:$A$6,0)),"")</f>
        <v>2023</v>
      </c>
      <c r="V124" s="30">
        <f>1/(1+Calculation_Assumptions!$B$5)^(B124-Calculation_Assumptions!$B$2)</f>
        <v>0.5873946076162827</v>
      </c>
      <c r="W124" s="23">
        <f t="shared" si="32"/>
        <v>321186631.05543447</v>
      </c>
      <c r="X124" s="23">
        <f t="shared" si="33"/>
        <v>909876958.3251102</v>
      </c>
      <c r="Y124" s="23">
        <f t="shared" si="34"/>
        <v>588690327.26967573</v>
      </c>
      <c r="Z124" s="17">
        <f>IFERROR(INDEX(Cost_Components!$T$2:$T$6,MATCH(E124,Cost_Components!$A$2:$A$6,0)),"")</f>
        <v>0.41649999999999998</v>
      </c>
      <c r="AA124" s="26">
        <f>IFERROR(INDEX(Cost_Components!$U$2:$U$6,MATCH(E124,Cost_Components!$A$2:$A$6,0)),"")</f>
        <v>2025</v>
      </c>
      <c r="AB124" s="26">
        <f>IFERROR(INDEX(Cost_Components!$V$2:$V$6,MATCH(E124,Cost_Components!$A$2:$A$6,0)),"")</f>
        <v>2040</v>
      </c>
      <c r="AC124" s="26">
        <f>IFERROR(INDEX(Cost_Components!$M$2:$M$6,MATCH(E124,Cost_Components!$A$2:$A$6,0)),"")</f>
        <v>30</v>
      </c>
      <c r="AD124" s="26">
        <f>IFERROR(INDEX(Cost_Components!$N$2:$N$6,MATCH(E124,Cost_Components!$A$2:$A$6,0)),"")</f>
        <v>95</v>
      </c>
      <c r="AE124" s="16" t="str">
        <f>IFERROR(INDEX(Cost_Components!$O$2:$O$6,MATCH(E124,Cost_Components!$A$2:$A$6,0)),"")</f>
        <v>Both</v>
      </c>
      <c r="AF124" s="11">
        <v>16113449.919474499</v>
      </c>
      <c r="AG124" s="11">
        <v>16016486.499121699</v>
      </c>
      <c r="AH124" s="23">
        <f t="shared" si="35"/>
        <v>1</v>
      </c>
    </row>
    <row r="125" spans="1:34">
      <c r="A125" t="s">
        <v>115</v>
      </c>
      <c r="B125" s="20">
        <v>2044</v>
      </c>
      <c r="C125" t="s">
        <v>229</v>
      </c>
      <c r="D125" t="s">
        <v>233</v>
      </c>
      <c r="E125" s="22" t="s">
        <v>270</v>
      </c>
      <c r="F125" s="22" t="s">
        <v>271</v>
      </c>
      <c r="G125" s="22" t="s">
        <v>230</v>
      </c>
      <c r="H125" s="22" t="s">
        <v>237</v>
      </c>
      <c r="I125" s="22" t="s">
        <v>274</v>
      </c>
      <c r="J125" s="17">
        <f>IFERROR(INDEX(Cost_Components!$K$2:$K$6,MATCH(E125,Cost_Components!$A$2:$A$6,0)),"")</f>
        <v>0.2</v>
      </c>
      <c r="K125" s="31">
        <v>0.41649999999999998</v>
      </c>
      <c r="L125" s="17">
        <f>IFERROR(INDEX(Cost_Components!$S$2:$S$6,MATCH(E125,Cost_Components!$A$2:$A$6,0)),"")</f>
        <v>0.147914612579645</v>
      </c>
      <c r="M125" s="28">
        <f>IFERROR(INDEX(Cost_Components!$L$2:$L$6,MATCH(E125,Cost_Components!$A$2:$A$6,0)),"")</f>
        <v>1</v>
      </c>
      <c r="N125" s="29">
        <f>IFERROR(INDEX(Cost_Components!$P$2:$P$6,MATCH(E125,Cost_Components!$A$2:$A$6,0)),"")</f>
        <v>1154.0355216616899</v>
      </c>
      <c r="O125" s="23">
        <f t="shared" si="27"/>
        <v>3232515.48310924</v>
      </c>
      <c r="P125" s="23">
        <f t="shared" si="28"/>
        <v>3211250.3111546002</v>
      </c>
      <c r="Q125" s="23">
        <f t="shared" si="29"/>
        <v>548156308.3681103</v>
      </c>
      <c r="R125" s="23">
        <f t="shared" si="30"/>
        <v>1553727298.6469705</v>
      </c>
      <c r="S125" s="23">
        <f t="shared" si="31"/>
        <v>1005570990.2788602</v>
      </c>
      <c r="T125" s="16">
        <f>IFERROR(INDEX(Cost_Components!$R$2:$R$6,MATCH(E125,Cost_Components!$A$2:$A$6,0)),"")</f>
        <v>1</v>
      </c>
      <c r="U125" s="26">
        <f>IFERROR(INDEX(Cost_Components!$Q$2:$Q$6,MATCH(E125,Cost_Components!$A$2:$A$6,0)),"")</f>
        <v>2023</v>
      </c>
      <c r="V125" s="30">
        <f>1/(1+Calculation_Assumptions!$B$5)^(B125-Calculation_Assumptions!$B$2)</f>
        <v>0.57028602681192497</v>
      </c>
      <c r="W125" s="23">
        <f t="shared" si="32"/>
        <v>312605883.17114198</v>
      </c>
      <c r="X125" s="23">
        <f t="shared" si="33"/>
        <v>886068967.89460599</v>
      </c>
      <c r="Y125" s="23">
        <f t="shared" si="34"/>
        <v>573463084.72346401</v>
      </c>
      <c r="Z125" s="17">
        <f>IFERROR(INDEX(Cost_Components!$T$2:$T$6,MATCH(E125,Cost_Components!$A$2:$A$6,0)),"")</f>
        <v>0.41649999999999998</v>
      </c>
      <c r="AA125" s="26">
        <f>IFERROR(INDEX(Cost_Components!$U$2:$U$6,MATCH(E125,Cost_Components!$A$2:$A$6,0)),"")</f>
        <v>2025</v>
      </c>
      <c r="AB125" s="26">
        <f>IFERROR(INDEX(Cost_Components!$V$2:$V$6,MATCH(E125,Cost_Components!$A$2:$A$6,0)),"")</f>
        <v>2040</v>
      </c>
      <c r="AC125" s="26">
        <f>IFERROR(INDEX(Cost_Components!$M$2:$M$6,MATCH(E125,Cost_Components!$A$2:$A$6,0)),"")</f>
        <v>30</v>
      </c>
      <c r="AD125" s="26">
        <f>IFERROR(INDEX(Cost_Components!$N$2:$N$6,MATCH(E125,Cost_Components!$A$2:$A$6,0)),"")</f>
        <v>95</v>
      </c>
      <c r="AE125" s="16" t="str">
        <f>IFERROR(INDEX(Cost_Components!$O$2:$O$6,MATCH(E125,Cost_Components!$A$2:$A$6,0)),"")</f>
        <v>Both</v>
      </c>
      <c r="AF125" s="11">
        <v>16162577.415546199</v>
      </c>
      <c r="AG125" s="11">
        <v>16056251.555772999</v>
      </c>
      <c r="AH125" s="23">
        <f t="shared" si="35"/>
        <v>1</v>
      </c>
    </row>
    <row r="126" spans="1:34">
      <c r="A126" t="s">
        <v>115</v>
      </c>
      <c r="B126" s="20">
        <v>2045</v>
      </c>
      <c r="C126" t="s">
        <v>229</v>
      </c>
      <c r="D126" t="s">
        <v>233</v>
      </c>
      <c r="E126" s="22" t="s">
        <v>270</v>
      </c>
      <c r="F126" s="22" t="s">
        <v>271</v>
      </c>
      <c r="G126" s="22" t="s">
        <v>230</v>
      </c>
      <c r="H126" s="22" t="s">
        <v>237</v>
      </c>
      <c r="I126" s="22" t="s">
        <v>274</v>
      </c>
      <c r="J126" s="17">
        <f>IFERROR(INDEX(Cost_Components!$K$2:$K$6,MATCH(E126,Cost_Components!$A$2:$A$6,0)),"")</f>
        <v>0.2</v>
      </c>
      <c r="K126" s="31">
        <v>0.41649999999999998</v>
      </c>
      <c r="L126" s="17">
        <f>IFERROR(INDEX(Cost_Components!$S$2:$S$6,MATCH(E126,Cost_Components!$A$2:$A$6,0)),"")</f>
        <v>0.147914612579645</v>
      </c>
      <c r="M126" s="28">
        <f>IFERROR(INDEX(Cost_Components!$L$2:$L$6,MATCH(E126,Cost_Components!$A$2:$A$6,0)),"")</f>
        <v>1</v>
      </c>
      <c r="N126" s="29">
        <f>IFERROR(INDEX(Cost_Components!$P$2:$P$6,MATCH(E126,Cost_Components!$A$2:$A$6,0)),"")</f>
        <v>1154.0355216616899</v>
      </c>
      <c r="O126" s="23">
        <f t="shared" si="27"/>
        <v>3241607.2691778401</v>
      </c>
      <c r="P126" s="23">
        <f t="shared" si="28"/>
        <v>3218556.8903770801</v>
      </c>
      <c r="Q126" s="23">
        <f t="shared" si="29"/>
        <v>549403532.06770205</v>
      </c>
      <c r="R126" s="23">
        <f t="shared" si="30"/>
        <v>1558097318.3056715</v>
      </c>
      <c r="S126" s="23">
        <f t="shared" si="31"/>
        <v>1008693786.2379694</v>
      </c>
      <c r="T126" s="16">
        <f>IFERROR(INDEX(Cost_Components!$R$2:$R$6,MATCH(E126,Cost_Components!$A$2:$A$6,0)),"")</f>
        <v>1</v>
      </c>
      <c r="U126" s="26">
        <f>IFERROR(INDEX(Cost_Components!$Q$2:$Q$6,MATCH(E126,Cost_Components!$A$2:$A$6,0)),"")</f>
        <v>2023</v>
      </c>
      <c r="V126" s="30">
        <f>1/(1+Calculation_Assumptions!$B$5)^(B126-Calculation_Assumptions!$B$2)</f>
        <v>0.55367575418633497</v>
      </c>
      <c r="W126" s="23">
        <f t="shared" si="32"/>
        <v>304191414.97022122</v>
      </c>
      <c r="X126" s="23">
        <f t="shared" si="33"/>
        <v>862680707.80859864</v>
      </c>
      <c r="Y126" s="23">
        <f t="shared" si="34"/>
        <v>558489292.83837748</v>
      </c>
      <c r="Z126" s="17">
        <f>IFERROR(INDEX(Cost_Components!$T$2:$T$6,MATCH(E126,Cost_Components!$A$2:$A$6,0)),"")</f>
        <v>0.41649999999999998</v>
      </c>
      <c r="AA126" s="26">
        <f>IFERROR(INDEX(Cost_Components!$U$2:$U$6,MATCH(E126,Cost_Components!$A$2:$A$6,0)),"")</f>
        <v>2025</v>
      </c>
      <c r="AB126" s="26">
        <f>IFERROR(INDEX(Cost_Components!$V$2:$V$6,MATCH(E126,Cost_Components!$A$2:$A$6,0)),"")</f>
        <v>2040</v>
      </c>
      <c r="AC126" s="26">
        <f>IFERROR(INDEX(Cost_Components!$M$2:$M$6,MATCH(E126,Cost_Components!$A$2:$A$6,0)),"")</f>
        <v>30</v>
      </c>
      <c r="AD126" s="26">
        <f>IFERROR(INDEX(Cost_Components!$N$2:$N$6,MATCH(E126,Cost_Components!$A$2:$A$6,0)),"")</f>
        <v>95</v>
      </c>
      <c r="AE126" s="16" t="str">
        <f>IFERROR(INDEX(Cost_Components!$O$2:$O$6,MATCH(E126,Cost_Components!$A$2:$A$6,0)),"")</f>
        <v>Both</v>
      </c>
      <c r="AF126" s="11">
        <v>16208036.3458892</v>
      </c>
      <c r="AG126" s="11">
        <v>16092784.4518854</v>
      </c>
      <c r="AH126" s="23">
        <f t="shared" si="35"/>
        <v>1</v>
      </c>
    </row>
    <row r="127" spans="1:34">
      <c r="A127" t="s">
        <v>115</v>
      </c>
      <c r="B127" s="20">
        <v>2046</v>
      </c>
      <c r="C127" t="s">
        <v>229</v>
      </c>
      <c r="D127" t="s">
        <v>233</v>
      </c>
      <c r="E127" s="22" t="s">
        <v>270</v>
      </c>
      <c r="F127" s="22" t="s">
        <v>271</v>
      </c>
      <c r="G127" s="22" t="s">
        <v>230</v>
      </c>
      <c r="H127" s="22" t="s">
        <v>237</v>
      </c>
      <c r="I127" s="22" t="s">
        <v>274</v>
      </c>
      <c r="J127" s="17">
        <f>IFERROR(INDEX(Cost_Components!$K$2:$K$6,MATCH(E127,Cost_Components!$A$2:$A$6,0)),"")</f>
        <v>0.2</v>
      </c>
      <c r="K127" s="31">
        <v>0.41649999999999998</v>
      </c>
      <c r="L127" s="17">
        <f>IFERROR(INDEX(Cost_Components!$S$2:$S$6,MATCH(E127,Cost_Components!$A$2:$A$6,0)),"")</f>
        <v>0.147914612579645</v>
      </c>
      <c r="M127" s="28">
        <f>IFERROR(INDEX(Cost_Components!$L$2:$L$6,MATCH(E127,Cost_Components!$A$2:$A$6,0)),"")</f>
        <v>1</v>
      </c>
      <c r="N127" s="29">
        <f>IFERROR(INDEX(Cost_Components!$P$2:$P$6,MATCH(E127,Cost_Components!$A$2:$A$6,0)),"")</f>
        <v>1154.0355216616899</v>
      </c>
      <c r="O127" s="23">
        <f t="shared" si="27"/>
        <v>3249980.1030755602</v>
      </c>
      <c r="P127" s="23">
        <f t="shared" si="28"/>
        <v>3225228.4329849603</v>
      </c>
      <c r="Q127" s="23">
        <f t="shared" si="29"/>
        <v>550542355.83187675</v>
      </c>
      <c r="R127" s="23">
        <f t="shared" si="30"/>
        <v>1562121769.4372749</v>
      </c>
      <c r="S127" s="23">
        <f t="shared" si="31"/>
        <v>1011579413.6053982</v>
      </c>
      <c r="T127" s="16">
        <f>IFERROR(INDEX(Cost_Components!$R$2:$R$6,MATCH(E127,Cost_Components!$A$2:$A$6,0)),"")</f>
        <v>1</v>
      </c>
      <c r="U127" s="26">
        <f>IFERROR(INDEX(Cost_Components!$Q$2:$Q$6,MATCH(E127,Cost_Components!$A$2:$A$6,0)),"")</f>
        <v>2023</v>
      </c>
      <c r="V127" s="30">
        <f>1/(1+Calculation_Assumptions!$B$5)^(B127-Calculation_Assumptions!$B$2)</f>
        <v>0.5375492759090631</v>
      </c>
      <c r="W127" s="23">
        <f t="shared" si="32"/>
        <v>295943644.73469514</v>
      </c>
      <c r="X127" s="23">
        <f t="shared" si="33"/>
        <v>839717426.0427916</v>
      </c>
      <c r="Y127" s="23">
        <f t="shared" si="34"/>
        <v>543773781.30809641</v>
      </c>
      <c r="Z127" s="17">
        <f>IFERROR(INDEX(Cost_Components!$T$2:$T$6,MATCH(E127,Cost_Components!$A$2:$A$6,0)),"")</f>
        <v>0.41649999999999998</v>
      </c>
      <c r="AA127" s="26">
        <f>IFERROR(INDEX(Cost_Components!$U$2:$U$6,MATCH(E127,Cost_Components!$A$2:$A$6,0)),"")</f>
        <v>2025</v>
      </c>
      <c r="AB127" s="26">
        <f>IFERROR(INDEX(Cost_Components!$V$2:$V$6,MATCH(E127,Cost_Components!$A$2:$A$6,0)),"")</f>
        <v>2040</v>
      </c>
      <c r="AC127" s="26">
        <f>IFERROR(INDEX(Cost_Components!$M$2:$M$6,MATCH(E127,Cost_Components!$A$2:$A$6,0)),"")</f>
        <v>30</v>
      </c>
      <c r="AD127" s="26">
        <f>IFERROR(INDEX(Cost_Components!$N$2:$N$6,MATCH(E127,Cost_Components!$A$2:$A$6,0)),"")</f>
        <v>95</v>
      </c>
      <c r="AE127" s="16" t="str">
        <f>IFERROR(INDEX(Cost_Components!$O$2:$O$6,MATCH(E127,Cost_Components!$A$2:$A$6,0)),"")</f>
        <v>Both</v>
      </c>
      <c r="AF127" s="11">
        <v>16249900.515377801</v>
      </c>
      <c r="AG127" s="11">
        <v>16126142.1649248</v>
      </c>
      <c r="AH127" s="23">
        <f t="shared" si="35"/>
        <v>1</v>
      </c>
    </row>
    <row r="128" spans="1:34">
      <c r="A128" t="s">
        <v>115</v>
      </c>
      <c r="B128" s="20">
        <v>2047</v>
      </c>
      <c r="C128" t="s">
        <v>229</v>
      </c>
      <c r="D128" t="s">
        <v>233</v>
      </c>
      <c r="E128" s="22" t="s">
        <v>270</v>
      </c>
      <c r="F128" s="22" t="s">
        <v>271</v>
      </c>
      <c r="G128" s="22" t="s">
        <v>230</v>
      </c>
      <c r="H128" s="22" t="s">
        <v>237</v>
      </c>
      <c r="I128" s="22" t="s">
        <v>274</v>
      </c>
      <c r="J128" s="17">
        <f>IFERROR(INDEX(Cost_Components!$K$2:$K$6,MATCH(E128,Cost_Components!$A$2:$A$6,0)),"")</f>
        <v>0.2</v>
      </c>
      <c r="K128" s="31">
        <v>0.41649999999999998</v>
      </c>
      <c r="L128" s="17">
        <f>IFERROR(INDEX(Cost_Components!$S$2:$S$6,MATCH(E128,Cost_Components!$A$2:$A$6,0)),"")</f>
        <v>0.147914612579645</v>
      </c>
      <c r="M128" s="28">
        <f>IFERROR(INDEX(Cost_Components!$L$2:$L$6,MATCH(E128,Cost_Components!$A$2:$A$6,0)),"")</f>
        <v>1</v>
      </c>
      <c r="N128" s="29">
        <f>IFERROR(INDEX(Cost_Components!$P$2:$P$6,MATCH(E128,Cost_Components!$A$2:$A$6,0)),"")</f>
        <v>1154.0355216616899</v>
      </c>
      <c r="O128" s="23">
        <f t="shared" si="27"/>
        <v>3256991.9539977</v>
      </c>
      <c r="P128" s="23">
        <f t="shared" si="28"/>
        <v>3230620.4108647401</v>
      </c>
      <c r="Q128" s="23">
        <f t="shared" si="29"/>
        <v>551462759.53853142</v>
      </c>
      <c r="R128" s="23">
        <f t="shared" si="30"/>
        <v>1565492056.2150795</v>
      </c>
      <c r="S128" s="23">
        <f t="shared" si="31"/>
        <v>1014029296.6765481</v>
      </c>
      <c r="T128" s="16">
        <f>IFERROR(INDEX(Cost_Components!$R$2:$R$6,MATCH(E128,Cost_Components!$A$2:$A$6,0)),"")</f>
        <v>1</v>
      </c>
      <c r="U128" s="26">
        <f>IFERROR(INDEX(Cost_Components!$Q$2:$Q$6,MATCH(E128,Cost_Components!$A$2:$A$6,0)),"")</f>
        <v>2023</v>
      </c>
      <c r="V128" s="30">
        <f>1/(1+Calculation_Assumptions!$B$5)^(B128-Calculation_Assumptions!$B$2)</f>
        <v>0.52189250088258554</v>
      </c>
      <c r="W128" s="23">
        <f t="shared" si="32"/>
        <v>287804278.71917605</v>
      </c>
      <c r="X128" s="23">
        <f t="shared" si="33"/>
        <v>817018564.32990909</v>
      </c>
      <c r="Y128" s="23">
        <f t="shared" si="34"/>
        <v>529214285.61073297</v>
      </c>
      <c r="Z128" s="17">
        <f>IFERROR(INDEX(Cost_Components!$T$2:$T$6,MATCH(E128,Cost_Components!$A$2:$A$6,0)),"")</f>
        <v>0.41649999999999998</v>
      </c>
      <c r="AA128" s="26">
        <f>IFERROR(INDEX(Cost_Components!$U$2:$U$6,MATCH(E128,Cost_Components!$A$2:$A$6,0)),"")</f>
        <v>2025</v>
      </c>
      <c r="AB128" s="26">
        <f>IFERROR(INDEX(Cost_Components!$V$2:$V$6,MATCH(E128,Cost_Components!$A$2:$A$6,0)),"")</f>
        <v>2040</v>
      </c>
      <c r="AC128" s="26">
        <f>IFERROR(INDEX(Cost_Components!$M$2:$M$6,MATCH(E128,Cost_Components!$A$2:$A$6,0)),"")</f>
        <v>30</v>
      </c>
      <c r="AD128" s="26">
        <f>IFERROR(INDEX(Cost_Components!$N$2:$N$6,MATCH(E128,Cost_Components!$A$2:$A$6,0)),"")</f>
        <v>95</v>
      </c>
      <c r="AE128" s="16" t="str">
        <f>IFERROR(INDEX(Cost_Components!$O$2:$O$6,MATCH(E128,Cost_Components!$A$2:$A$6,0)),"")</f>
        <v>Both</v>
      </c>
      <c r="AF128" s="11">
        <v>16284959.7699885</v>
      </c>
      <c r="AG128" s="11">
        <v>16153102.054323699</v>
      </c>
      <c r="AH128" s="23">
        <f t="shared" si="35"/>
        <v>1</v>
      </c>
    </row>
    <row r="129" spans="1:34">
      <c r="A129" t="s">
        <v>115</v>
      </c>
      <c r="B129" s="20">
        <v>2048</v>
      </c>
      <c r="C129" t="s">
        <v>229</v>
      </c>
      <c r="D129" t="s">
        <v>233</v>
      </c>
      <c r="E129" s="22" t="s">
        <v>270</v>
      </c>
      <c r="F129" s="22" t="s">
        <v>271</v>
      </c>
      <c r="G129" s="22" t="s">
        <v>230</v>
      </c>
      <c r="H129" s="22" t="s">
        <v>237</v>
      </c>
      <c r="I129" s="22" t="s">
        <v>274</v>
      </c>
      <c r="J129" s="17">
        <f>IFERROR(INDEX(Cost_Components!$K$2:$K$6,MATCH(E129,Cost_Components!$A$2:$A$6,0)),"")</f>
        <v>0.2</v>
      </c>
      <c r="K129" s="31">
        <v>0.41649999999999998</v>
      </c>
      <c r="L129" s="17">
        <f>IFERROR(INDEX(Cost_Components!$S$2:$S$6,MATCH(E129,Cost_Components!$A$2:$A$6,0)),"")</f>
        <v>0.147914612579645</v>
      </c>
      <c r="M129" s="28">
        <f>IFERROR(INDEX(Cost_Components!$L$2:$L$6,MATCH(E129,Cost_Components!$A$2:$A$6,0)),"")</f>
        <v>1</v>
      </c>
      <c r="N129" s="29">
        <f>IFERROR(INDEX(Cost_Components!$P$2:$P$6,MATCH(E129,Cost_Components!$A$2:$A$6,0)),"")</f>
        <v>1154.0355216616899</v>
      </c>
      <c r="O129" s="23">
        <f t="shared" si="27"/>
        <v>3263335.15830778</v>
      </c>
      <c r="P129" s="23">
        <f t="shared" si="28"/>
        <v>3235422.6849008603</v>
      </c>
      <c r="Q129" s="23">
        <f t="shared" si="29"/>
        <v>552282501.55561042</v>
      </c>
      <c r="R129" s="23">
        <f t="shared" si="30"/>
        <v>1568540954.1241426</v>
      </c>
      <c r="S129" s="23">
        <f t="shared" si="31"/>
        <v>1016258452.5685322</v>
      </c>
      <c r="T129" s="16">
        <f>IFERROR(INDEX(Cost_Components!$R$2:$R$6,MATCH(E129,Cost_Components!$A$2:$A$6,0)),"")</f>
        <v>1</v>
      </c>
      <c r="U129" s="26">
        <f>IFERROR(INDEX(Cost_Components!$Q$2:$Q$6,MATCH(E129,Cost_Components!$A$2:$A$6,0)),"")</f>
        <v>2023</v>
      </c>
      <c r="V129" s="30">
        <f>1/(1+Calculation_Assumptions!$B$5)^(B129-Calculation_Assumptions!$B$2)</f>
        <v>0.50669174842969467</v>
      </c>
      <c r="W129" s="23">
        <f t="shared" si="32"/>
        <v>279836986.34033781</v>
      </c>
      <c r="X129" s="23">
        <f t="shared" si="33"/>
        <v>794766758.52874339</v>
      </c>
      <c r="Y129" s="23">
        <f t="shared" si="34"/>
        <v>514929772.18840551</v>
      </c>
      <c r="Z129" s="17">
        <f>IFERROR(INDEX(Cost_Components!$T$2:$T$6,MATCH(E129,Cost_Components!$A$2:$A$6,0)),"")</f>
        <v>0.41649999999999998</v>
      </c>
      <c r="AA129" s="26">
        <f>IFERROR(INDEX(Cost_Components!$U$2:$U$6,MATCH(E129,Cost_Components!$A$2:$A$6,0)),"")</f>
        <v>2025</v>
      </c>
      <c r="AB129" s="26">
        <f>IFERROR(INDEX(Cost_Components!$V$2:$V$6,MATCH(E129,Cost_Components!$A$2:$A$6,0)),"")</f>
        <v>2040</v>
      </c>
      <c r="AC129" s="26">
        <f>IFERROR(INDEX(Cost_Components!$M$2:$M$6,MATCH(E129,Cost_Components!$A$2:$A$6,0)),"")</f>
        <v>30</v>
      </c>
      <c r="AD129" s="26">
        <f>IFERROR(INDEX(Cost_Components!$N$2:$N$6,MATCH(E129,Cost_Components!$A$2:$A$6,0)),"")</f>
        <v>95</v>
      </c>
      <c r="AE129" s="16" t="str">
        <f>IFERROR(INDEX(Cost_Components!$O$2:$O$6,MATCH(E129,Cost_Components!$A$2:$A$6,0)),"")</f>
        <v>Both</v>
      </c>
      <c r="AF129" s="11">
        <v>16316675.7915389</v>
      </c>
      <c r="AG129" s="11">
        <v>16177113.424504301</v>
      </c>
      <c r="AH129" s="23">
        <f t="shared" si="35"/>
        <v>1</v>
      </c>
    </row>
    <row r="130" spans="1:34">
      <c r="A130" t="s">
        <v>115</v>
      </c>
      <c r="B130" s="20">
        <v>2049</v>
      </c>
      <c r="C130" t="s">
        <v>229</v>
      </c>
      <c r="D130" t="s">
        <v>233</v>
      </c>
      <c r="E130" s="22" t="s">
        <v>270</v>
      </c>
      <c r="F130" s="22" t="s">
        <v>271</v>
      </c>
      <c r="G130" s="22" t="s">
        <v>230</v>
      </c>
      <c r="H130" s="22" t="s">
        <v>237</v>
      </c>
      <c r="I130" s="22" t="s">
        <v>274</v>
      </c>
      <c r="J130" s="17">
        <f>IFERROR(INDEX(Cost_Components!$K$2:$K$6,MATCH(E130,Cost_Components!$A$2:$A$6,0)),"")</f>
        <v>0.2</v>
      </c>
      <c r="K130" s="31">
        <v>0.41649999999999998</v>
      </c>
      <c r="L130" s="17">
        <f>IFERROR(INDEX(Cost_Components!$S$2:$S$6,MATCH(E130,Cost_Components!$A$2:$A$6,0)),"")</f>
        <v>0.147914612579645</v>
      </c>
      <c r="M130" s="28">
        <f>IFERROR(INDEX(Cost_Components!$L$2:$L$6,MATCH(E130,Cost_Components!$A$2:$A$6,0)),"")</f>
        <v>1</v>
      </c>
      <c r="N130" s="29">
        <f>IFERROR(INDEX(Cost_Components!$P$2:$P$6,MATCH(E130,Cost_Components!$A$2:$A$6,0)),"")</f>
        <v>1154.0355216616899</v>
      </c>
      <c r="O130" s="23">
        <f t="shared" si="27"/>
        <v>3269100.4001609404</v>
      </c>
      <c r="P130" s="23">
        <f t="shared" si="28"/>
        <v>3239722.7949781399</v>
      </c>
      <c r="Q130" s="23">
        <f t="shared" ref="Q130:Q131" si="36">P130*L130*M130*N130</f>
        <v>553016524.82914674</v>
      </c>
      <c r="R130" s="23">
        <f t="shared" si="30"/>
        <v>1571312051.0291266</v>
      </c>
      <c r="S130" s="23">
        <f t="shared" ref="S130:S131" si="37">R130-Q130</f>
        <v>1018295526.1999799</v>
      </c>
      <c r="T130" s="16">
        <f>IFERROR(INDEX(Cost_Components!$R$2:$R$6,MATCH(E130,Cost_Components!$A$2:$A$6,0)),"")</f>
        <v>1</v>
      </c>
      <c r="U130" s="26">
        <f>IFERROR(INDEX(Cost_Components!$Q$2:$Q$6,MATCH(E130,Cost_Components!$A$2:$A$6,0)),"")</f>
        <v>2023</v>
      </c>
      <c r="V130" s="30">
        <f>1/(1+Calculation_Assumptions!$B$5)^(B130-Calculation_Assumptions!$B$2)</f>
        <v>0.49193373633950943</v>
      </c>
      <c r="W130" s="23">
        <f t="shared" ref="W130:W131" si="38">Q130*V130</f>
        <v>272047485.31669325</v>
      </c>
      <c r="X130" s="23">
        <f t="shared" si="33"/>
        <v>772981408.2180562</v>
      </c>
      <c r="Y130" s="23">
        <f t="shared" si="34"/>
        <v>500933922.90136296</v>
      </c>
      <c r="Z130" s="17">
        <f>IFERROR(INDEX(Cost_Components!$T$2:$T$6,MATCH(E130,Cost_Components!$A$2:$A$6,0)),"")</f>
        <v>0.41649999999999998</v>
      </c>
      <c r="AA130" s="26">
        <f>IFERROR(INDEX(Cost_Components!$U$2:$U$6,MATCH(E130,Cost_Components!$A$2:$A$6,0)),"")</f>
        <v>2025</v>
      </c>
      <c r="AB130" s="26">
        <f>IFERROR(INDEX(Cost_Components!$V$2:$V$6,MATCH(E130,Cost_Components!$A$2:$A$6,0)),"")</f>
        <v>2040</v>
      </c>
      <c r="AC130" s="26">
        <f>IFERROR(INDEX(Cost_Components!$M$2:$M$6,MATCH(E130,Cost_Components!$A$2:$A$6,0)),"")</f>
        <v>30</v>
      </c>
      <c r="AD130" s="26">
        <f>IFERROR(INDEX(Cost_Components!$N$2:$N$6,MATCH(E130,Cost_Components!$A$2:$A$6,0)),"")</f>
        <v>95</v>
      </c>
      <c r="AE130" s="16" t="str">
        <f>IFERROR(INDEX(Cost_Components!$O$2:$O$6,MATCH(E130,Cost_Components!$A$2:$A$6,0)),"")</f>
        <v>Both</v>
      </c>
      <c r="AF130" s="11">
        <v>16345502.0008047</v>
      </c>
      <c r="AG130" s="11">
        <v>16198613.9748907</v>
      </c>
      <c r="AH130" s="23">
        <f t="shared" si="35"/>
        <v>1</v>
      </c>
    </row>
    <row r="131" spans="1:34">
      <c r="A131" t="s">
        <v>115</v>
      </c>
      <c r="B131" s="20">
        <v>2050</v>
      </c>
      <c r="C131" t="s">
        <v>229</v>
      </c>
      <c r="D131" t="s">
        <v>233</v>
      </c>
      <c r="E131" s="22" t="s">
        <v>270</v>
      </c>
      <c r="F131" s="22" t="s">
        <v>271</v>
      </c>
      <c r="G131" s="22" t="s">
        <v>230</v>
      </c>
      <c r="H131" s="22" t="s">
        <v>237</v>
      </c>
      <c r="I131" s="22" t="s">
        <v>274</v>
      </c>
      <c r="J131" s="17">
        <f>IFERROR(INDEX(Cost_Components!$K$2:$K$6,MATCH(E131,Cost_Components!$A$2:$A$6,0)),"")</f>
        <v>0.2</v>
      </c>
      <c r="K131" s="31">
        <v>0.41649999999999998</v>
      </c>
      <c r="L131" s="17">
        <f>IFERROR(INDEX(Cost_Components!$S$2:$S$6,MATCH(E131,Cost_Components!$A$2:$A$6,0)),"")</f>
        <v>0.147914612579645</v>
      </c>
      <c r="M131" s="28">
        <f>IFERROR(INDEX(Cost_Components!$L$2:$L$6,MATCH(E131,Cost_Components!$A$2:$A$6,0)),"")</f>
        <v>1</v>
      </c>
      <c r="N131" s="29">
        <f>IFERROR(INDEX(Cost_Components!$P$2:$P$6,MATCH(E131,Cost_Components!$A$2:$A$6,0)),"")</f>
        <v>1154.0355216616899</v>
      </c>
      <c r="O131" s="23">
        <f t="shared" si="27"/>
        <v>3274485.5120390002</v>
      </c>
      <c r="P131" s="23">
        <f t="shared" si="28"/>
        <v>3243716.3572267201</v>
      </c>
      <c r="Q131" s="23">
        <f t="shared" si="36"/>
        <v>553698220.78159738</v>
      </c>
      <c r="R131" s="23">
        <f t="shared" si="30"/>
        <v>1573900436.2588124</v>
      </c>
      <c r="S131" s="23">
        <f t="shared" si="37"/>
        <v>1020202215.4772151</v>
      </c>
      <c r="T131" s="16">
        <f>IFERROR(INDEX(Cost_Components!$R$2:$R$6,MATCH(E131,Cost_Components!$A$2:$A$6,0)),"")</f>
        <v>1</v>
      </c>
      <c r="U131" s="26">
        <f>IFERROR(INDEX(Cost_Components!$Q$2:$Q$6,MATCH(E131,Cost_Components!$A$2:$A$6,0)),"")</f>
        <v>2023</v>
      </c>
      <c r="V131" s="30">
        <f>1/(1+Calculation_Assumptions!$B$5)^(B131-Calculation_Assumptions!$B$2)</f>
        <v>0.47760556926165965</v>
      </c>
      <c r="W131" s="23">
        <f t="shared" si="38"/>
        <v>264449353.93556291</v>
      </c>
      <c r="X131" s="23">
        <f t="shared" si="33"/>
        <v>751703613.82056463</v>
      </c>
      <c r="Y131" s="23">
        <f t="shared" si="34"/>
        <v>487254259.88500166</v>
      </c>
      <c r="Z131" s="17">
        <f>IFERROR(INDEX(Cost_Components!$T$2:$T$6,MATCH(E131,Cost_Components!$A$2:$A$6,0)),"")</f>
        <v>0.41649999999999998</v>
      </c>
      <c r="AA131" s="26">
        <f>IFERROR(INDEX(Cost_Components!$U$2:$U$6,MATCH(E131,Cost_Components!$A$2:$A$6,0)),"")</f>
        <v>2025</v>
      </c>
      <c r="AB131" s="26">
        <f>IFERROR(INDEX(Cost_Components!$V$2:$V$6,MATCH(E131,Cost_Components!$A$2:$A$6,0)),"")</f>
        <v>2040</v>
      </c>
      <c r="AC131" s="26">
        <f>IFERROR(INDEX(Cost_Components!$M$2:$M$6,MATCH(E131,Cost_Components!$A$2:$A$6,0)),"")</f>
        <v>30</v>
      </c>
      <c r="AD131" s="26">
        <f>IFERROR(INDEX(Cost_Components!$N$2:$N$6,MATCH(E131,Cost_Components!$A$2:$A$6,0)),"")</f>
        <v>95</v>
      </c>
      <c r="AE131" s="16" t="str">
        <f>IFERROR(INDEX(Cost_Components!$O$2:$O$6,MATCH(E131,Cost_Components!$A$2:$A$6,0)),"")</f>
        <v>Both</v>
      </c>
      <c r="AF131" s="11">
        <v>16372427.560195001</v>
      </c>
      <c r="AG131" s="11">
        <v>16218581.7861336</v>
      </c>
      <c r="AH131" s="23">
        <f t="shared" si="35"/>
        <v>1</v>
      </c>
    </row>
  </sheetData>
  <autoFilter ref="A1:AH1" xr:uid="{00000000-0009-0000-0000-00000C000000}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2" width="11.69921875" customWidth="1"/>
    <col min="3" max="4" width="15.69921875" customWidth="1"/>
    <col min="5" max="5" width="18.69921875" customWidth="1"/>
    <col min="6" max="6" width="23.69921875" customWidth="1"/>
    <col min="7" max="7" width="29.69921875" customWidth="1"/>
    <col min="8" max="8" width="34.69921875" customWidth="1"/>
  </cols>
  <sheetData>
    <row r="1" spans="1:8" ht="28.05" customHeight="1">
      <c r="A1" s="1" t="s">
        <v>282</v>
      </c>
      <c r="B1" s="1" t="s">
        <v>42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</row>
    <row r="2" spans="1:8">
      <c r="A2" t="s">
        <v>115</v>
      </c>
      <c r="B2" s="20">
        <v>2025</v>
      </c>
      <c r="C2" s="23">
        <f>SUMIFS(Annual_Cost!$Q$2:$Q$131,Annual_Cost!$A$2:$A$131,A2,Annual_Cost!$B$2:$B$131,B2)</f>
        <v>1549345620.8291185</v>
      </c>
      <c r="D2" s="23">
        <f>SUMIFS(Annual_Cost!$R$2:$R$131,Annual_Cost!$A$2:$A$131,A2,Annual_Cost!$B$2:$B$131,B2)</f>
        <v>1549345620.8291185</v>
      </c>
      <c r="E2" s="23">
        <f>SUMIFS(Annual_Cost!$S$2:$S$131,Annual_Cost!$A$2:$A$131,A2,Annual_Cost!$B$2:$B$131,B2)</f>
        <v>0</v>
      </c>
      <c r="F2" s="23">
        <f>SUMIFS(Annual_Cost!$Y$2:$Y$131,Annual_Cost!$A$2:$A$131,A2,Annual_Cost!$B$2:$B$131,B2)</f>
        <v>0</v>
      </c>
      <c r="G2" s="23">
        <f>SUMIFS($E$2:E2,$A$2:A2,A2)</f>
        <v>0</v>
      </c>
      <c r="H2" s="23">
        <f>SUMIFS($F$2:F2,$A$2:A2,A2)</f>
        <v>0</v>
      </c>
    </row>
    <row r="3" spans="1:8">
      <c r="A3" t="s">
        <v>115</v>
      </c>
      <c r="B3" s="20">
        <v>2026</v>
      </c>
      <c r="C3" s="23">
        <f>SUMIFS(Annual_Cost!$Q$2:$Q$131,Annual_Cost!$A$2:$A$131,A3,Annual_Cost!$B$2:$B$131,B3)</f>
        <v>1555712920.5018339</v>
      </c>
      <c r="D3" s="23">
        <f>SUMIFS(Annual_Cost!$R$2:$R$131,Annual_Cost!$A$2:$A$131,A3,Annual_Cost!$B$2:$B$131,B3)</f>
        <v>1563221721.4568186</v>
      </c>
      <c r="E3" s="23">
        <f>SUMIFS(Annual_Cost!$S$2:$S$131,Annual_Cost!$A$2:$A$131,A3,Annual_Cost!$B$2:$B$131,B3)</f>
        <v>7508800.9549846724</v>
      </c>
      <c r="F3" s="23">
        <f>SUMIFS(Annual_Cost!$Y$2:$Y$131,Annual_Cost!$A$2:$A$131,A3,Annual_Cost!$B$2:$B$131,B3)</f>
        <v>7290098.0145482253</v>
      </c>
      <c r="G3" s="23">
        <f>SUMIFS($E$2:E3,$A$2:A3,A3)</f>
        <v>7508800.9549846724</v>
      </c>
      <c r="H3" s="23">
        <f>SUMIFS($F$2:F3,$A$2:A3,A3)</f>
        <v>7290098.0145482253</v>
      </c>
    </row>
    <row r="4" spans="1:8">
      <c r="A4" t="s">
        <v>115</v>
      </c>
      <c r="B4" s="20">
        <v>2027</v>
      </c>
      <c r="C4" s="23">
        <f>SUMIFS(Annual_Cost!$Q$2:$Q$131,Annual_Cost!$A$2:$A$131,A4,Annual_Cost!$B$2:$B$131,B4)</f>
        <v>1562570989.1509924</v>
      </c>
      <c r="D4" s="23">
        <f>SUMIFS(Annual_Cost!$R$2:$R$131,Annual_Cost!$A$2:$A$131,A4,Annual_Cost!$B$2:$B$131,B4)</f>
        <v>1577677481.0545526</v>
      </c>
      <c r="E4" s="23">
        <f>SUMIFS(Annual_Cost!$S$2:$S$131,Annual_Cost!$A$2:$A$131,A4,Annual_Cost!$B$2:$B$131,B4)</f>
        <v>15106491.903560113</v>
      </c>
      <c r="F4" s="23">
        <f>SUMIFS(Annual_Cost!$Y$2:$Y$131,Annual_Cost!$A$2:$A$131,A4,Annual_Cost!$B$2:$B$131,B4)</f>
        <v>14239317.469657945</v>
      </c>
      <c r="G4" s="23">
        <f>SUMIFS($E$2:E4,$A$2:A4,A4)</f>
        <v>22615292.858544786</v>
      </c>
      <c r="H4" s="23">
        <f>SUMIFS($F$2:F4,$A$2:A4,A4)</f>
        <v>21529415.48420617</v>
      </c>
    </row>
    <row r="5" spans="1:8">
      <c r="A5" t="s">
        <v>115</v>
      </c>
      <c r="B5" s="20">
        <v>2028</v>
      </c>
      <c r="C5" s="23">
        <f>SUMIFS(Annual_Cost!$Q$2:$Q$131,Annual_Cost!$A$2:$A$131,A5,Annual_Cost!$B$2:$B$131,B5)</f>
        <v>1569632329.2937191</v>
      </c>
      <c r="D5" s="23">
        <f>SUMIFS(Annual_Cost!$R$2:$R$131,Annual_Cost!$A$2:$A$131,A5,Annual_Cost!$B$2:$B$131,B5)</f>
        <v>1592428490.262851</v>
      </c>
      <c r="E5" s="23">
        <f>SUMIFS(Annual_Cost!$S$2:$S$131,Annual_Cost!$A$2:$A$131,A5,Annual_Cost!$B$2:$B$131,B5)</f>
        <v>22796160.969132032</v>
      </c>
      <c r="F5" s="23">
        <f>SUMIFS(Annual_Cost!$Y$2:$Y$131,Annual_Cost!$A$2:$A$131,A5,Annual_Cost!$B$2:$B$131,B5)</f>
        <v>20861716.57617322</v>
      </c>
      <c r="G5" s="23">
        <f>SUMIFS($E$2:E5,$A$2:A5,A5)</f>
        <v>45411453.827676818</v>
      </c>
      <c r="H5" s="23">
        <f>SUMIFS($F$2:F5,$A$2:A5,A5)</f>
        <v>42391132.060379386</v>
      </c>
    </row>
    <row r="6" spans="1:8">
      <c r="A6" t="s">
        <v>115</v>
      </c>
      <c r="B6" s="20">
        <v>2029</v>
      </c>
      <c r="C6" s="23">
        <f>SUMIFS(Annual_Cost!$Q$2:$Q$131,Annual_Cost!$A$2:$A$131,A6,Annual_Cost!$B$2:$B$131,B6)</f>
        <v>1576553050.4154253</v>
      </c>
      <c r="D6" s="23">
        <f>SUMIFS(Annual_Cost!$R$2:$R$131,Annual_Cost!$A$2:$A$131,A6,Annual_Cost!$B$2:$B$131,B6)</f>
        <v>1607126997.0490234</v>
      </c>
      <c r="E6" s="23">
        <f>SUMIFS(Annual_Cost!$S$2:$S$131,Annual_Cost!$A$2:$A$131,A6,Annual_Cost!$B$2:$B$131,B6)</f>
        <v>30573946.633598104</v>
      </c>
      <c r="F6" s="23">
        <f>SUMIFS(Annual_Cost!$Y$2:$Y$131,Annual_Cost!$A$2:$A$131,A6,Annual_Cost!$B$2:$B$131,B6)</f>
        <v>27164555.587617397</v>
      </c>
      <c r="G6" s="23">
        <f>SUMIFS($E$2:E6,$A$2:A6,A6)</f>
        <v>75985400.461274922</v>
      </c>
      <c r="H6" s="23">
        <f>SUMIFS($F$2:F6,$A$2:A6,A6)</f>
        <v>69555687.647996783</v>
      </c>
    </row>
    <row r="7" spans="1:8">
      <c r="A7" t="s">
        <v>115</v>
      </c>
      <c r="B7" s="20">
        <v>2030</v>
      </c>
      <c r="C7" s="23">
        <f>SUMIFS(Annual_Cost!$Q$2:$Q$131,Annual_Cost!$A$2:$A$131,A7,Annual_Cost!$B$2:$B$131,B7)</f>
        <v>1583348267.1604528</v>
      </c>
      <c r="D7" s="23">
        <f>SUMIFS(Annual_Cost!$R$2:$R$131,Annual_Cost!$A$2:$A$131,A7,Annual_Cost!$B$2:$B$131,B7)</f>
        <v>1621736247.1667197</v>
      </c>
      <c r="E7" s="23">
        <f>SUMIFS(Annual_Cost!$S$2:$S$131,Annual_Cost!$A$2:$A$131,A7,Annual_Cost!$B$2:$B$131,B7)</f>
        <v>38387980.006266862</v>
      </c>
      <c r="F7" s="23">
        <f>SUMIFS(Annual_Cost!$Y$2:$Y$131,Annual_Cost!$A$2:$A$131,A7,Annual_Cost!$B$2:$B$131,B7)</f>
        <v>33113808.768169452</v>
      </c>
      <c r="G7" s="23">
        <f>SUMIFS($E$2:E7,$A$2:A7,A7)</f>
        <v>114373380.46754178</v>
      </c>
      <c r="H7" s="23">
        <f>SUMIFS($F$2:F7,$A$2:A7,A7)</f>
        <v>102669496.41616623</v>
      </c>
    </row>
    <row r="8" spans="1:8">
      <c r="A8" t="s">
        <v>115</v>
      </c>
      <c r="B8" s="20">
        <v>2031</v>
      </c>
      <c r="C8" s="23">
        <f>SUMIFS(Annual_Cost!$Q$2:$Q$131,Annual_Cost!$A$2:$A$131,A8,Annual_Cost!$B$2:$B$131,B8)</f>
        <v>1590105771.8441787</v>
      </c>
      <c r="D8" s="23">
        <f>SUMIFS(Annual_Cost!$R$2:$R$131,Annual_Cost!$A$2:$A$131,A8,Annual_Cost!$B$2:$B$131,B8)</f>
        <v>1916279059.534698</v>
      </c>
      <c r="E8" s="23">
        <f>SUMIFS(Annual_Cost!$S$2:$S$131,Annual_Cost!$A$2:$A$131,A8,Annual_Cost!$B$2:$B$131,B8)</f>
        <v>326173287.69051933</v>
      </c>
      <c r="F8" s="23">
        <f>SUMIFS(Annual_Cost!$Y$2:$Y$131,Annual_Cost!$A$2:$A$131,A8,Annual_Cost!$B$2:$B$131,B8)</f>
        <v>273164993.39155835</v>
      </c>
      <c r="G8" s="23">
        <f>SUMIFS($E$2:E8,$A$2:A8,A8)</f>
        <v>440546668.15806115</v>
      </c>
      <c r="H8" s="23">
        <f>SUMIFS($F$2:F8,$A$2:A8,A8)</f>
        <v>375834489.8077246</v>
      </c>
    </row>
    <row r="9" spans="1:8">
      <c r="A9" t="s">
        <v>115</v>
      </c>
      <c r="B9" s="20">
        <v>2032</v>
      </c>
      <c r="C9" s="23">
        <f>SUMIFS(Annual_Cost!$Q$2:$Q$131,Annual_Cost!$A$2:$A$131,A9,Annual_Cost!$B$2:$B$131,B9)</f>
        <v>1596650962.9318743</v>
      </c>
      <c r="D9" s="23">
        <f>SUMIFS(Annual_Cost!$R$2:$R$131,Annual_Cost!$A$2:$A$131,A9,Annual_Cost!$B$2:$B$131,B9)</f>
        <v>2213219246.8299494</v>
      </c>
      <c r="E9" s="23">
        <f>SUMIFS(Annual_Cost!$S$2:$S$131,Annual_Cost!$A$2:$A$131,A9,Annual_Cost!$B$2:$B$131,B9)</f>
        <v>616568283.89807534</v>
      </c>
      <c r="F9" s="23">
        <f>SUMIFS(Annual_Cost!$Y$2:$Y$131,Annual_Cost!$A$2:$A$131,A9,Annual_Cost!$B$2:$B$131,B9)</f>
        <v>501326437.80106413</v>
      </c>
      <c r="G9" s="23">
        <f>SUMIFS($E$2:E9,$A$2:A9,A9)</f>
        <v>1057114952.0561365</v>
      </c>
      <c r="H9" s="23">
        <f>SUMIFS($F$2:F9,$A$2:A9,A9)</f>
        <v>877160927.60878873</v>
      </c>
    </row>
    <row r="10" spans="1:8">
      <c r="A10" t="s">
        <v>115</v>
      </c>
      <c r="B10" s="20">
        <v>2033</v>
      </c>
      <c r="C10" s="23">
        <f>SUMIFS(Annual_Cost!$Q$2:$Q$131,Annual_Cost!$A$2:$A$131,A10,Annual_Cost!$B$2:$B$131,B10)</f>
        <v>1602762305.0749161</v>
      </c>
      <c r="D10" s="23">
        <f>SUMIFS(Annual_Cost!$R$2:$R$131,Annual_Cost!$A$2:$A$131,A10,Annual_Cost!$B$2:$B$131,B10)</f>
        <v>2512175645.3926196</v>
      </c>
      <c r="E10" s="23">
        <f>SUMIFS(Annual_Cost!$S$2:$S$131,Annual_Cost!$A$2:$A$131,A10,Annual_Cost!$B$2:$B$131,B10)</f>
        <v>909413340.31770349</v>
      </c>
      <c r="F10" s="23">
        <f>SUMIFS(Annual_Cost!$Y$2:$Y$131,Annual_Cost!$A$2:$A$131,A10,Annual_Cost!$B$2:$B$131,B10)</f>
        <v>717899288.65507698</v>
      </c>
      <c r="G10" s="23">
        <f>SUMIFS($E$2:E10,$A$2:A10,A10)</f>
        <v>1966528292.3738399</v>
      </c>
      <c r="H10" s="23">
        <f>SUMIFS($F$2:F10,$A$2:A10,A10)</f>
        <v>1595060216.2638657</v>
      </c>
    </row>
    <row r="11" spans="1:8">
      <c r="A11" t="s">
        <v>115</v>
      </c>
      <c r="B11" s="20">
        <v>2034</v>
      </c>
      <c r="C11" s="23">
        <f>SUMIFS(Annual_Cost!$Q$2:$Q$131,Annual_Cost!$A$2:$A$131,A11,Annual_Cost!$B$2:$B$131,B11)</f>
        <v>1608360467.2868228</v>
      </c>
      <c r="D11" s="23">
        <f>SUMIFS(Annual_Cost!$R$2:$R$131,Annual_Cost!$A$2:$A$131,A11,Annual_Cost!$B$2:$B$131,B11)</f>
        <v>2812826678.8058119</v>
      </c>
      <c r="E11" s="23">
        <f>SUMIFS(Annual_Cost!$S$2:$S$131,Annual_Cost!$A$2:$A$131,A11,Annual_Cost!$B$2:$B$131,B11)</f>
        <v>1204466211.5189891</v>
      </c>
      <c r="F11" s="23">
        <f>SUMIFS(Annual_Cost!$Y$2:$Y$131,Annual_Cost!$A$2:$A$131,A11,Annual_Cost!$B$2:$B$131,B11)</f>
        <v>923123058.05069137</v>
      </c>
      <c r="G11" s="23">
        <f>SUMIFS($E$2:E11,$A$2:A11,A11)</f>
        <v>3170994503.8928289</v>
      </c>
      <c r="H11" s="23">
        <f>SUMIFS($F$2:F11,$A$2:A11,A11)</f>
        <v>2518183274.3145571</v>
      </c>
    </row>
    <row r="12" spans="1:8">
      <c r="A12" t="s">
        <v>115</v>
      </c>
      <c r="B12" s="20">
        <v>2035</v>
      </c>
      <c r="C12" s="23">
        <f>SUMIFS(Annual_Cost!$Q$2:$Q$131,Annual_Cost!$A$2:$A$131,A12,Annual_Cost!$B$2:$B$131,B12)</f>
        <v>1613663862.2796476</v>
      </c>
      <c r="D12" s="23">
        <f>SUMIFS(Annual_Cost!$R$2:$R$131,Annual_Cost!$A$2:$A$131,A12,Annual_Cost!$B$2:$B$131,B12)</f>
        <v>3115378149.8054986</v>
      </c>
      <c r="E12" s="23">
        <f>SUMIFS(Annual_Cost!$S$2:$S$131,Annual_Cost!$A$2:$A$131,A12,Annual_Cost!$B$2:$B$131,B12)</f>
        <v>1501714287.525851</v>
      </c>
      <c r="F12" s="23">
        <f>SUMIFS(Annual_Cost!$Y$2:$Y$131,Annual_Cost!$A$2:$A$131,A12,Annual_Cost!$B$2:$B$131,B12)</f>
        <v>1117416463.261457</v>
      </c>
      <c r="G12" s="23">
        <f>SUMIFS($E$2:E12,$A$2:A12,A12)</f>
        <v>4672708791.4186802</v>
      </c>
      <c r="H12" s="23">
        <f>SUMIFS($F$2:F12,$A$2:A12,A12)</f>
        <v>3635599737.576014</v>
      </c>
    </row>
    <row r="13" spans="1:8">
      <c r="A13" t="s">
        <v>115</v>
      </c>
      <c r="B13" s="20">
        <v>2036</v>
      </c>
      <c r="C13" s="23">
        <f>SUMIFS(Annual_Cost!$Q$2:$Q$131,Annual_Cost!$A$2:$A$131,A13,Annual_Cost!$B$2:$B$131,B13)</f>
        <v>1619091833.7686858</v>
      </c>
      <c r="D13" s="23">
        <f>SUMIFS(Annual_Cost!$R$2:$R$131,Annual_Cost!$A$2:$A$131,A13,Annual_Cost!$B$2:$B$131,B13)</f>
        <v>3420610787.8702955</v>
      </c>
      <c r="E13" s="23">
        <f>SUMIFS(Annual_Cost!$S$2:$S$131,Annual_Cost!$A$2:$A$131,A13,Annual_Cost!$B$2:$B$131,B13)</f>
        <v>1801518954.1016092</v>
      </c>
      <c r="F13" s="23">
        <f>SUMIFS(Annual_Cost!$Y$2:$Y$131,Annual_Cost!$A$2:$A$131,A13,Annual_Cost!$B$2:$B$131,B13)</f>
        <v>1301455622.6389518</v>
      </c>
      <c r="G13" s="23">
        <f>SUMIFS($E$2:E13,$A$2:A13,A13)</f>
        <v>6474227745.5202894</v>
      </c>
      <c r="H13" s="23">
        <f>SUMIFS($F$2:F13,$A$2:A13,A13)</f>
        <v>4937055360.2149658</v>
      </c>
    </row>
    <row r="14" spans="1:8">
      <c r="A14" t="s">
        <v>115</v>
      </c>
      <c r="B14" s="20">
        <v>2037</v>
      </c>
      <c r="C14" s="23">
        <f>SUMIFS(Annual_Cost!$Q$2:$Q$131,Annual_Cost!$A$2:$A$131,A14,Annual_Cost!$B$2:$B$131,B14)</f>
        <v>1624552558.5354044</v>
      </c>
      <c r="D14" s="23">
        <f>SUMIFS(Annual_Cost!$R$2:$R$131,Annual_Cost!$A$2:$A$131,A14,Annual_Cost!$B$2:$B$131,B14)</f>
        <v>3728438908.4213591</v>
      </c>
      <c r="E14" s="23">
        <f>SUMIFS(Annual_Cost!$S$2:$S$131,Annual_Cost!$A$2:$A$131,A14,Annual_Cost!$B$2:$B$131,B14)</f>
        <v>2103886349.8859541</v>
      </c>
      <c r="F14" s="23">
        <f>SUMIFS(Annual_Cost!$Y$2:$Y$131,Annual_Cost!$A$2:$A$131,A14,Annual_Cost!$B$2:$B$131,B14)</f>
        <v>1475623556.0226424</v>
      </c>
      <c r="G14" s="23">
        <f>SUMIFS($E$2:E14,$A$2:A14,A14)</f>
        <v>8578114095.4062433</v>
      </c>
      <c r="H14" s="23">
        <f>SUMIFS($F$2:F14,$A$2:A14,A14)</f>
        <v>6412678916.237608</v>
      </c>
    </row>
    <row r="15" spans="1:8">
      <c r="A15" t="s">
        <v>115</v>
      </c>
      <c r="B15" s="20">
        <v>2038</v>
      </c>
      <c r="C15" s="23">
        <f>SUMIFS(Annual_Cost!$Q$2:$Q$131,Annual_Cost!$A$2:$A$131,A15,Annual_Cost!$B$2:$B$131,B15)</f>
        <v>1629925567.4165812</v>
      </c>
      <c r="D15" s="23">
        <f>SUMIFS(Annual_Cost!$R$2:$R$131,Annual_Cost!$A$2:$A$131,A15,Annual_Cost!$B$2:$B$131,B15)</f>
        <v>4038635949.837676</v>
      </c>
      <c r="E15" s="23">
        <f>SUMIFS(Annual_Cost!$S$2:$S$131,Annual_Cost!$A$2:$A$131,A15,Annual_Cost!$B$2:$B$131,B15)</f>
        <v>2408710382.4210949</v>
      </c>
      <c r="F15" s="23">
        <f>SUMIFS(Annual_Cost!$Y$2:$Y$131,Annual_Cost!$A$2:$A$131,A15,Annual_Cost!$B$2:$B$131,B15)</f>
        <v>1640214562.565125</v>
      </c>
      <c r="G15" s="23">
        <f>SUMIFS($E$2:E15,$A$2:A15,A15)</f>
        <v>10986824477.827339</v>
      </c>
      <c r="H15" s="23">
        <f>SUMIFS($F$2:F15,$A$2:A15,A15)</f>
        <v>8052893478.8027325</v>
      </c>
    </row>
    <row r="16" spans="1:8">
      <c r="A16" t="s">
        <v>115</v>
      </c>
      <c r="B16" s="20">
        <v>2039</v>
      </c>
      <c r="C16" s="23">
        <f>SUMIFS(Annual_Cost!$Q$2:$Q$131,Annual_Cost!$A$2:$A$131,A16,Annual_Cost!$B$2:$B$131,B16)</f>
        <v>1635109701.6033173</v>
      </c>
      <c r="D16" s="23">
        <f>SUMIFS(Annual_Cost!$R$2:$R$131,Annual_Cost!$A$2:$A$131,A16,Annual_Cost!$B$2:$B$131,B16)</f>
        <v>4350941001.5393448</v>
      </c>
      <c r="E16" s="23">
        <f>SUMIFS(Annual_Cost!$S$2:$S$131,Annual_Cost!$A$2:$A$131,A16,Annual_Cost!$B$2:$B$131,B16)</f>
        <v>2715831299.936028</v>
      </c>
      <c r="F16" s="23">
        <f>SUMIFS(Annual_Cost!$Y$2:$Y$131,Annual_Cost!$A$2:$A$131,A16,Annual_Cost!$B$2:$B$131,B16)</f>
        <v>1795484429.9872351</v>
      </c>
      <c r="G16" s="23">
        <f>SUMIFS($E$2:E16,$A$2:A16,A16)</f>
        <v>13702655777.763367</v>
      </c>
      <c r="H16" s="23">
        <f>SUMIFS($F$2:F16,$A$2:A16,A16)</f>
        <v>9848377908.7899666</v>
      </c>
    </row>
    <row r="17" spans="1:8">
      <c r="A17" t="s">
        <v>115</v>
      </c>
      <c r="B17" s="20">
        <v>2040</v>
      </c>
      <c r="C17" s="23">
        <f>SUMIFS(Annual_Cost!$Q$2:$Q$131,Annual_Cost!$A$2:$A$131,A17,Annual_Cost!$B$2:$B$131,B17)</f>
        <v>1640206851.2737565</v>
      </c>
      <c r="D17" s="23">
        <f>SUMIFS(Annual_Cost!$R$2:$R$131,Annual_Cost!$A$2:$A$131,A17,Annual_Cost!$B$2:$B$131,B17)</f>
        <v>4665597887.1038322</v>
      </c>
      <c r="E17" s="23">
        <f>SUMIFS(Annual_Cost!$S$2:$S$131,Annual_Cost!$A$2:$A$131,A17,Annual_Cost!$B$2:$B$131,B17)</f>
        <v>3025391035.8300757</v>
      </c>
      <c r="F17" s="23">
        <f>SUMIFS(Annual_Cost!$Y$2:$Y$131,Annual_Cost!$A$2:$A$131,A17,Annual_Cost!$B$2:$B$131,B17)</f>
        <v>1941883381.894465</v>
      </c>
      <c r="G17" s="23">
        <f>SUMIFS($E$2:E17,$A$2:A17,A17)</f>
        <v>16728046813.593443</v>
      </c>
      <c r="H17" s="23">
        <f>SUMIFS($F$2:F17,$A$2:A17,A17)</f>
        <v>11790261290.684431</v>
      </c>
    </row>
    <row r="18" spans="1:8">
      <c r="A18" t="s">
        <v>115</v>
      </c>
      <c r="B18" s="20">
        <v>2041</v>
      </c>
      <c r="C18" s="23">
        <f>SUMIFS(Annual_Cost!$Q$2:$Q$131,Annual_Cost!$A$2:$A$131,A18,Annual_Cost!$B$2:$B$131,B18)</f>
        <v>1645296014.8662751</v>
      </c>
      <c r="D18" s="23">
        <f>SUMIFS(Annual_Cost!$R$2:$R$131,Annual_Cost!$A$2:$A$131,A18,Annual_Cost!$B$2:$B$131,B18)</f>
        <v>4683429141.4672852</v>
      </c>
      <c r="E18" s="23">
        <f>SUMIFS(Annual_Cost!$S$2:$S$131,Annual_Cost!$A$2:$A$131,A18,Annual_Cost!$B$2:$B$131,B18)</f>
        <v>3038133126.6010098</v>
      </c>
      <c r="F18" s="23">
        <f>SUMIFS(Annual_Cost!$Y$2:$Y$131,Annual_Cost!$A$2:$A$131,A18,Annual_Cost!$B$2:$B$131,B18)</f>
        <v>1893264121.4471874</v>
      </c>
      <c r="G18" s="23">
        <f>SUMIFS($E$2:E18,$A$2:A18,A18)</f>
        <v>19766179940.194454</v>
      </c>
      <c r="H18" s="23">
        <f>SUMIFS($F$2:F18,$A$2:A18,A18)</f>
        <v>13683525412.131618</v>
      </c>
    </row>
    <row r="19" spans="1:8">
      <c r="A19" t="s">
        <v>115</v>
      </c>
      <c r="B19" s="20">
        <v>2042</v>
      </c>
      <c r="C19" s="23">
        <f>SUMIFS(Annual_Cost!$Q$2:$Q$131,Annual_Cost!$A$2:$A$131,A19,Annual_Cost!$B$2:$B$131,B19)</f>
        <v>1650363108.8362954</v>
      </c>
      <c r="D19" s="23">
        <f>SUMIFS(Annual_Cost!$R$2:$R$131,Annual_Cost!$A$2:$A$131,A19,Annual_Cost!$B$2:$B$131,B19)</f>
        <v>4701026559.5663395</v>
      </c>
      <c r="E19" s="23">
        <f>SUMIFS(Annual_Cost!$S$2:$S$131,Annual_Cost!$A$2:$A$131,A19,Annual_Cost!$B$2:$B$131,B19)</f>
        <v>3050663450.7300434</v>
      </c>
      <c r="F19" s="23">
        <f>SUMIFS(Annual_Cost!$Y$2:$Y$131,Annual_Cost!$A$2:$A$131,A19,Annual_Cost!$B$2:$B$131,B19)</f>
        <v>1845701558.4292364</v>
      </c>
      <c r="G19" s="23">
        <f>SUMIFS($E$2:E19,$A$2:A19,A19)</f>
        <v>22816843390.9245</v>
      </c>
      <c r="H19" s="23">
        <f>SUMIFS($F$2:F19,$A$2:A19,A19)</f>
        <v>15529226970.560856</v>
      </c>
    </row>
    <row r="20" spans="1:8">
      <c r="A20" t="s">
        <v>115</v>
      </c>
      <c r="B20" s="20">
        <v>2043</v>
      </c>
      <c r="C20" s="23">
        <f>SUMIFS(Annual_Cost!$Q$2:$Q$131,Annual_Cost!$A$2:$A$131,A20,Annual_Cost!$B$2:$B$131,B20)</f>
        <v>1655165122.6983445</v>
      </c>
      <c r="D20" s="23">
        <f>SUMIFS(Annual_Cost!$R$2:$R$131,Annual_Cost!$A$2:$A$131,A20,Annual_Cost!$B$2:$B$131,B20)</f>
        <v>4717703640.7619524</v>
      </c>
      <c r="E20" s="23">
        <f>SUMIFS(Annual_Cost!$S$2:$S$131,Annual_Cost!$A$2:$A$131,A20,Annual_Cost!$B$2:$B$131,B20)</f>
        <v>3062538518.0636072</v>
      </c>
      <c r="F20" s="23">
        <f>SUMIFS(Annual_Cost!$Y$2:$Y$131,Annual_Cost!$A$2:$A$131,A20,Annual_Cost!$B$2:$B$131,B20)</f>
        <v>1798918611.1277246</v>
      </c>
      <c r="G20" s="23">
        <f>SUMIFS($E$2:E20,$A$2:A20,A20)</f>
        <v>25879381908.988106</v>
      </c>
      <c r="H20" s="23">
        <f>SUMIFS($F$2:F20,$A$2:A20,A20)</f>
        <v>17328145581.68858</v>
      </c>
    </row>
    <row r="21" spans="1:8">
      <c r="A21" t="s">
        <v>115</v>
      </c>
      <c r="B21" s="20">
        <v>2044</v>
      </c>
      <c r="C21" s="23">
        <f>SUMIFS(Annual_Cost!$Q$2:$Q$131,Annual_Cost!$A$2:$A$131,A21,Annual_Cost!$B$2:$B$131,B21)</f>
        <v>1659591067.2715483</v>
      </c>
      <c r="D21" s="23">
        <f>SUMIFS(Annual_Cost!$R$2:$R$131,Annual_Cost!$A$2:$A$131,A21,Annual_Cost!$B$2:$B$131,B21)</f>
        <v>4733185733.2934151</v>
      </c>
      <c r="E21" s="23">
        <f>SUMIFS(Annual_Cost!$S$2:$S$131,Annual_Cost!$A$2:$A$131,A21,Annual_Cost!$B$2:$B$131,B21)</f>
        <v>3073594666.0218668</v>
      </c>
      <c r="F21" s="23">
        <f>SUMIFS(Annual_Cost!$Y$2:$Y$131,Annual_Cost!$A$2:$A$131,A21,Annual_Cost!$B$2:$B$131,B21)</f>
        <v>1752828090.115936</v>
      </c>
      <c r="G21" s="23">
        <f>SUMIFS($E$2:E21,$A$2:A21,A21)</f>
        <v>28952976575.009972</v>
      </c>
      <c r="H21" s="23">
        <f>SUMIFS($F$2:F21,$A$2:A21,A21)</f>
        <v>19080973671.804516</v>
      </c>
    </row>
    <row r="22" spans="1:8">
      <c r="A22" t="s">
        <v>115</v>
      </c>
      <c r="B22" s="20">
        <v>2045</v>
      </c>
      <c r="C22" s="23">
        <f>SUMIFS(Annual_Cost!$Q$2:$Q$131,Annual_Cost!$A$2:$A$131,A22,Annual_Cost!$B$2:$B$131,B22)</f>
        <v>1663664788.9484966</v>
      </c>
      <c r="D22" s="23">
        <f>SUMIFS(Annual_Cost!$R$2:$R$131,Annual_Cost!$A$2:$A$131,A22,Annual_Cost!$B$2:$B$131,B22)</f>
        <v>4747533251.1002111</v>
      </c>
      <c r="E22" s="23">
        <f>SUMIFS(Annual_Cost!$S$2:$S$131,Annual_Cost!$A$2:$A$131,A22,Annual_Cost!$B$2:$B$131,B22)</f>
        <v>3083868462.1517143</v>
      </c>
      <c r="F22" s="23">
        <f>SUMIFS(Annual_Cost!$Y$2:$Y$131,Annual_Cost!$A$2:$A$131,A22,Annual_Cost!$B$2:$B$131,B22)</f>
        <v>1707463196.5933034</v>
      </c>
      <c r="G22" s="23">
        <f>SUMIFS($E$2:E22,$A$2:A22,A22)</f>
        <v>32036845037.161686</v>
      </c>
      <c r="H22" s="23">
        <f>SUMIFS($F$2:F22,$A$2:A22,A22)</f>
        <v>20788436868.39782</v>
      </c>
    </row>
    <row r="23" spans="1:8">
      <c r="A23" t="s">
        <v>115</v>
      </c>
      <c r="B23" s="20">
        <v>2046</v>
      </c>
      <c r="C23" s="23">
        <f>SUMIFS(Annual_Cost!$Q$2:$Q$131,Annual_Cost!$A$2:$A$131,A23,Annual_Cost!$B$2:$B$131,B23)</f>
        <v>1667381823.6924312</v>
      </c>
      <c r="D23" s="23">
        <f>SUMIFS(Annual_Cost!$R$2:$R$131,Annual_Cost!$A$2:$A$131,A23,Annual_Cost!$B$2:$B$131,B23)</f>
        <v>4760771794.6728582</v>
      </c>
      <c r="E23" s="23">
        <f>SUMIFS(Annual_Cost!$S$2:$S$131,Annual_Cost!$A$2:$A$131,A23,Annual_Cost!$B$2:$B$131,B23)</f>
        <v>3093389970.9804268</v>
      </c>
      <c r="F23" s="23">
        <f>SUMIFS(Annual_Cost!$Y$2:$Y$131,Annual_Cost!$A$2:$A$131,A23,Annual_Cost!$B$2:$B$131,B23)</f>
        <v>1662849539.0048864</v>
      </c>
      <c r="G23" s="23">
        <f>SUMIFS($E$2:E23,$A$2:A23,A23)</f>
        <v>35130235008.142113</v>
      </c>
      <c r="H23" s="23">
        <f>SUMIFS($F$2:F23,$A$2:A23,A23)</f>
        <v>22451286407.402706</v>
      </c>
    </row>
    <row r="24" spans="1:8">
      <c r="A24" t="s">
        <v>115</v>
      </c>
      <c r="B24" s="20">
        <v>2047</v>
      </c>
      <c r="C24" s="23">
        <f>SUMIFS(Annual_Cost!$Q$2:$Q$131,Annual_Cost!$A$2:$A$131,A24,Annual_Cost!$B$2:$B$131,B24)</f>
        <v>1670404211.425601</v>
      </c>
      <c r="D24" s="23">
        <f>SUMIFS(Annual_Cost!$R$2:$R$131,Annual_Cost!$A$2:$A$131,A24,Annual_Cost!$B$2:$B$131,B24)</f>
        <v>4771862757.3979282</v>
      </c>
      <c r="E24" s="23">
        <f>SUMIFS(Annual_Cost!$S$2:$S$131,Annual_Cost!$A$2:$A$131,A24,Annual_Cost!$B$2:$B$131,B24)</f>
        <v>3101458545.9723272</v>
      </c>
      <c r="F24" s="23">
        <f>SUMIFS(Annual_Cost!$Y$2:$Y$131,Annual_Cost!$A$2:$A$131,A24,Annual_Cost!$B$2:$B$131,B24)</f>
        <v>1618627956.9411652</v>
      </c>
      <c r="G24" s="23">
        <f>SUMIFS($E$2:E24,$A$2:A24,A24)</f>
        <v>38231693554.114441</v>
      </c>
      <c r="H24" s="23">
        <f>SUMIFS($F$2:F24,$A$2:A24,A24)</f>
        <v>24069914364.343872</v>
      </c>
    </row>
    <row r="25" spans="1:8">
      <c r="A25" t="s">
        <v>115</v>
      </c>
      <c r="B25" s="20">
        <v>2048</v>
      </c>
      <c r="C25" s="23">
        <f>SUMIFS(Annual_Cost!$Q$2:$Q$131,Annual_Cost!$A$2:$A$131,A25,Annual_Cost!$B$2:$B$131,B25)</f>
        <v>1673103801.4058704</v>
      </c>
      <c r="D25" s="23">
        <f>SUMIFS(Annual_Cost!$R$2:$R$131,Annual_Cost!$A$2:$A$131,A25,Annual_Cost!$B$2:$B$131,B25)</f>
        <v>4781913838.6797647</v>
      </c>
      <c r="E25" s="23">
        <f>SUMIFS(Annual_Cost!$S$2:$S$131,Annual_Cost!$A$2:$A$131,A25,Annual_Cost!$B$2:$B$131,B25)</f>
        <v>3108810037.2738943</v>
      </c>
      <c r="F25" s="23">
        <f>SUMIFS(Annual_Cost!$Y$2:$Y$131,Annual_Cost!$A$2:$A$131,A25,Annual_Cost!$B$2:$B$131,B25)</f>
        <v>1575208393.322094</v>
      </c>
      <c r="G25" s="23">
        <f>SUMIFS($E$2:E25,$A$2:A25,A25)</f>
        <v>41340503591.388336</v>
      </c>
      <c r="H25" s="23">
        <f>SUMIFS($F$2:F25,$A$2:A25,A25)</f>
        <v>25645122757.665966</v>
      </c>
    </row>
    <row r="26" spans="1:8">
      <c r="A26" t="s">
        <v>115</v>
      </c>
      <c r="B26" s="20">
        <v>2049</v>
      </c>
      <c r="C26" s="23">
        <f>SUMIFS(Annual_Cost!$Q$2:$Q$131,Annual_Cost!$A$2:$A$131,A26,Annual_Cost!$B$2:$B$131,B26)</f>
        <v>1675531096.1429625</v>
      </c>
      <c r="D26" s="23">
        <f>SUMIFS(Annual_Cost!$R$2:$R$131,Annual_Cost!$A$2:$A$131,A26,Annual_Cost!$B$2:$B$131,B26)</f>
        <v>4791076172.0769024</v>
      </c>
      <c r="E26" s="23">
        <f>SUMIFS(Annual_Cost!$S$2:$S$131,Annual_Cost!$A$2:$A$131,A26,Annual_Cost!$B$2:$B$131,B26)</f>
        <v>3115545075.9339395</v>
      </c>
      <c r="F26" s="23">
        <f>SUMIFS(Annual_Cost!$Y$2:$Y$131,Annual_Cost!$A$2:$A$131,A26,Annual_Cost!$B$2:$B$131,B26)</f>
        <v>1532641729.9383435</v>
      </c>
      <c r="G26" s="23">
        <f>SUMIFS($E$2:E26,$A$2:A26,A26)</f>
        <v>44456048667.322273</v>
      </c>
      <c r="H26" s="23">
        <f>SUMIFS($F$2:F26,$A$2:A26,A26)</f>
        <v>27177764487.604309</v>
      </c>
    </row>
    <row r="27" spans="1:8">
      <c r="A27" t="s">
        <v>115</v>
      </c>
      <c r="B27" s="20">
        <v>2050</v>
      </c>
      <c r="C27" s="23">
        <f>SUMIFS(Annual_Cost!$Q$2:$Q$131,Annual_Cost!$A$2:$A$131,A27,Annual_Cost!$B$2:$B$131,B27)</f>
        <v>1677793584.8425584</v>
      </c>
      <c r="D27" s="23">
        <f>SUMIFS(Annual_Cost!$R$2:$R$131,Annual_Cost!$A$2:$A$131,A27,Annual_Cost!$B$2:$B$131,B27)</f>
        <v>4799661956.4114666</v>
      </c>
      <c r="E27" s="23">
        <f>SUMIFS(Annual_Cost!$S$2:$S$131,Annual_Cost!$A$2:$A$131,A27,Annual_Cost!$B$2:$B$131,B27)</f>
        <v>3121868371.5689087</v>
      </c>
      <c r="F27" s="23">
        <f>SUMIFS(Annual_Cost!$Y$2:$Y$131,Annual_Cost!$A$2:$A$131,A27,Annual_Cost!$B$2:$B$131,B27)</f>
        <v>1491021720.763139</v>
      </c>
      <c r="G27" s="23">
        <f>SUMIFS($E$2:E27,$A$2:A27,A27)</f>
        <v>47577917038.891182</v>
      </c>
      <c r="H27" s="23">
        <f>SUMIFS($F$2:F27,$A$2:A27,A27)</f>
        <v>28668786208.367447</v>
      </c>
    </row>
  </sheetData>
  <autoFilter ref="A1:H1" xr:uid="{00000000-0009-0000-0000-00000D000000}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workbookViewId="0">
      <pane ySplit="1" topLeftCell="A2" activePane="bottomLeft" state="frozen"/>
      <selection pane="bottomLeft" activeCell="G2" sqref="G2"/>
    </sheetView>
  </sheetViews>
  <sheetFormatPr defaultColWidth="11.19921875" defaultRowHeight="13.8"/>
  <cols>
    <col min="1" max="1" width="11.69921875" customWidth="1"/>
    <col min="2" max="3" width="16.69921875" customWidth="1"/>
    <col min="4" max="4" width="15.69921875" customWidth="1"/>
    <col min="5" max="5" width="18.69921875" customWidth="1"/>
    <col min="6" max="6" width="23.69921875" customWidth="1"/>
    <col min="7" max="7" width="24.69921875" customWidth="1"/>
    <col min="8" max="8" width="11.69921875" customWidth="1"/>
    <col min="9" max="9" width="23.69921875" customWidth="1"/>
  </cols>
  <sheetData>
    <row r="1" spans="1:9" ht="28.05" customHeight="1">
      <c r="A1" s="1" t="s">
        <v>282</v>
      </c>
      <c r="B1" s="1" t="s">
        <v>283</v>
      </c>
      <c r="C1" s="1" t="s">
        <v>288</v>
      </c>
      <c r="D1" s="1" t="s">
        <v>290</v>
      </c>
      <c r="E1" s="1" t="s">
        <v>311</v>
      </c>
      <c r="F1" s="1" t="s">
        <v>312</v>
      </c>
      <c r="G1" s="1" t="s">
        <v>315</v>
      </c>
      <c r="H1" s="1" t="s">
        <v>316</v>
      </c>
      <c r="I1" s="1" t="s">
        <v>317</v>
      </c>
    </row>
    <row r="2" spans="1:9" ht="69">
      <c r="A2" t="s">
        <v>115</v>
      </c>
      <c r="B2" s="14" t="s">
        <v>291</v>
      </c>
      <c r="C2" s="23">
        <f>SUMIFS(Annual_Mortality!$H$2:$H$365,Annual_Mortality!$A$2:$A$365,A2)</f>
        <v>1129892.8385736798</v>
      </c>
      <c r="D2" s="23">
        <f>SUMIFS(Annual_Mortality!$J$2:$J$365,Annual_Mortality!$A$2:$A$365,A2)</f>
        <v>2114232.2982790535</v>
      </c>
      <c r="E2" s="23">
        <f>SUMIFS(Budget_Impact!$E$2:$E$27,Budget_Impact!$A$2:$A$27,A2)</f>
        <v>47577917038.891182</v>
      </c>
      <c r="F2" s="23">
        <f>SUMIFS(Budget_Impact!$F$2:$F$27,Budget_Impact!$A$2:$A$27,A2)</f>
        <v>28668786208.367447</v>
      </c>
      <c r="G2" s="23">
        <f>IF(C2&gt;0,F2/C2,"")</f>
        <v>25373.013466088953</v>
      </c>
      <c r="H2" s="32" t="str">
        <f>IF(AND(C2&gt;0,F2&lt;0),"Dominant (more health, lower cost)",IF(AND(C2&lt;=0,F2&gt;0),"Dominated (less/no health, higher cost)",IF(AND(C2&lt;=0,F2&lt;=0),"No deaths averted; ratio not defined","USD per death averted")))</f>
        <v>USD per death averted</v>
      </c>
      <c r="I2" s="16" t="str">
        <f>IF(AND(ABS(F2-SUMIFS(Budget_Impact!$F$2:$F$27,Budget_Impact!$A$2:$A$27,A2))&lt;=Calculation_Assumptions!$B$11,ABS(C2-SUMIFS(Annual_Mortality!$H$2:$H$365,Annual_Mortality!$A$2:$A$365,A2))&lt;=Calculation_Assumptions!$B$11),"consistent","mismatch")</f>
        <v>consistent</v>
      </c>
    </row>
  </sheetData>
  <autoFilter ref="A1:I1" xr:uid="{00000000-0009-0000-0000-00000E000000}"/>
  <conditionalFormatting sqref="H2">
    <cfRule type="containsText" dxfId="7" priority="1" operator="containsText" text="Dominated">
      <formula>NOT(ISERROR(SEARCH("Dominated", H2)))</formula>
    </cfRule>
  </conditionalFormatting>
  <conditionalFormatting sqref="I2">
    <cfRule type="containsText" dxfId="6" priority="2" operator="containsText" text="mismatch">
      <formula>NOT(ISERROR(SEARCH("mismatch", I2)))</formula>
    </cfRule>
    <cfRule type="containsText" dxfId="5" priority="3" operator="containsText" text="consistent">
      <formula>NOT(ISERROR(SEARCH("consistent", I2)))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7"/>
  <sheetViews>
    <sheetView topLeftCell="R1" workbookViewId="0">
      <pane ySplit="1" topLeftCell="A21" activePane="bottomLeft" state="frozen"/>
      <selection pane="bottomLeft"/>
    </sheetView>
  </sheetViews>
  <sheetFormatPr defaultColWidth="11.19921875" defaultRowHeight="13.8"/>
  <cols>
    <col min="1" max="1" width="12.69921875" customWidth="1"/>
    <col min="2" max="2" width="16.69921875" customWidth="1"/>
    <col min="3" max="3" width="12.69921875" customWidth="1"/>
    <col min="4" max="4" width="16.69921875" customWidth="1"/>
    <col min="5" max="5" width="19.69921875" customWidth="1"/>
    <col min="6" max="8" width="12.69921875" customWidth="1"/>
    <col min="9" max="9" width="14.69921875" customWidth="1"/>
    <col min="10" max="10" width="22.69921875" customWidth="1"/>
    <col min="11" max="11" width="12.69921875" customWidth="1"/>
    <col min="12" max="12" width="15.69921875" customWidth="1"/>
    <col min="13" max="13" width="16.69921875" customWidth="1"/>
    <col min="14" max="15" width="12.69921875" customWidth="1"/>
    <col min="16" max="16" width="16.69921875" customWidth="1"/>
    <col min="17" max="20" width="22.69921875" customWidth="1"/>
    <col min="21" max="22" width="13.69921875" customWidth="1"/>
    <col min="23" max="23" width="14.69921875" customWidth="1"/>
    <col min="24" max="25" width="12.69921875" customWidth="1"/>
    <col min="26" max="26" width="20.69921875" customWidth="1"/>
    <col min="27" max="27" width="17.69921875" customWidth="1"/>
    <col min="28" max="28" width="22.69921875" customWidth="1"/>
  </cols>
  <sheetData>
    <row r="1" spans="1:28" ht="28.05" customHeight="1">
      <c r="A1" s="1" t="s">
        <v>282</v>
      </c>
      <c r="B1" s="1" t="s">
        <v>283</v>
      </c>
      <c r="C1" s="1" t="s">
        <v>42</v>
      </c>
      <c r="D1" s="1" t="s">
        <v>288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</row>
    <row r="2" spans="1:28" ht="69">
      <c r="A2" t="s">
        <v>115</v>
      </c>
      <c r="B2" s="14" t="s">
        <v>291</v>
      </c>
      <c r="C2">
        <v>2025</v>
      </c>
      <c r="D2" s="10">
        <v>0</v>
      </c>
      <c r="E2" s="10">
        <v>0</v>
      </c>
      <c r="F2" s="10">
        <v>13851.4910785419</v>
      </c>
      <c r="G2" s="10">
        <v>74136.370794952702</v>
      </c>
      <c r="H2" s="10">
        <v>285721235.5</v>
      </c>
      <c r="I2" s="10">
        <v>37.51</v>
      </c>
      <c r="J2" s="23">
        <f>Calculation_Assumptions!$B$25*G2*(F2/G2)^Calculation_Assumptions!$B$26</f>
        <v>957963.82972618227</v>
      </c>
      <c r="K2" s="23">
        <f>Calculation_Assumptions!$B$27*F2</f>
        <v>277029.82157083799</v>
      </c>
      <c r="L2" s="23">
        <f t="shared" ref="L2:L27" si="0">MAX(J2,K2)</f>
        <v>957963.82972618227</v>
      </c>
      <c r="M2" s="23">
        <f t="shared" ref="M2:M27" si="1">IF(F2=0,"",L2/F2)</f>
        <v>69.159617855886736</v>
      </c>
      <c r="N2" s="23">
        <f>Calculation_Assumptions!$B$28*F2</f>
        <v>1385149.10785419</v>
      </c>
      <c r="O2" s="23">
        <f>Calculation_Assumptions!$B$29*F2</f>
        <v>2216238.5725667039</v>
      </c>
      <c r="P2" s="23">
        <f t="shared" ref="P2:P27" si="2">IF(I2=0,"",L2/I2)</f>
        <v>25538.891754896889</v>
      </c>
      <c r="Q2" s="23">
        <f t="shared" ref="Q2:Q27" si="3">L2*D2</f>
        <v>0</v>
      </c>
      <c r="R2" s="23">
        <f t="shared" ref="R2:R27" si="4">P2*E2</f>
        <v>0</v>
      </c>
      <c r="S2" s="23">
        <f t="shared" ref="S2:S27" si="5">N2*D2</f>
        <v>0</v>
      </c>
      <c r="T2" s="23">
        <f t="shared" ref="T2:T27" si="6">O2*D2</f>
        <v>0</v>
      </c>
      <c r="U2" s="21">
        <f>1/(1+Calculation_Assumptions!$B$22)^(C2-Calculation_Assumptions!$B$21)</f>
        <v>1</v>
      </c>
      <c r="V2" s="23">
        <f t="shared" ref="V2:V27" si="7">Q2*U2</f>
        <v>0</v>
      </c>
      <c r="W2" s="23">
        <f t="shared" ref="W2:W27" si="8">R2*U2</f>
        <v>0</v>
      </c>
      <c r="X2" s="23">
        <f t="shared" ref="X2:X27" si="9">S2*U2</f>
        <v>0</v>
      </c>
      <c r="Y2" s="23">
        <f t="shared" ref="Y2:Y27" si="10">T2*U2</f>
        <v>0</v>
      </c>
      <c r="Z2" s="23">
        <f t="shared" ref="Z2:Z27" si="11">H2*F2</f>
        <v>3957665144478.2192</v>
      </c>
      <c r="AA2" s="23">
        <f t="shared" ref="AA2:AA27" si="12">Z2*U2</f>
        <v>3957665144478.2192</v>
      </c>
      <c r="AB2" s="33">
        <f t="shared" ref="AB2:AB27" si="13">IF(Z2=0,"",Q2/Z2)</f>
        <v>0</v>
      </c>
    </row>
    <row r="3" spans="1:28" ht="69">
      <c r="A3" t="s">
        <v>115</v>
      </c>
      <c r="B3" s="14" t="s">
        <v>291</v>
      </c>
      <c r="C3">
        <v>2026</v>
      </c>
      <c r="D3" s="10">
        <v>35.607833744803401</v>
      </c>
      <c r="E3" s="10">
        <v>478.73258798692399</v>
      </c>
      <c r="F3" s="10">
        <v>14370.1004216288</v>
      </c>
      <c r="G3" s="10">
        <v>75186.409743607393</v>
      </c>
      <c r="H3" s="10">
        <v>287886782.5</v>
      </c>
      <c r="I3" s="10">
        <v>37.588299999999997</v>
      </c>
      <c r="J3" s="23">
        <f>Calculation_Assumptions!$B$25*G3*(F3/G3)^Calculation_Assumptions!$B$26</f>
        <v>1005171.1466751626</v>
      </c>
      <c r="K3" s="23">
        <f>Calculation_Assumptions!$B$27*F3</f>
        <v>287402.00843257603</v>
      </c>
      <c r="L3" s="23">
        <f t="shared" si="0"/>
        <v>1005171.1466751626</v>
      </c>
      <c r="M3" s="23">
        <f t="shared" si="1"/>
        <v>69.948790696149501</v>
      </c>
      <c r="N3" s="23">
        <f>Calculation_Assumptions!$B$28*F3</f>
        <v>1437010.0421628801</v>
      </c>
      <c r="O3" s="23">
        <f>Calculation_Assumptions!$B$29*F3</f>
        <v>2299216.0674606082</v>
      </c>
      <c r="P3" s="23">
        <f t="shared" si="2"/>
        <v>26741.596365761758</v>
      </c>
      <c r="Q3" s="23">
        <f t="shared" si="3"/>
        <v>35791967.075882584</v>
      </c>
      <c r="R3" s="23">
        <f t="shared" si="4"/>
        <v>12802073.635082847</v>
      </c>
      <c r="S3" s="23">
        <f t="shared" si="5"/>
        <v>51168814.670948759</v>
      </c>
      <c r="T3" s="23">
        <f t="shared" si="6"/>
        <v>81870103.473518014</v>
      </c>
      <c r="U3" s="21">
        <f>1/(1+Calculation_Assumptions!$B$22)^(C3-Calculation_Assumptions!$B$21)</f>
        <v>0.970873786407767</v>
      </c>
      <c r="V3" s="23">
        <f t="shared" si="7"/>
        <v>34749482.59794426</v>
      </c>
      <c r="W3" s="23">
        <f t="shared" si="8"/>
        <v>12429197.703963928</v>
      </c>
      <c r="X3" s="23">
        <f t="shared" si="9"/>
        <v>49678460.845581323</v>
      </c>
      <c r="Y3" s="23">
        <f t="shared" si="10"/>
        <v>79485537.352930114</v>
      </c>
      <c r="Z3" s="23">
        <f t="shared" si="11"/>
        <v>4136961974584.6089</v>
      </c>
      <c r="AA3" s="23">
        <f t="shared" si="12"/>
        <v>4016467936489.9116</v>
      </c>
      <c r="AB3" s="33">
        <f t="shared" si="13"/>
        <v>8.6517515258226292E-6</v>
      </c>
    </row>
    <row r="4" spans="1:28" ht="69">
      <c r="A4" t="s">
        <v>115</v>
      </c>
      <c r="B4" s="14" t="s">
        <v>291</v>
      </c>
      <c r="C4">
        <v>2027</v>
      </c>
      <c r="D4" s="10">
        <v>298.18273924539801</v>
      </c>
      <c r="E4" s="10">
        <v>4229.0226212892503</v>
      </c>
      <c r="F4" s="10">
        <v>14908.1268548478</v>
      </c>
      <c r="G4" s="10">
        <v>76251.321038748298</v>
      </c>
      <c r="H4" s="10">
        <v>289986522</v>
      </c>
      <c r="I4" s="10">
        <v>37.6736</v>
      </c>
      <c r="J4" s="23">
        <f>Calculation_Assumptions!$B$25*G4*(F4/G4)^Calculation_Assumptions!$B$26</f>
        <v>1054704.7839969601</v>
      </c>
      <c r="K4" s="23">
        <f>Calculation_Assumptions!$B$27*F4</f>
        <v>298162.53709695599</v>
      </c>
      <c r="L4" s="23">
        <f t="shared" si="0"/>
        <v>1054704.7839969601</v>
      </c>
      <c r="M4" s="23">
        <f t="shared" si="1"/>
        <v>70.746968701436359</v>
      </c>
      <c r="N4" s="23">
        <f>Calculation_Assumptions!$B$28*F4</f>
        <v>1490812.68548478</v>
      </c>
      <c r="O4" s="23">
        <f>Calculation_Assumptions!$B$29*F4</f>
        <v>2385300.2967756479</v>
      </c>
      <c r="P4" s="23">
        <f t="shared" si="2"/>
        <v>27995.858744504378</v>
      </c>
      <c r="Q4" s="23">
        <f t="shared" si="3"/>
        <v>314494761.58743942</v>
      </c>
      <c r="R4" s="23">
        <f t="shared" si="4"/>
        <v>118395119.93292749</v>
      </c>
      <c r="S4" s="23">
        <f t="shared" si="5"/>
        <v>444534610.25963974</v>
      </c>
      <c r="T4" s="23">
        <f t="shared" si="6"/>
        <v>711255376.41542351</v>
      </c>
      <c r="U4" s="21">
        <f>1/(1+Calculation_Assumptions!$B$22)^(C4-Calculation_Assumptions!$B$21)</f>
        <v>0.94259590913375435</v>
      </c>
      <c r="V4" s="23">
        <f t="shared" si="7"/>
        <v>296441475.71631581</v>
      </c>
      <c r="W4" s="23">
        <f t="shared" si="8"/>
        <v>111598755.71017767</v>
      </c>
      <c r="X4" s="23">
        <f t="shared" si="9"/>
        <v>419016505.09910429</v>
      </c>
      <c r="Y4" s="23">
        <f t="shared" si="10"/>
        <v>670426408.15856683</v>
      </c>
      <c r="Z4" s="23">
        <f t="shared" si="11"/>
        <v>4323155856172.1123</v>
      </c>
      <c r="AA4" s="23">
        <f t="shared" si="12"/>
        <v>4074989024575.4663</v>
      </c>
      <c r="AB4" s="33">
        <f t="shared" si="13"/>
        <v>7.2746570341302734E-5</v>
      </c>
    </row>
    <row r="5" spans="1:28" ht="69">
      <c r="A5" t="s">
        <v>115</v>
      </c>
      <c r="B5" s="14" t="s">
        <v>291</v>
      </c>
      <c r="C5">
        <v>2028</v>
      </c>
      <c r="D5" s="10">
        <v>706.42036615976895</v>
      </c>
      <c r="E5" s="10">
        <v>10328.3179631774</v>
      </c>
      <c r="F5" s="10">
        <v>15466.2973673947</v>
      </c>
      <c r="G5" s="10">
        <v>77331.315326552096</v>
      </c>
      <c r="H5" s="10">
        <v>292016778.5</v>
      </c>
      <c r="I5" s="10">
        <v>36.834000000000003</v>
      </c>
      <c r="J5" s="23">
        <f>Calculation_Assumptions!$B$25*G5*(F5/G5)^Calculation_Assumptions!$B$26</f>
        <v>1106679.3799897758</v>
      </c>
      <c r="K5" s="23">
        <f>Calculation_Assumptions!$B$27*F5</f>
        <v>309325.94734789402</v>
      </c>
      <c r="L5" s="23">
        <f t="shared" si="0"/>
        <v>1106679.3799897758</v>
      </c>
      <c r="M5" s="23">
        <f t="shared" si="1"/>
        <v>71.554254628701486</v>
      </c>
      <c r="N5" s="23">
        <f>Calculation_Assumptions!$B$28*F5</f>
        <v>1546629.7367394699</v>
      </c>
      <c r="O5" s="23">
        <f>Calculation_Assumptions!$B$29*F5</f>
        <v>2474607.5787831522</v>
      </c>
      <c r="P5" s="23">
        <f t="shared" si="2"/>
        <v>30045.050225057712</v>
      </c>
      <c r="Q5" s="23">
        <f t="shared" si="3"/>
        <v>781780852.83384347</v>
      </c>
      <c r="R5" s="23">
        <f t="shared" si="4"/>
        <v>310314831.94403076</v>
      </c>
      <c r="S5" s="23">
        <f t="shared" si="5"/>
        <v>1092570744.9410834</v>
      </c>
      <c r="T5" s="23">
        <f t="shared" si="6"/>
        <v>1748113191.9057336</v>
      </c>
      <c r="U5" s="21">
        <f>1/(1+Calculation_Assumptions!$B$22)^(C5-Calculation_Assumptions!$B$21)</f>
        <v>0.91514165935315961</v>
      </c>
      <c r="V5" s="23">
        <f t="shared" si="7"/>
        <v>715440226.91289175</v>
      </c>
      <c r="W5" s="23">
        <f t="shared" si="8"/>
        <v>283982030.22715718</v>
      </c>
      <c r="X5" s="23">
        <f t="shared" si="9"/>
        <v>999857004.48610079</v>
      </c>
      <c r="Y5" s="23">
        <f t="shared" si="10"/>
        <v>1599771207.1777613</v>
      </c>
      <c r="Z5" s="23">
        <f t="shared" si="11"/>
        <v>4516418332549.6309</v>
      </c>
      <c r="AA5" s="23">
        <f t="shared" si="12"/>
        <v>4133162567182.4995</v>
      </c>
      <c r="AB5" s="33">
        <f t="shared" si="13"/>
        <v>1.7309752889797271E-4</v>
      </c>
    </row>
    <row r="6" spans="1:28" ht="69">
      <c r="A6" t="s">
        <v>115</v>
      </c>
      <c r="B6" s="14" t="s">
        <v>291</v>
      </c>
      <c r="C6">
        <v>2029</v>
      </c>
      <c r="D6" s="10">
        <v>1238.4597664621499</v>
      </c>
      <c r="E6" s="10">
        <v>18417.507056978</v>
      </c>
      <c r="F6" s="10">
        <v>16045.366167440099</v>
      </c>
      <c r="G6" s="10">
        <v>78426.606236706895</v>
      </c>
      <c r="H6" s="10">
        <v>293978109</v>
      </c>
      <c r="I6" s="10">
        <v>36.911799999999999</v>
      </c>
      <c r="J6" s="23">
        <f>Calculation_Assumptions!$B$25*G6*(F6/G6)^Calculation_Assumptions!$B$26</f>
        <v>1161215.2221906323</v>
      </c>
      <c r="K6" s="23">
        <f>Calculation_Assumptions!$B$27*F6</f>
        <v>320907.32334880199</v>
      </c>
      <c r="L6" s="23">
        <f t="shared" si="0"/>
        <v>1161215.2221906323</v>
      </c>
      <c r="M6" s="23">
        <f t="shared" si="1"/>
        <v>72.370752407446872</v>
      </c>
      <c r="N6" s="23">
        <f>Calculation_Assumptions!$B$28*F6</f>
        <v>1604536.61674401</v>
      </c>
      <c r="O6" s="23">
        <f>Calculation_Assumptions!$B$29*F6</f>
        <v>2567258.5867904159</v>
      </c>
      <c r="P6" s="23">
        <f t="shared" si="2"/>
        <v>31459.187094388035</v>
      </c>
      <c r="Q6" s="23">
        <f t="shared" si="3"/>
        <v>1438118332.8865039</v>
      </c>
      <c r="R6" s="23">
        <f t="shared" si="4"/>
        <v>579399800.31768286</v>
      </c>
      <c r="S6" s="23">
        <f t="shared" si="5"/>
        <v>1987154043.6527548</v>
      </c>
      <c r="T6" s="23">
        <f t="shared" si="6"/>
        <v>3179446469.8444076</v>
      </c>
      <c r="U6" s="21">
        <f>1/(1+Calculation_Assumptions!$B$22)^(C6-Calculation_Assumptions!$B$21)</f>
        <v>0.888487047915689</v>
      </c>
      <c r="V6" s="23">
        <f t="shared" si="7"/>
        <v>1277749512.1397619</v>
      </c>
      <c r="W6" s="23">
        <f t="shared" si="8"/>
        <v>514789218.14719772</v>
      </c>
      <c r="X6" s="23">
        <f t="shared" si="9"/>
        <v>1765560629.9987602</v>
      </c>
      <c r="Y6" s="23">
        <f t="shared" si="10"/>
        <v>2824897007.9980164</v>
      </c>
      <c r="Z6" s="23">
        <f t="shared" si="11"/>
        <v>4716986404116.6182</v>
      </c>
      <c r="AA6" s="23">
        <f t="shared" si="12"/>
        <v>4190981325252.0151</v>
      </c>
      <c r="AB6" s="33">
        <f t="shared" si="13"/>
        <v>3.0488074581504546E-4</v>
      </c>
    </row>
    <row r="7" spans="1:28" ht="69">
      <c r="A7" t="s">
        <v>115</v>
      </c>
      <c r="B7" s="14" t="s">
        <v>291</v>
      </c>
      <c r="C7">
        <v>2030</v>
      </c>
      <c r="D7" s="10">
        <v>1880.9183316902199</v>
      </c>
      <c r="E7" s="10">
        <v>28241.9633043373</v>
      </c>
      <c r="F7" s="10">
        <v>16646.115701226699</v>
      </c>
      <c r="G7" s="10">
        <v>79537.410424669099</v>
      </c>
      <c r="H7" s="10">
        <v>295876648</v>
      </c>
      <c r="I7" s="10">
        <v>36.992699999999999</v>
      </c>
      <c r="J7" s="23">
        <f>Calculation_Assumptions!$B$25*G7*(F7/G7)^Calculation_Assumptions!$B$26</f>
        <v>1218438.5257631587</v>
      </c>
      <c r="K7" s="23">
        <f>Calculation_Assumptions!$B$27*F7</f>
        <v>332922.31402453396</v>
      </c>
      <c r="L7" s="23">
        <f t="shared" si="0"/>
        <v>1218438.5257631587</v>
      </c>
      <c r="M7" s="23">
        <f t="shared" si="1"/>
        <v>73.196567153102777</v>
      </c>
      <c r="N7" s="23">
        <f>Calculation_Assumptions!$B$28*F7</f>
        <v>1664611.5701226699</v>
      </c>
      <c r="O7" s="23">
        <f>Calculation_Assumptions!$B$29*F7</f>
        <v>2663378.5121962717</v>
      </c>
      <c r="P7" s="23">
        <f t="shared" si="2"/>
        <v>32937.269400804988</v>
      </c>
      <c r="Q7" s="23">
        <f t="shared" si="3"/>
        <v>2291783359.1455317</v>
      </c>
      <c r="R7" s="23">
        <f t="shared" si="4"/>
        <v>930213153.76260626</v>
      </c>
      <c r="S7" s="23">
        <f t="shared" si="5"/>
        <v>3130998417.3873696</v>
      </c>
      <c r="T7" s="23">
        <f t="shared" si="6"/>
        <v>5009597467.8197918</v>
      </c>
      <c r="U7" s="21">
        <f>1/(1+Calculation_Assumptions!$B$22)^(C7-Calculation_Assumptions!$B$21)</f>
        <v>0.86260878438416411</v>
      </c>
      <c r="V7" s="23">
        <f t="shared" si="7"/>
        <v>1976912457.5043833</v>
      </c>
      <c r="W7" s="23">
        <f t="shared" si="8"/>
        <v>802410037.78532135</v>
      </c>
      <c r="X7" s="23">
        <f t="shared" si="9"/>
        <v>2700826738.7312608</v>
      </c>
      <c r="Y7" s="23">
        <f t="shared" si="10"/>
        <v>4321322781.9700174</v>
      </c>
      <c r="Z7" s="23">
        <f t="shared" si="11"/>
        <v>4925196915899.125</v>
      </c>
      <c r="AA7" s="23">
        <f t="shared" si="12"/>
        <v>4248518124476.3784</v>
      </c>
      <c r="AB7" s="33">
        <f t="shared" si="13"/>
        <v>4.6531811789034884E-4</v>
      </c>
    </row>
    <row r="8" spans="1:28" ht="69">
      <c r="A8" t="s">
        <v>115</v>
      </c>
      <c r="B8" s="14" t="s">
        <v>291</v>
      </c>
      <c r="C8">
        <v>2031</v>
      </c>
      <c r="D8" s="10">
        <v>4071.7084809564399</v>
      </c>
      <c r="E8" s="10">
        <v>57869.035529492801</v>
      </c>
      <c r="F8" s="10">
        <v>17161.073466098602</v>
      </c>
      <c r="G8" s="10">
        <v>80420.156798629294</v>
      </c>
      <c r="H8" s="10">
        <v>297719748</v>
      </c>
      <c r="I8" s="10">
        <v>37.089500000000001</v>
      </c>
      <c r="J8" s="23">
        <f>Calculation_Assumptions!$B$25*G8*(F8/G8)^Calculation_Assumptions!$B$26</f>
        <v>1268394.0633523338</v>
      </c>
      <c r="K8" s="23">
        <f>Calculation_Assumptions!$B$27*F8</f>
        <v>343221.46932197205</v>
      </c>
      <c r="L8" s="23">
        <f t="shared" si="0"/>
        <v>1268394.0633523338</v>
      </c>
      <c r="M8" s="23">
        <f t="shared" si="1"/>
        <v>73.911114351792961</v>
      </c>
      <c r="N8" s="23">
        <f>Calculation_Assumptions!$B$28*F8</f>
        <v>1716107.3466098602</v>
      </c>
      <c r="O8" s="23">
        <f>Calculation_Assumptions!$B$29*F8</f>
        <v>2745771.7545757764</v>
      </c>
      <c r="P8" s="23">
        <f t="shared" si="2"/>
        <v>34198.197963098282</v>
      </c>
      <c r="Q8" s="23">
        <f t="shared" si="3"/>
        <v>5164530864.9464979</v>
      </c>
      <c r="R8" s="23">
        <f t="shared" si="4"/>
        <v>1979016732.9711628</v>
      </c>
      <c r="S8" s="23">
        <f t="shared" si="5"/>
        <v>6987488837.4230204</v>
      </c>
      <c r="T8" s="23">
        <f t="shared" si="6"/>
        <v>11179982139.876833</v>
      </c>
      <c r="U8" s="21">
        <f>1/(1+Calculation_Assumptions!$B$22)^(C8-Calculation_Assumptions!$B$21)</f>
        <v>0.83748425668365445</v>
      </c>
      <c r="V8" s="23">
        <f t="shared" si="7"/>
        <v>4325213292.549509</v>
      </c>
      <c r="W8" s="23">
        <f t="shared" si="8"/>
        <v>1657395357.5768685</v>
      </c>
      <c r="X8" s="23">
        <f t="shared" si="9"/>
        <v>5851911895.0945511</v>
      </c>
      <c r="Y8" s="23">
        <f t="shared" si="10"/>
        <v>9363059032.1512814</v>
      </c>
      <c r="Z8" s="23">
        <f t="shared" si="11"/>
        <v>5109190467736.3623</v>
      </c>
      <c r="AA8" s="23">
        <f t="shared" si="12"/>
        <v>4278866581127.4004</v>
      </c>
      <c r="AB8" s="33">
        <f t="shared" si="13"/>
        <v>1.0108315392740985E-3</v>
      </c>
    </row>
    <row r="9" spans="1:28" ht="69">
      <c r="A9" t="s">
        <v>115</v>
      </c>
      <c r="B9" s="14" t="s">
        <v>291</v>
      </c>
      <c r="C9">
        <v>2032</v>
      </c>
      <c r="D9" s="10">
        <v>7450.59350469739</v>
      </c>
      <c r="E9" s="10">
        <v>104094.45555981999</v>
      </c>
      <c r="F9" s="10">
        <v>17691.9617642167</v>
      </c>
      <c r="G9" s="10">
        <v>81312.700337930903</v>
      </c>
      <c r="H9" s="10">
        <v>299510661.5</v>
      </c>
      <c r="I9" s="10">
        <v>37.190399999999997</v>
      </c>
      <c r="J9" s="23">
        <f>Calculation_Assumptions!$B$25*G9*(F9/G9)^Calculation_Assumptions!$B$26</f>
        <v>1320397.7598621484</v>
      </c>
      <c r="K9" s="23">
        <f>Calculation_Assumptions!$B$27*F9</f>
        <v>353839.23528433399</v>
      </c>
      <c r="L9" s="23">
        <f t="shared" si="0"/>
        <v>1320397.7598621484</v>
      </c>
      <c r="M9" s="23">
        <f t="shared" si="1"/>
        <v>74.632636982787886</v>
      </c>
      <c r="N9" s="23">
        <f>Calculation_Assumptions!$B$28*F9</f>
        <v>1769196.17642167</v>
      </c>
      <c r="O9" s="23">
        <f>Calculation_Assumptions!$B$29*F9</f>
        <v>2830713.8822746719</v>
      </c>
      <c r="P9" s="23">
        <f t="shared" si="2"/>
        <v>35503.725688945226</v>
      </c>
      <c r="Q9" s="23">
        <f t="shared" si="3"/>
        <v>9837746973.2459068</v>
      </c>
      <c r="R9" s="23">
        <f t="shared" si="4"/>
        <v>3695740995.9359484</v>
      </c>
      <c r="S9" s="23">
        <f t="shared" si="5"/>
        <v>13181561540.582752</v>
      </c>
      <c r="T9" s="23">
        <f t="shared" si="6"/>
        <v>21090498464.932404</v>
      </c>
      <c r="U9" s="21">
        <f>1/(1+Calculation_Assumptions!$B$22)^(C9-Calculation_Assumptions!$B$21)</f>
        <v>0.81309151134335378</v>
      </c>
      <c r="V9" s="23">
        <f t="shared" si="7"/>
        <v>7998988554.6900187</v>
      </c>
      <c r="W9" s="23">
        <f t="shared" si="8"/>
        <v>3004975631.9191518</v>
      </c>
      <c r="X9" s="23">
        <f t="shared" si="9"/>
        <v>10717815794.897858</v>
      </c>
      <c r="Y9" s="23">
        <f t="shared" si="10"/>
        <v>17148505271.836571</v>
      </c>
      <c r="Z9" s="23">
        <f t="shared" si="11"/>
        <v>5298931171233.251</v>
      </c>
      <c r="AA9" s="23">
        <f t="shared" si="12"/>
        <v>4308515954522.4517</v>
      </c>
      <c r="AB9" s="33">
        <f t="shared" si="13"/>
        <v>1.856553077468321E-3</v>
      </c>
    </row>
    <row r="10" spans="1:28" ht="69">
      <c r="A10" t="s">
        <v>115</v>
      </c>
      <c r="B10" s="14" t="s">
        <v>291</v>
      </c>
      <c r="C10">
        <v>2033</v>
      </c>
      <c r="D10" s="10">
        <v>11687.568953563799</v>
      </c>
      <c r="E10" s="10">
        <v>162967.44499815401</v>
      </c>
      <c r="F10" s="10">
        <v>18239.2734163655</v>
      </c>
      <c r="G10" s="10">
        <v>82215.149776465405</v>
      </c>
      <c r="H10" s="10">
        <v>301250984.5</v>
      </c>
      <c r="I10" s="10">
        <v>37.297499999999999</v>
      </c>
      <c r="J10" s="23">
        <f>Calculation_Assumptions!$B$25*G10*(F10/G10)^Calculation_Assumptions!$B$26</f>
        <v>1374533.5890654537</v>
      </c>
      <c r="K10" s="23">
        <f>Calculation_Assumptions!$B$27*F10</f>
        <v>364785.46832730999</v>
      </c>
      <c r="L10" s="23">
        <f t="shared" si="0"/>
        <v>1374533.5890654537</v>
      </c>
      <c r="M10" s="23">
        <f t="shared" si="1"/>
        <v>75.361203140478722</v>
      </c>
      <c r="N10" s="23">
        <f>Calculation_Assumptions!$B$28*F10</f>
        <v>1823927.3416365501</v>
      </c>
      <c r="O10" s="23">
        <f>Calculation_Assumptions!$B$29*F10</f>
        <v>2918283.74661848</v>
      </c>
      <c r="P10" s="23">
        <f t="shared" si="2"/>
        <v>36853.23651894775</v>
      </c>
      <c r="Q10" s="23">
        <f t="shared" si="3"/>
        <v>16064956101.192019</v>
      </c>
      <c r="R10" s="23">
        <f t="shared" si="4"/>
        <v>6005877795.4055777</v>
      </c>
      <c r="S10" s="23">
        <f t="shared" si="5"/>
        <v>21317276571.667496</v>
      </c>
      <c r="T10" s="23">
        <f t="shared" si="6"/>
        <v>34107642514.667992</v>
      </c>
      <c r="U10" s="21">
        <f>1/(1+Calculation_Assumptions!$B$22)^(C10-Calculation_Assumptions!$B$21)</f>
        <v>0.78940923431393573</v>
      </c>
      <c r="V10" s="23">
        <f t="shared" si="7"/>
        <v>12681824695.128981</v>
      </c>
      <c r="W10" s="23">
        <f t="shared" si="8"/>
        <v>4741095391.8541851</v>
      </c>
      <c r="X10" s="23">
        <f t="shared" si="9"/>
        <v>16828054976.098438</v>
      </c>
      <c r="Y10" s="23">
        <f t="shared" si="10"/>
        <v>26924887961.7575</v>
      </c>
      <c r="Z10" s="23">
        <f t="shared" si="11"/>
        <v>5494599073244.7852</v>
      </c>
      <c r="AA10" s="23">
        <f t="shared" si="12"/>
        <v>4337487247272.2266</v>
      </c>
      <c r="AB10" s="33">
        <f t="shared" si="13"/>
        <v>2.9237722146859034E-3</v>
      </c>
    </row>
    <row r="11" spans="1:28" ht="69">
      <c r="A11" t="s">
        <v>115</v>
      </c>
      <c r="B11" s="14" t="s">
        <v>291</v>
      </c>
      <c r="C11">
        <v>2034</v>
      </c>
      <c r="D11" s="10">
        <v>16660.796845274301</v>
      </c>
      <c r="E11" s="10">
        <v>232801.25883585899</v>
      </c>
      <c r="F11" s="10">
        <v>18803.5164890413</v>
      </c>
      <c r="G11" s="10">
        <v>83127.615054908398</v>
      </c>
      <c r="H11" s="10">
        <v>302938573</v>
      </c>
      <c r="I11" s="10">
        <v>37.406399999999998</v>
      </c>
      <c r="J11" s="23">
        <f>Calculation_Assumptions!$B$25*G11*(F11/G11)^Calculation_Assumptions!$B$26</f>
        <v>1430888.9676292725</v>
      </c>
      <c r="K11" s="23">
        <f>Calculation_Assumptions!$B$27*F11</f>
        <v>376070.329780826</v>
      </c>
      <c r="L11" s="23">
        <f t="shared" si="0"/>
        <v>1430888.9676292725</v>
      </c>
      <c r="M11" s="23">
        <f t="shared" si="1"/>
        <v>76.096881583994957</v>
      </c>
      <c r="N11" s="23">
        <f>Calculation_Assumptions!$B$28*F11</f>
        <v>1880351.6489041299</v>
      </c>
      <c r="O11" s="23">
        <f>Calculation_Assumptions!$B$29*F11</f>
        <v>3008562.638246608</v>
      </c>
      <c r="P11" s="23">
        <f t="shared" si="2"/>
        <v>38252.517420261574</v>
      </c>
      <c r="Q11" s="23">
        <f t="shared" si="3"/>
        <v>23839750397.815582</v>
      </c>
      <c r="R11" s="23">
        <f t="shared" si="4"/>
        <v>8905234209.0775204</v>
      </c>
      <c r="S11" s="23">
        <f t="shared" si="5"/>
        <v>31328156820.068256</v>
      </c>
      <c r="T11" s="23">
        <f t="shared" si="6"/>
        <v>50125050912.109215</v>
      </c>
      <c r="U11" s="21">
        <f>1/(1+Calculation_Assumptions!$B$22)^(C11-Calculation_Assumptions!$B$21)</f>
        <v>0.76641673234362695</v>
      </c>
      <c r="V11" s="23">
        <f t="shared" si="7"/>
        <v>18271183599.781498</v>
      </c>
      <c r="W11" s="23">
        <f t="shared" si="8"/>
        <v>6825120503.275876</v>
      </c>
      <c r="X11" s="23">
        <f t="shared" si="9"/>
        <v>24010423580.385426</v>
      </c>
      <c r="Y11" s="23">
        <f t="shared" si="10"/>
        <v>38416677728.616684</v>
      </c>
      <c r="Z11" s="23">
        <f t="shared" si="11"/>
        <v>5696310452572.1416</v>
      </c>
      <c r="AA11" s="23">
        <f t="shared" si="12"/>
        <v>4365747643475.1875</v>
      </c>
      <c r="AB11" s="33">
        <f t="shared" si="13"/>
        <v>4.1851213335907383E-3</v>
      </c>
    </row>
    <row r="12" spans="1:28" ht="69">
      <c r="A12" t="s">
        <v>115</v>
      </c>
      <c r="B12" s="14" t="s">
        <v>291</v>
      </c>
      <c r="C12">
        <v>2035</v>
      </c>
      <c r="D12" s="10">
        <v>22296.162952717801</v>
      </c>
      <c r="E12" s="10">
        <v>312217.84583545598</v>
      </c>
      <c r="F12" s="10">
        <v>19385.2147660882</v>
      </c>
      <c r="G12" s="10">
        <v>84050.207334112507</v>
      </c>
      <c r="H12" s="10">
        <v>304566622</v>
      </c>
      <c r="I12" s="10">
        <v>37.517899999999997</v>
      </c>
      <c r="J12" s="23">
        <f>Calculation_Assumptions!$B$25*G12*(F12/G12)^Calculation_Assumptions!$B$26</f>
        <v>1489554.8962722896</v>
      </c>
      <c r="K12" s="23">
        <f>Calculation_Assumptions!$B$27*F12</f>
        <v>387704.29532176402</v>
      </c>
      <c r="L12" s="23">
        <f t="shared" si="0"/>
        <v>1489554.8962722896</v>
      </c>
      <c r="M12" s="23">
        <f t="shared" si="1"/>
        <v>76.839741743695484</v>
      </c>
      <c r="N12" s="23">
        <f>Calculation_Assumptions!$B$28*F12</f>
        <v>1938521.47660882</v>
      </c>
      <c r="O12" s="23">
        <f>Calculation_Assumptions!$B$29*F12</f>
        <v>3101634.3625741121</v>
      </c>
      <c r="P12" s="23">
        <f t="shared" si="2"/>
        <v>39702.512567928636</v>
      </c>
      <c r="Q12" s="23">
        <f t="shared" si="3"/>
        <v>33211358694.30563</v>
      </c>
      <c r="R12" s="23">
        <f t="shared" si="4"/>
        <v>12395832948.213797</v>
      </c>
      <c r="S12" s="23">
        <f t="shared" si="5"/>
        <v>43221590729.813377</v>
      </c>
      <c r="T12" s="23">
        <f t="shared" si="6"/>
        <v>69154545167.701416</v>
      </c>
      <c r="U12" s="21">
        <f>1/(1+Calculation_Assumptions!$B$22)^(C12-Calculation_Assumptions!$B$21)</f>
        <v>0.74409391489672516</v>
      </c>
      <c r="V12" s="23">
        <f t="shared" si="7"/>
        <v>24712369909.885265</v>
      </c>
      <c r="W12" s="23">
        <f t="shared" si="8"/>
        <v>9223663866.8422184</v>
      </c>
      <c r="X12" s="23">
        <f t="shared" si="9"/>
        <v>32160922654.210842</v>
      </c>
      <c r="Y12" s="23">
        <f t="shared" si="10"/>
        <v>51457476246.73735</v>
      </c>
      <c r="Z12" s="23">
        <f t="shared" si="11"/>
        <v>5904089378052.0029</v>
      </c>
      <c r="AA12" s="23">
        <f t="shared" si="12"/>
        <v>4393196979214.8862</v>
      </c>
      <c r="AB12" s="33">
        <f t="shared" si="13"/>
        <v>5.6251449745605637E-3</v>
      </c>
    </row>
    <row r="13" spans="1:28" ht="69">
      <c r="A13" t="s">
        <v>115</v>
      </c>
      <c r="B13" s="14" t="s">
        <v>291</v>
      </c>
      <c r="C13">
        <v>2036</v>
      </c>
      <c r="D13" s="10">
        <v>28553.138536215301</v>
      </c>
      <c r="E13" s="10">
        <v>400370.50300277298</v>
      </c>
      <c r="F13" s="10">
        <v>19931.358148438001</v>
      </c>
      <c r="G13" s="10">
        <v>84847.856806891301</v>
      </c>
      <c r="H13" s="10">
        <v>306135098</v>
      </c>
      <c r="I13" s="10">
        <v>37.6267</v>
      </c>
      <c r="J13" s="23">
        <f>Calculation_Assumptions!$B$25*G13*(F13/G13)^Calculation_Assumptions!$B$26</f>
        <v>1545627.6698162202</v>
      </c>
      <c r="K13" s="23">
        <f>Calculation_Assumptions!$B$27*F13</f>
        <v>398627.16296876001</v>
      </c>
      <c r="L13" s="23">
        <f t="shared" si="0"/>
        <v>1545627.6698162202</v>
      </c>
      <c r="M13" s="23">
        <f t="shared" si="1"/>
        <v>77.547533806036668</v>
      </c>
      <c r="N13" s="23">
        <f>Calculation_Assumptions!$B$28*F13</f>
        <v>1993135.8148438002</v>
      </c>
      <c r="O13" s="23">
        <f>Calculation_Assumptions!$B$29*F13</f>
        <v>3189017.3037500801</v>
      </c>
      <c r="P13" s="23">
        <f t="shared" si="2"/>
        <v>41077.949164189798</v>
      </c>
      <c r="Q13" s="23">
        <f t="shared" si="3"/>
        <v>44132520981.670174</v>
      </c>
      <c r="R13" s="23">
        <f t="shared" si="4"/>
        <v>16446399169.189007</v>
      </c>
      <c r="S13" s="23">
        <f t="shared" si="5"/>
        <v>56910283042.727394</v>
      </c>
      <c r="T13" s="23">
        <f t="shared" si="6"/>
        <v>91056452868.363831</v>
      </c>
      <c r="U13" s="21">
        <f>1/(1+Calculation_Assumptions!$B$22)^(C13-Calculation_Assumptions!$B$21)</f>
        <v>0.72242127659876232</v>
      </c>
      <c r="V13" s="23">
        <f t="shared" si="7"/>
        <v>31882272147.099831</v>
      </c>
      <c r="W13" s="23">
        <f t="shared" si="8"/>
        <v>11881228683.258347</v>
      </c>
      <c r="X13" s="23">
        <f t="shared" si="9"/>
        <v>41113199327.32402</v>
      </c>
      <c r="Y13" s="23">
        <f t="shared" si="10"/>
        <v>65781118923.71843</v>
      </c>
      <c r="Z13" s="23">
        <f t="shared" si="11"/>
        <v>6101688280045.166</v>
      </c>
      <c r="AA13" s="23">
        <f t="shared" si="12"/>
        <v>4407989436677.9355</v>
      </c>
      <c r="AB13" s="33">
        <f t="shared" si="13"/>
        <v>7.2328376928071283E-3</v>
      </c>
    </row>
    <row r="14" spans="1:28" ht="69">
      <c r="A14" t="s">
        <v>115</v>
      </c>
      <c r="B14" s="14" t="s">
        <v>291</v>
      </c>
      <c r="C14">
        <v>2037</v>
      </c>
      <c r="D14" s="10">
        <v>35383.680851147401</v>
      </c>
      <c r="E14" s="10">
        <v>496426.289729246</v>
      </c>
      <c r="F14" s="10">
        <v>20492.888133292901</v>
      </c>
      <c r="G14" s="10">
        <v>85653.076096588004</v>
      </c>
      <c r="H14" s="10">
        <v>307646417.5</v>
      </c>
      <c r="I14" s="10">
        <v>37.736899999999999</v>
      </c>
      <c r="J14" s="23">
        <f>Calculation_Assumptions!$B$25*G14*(F14/G14)^Calculation_Assumptions!$B$26</f>
        <v>1603811.2456815364</v>
      </c>
      <c r="K14" s="23">
        <f>Calculation_Assumptions!$B$27*F14</f>
        <v>409857.76266585803</v>
      </c>
      <c r="L14" s="23">
        <f t="shared" si="0"/>
        <v>1603811.2456815364</v>
      </c>
      <c r="M14" s="23">
        <f t="shared" si="1"/>
        <v>78.261845536353292</v>
      </c>
      <c r="N14" s="23">
        <f>Calculation_Assumptions!$B$28*F14</f>
        <v>2049288.8133292901</v>
      </c>
      <c r="O14" s="23">
        <f>Calculation_Assumptions!$B$29*F14</f>
        <v>3278862.1013268642</v>
      </c>
      <c r="P14" s="23">
        <f t="shared" si="2"/>
        <v>42499.814390729931</v>
      </c>
      <c r="Q14" s="23">
        <f t="shared" si="3"/>
        <v>56748745262.676636</v>
      </c>
      <c r="R14" s="23">
        <f t="shared" si="4"/>
        <v>21098025172.171677</v>
      </c>
      <c r="S14" s="23">
        <f t="shared" si="5"/>
        <v>72511381342.670181</v>
      </c>
      <c r="T14" s="23">
        <f t="shared" si="6"/>
        <v>116018210148.27229</v>
      </c>
      <c r="U14" s="21">
        <f>1/(1+Calculation_Assumptions!$B$22)^(C14-Calculation_Assumptions!$B$21)</f>
        <v>0.70137988019297326</v>
      </c>
      <c r="V14" s="23">
        <f t="shared" si="7"/>
        <v>39802428153.437698</v>
      </c>
      <c r="W14" s="23">
        <f t="shared" si="8"/>
        <v>14797730367.566105</v>
      </c>
      <c r="X14" s="23">
        <f t="shared" si="9"/>
        <v>50858023958.749008</v>
      </c>
      <c r="Y14" s="23">
        <f t="shared" si="10"/>
        <v>81372838333.998413</v>
      </c>
      <c r="Z14" s="23">
        <f t="shared" si="11"/>
        <v>6304563618435.8232</v>
      </c>
      <c r="AA14" s="23">
        <f t="shared" si="12"/>
        <v>4421894075367.4961</v>
      </c>
      <c r="AB14" s="33">
        <f t="shared" si="13"/>
        <v>9.0012170067935854E-3</v>
      </c>
    </row>
    <row r="15" spans="1:28" ht="69">
      <c r="A15" t="s">
        <v>115</v>
      </c>
      <c r="B15" s="14" t="s">
        <v>291</v>
      </c>
      <c r="C15">
        <v>2038</v>
      </c>
      <c r="D15" s="10">
        <v>42745.394539510002</v>
      </c>
      <c r="E15" s="10">
        <v>599778.486440812</v>
      </c>
      <c r="F15" s="10">
        <v>21070.238210363499</v>
      </c>
      <c r="G15" s="10">
        <v>86465.937041936297</v>
      </c>
      <c r="H15" s="10">
        <v>309096448</v>
      </c>
      <c r="I15" s="10">
        <v>37.849600000000002</v>
      </c>
      <c r="J15" s="23">
        <f>Calculation_Assumptions!$B$25*G15*(F15/G15)^Calculation_Assumptions!$B$26</f>
        <v>1664185.0828669602</v>
      </c>
      <c r="K15" s="23">
        <f>Calculation_Assumptions!$B$27*F15</f>
        <v>421404.76420727</v>
      </c>
      <c r="L15" s="23">
        <f t="shared" si="0"/>
        <v>1664185.0828669602</v>
      </c>
      <c r="M15" s="23">
        <f t="shared" si="1"/>
        <v>78.9827369891064</v>
      </c>
      <c r="N15" s="23">
        <f>Calculation_Assumptions!$B$28*F15</f>
        <v>2107023.82103635</v>
      </c>
      <c r="O15" s="23">
        <f>Calculation_Assumptions!$B$29*F15</f>
        <v>3371238.11365816</v>
      </c>
      <c r="P15" s="23">
        <f t="shared" si="2"/>
        <v>43968.366452141112</v>
      </c>
      <c r="Q15" s="23">
        <f t="shared" si="3"/>
        <v>71136247953.915359</v>
      </c>
      <c r="R15" s="23">
        <f t="shared" si="4"/>
        <v>26371280281.94017</v>
      </c>
      <c r="S15" s="23">
        <f t="shared" si="5"/>
        <v>90065564534.344696</v>
      </c>
      <c r="T15" s="23">
        <f t="shared" si="6"/>
        <v>144104903254.95151</v>
      </c>
      <c r="U15" s="21">
        <f>1/(1+Calculation_Assumptions!$B$22)^(C15-Calculation_Assumptions!$B$21)</f>
        <v>0.68095133999317792</v>
      </c>
      <c r="V15" s="23">
        <f t="shared" si="7"/>
        <v>48440323366.305626</v>
      </c>
      <c r="W15" s="23">
        <f t="shared" si="8"/>
        <v>17957558645.32283</v>
      </c>
      <c r="X15" s="23">
        <f t="shared" si="9"/>
        <v>61330266856.90406</v>
      </c>
      <c r="Y15" s="23">
        <f t="shared" si="10"/>
        <v>98128426971.046494</v>
      </c>
      <c r="Z15" s="23">
        <f t="shared" si="11"/>
        <v>6512735789337.2344</v>
      </c>
      <c r="AA15" s="23">
        <f t="shared" si="12"/>
        <v>4434856162770.7168</v>
      </c>
      <c r="AB15" s="33">
        <f t="shared" si="13"/>
        <v>1.0922636854143674E-2</v>
      </c>
    </row>
    <row r="16" spans="1:28" ht="69">
      <c r="A16" t="s">
        <v>115</v>
      </c>
      <c r="B16" s="14" t="s">
        <v>291</v>
      </c>
      <c r="C16">
        <v>2039</v>
      </c>
      <c r="D16" s="10">
        <v>50631.655663376201</v>
      </c>
      <c r="E16" s="10">
        <v>710011.61053178203</v>
      </c>
      <c r="F16" s="10">
        <v>21663.854082149101</v>
      </c>
      <c r="G16" s="10">
        <v>87286.512163430903</v>
      </c>
      <c r="H16" s="10">
        <v>310481120</v>
      </c>
      <c r="I16" s="10">
        <v>37.958199999999998</v>
      </c>
      <c r="J16" s="23">
        <f>Calculation_Assumptions!$B$25*G16*(F16/G16)^Calculation_Assumptions!$B$26</f>
        <v>1726831.6315240795</v>
      </c>
      <c r="K16" s="23">
        <f>Calculation_Assumptions!$B$27*F16</f>
        <v>433277.08164298203</v>
      </c>
      <c r="L16" s="23">
        <f t="shared" si="0"/>
        <v>1726831.6315240795</v>
      </c>
      <c r="M16" s="23">
        <f t="shared" si="1"/>
        <v>79.710268771934693</v>
      </c>
      <c r="N16" s="23">
        <f>Calculation_Assumptions!$B$28*F16</f>
        <v>2166385.40821491</v>
      </c>
      <c r="O16" s="23">
        <f>Calculation_Assumptions!$B$29*F16</f>
        <v>3466216.6531438562</v>
      </c>
      <c r="P16" s="23">
        <f t="shared" si="2"/>
        <v>45492.979949630899</v>
      </c>
      <c r="Q16" s="23">
        <f t="shared" si="3"/>
        <v>87432344555.953323</v>
      </c>
      <c r="R16" s="23">
        <f t="shared" si="4"/>
        <v>32300543961.927502</v>
      </c>
      <c r="S16" s="23">
        <f t="shared" si="5"/>
        <v>109687680022.90001</v>
      </c>
      <c r="T16" s="23">
        <f t="shared" si="6"/>
        <v>175500288036.64001</v>
      </c>
      <c r="U16" s="21">
        <f>1/(1+Calculation_Assumptions!$B$22)^(C16-Calculation_Assumptions!$B$21)</f>
        <v>0.66111780581861923</v>
      </c>
      <c r="V16" s="23">
        <f t="shared" si="7"/>
        <v>57803079790.409363</v>
      </c>
      <c r="W16" s="23">
        <f t="shared" si="8"/>
        <v>21354464750.857361</v>
      </c>
      <c r="X16" s="23">
        <f t="shared" si="9"/>
        <v>72516478342.074448</v>
      </c>
      <c r="Y16" s="23">
        <f t="shared" si="10"/>
        <v>116026365347.31912</v>
      </c>
      <c r="Z16" s="23">
        <f t="shared" si="11"/>
        <v>6726217678942.2246</v>
      </c>
      <c r="AA16" s="23">
        <f t="shared" si="12"/>
        <v>4446822273360.6895</v>
      </c>
      <c r="AB16" s="33">
        <f t="shared" si="13"/>
        <v>1.2998738478190773E-2</v>
      </c>
    </row>
    <row r="17" spans="1:28" ht="69">
      <c r="A17" t="s">
        <v>115</v>
      </c>
      <c r="B17" s="14" t="s">
        <v>291</v>
      </c>
      <c r="C17">
        <v>2040</v>
      </c>
      <c r="D17" s="10">
        <v>58966.819727850503</v>
      </c>
      <c r="E17" s="10">
        <v>826268.76795898797</v>
      </c>
      <c r="F17" s="10">
        <v>22274.194008011302</v>
      </c>
      <c r="G17" s="10">
        <v>88114.874669796802</v>
      </c>
      <c r="H17" s="10">
        <v>311797395.5</v>
      </c>
      <c r="I17" s="10">
        <v>38.0715</v>
      </c>
      <c r="J17" s="23">
        <f>Calculation_Assumptions!$B$25*G17*(F17/G17)^Calculation_Assumptions!$B$26</f>
        <v>1791836.4455562858</v>
      </c>
      <c r="K17" s="23">
        <f>Calculation_Assumptions!$B$27*F17</f>
        <v>445483.88016022602</v>
      </c>
      <c r="L17" s="23">
        <f t="shared" si="0"/>
        <v>1791836.4455562858</v>
      </c>
      <c r="M17" s="23">
        <f t="shared" si="1"/>
        <v>80.444502050750771</v>
      </c>
      <c r="N17" s="23">
        <f>Calculation_Assumptions!$B$28*F17</f>
        <v>2227419.4008011301</v>
      </c>
      <c r="O17" s="23">
        <f>Calculation_Assumptions!$B$29*F17</f>
        <v>3563871.0412818082</v>
      </c>
      <c r="P17" s="23">
        <f t="shared" si="2"/>
        <v>47065.034095223091</v>
      </c>
      <c r="Q17" s="23">
        <f t="shared" si="3"/>
        <v>105658896666.90991</v>
      </c>
      <c r="R17" s="23">
        <f t="shared" si="4"/>
        <v>38888367735.807747</v>
      </c>
      <c r="S17" s="23">
        <f t="shared" si="5"/>
        <v>131343838265.35703</v>
      </c>
      <c r="T17" s="23">
        <f t="shared" si="6"/>
        <v>210150141224.57123</v>
      </c>
      <c r="U17" s="21">
        <f>1/(1+Calculation_Assumptions!$B$22)^(C17-Calculation_Assumptions!$B$21)</f>
        <v>0.64186194739671765</v>
      </c>
      <c r="V17" s="23">
        <f t="shared" si="7"/>
        <v>67818425174.411354</v>
      </c>
      <c r="W17" s="23">
        <f t="shared" si="8"/>
        <v>24960963445.985245</v>
      </c>
      <c r="X17" s="23">
        <f t="shared" si="9"/>
        <v>84304611807.561584</v>
      </c>
      <c r="Y17" s="23">
        <f t="shared" si="10"/>
        <v>134887378892.09853</v>
      </c>
      <c r="Z17" s="23">
        <f t="shared" si="11"/>
        <v>6945035678559.6299</v>
      </c>
      <c r="AA17" s="23">
        <f t="shared" si="12"/>
        <v>4457754125379.9688</v>
      </c>
      <c r="AB17" s="33">
        <f t="shared" si="13"/>
        <v>1.5213585870133804E-2</v>
      </c>
    </row>
    <row r="18" spans="1:28" ht="69">
      <c r="A18" t="s">
        <v>115</v>
      </c>
      <c r="B18" s="14" t="s">
        <v>291</v>
      </c>
      <c r="C18">
        <v>2041</v>
      </c>
      <c r="D18" s="10">
        <v>65959.2455505744</v>
      </c>
      <c r="E18" s="10">
        <v>927130.22857793199</v>
      </c>
      <c r="F18" s="10">
        <v>22835.781799026801</v>
      </c>
      <c r="G18" s="10">
        <v>88881.561359791202</v>
      </c>
      <c r="H18" s="10">
        <v>313041661</v>
      </c>
      <c r="I18" s="10">
        <v>37.258299999999998</v>
      </c>
      <c r="J18" s="23">
        <f>Calculation_Assumptions!$B$25*G18*(F18/G18)^Calculation_Assumptions!$B$26</f>
        <v>1851987.1625359422</v>
      </c>
      <c r="K18" s="23">
        <f>Calculation_Assumptions!$B$27*F18</f>
        <v>456715.635980536</v>
      </c>
      <c r="L18" s="23">
        <f t="shared" si="0"/>
        <v>1851987.1625359422</v>
      </c>
      <c r="M18" s="23">
        <f t="shared" si="1"/>
        <v>81.100230280483274</v>
      </c>
      <c r="N18" s="23">
        <f>Calculation_Assumptions!$B$28*F18</f>
        <v>2283578.1799026802</v>
      </c>
      <c r="O18" s="23">
        <f>Calculation_Assumptions!$B$29*F18</f>
        <v>3653725.087844288</v>
      </c>
      <c r="P18" s="23">
        <f t="shared" si="2"/>
        <v>49706.700588484775</v>
      </c>
      <c r="Q18" s="23">
        <f t="shared" si="3"/>
        <v>122155676010.21976</v>
      </c>
      <c r="R18" s="23">
        <f t="shared" si="4"/>
        <v>46084584678.456718</v>
      </c>
      <c r="S18" s="23">
        <f t="shared" si="5"/>
        <v>150623093902.13464</v>
      </c>
      <c r="T18" s="23">
        <f t="shared" si="6"/>
        <v>240996950243.41541</v>
      </c>
      <c r="U18" s="21">
        <f>1/(1+Calculation_Assumptions!$B$22)^(C18-Calculation_Assumptions!$B$21)</f>
        <v>0.62316693922011435</v>
      </c>
      <c r="V18" s="23">
        <f t="shared" si="7"/>
        <v>76123378727.652603</v>
      </c>
      <c r="W18" s="23">
        <f t="shared" si="8"/>
        <v>28718389579.30405</v>
      </c>
      <c r="X18" s="23">
        <f t="shared" si="9"/>
        <v>93863332402.857117</v>
      </c>
      <c r="Y18" s="23">
        <f t="shared" si="10"/>
        <v>150181331844.57138</v>
      </c>
      <c r="Z18" s="23">
        <f t="shared" si="11"/>
        <v>7148551064600.918</v>
      </c>
      <c r="AA18" s="23">
        <f t="shared" si="12"/>
        <v>4454740686786.0439</v>
      </c>
      <c r="AB18" s="33">
        <f t="shared" si="13"/>
        <v>1.7088172820800763E-2</v>
      </c>
    </row>
    <row r="19" spans="1:28" ht="69">
      <c r="A19" t="s">
        <v>115</v>
      </c>
      <c r="B19" s="14" t="s">
        <v>291</v>
      </c>
      <c r="C19">
        <v>2042</v>
      </c>
      <c r="D19" s="10">
        <v>71654.824962910207</v>
      </c>
      <c r="E19" s="10">
        <v>1010439.96243469</v>
      </c>
      <c r="F19" s="10">
        <v>23411.5286140188</v>
      </c>
      <c r="G19" s="10">
        <v>89654.918983413998</v>
      </c>
      <c r="H19" s="10">
        <v>314211282.5</v>
      </c>
      <c r="I19" s="10">
        <v>37.373199999999997</v>
      </c>
      <c r="J19" s="23">
        <f>Calculation_Assumptions!$B$25*G19*(F19/G19)^Calculation_Assumptions!$B$26</f>
        <v>1914157.097710504</v>
      </c>
      <c r="K19" s="23">
        <f>Calculation_Assumptions!$B$27*F19</f>
        <v>468230.57228037599</v>
      </c>
      <c r="L19" s="23">
        <f t="shared" si="0"/>
        <v>1914157.097710504</v>
      </c>
      <c r="M19" s="23">
        <f t="shared" si="1"/>
        <v>81.761303555561454</v>
      </c>
      <c r="N19" s="23">
        <f>Calculation_Assumptions!$B$28*F19</f>
        <v>2341152.8614018802</v>
      </c>
      <c r="O19" s="23">
        <f>Calculation_Assumptions!$B$29*F19</f>
        <v>3745844.5782430079</v>
      </c>
      <c r="P19" s="23">
        <f t="shared" si="2"/>
        <v>51217.372280417629</v>
      </c>
      <c r="Q19" s="23">
        <f t="shared" si="3"/>
        <v>137158591787.95837</v>
      </c>
      <c r="R19" s="23">
        <f t="shared" si="4"/>
        <v>51752079723.028717</v>
      </c>
      <c r="S19" s="23">
        <f t="shared" si="5"/>
        <v>167754898495.16809</v>
      </c>
      <c r="T19" s="23">
        <f t="shared" si="6"/>
        <v>268407837592.26892</v>
      </c>
      <c r="U19" s="21">
        <f>1/(1+Calculation_Assumptions!$B$22)^(C19-Calculation_Assumptions!$B$21)</f>
        <v>0.60501644584477121</v>
      </c>
      <c r="V19" s="23">
        <f t="shared" si="7"/>
        <v>82983203720.624405</v>
      </c>
      <c r="W19" s="23">
        <f t="shared" si="8"/>
        <v>31310859339.102085</v>
      </c>
      <c r="X19" s="23">
        <f t="shared" si="9"/>
        <v>101494472460.59695</v>
      </c>
      <c r="Y19" s="23">
        <f t="shared" si="10"/>
        <v>162391155936.95511</v>
      </c>
      <c r="Z19" s="23">
        <f t="shared" si="11"/>
        <v>7356166431096.2949</v>
      </c>
      <c r="AA19" s="23">
        <f t="shared" si="12"/>
        <v>4450601669184.4951</v>
      </c>
      <c r="AB19" s="33">
        <f t="shared" si="13"/>
        <v>1.8645389969448738E-2</v>
      </c>
    </row>
    <row r="20" spans="1:28" ht="69">
      <c r="A20" t="s">
        <v>115</v>
      </c>
      <c r="B20" s="14" t="s">
        <v>291</v>
      </c>
      <c r="C20">
        <v>2043</v>
      </c>
      <c r="D20" s="10">
        <v>76543.849653421305</v>
      </c>
      <c r="E20" s="10">
        <v>1081954.0922719201</v>
      </c>
      <c r="F20" s="10">
        <v>24001.7914371726</v>
      </c>
      <c r="G20" s="10">
        <v>90435.005584395898</v>
      </c>
      <c r="H20" s="10">
        <v>315304312</v>
      </c>
      <c r="I20" s="10">
        <v>37.491100000000003</v>
      </c>
      <c r="J20" s="23">
        <f>Calculation_Assumptions!$B$25*G20*(F20/G20)^Calculation_Assumptions!$B$26</f>
        <v>1978414.0348458875</v>
      </c>
      <c r="K20" s="23">
        <f>Calculation_Assumptions!$B$27*F20</f>
        <v>480035.82874345197</v>
      </c>
      <c r="L20" s="23">
        <f t="shared" si="0"/>
        <v>1978414.0348458875</v>
      </c>
      <c r="M20" s="23">
        <f t="shared" si="1"/>
        <v>82.427765445117274</v>
      </c>
      <c r="N20" s="23">
        <f>Calculation_Assumptions!$B$28*F20</f>
        <v>2400179.1437172601</v>
      </c>
      <c r="O20" s="23">
        <f>Calculation_Assumptions!$B$29*F20</f>
        <v>3840286.6299476158</v>
      </c>
      <c r="P20" s="23">
        <f t="shared" si="2"/>
        <v>52770.23173088779</v>
      </c>
      <c r="Q20" s="23">
        <f t="shared" si="3"/>
        <v>151435426435.46222</v>
      </c>
      <c r="R20" s="23">
        <f t="shared" si="4"/>
        <v>57094968171.371574</v>
      </c>
      <c r="S20" s="23">
        <f t="shared" si="5"/>
        <v>183718951517.97144</v>
      </c>
      <c r="T20" s="23">
        <f t="shared" si="6"/>
        <v>293950322428.75427</v>
      </c>
      <c r="U20" s="21">
        <f>1/(1+Calculation_Assumptions!$B$22)^(C20-Calculation_Assumptions!$B$21)</f>
        <v>0.5873946076162827</v>
      </c>
      <c r="V20" s="23">
        <f t="shared" si="7"/>
        <v>88952352890.262772</v>
      </c>
      <c r="W20" s="23">
        <f t="shared" si="8"/>
        <v>33537276425.886955</v>
      </c>
      <c r="X20" s="23">
        <f t="shared" si="9"/>
        <v>107915521438.5737</v>
      </c>
      <c r="Y20" s="23">
        <f t="shared" si="10"/>
        <v>172664834301.7179</v>
      </c>
      <c r="Z20" s="23">
        <f t="shared" si="11"/>
        <v>7567868335865.1982</v>
      </c>
      <c r="AA20" s="23">
        <f t="shared" si="12"/>
        <v>4445325051637.2285</v>
      </c>
      <c r="AB20" s="33">
        <f t="shared" si="13"/>
        <v>2.001031462423683E-2</v>
      </c>
    </row>
    <row r="21" spans="1:28" ht="69">
      <c r="A21" t="s">
        <v>115</v>
      </c>
      <c r="B21" s="14" t="s">
        <v>291</v>
      </c>
      <c r="C21">
        <v>2044</v>
      </c>
      <c r="D21" s="10">
        <v>80831.5567096913</v>
      </c>
      <c r="E21" s="10">
        <v>1144581.28860432</v>
      </c>
      <c r="F21" s="10">
        <v>24606.936253131698</v>
      </c>
      <c r="G21" s="10">
        <v>91221.879711504793</v>
      </c>
      <c r="H21" s="10">
        <v>316318415.5</v>
      </c>
      <c r="I21" s="10">
        <v>37.609900000000003</v>
      </c>
      <c r="J21" s="23">
        <f>Calculation_Assumptions!$B$25*G21*(F21/G21)^Calculation_Assumptions!$B$26</f>
        <v>2044828.0331623689</v>
      </c>
      <c r="K21" s="23">
        <f>Calculation_Assumptions!$B$27*F21</f>
        <v>492138.72506263398</v>
      </c>
      <c r="L21" s="23">
        <f t="shared" si="0"/>
        <v>2044828.0331623689</v>
      </c>
      <c r="M21" s="23">
        <f t="shared" si="1"/>
        <v>83.099659873427996</v>
      </c>
      <c r="N21" s="23">
        <f>Calculation_Assumptions!$B$28*F21</f>
        <v>2460693.6253131698</v>
      </c>
      <c r="O21" s="23">
        <f>Calculation_Assumptions!$B$29*F21</f>
        <v>3937109.8005010718</v>
      </c>
      <c r="P21" s="23">
        <f t="shared" si="2"/>
        <v>54369.408936539818</v>
      </c>
      <c r="Q21" s="23">
        <f t="shared" si="3"/>
        <v>165286633124.13055</v>
      </c>
      <c r="R21" s="23">
        <f t="shared" si="4"/>
        <v>62230208141.239975</v>
      </c>
      <c r="S21" s="23">
        <f t="shared" si="5"/>
        <v>198901696319.67737</v>
      </c>
      <c r="T21" s="23">
        <f t="shared" si="6"/>
        <v>318242714111.48376</v>
      </c>
      <c r="U21" s="21">
        <f>1/(1+Calculation_Assumptions!$B$22)^(C21-Calculation_Assumptions!$B$21)</f>
        <v>0.57028602681192497</v>
      </c>
      <c r="V21" s="23">
        <f t="shared" si="7"/>
        <v>94260657289.480728</v>
      </c>
      <c r="W21" s="23">
        <f t="shared" si="8"/>
        <v>35489018148.546852</v>
      </c>
      <c r="X21" s="23">
        <f t="shared" si="9"/>
        <v>113430858120.30089</v>
      </c>
      <c r="Y21" s="23">
        <f t="shared" si="10"/>
        <v>181489372992.48141</v>
      </c>
      <c r="Z21" s="23">
        <f t="shared" si="11"/>
        <v>7783627085900.126</v>
      </c>
      <c r="AA21" s="23">
        <f t="shared" si="12"/>
        <v>4438893765003.665</v>
      </c>
      <c r="AB21" s="33">
        <f t="shared" si="13"/>
        <v>2.1235168553172819E-2</v>
      </c>
    </row>
    <row r="22" spans="1:28" ht="69">
      <c r="A22" t="s">
        <v>115</v>
      </c>
      <c r="B22" s="14" t="s">
        <v>291</v>
      </c>
      <c r="C22">
        <v>2045</v>
      </c>
      <c r="D22" s="10">
        <v>84660.819608399295</v>
      </c>
      <c r="E22" s="10">
        <v>1200165.61794951</v>
      </c>
      <c r="F22" s="10">
        <v>25227.338273922502</v>
      </c>
      <c r="G22" s="10">
        <v>92015.600422941701</v>
      </c>
      <c r="H22" s="10">
        <v>317249613</v>
      </c>
      <c r="I22" s="10">
        <v>37.724499999999999</v>
      </c>
      <c r="J22" s="23">
        <f>Calculation_Assumptions!$B$25*G22*(F22/G22)^Calculation_Assumptions!$B$26</f>
        <v>2113471.5037201103</v>
      </c>
      <c r="K22" s="23">
        <f>Calculation_Assumptions!$B$27*F22</f>
        <v>504546.76547845005</v>
      </c>
      <c r="L22" s="23">
        <f t="shared" si="0"/>
        <v>2113471.5037201103</v>
      </c>
      <c r="M22" s="23">
        <f t="shared" si="1"/>
        <v>83.777031122811934</v>
      </c>
      <c r="N22" s="23">
        <f>Calculation_Assumptions!$B$28*F22</f>
        <v>2522733.8273922503</v>
      </c>
      <c r="O22" s="23">
        <f>Calculation_Assumptions!$B$29*F22</f>
        <v>4036374.1238276004</v>
      </c>
      <c r="P22" s="23">
        <f t="shared" si="2"/>
        <v>56023.844019671844</v>
      </c>
      <c r="Q22" s="23">
        <f t="shared" si="3"/>
        <v>178928229723.94064</v>
      </c>
      <c r="R22" s="23">
        <f t="shared" si="4"/>
        <v>67237891377.776421</v>
      </c>
      <c r="S22" s="23">
        <f t="shared" si="5"/>
        <v>213576713480.86203</v>
      </c>
      <c r="T22" s="23">
        <f t="shared" si="6"/>
        <v>341722741569.37921</v>
      </c>
      <c r="U22" s="21">
        <f>1/(1+Calculation_Assumptions!$B$22)^(C22-Calculation_Assumptions!$B$21)</f>
        <v>0.55367575418633497</v>
      </c>
      <c r="V22" s="23">
        <f t="shared" si="7"/>
        <v>99068222537.628632</v>
      </c>
      <c r="W22" s="23">
        <f t="shared" si="8"/>
        <v>37227990218.489227</v>
      </c>
      <c r="X22" s="23">
        <f t="shared" si="9"/>
        <v>118252247913.15506</v>
      </c>
      <c r="Y22" s="23">
        <f t="shared" si="10"/>
        <v>189203596661.04807</v>
      </c>
      <c r="Z22" s="23">
        <f t="shared" si="11"/>
        <v>8003363304422.002</v>
      </c>
      <c r="AA22" s="23">
        <f t="shared" si="12"/>
        <v>4431268213603.0898</v>
      </c>
      <c r="AB22" s="33">
        <f t="shared" si="13"/>
        <v>2.2356629696552645E-2</v>
      </c>
    </row>
    <row r="23" spans="1:28" ht="69">
      <c r="A23" t="s">
        <v>115</v>
      </c>
      <c r="B23" s="14" t="s">
        <v>291</v>
      </c>
      <c r="C23">
        <v>2046</v>
      </c>
      <c r="D23" s="10">
        <v>88085.916859630306</v>
      </c>
      <c r="E23" s="10">
        <v>1249708.1869558101</v>
      </c>
      <c r="F23" s="10">
        <v>25797.702300703098</v>
      </c>
      <c r="G23" s="10">
        <v>92766.695441781907</v>
      </c>
      <c r="H23" s="10">
        <v>318096573.5</v>
      </c>
      <c r="I23" s="10">
        <v>37.836199999999998</v>
      </c>
      <c r="J23" s="23">
        <f>Calculation_Assumptions!$B$25*G23*(F23/G23)^Calculation_Assumptions!$B$26</f>
        <v>2176684.4748758646</v>
      </c>
      <c r="K23" s="23">
        <f>Calculation_Assumptions!$B$27*F23</f>
        <v>515954.04601406195</v>
      </c>
      <c r="L23" s="23">
        <f t="shared" si="0"/>
        <v>2176684.4748758646</v>
      </c>
      <c r="M23" s="23">
        <f t="shared" si="1"/>
        <v>84.375129595031439</v>
      </c>
      <c r="N23" s="23">
        <f>Calculation_Assumptions!$B$28*F23</f>
        <v>2579770.2300703097</v>
      </c>
      <c r="O23" s="23">
        <f>Calculation_Assumptions!$B$29*F23</f>
        <v>4127632.3681124956</v>
      </c>
      <c r="P23" s="23">
        <f t="shared" si="2"/>
        <v>57529.15131212608</v>
      </c>
      <c r="Q23" s="23">
        <f t="shared" si="3"/>
        <v>191735247683.56345</v>
      </c>
      <c r="R23" s="23">
        <f t="shared" si="4"/>
        <v>71894651383.383545</v>
      </c>
      <c r="S23" s="23">
        <f t="shared" si="5"/>
        <v>227241426002.92264</v>
      </c>
      <c r="T23" s="23">
        <f t="shared" si="6"/>
        <v>363586281604.67627</v>
      </c>
      <c r="U23" s="21">
        <f>1/(1+Calculation_Assumptions!$B$22)^(C23-Calculation_Assumptions!$B$21)</f>
        <v>0.5375492759090631</v>
      </c>
      <c r="V23" s="23">
        <f t="shared" si="7"/>
        <v>103067143558.5444</v>
      </c>
      <c r="W23" s="23">
        <f t="shared" si="8"/>
        <v>38646917792.872345</v>
      </c>
      <c r="X23" s="23">
        <f t="shared" si="9"/>
        <v>122153464004.414</v>
      </c>
      <c r="Y23" s="23">
        <f t="shared" si="10"/>
        <v>195445542407.06244</v>
      </c>
      <c r="Z23" s="23">
        <f t="shared" si="11"/>
        <v>8206160706026.7227</v>
      </c>
      <c r="AA23" s="23">
        <f t="shared" si="12"/>
        <v>4411215745518.0703</v>
      </c>
      <c r="AB23" s="33">
        <f t="shared" si="13"/>
        <v>2.3364793178221616E-2</v>
      </c>
    </row>
    <row r="24" spans="1:28" ht="69">
      <c r="A24" t="s">
        <v>115</v>
      </c>
      <c r="B24" s="14" t="s">
        <v>291</v>
      </c>
      <c r="C24">
        <v>2047</v>
      </c>
      <c r="D24" s="10">
        <v>91127.179387777505</v>
      </c>
      <c r="E24" s="10">
        <v>1294140.31989801</v>
      </c>
      <c r="F24" s="10">
        <v>26380.9616682253</v>
      </c>
      <c r="G24" s="10">
        <v>93523.921418033002</v>
      </c>
      <c r="H24" s="10">
        <v>318862019.5</v>
      </c>
      <c r="I24" s="10">
        <v>37.948900000000002</v>
      </c>
      <c r="J24" s="23">
        <f>Calculation_Assumptions!$B$25*G24*(F24/G24)^Calculation_Assumptions!$B$26</f>
        <v>2241788.1172402492</v>
      </c>
      <c r="K24" s="23">
        <f>Calculation_Assumptions!$B$27*F24</f>
        <v>527619.23336450604</v>
      </c>
      <c r="L24" s="23">
        <f t="shared" si="0"/>
        <v>2241788.1172402492</v>
      </c>
      <c r="M24" s="23">
        <f t="shared" si="1"/>
        <v>84.977497993956135</v>
      </c>
      <c r="N24" s="23">
        <f>Calculation_Assumptions!$B$28*F24</f>
        <v>2638096.1668225299</v>
      </c>
      <c r="O24" s="23">
        <f>Calculation_Assumptions!$B$29*F24</f>
        <v>4220953.8669160483</v>
      </c>
      <c r="P24" s="23">
        <f t="shared" si="2"/>
        <v>59073.862937799226</v>
      </c>
      <c r="Q24" s="23">
        <f t="shared" si="3"/>
        <v>204287827909.14017</v>
      </c>
      <c r="R24" s="23">
        <f t="shared" si="4"/>
        <v>76449867879.934692</v>
      </c>
      <c r="S24" s="23">
        <f t="shared" si="5"/>
        <v>240402262636.2449</v>
      </c>
      <c r="T24" s="23">
        <f t="shared" si="6"/>
        <v>384643620217.99188</v>
      </c>
      <c r="U24" s="21">
        <f>1/(1+Calculation_Assumptions!$B$22)^(C24-Calculation_Assumptions!$B$21)</f>
        <v>0.52189250088258554</v>
      </c>
      <c r="V24" s="23">
        <f t="shared" si="7"/>
        <v>106616285407.37242</v>
      </c>
      <c r="W24" s="23">
        <f t="shared" si="8"/>
        <v>39898612740.002365</v>
      </c>
      <c r="X24" s="23">
        <f t="shared" si="9"/>
        <v>125464138065.06201</v>
      </c>
      <c r="Y24" s="23">
        <f t="shared" si="10"/>
        <v>200742620904.09921</v>
      </c>
      <c r="Z24" s="23">
        <f t="shared" si="11"/>
        <v>8411886713882.4082</v>
      </c>
      <c r="AA24" s="23">
        <f t="shared" si="12"/>
        <v>4390100594249.0845</v>
      </c>
      <c r="AB24" s="33">
        <f t="shared" si="13"/>
        <v>2.4285613306227409E-2</v>
      </c>
    </row>
    <row r="25" spans="1:28" ht="69">
      <c r="A25" t="s">
        <v>115</v>
      </c>
      <c r="B25" s="14" t="s">
        <v>291</v>
      </c>
      <c r="C25">
        <v>2048</v>
      </c>
      <c r="D25" s="10">
        <v>93813.720912120494</v>
      </c>
      <c r="E25" s="10">
        <v>1333953.79717126</v>
      </c>
      <c r="F25" s="10">
        <v>26977.4079268061</v>
      </c>
      <c r="G25" s="10">
        <v>94287.328396812707</v>
      </c>
      <c r="H25" s="10">
        <v>319554652.5</v>
      </c>
      <c r="I25" s="10">
        <v>38.064500000000002</v>
      </c>
      <c r="J25" s="23">
        <f>Calculation_Assumptions!$B$25*G25*(F25/G25)^Calculation_Assumptions!$B$26</f>
        <v>2308838.9799289512</v>
      </c>
      <c r="K25" s="23">
        <f>Calculation_Assumptions!$B$27*F25</f>
        <v>539548.15853612195</v>
      </c>
      <c r="L25" s="23">
        <f t="shared" si="0"/>
        <v>2308838.9799289512</v>
      </c>
      <c r="M25" s="23">
        <f t="shared" si="1"/>
        <v>85.584166803318922</v>
      </c>
      <c r="N25" s="23">
        <f>Calculation_Assumptions!$B$28*F25</f>
        <v>2697740.79268061</v>
      </c>
      <c r="O25" s="23">
        <f>Calculation_Assumptions!$B$29*F25</f>
        <v>4316385.2682889756</v>
      </c>
      <c r="P25" s="23">
        <f t="shared" si="2"/>
        <v>60655.965004898295</v>
      </c>
      <c r="Q25" s="23">
        <f t="shared" si="3"/>
        <v>216600775694.07959</v>
      </c>
      <c r="R25" s="23">
        <f t="shared" si="4"/>
        <v>80912254839.37114</v>
      </c>
      <c r="S25" s="23">
        <f t="shared" si="5"/>
        <v>253085101817.78146</v>
      </c>
      <c r="T25" s="23">
        <f t="shared" si="6"/>
        <v>404936162908.45032</v>
      </c>
      <c r="U25" s="21">
        <f>1/(1+Calculation_Assumptions!$B$22)^(C25-Calculation_Assumptions!$B$21)</f>
        <v>0.50669174842969467</v>
      </c>
      <c r="V25" s="23">
        <f t="shared" si="7"/>
        <v>109749825747.6613</v>
      </c>
      <c r="W25" s="23">
        <f t="shared" si="8"/>
        <v>40997571873.949989</v>
      </c>
      <c r="X25" s="23">
        <f t="shared" si="9"/>
        <v>128236132741.55899</v>
      </c>
      <c r="Y25" s="23">
        <f t="shared" si="10"/>
        <v>205177812386.49435</v>
      </c>
      <c r="Z25" s="23">
        <f t="shared" si="11"/>
        <v>8620756215401.2686</v>
      </c>
      <c r="AA25" s="23">
        <f t="shared" si="12"/>
        <v>4368066039567.8262</v>
      </c>
      <c r="AB25" s="33">
        <f t="shared" si="13"/>
        <v>2.5125495986896729E-2</v>
      </c>
    </row>
    <row r="26" spans="1:28" ht="69">
      <c r="A26" t="s">
        <v>115</v>
      </c>
      <c r="B26" s="14" t="s">
        <v>291</v>
      </c>
      <c r="C26">
        <v>2049</v>
      </c>
      <c r="D26" s="10">
        <v>96233.690708729904</v>
      </c>
      <c r="E26" s="10">
        <v>1370022.3521505999</v>
      </c>
      <c r="F26" s="10">
        <v>27587.339218413799</v>
      </c>
      <c r="G26" s="10">
        <v>95056.966831742102</v>
      </c>
      <c r="H26" s="10">
        <v>320173250</v>
      </c>
      <c r="I26" s="10">
        <v>38.1755</v>
      </c>
      <c r="J26" s="23">
        <f>Calculation_Assumptions!$B$25*G26*(F26/G26)^Calculation_Assumptions!$B$26</f>
        <v>2377895.3034159979</v>
      </c>
      <c r="K26" s="23">
        <f>Calculation_Assumptions!$B$27*F26</f>
        <v>551746.78436827601</v>
      </c>
      <c r="L26" s="23">
        <f t="shared" si="0"/>
        <v>2377895.3034159979</v>
      </c>
      <c r="M26" s="23">
        <f t="shared" si="1"/>
        <v>86.195166724481254</v>
      </c>
      <c r="N26" s="23">
        <f>Calculation_Assumptions!$B$28*F26</f>
        <v>2758733.9218413797</v>
      </c>
      <c r="O26" s="23">
        <f>Calculation_Assumptions!$B$29*F26</f>
        <v>4413974.2749462081</v>
      </c>
      <c r="P26" s="23">
        <f t="shared" si="2"/>
        <v>62288.517594163743</v>
      </c>
      <c r="Q26" s="23">
        <f t="shared" si="3"/>
        <v>228833641166.67661</v>
      </c>
      <c r="R26" s="23">
        <f t="shared" si="4"/>
        <v>85336661386.330246</v>
      </c>
      <c r="S26" s="23">
        <f t="shared" si="5"/>
        <v>265483146982.16479</v>
      </c>
      <c r="T26" s="23">
        <f t="shared" si="6"/>
        <v>424773035171.46375</v>
      </c>
      <c r="U26" s="21">
        <f>1/(1+Calculation_Assumptions!$B$22)^(C26-Calculation_Assumptions!$B$21)</f>
        <v>0.49193373633950943</v>
      </c>
      <c r="V26" s="23">
        <f t="shared" si="7"/>
        <v>112570988099.29781</v>
      </c>
      <c r="W26" s="23">
        <f t="shared" si="8"/>
        <v>41979982682.516975</v>
      </c>
      <c r="X26" s="23">
        <f t="shared" si="9"/>
        <v>130600116430.10748</v>
      </c>
      <c r="Y26" s="23">
        <f t="shared" si="10"/>
        <v>208960186288.172</v>
      </c>
      <c r="Z26" s="23">
        <f t="shared" si="11"/>
        <v>8832728056412.0059</v>
      </c>
      <c r="AA26" s="23">
        <f t="shared" si="12"/>
        <v>4345116914861.5713</v>
      </c>
      <c r="AB26" s="33">
        <f t="shared" si="13"/>
        <v>2.5907470455920779E-2</v>
      </c>
    </row>
    <row r="27" spans="1:28" ht="69">
      <c r="A27" t="s">
        <v>115</v>
      </c>
      <c r="B27" s="14" t="s">
        <v>291</v>
      </c>
      <c r="C27">
        <v>2050</v>
      </c>
      <c r="D27" s="10">
        <v>98374.925127814204</v>
      </c>
      <c r="E27" s="10">
        <v>1402543.5047935401</v>
      </c>
      <c r="F27" s="10">
        <v>28211.060425697899</v>
      </c>
      <c r="G27" s="10">
        <v>95832.887588279205</v>
      </c>
      <c r="H27" s="10">
        <v>320712949.5</v>
      </c>
      <c r="I27" s="10">
        <v>38.286000000000001</v>
      </c>
      <c r="J27" s="23">
        <f>Calculation_Assumptions!$B$25*G27*(F27/G27)^Calculation_Assumptions!$B$26</f>
        <v>2449017.0701214601</v>
      </c>
      <c r="K27" s="23">
        <f>Calculation_Assumptions!$B$27*F27</f>
        <v>564221.20851395791</v>
      </c>
      <c r="L27" s="23">
        <f t="shared" si="0"/>
        <v>2449017.0701214601</v>
      </c>
      <c r="M27" s="23">
        <f t="shared" si="1"/>
        <v>86.810528677986596</v>
      </c>
      <c r="N27" s="23">
        <f>Calculation_Assumptions!$B$28*F27</f>
        <v>2821106.04256979</v>
      </c>
      <c r="O27" s="23">
        <f>Calculation_Assumptions!$B$29*F27</f>
        <v>4513769.6681116633</v>
      </c>
      <c r="P27" s="23">
        <f t="shared" si="2"/>
        <v>63966.386410736566</v>
      </c>
      <c r="Q27" s="23">
        <f t="shared" si="3"/>
        <v>240921870909.93756</v>
      </c>
      <c r="R27" s="23">
        <f t="shared" si="4"/>
        <v>89715639785.49234</v>
      </c>
      <c r="S27" s="23">
        <f t="shared" si="5"/>
        <v>277526095715.42731</v>
      </c>
      <c r="T27" s="23">
        <f t="shared" si="6"/>
        <v>444041753144.68365</v>
      </c>
      <c r="U27" s="21">
        <f>1/(1+Calculation_Assumptions!$B$22)^(C27-Calculation_Assumptions!$B$21)</f>
        <v>0.47760556926165965</v>
      </c>
      <c r="V27" s="23">
        <f t="shared" si="7"/>
        <v>115065627303.52481</v>
      </c>
      <c r="W27" s="23">
        <f t="shared" si="8"/>
        <v>42848689211.424072</v>
      </c>
      <c r="X27" s="23">
        <f t="shared" si="9"/>
        <v>132548008929.13251</v>
      </c>
      <c r="Y27" s="23">
        <f t="shared" si="10"/>
        <v>212076814286.61197</v>
      </c>
      <c r="Z27" s="23">
        <f t="shared" si="11"/>
        <v>9047652397648.2988</v>
      </c>
      <c r="AA27" s="23">
        <f t="shared" si="12"/>
        <v>4321209173860.4355</v>
      </c>
      <c r="AB27" s="33">
        <f t="shared" si="13"/>
        <v>2.6628108632086585E-2</v>
      </c>
    </row>
  </sheetData>
  <autoFilter ref="A1:AB1" xr:uid="{00000000-0009-0000-0000-00000F000000}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20.69921875" customWidth="1"/>
    <col min="2" max="2" width="26.69921875" customWidth="1"/>
    <col min="3" max="3" width="16.69921875" customWidth="1"/>
    <col min="4" max="4" width="14.69921875" customWidth="1"/>
    <col min="5" max="5" width="12.69921875" customWidth="1"/>
    <col min="6" max="6" width="34.69921875" customWidth="1"/>
    <col min="7" max="9" width="18.69921875" customWidth="1"/>
    <col min="10" max="10" width="14.69921875" customWidth="1"/>
    <col min="11" max="11" width="18.69921875" customWidth="1"/>
    <col min="12" max="12" width="14.69921875" customWidth="1"/>
    <col min="13" max="13" width="30.69921875" customWidth="1"/>
    <col min="14" max="14" width="60.69921875" customWidth="1"/>
  </cols>
  <sheetData>
    <row r="1" spans="1:14" ht="28.05" customHeight="1">
      <c r="A1" s="1" t="s">
        <v>282</v>
      </c>
      <c r="B1" s="1" t="s">
        <v>283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353</v>
      </c>
      <c r="L1" s="1" t="s">
        <v>363</v>
      </c>
      <c r="M1" s="1" t="s">
        <v>364</v>
      </c>
      <c r="N1" s="1" t="s">
        <v>365</v>
      </c>
    </row>
    <row r="2" spans="1:14" ht="69">
      <c r="A2" t="s">
        <v>115</v>
      </c>
      <c r="B2" s="14" t="s">
        <v>291</v>
      </c>
      <c r="C2" t="s">
        <v>366</v>
      </c>
      <c r="D2" t="s">
        <v>367</v>
      </c>
      <c r="E2" t="s">
        <v>368</v>
      </c>
      <c r="F2" s="14" t="s">
        <v>369</v>
      </c>
      <c r="G2" s="23">
        <f>SUMIFS(Economic_Value!$V$2:$V$27,Economic_Value!$A$2:$A$27,A2)</f>
        <v>1306495087120.6204</v>
      </c>
      <c r="H2" s="23">
        <f>SUMPRODUCT((Budget_Impact!$A$2:$A$27=A2)*Budget_Impact!$E$2:$E$27*(1/(1+Calculation_Assumptions!$B$22)^(Budget_Impact!$B$2:$B$27-Calculation_Assumptions!$B$21)))*Calculation_Assumptions!$B$34</f>
        <v>86006358625.102341</v>
      </c>
      <c r="I2" s="23">
        <f>G2-H2</f>
        <v>1220488728495.5181</v>
      </c>
      <c r="J2" s="28">
        <f>IF(H2&gt;0,G2/H2,"")</f>
        <v>15.19068017767815</v>
      </c>
      <c r="K2" s="23">
        <f>SUMIFS(Economic_Value!$AA$2:$AA$27,Economic_Value!$A$2:$A$27,A2)</f>
        <v>112531452455894.98</v>
      </c>
      <c r="L2" s="33">
        <f>IF(K2=0,"",G2/K2)</f>
        <v>1.1610043757612402E-2</v>
      </c>
      <c r="M2" s="32" t="str">
        <f>IF(H2&lt;=0,"cost-saving or ratio not meaningful (PV cost&lt;=0)",IF(J2&gt;=1,"benefits exceed costs (BCR&gt;=1)","costs exceed benefits (BCR&lt;1)"))</f>
        <v>benefits exceed costs (BCR&gt;=1)</v>
      </c>
      <c r="N2" s="14" t="s">
        <v>374</v>
      </c>
    </row>
    <row r="3" spans="1:14" ht="69">
      <c r="A3" t="s">
        <v>115</v>
      </c>
      <c r="B3" s="14" t="s">
        <v>291</v>
      </c>
      <c r="C3" t="s">
        <v>366</v>
      </c>
      <c r="D3" t="s">
        <v>367</v>
      </c>
      <c r="E3" t="s">
        <v>370</v>
      </c>
      <c r="F3" s="14" t="s">
        <v>371</v>
      </c>
      <c r="G3" s="23">
        <f>SUMIFS(Economic_Value!$W$2:$W$27,Economic_Value!$A$2:$A$27,A3)</f>
        <v>488784713896.12695</v>
      </c>
      <c r="H3" s="23">
        <f>SUMPRODUCT((Budget_Impact!$A$2:$A$27=A3)*Budget_Impact!$E$2:$E$27*(1/(1+Calculation_Assumptions!$B$22)^(Budget_Impact!$B$2:$B$27-Calculation_Assumptions!$B$21)))*Calculation_Assumptions!$B$34</f>
        <v>86006358625.102341</v>
      </c>
      <c r="I3" s="23">
        <f>G3-H3</f>
        <v>402778355271.0246</v>
      </c>
      <c r="J3" s="28">
        <f>IF(H3&gt;0,G3/H3,"")</f>
        <v>5.6831229889259287</v>
      </c>
      <c r="K3" s="23">
        <f>SUMIFS(Economic_Value!$AA$2:$AA$27,Economic_Value!$A$2:$A$27,A3)</f>
        <v>112531452455894.98</v>
      </c>
      <c r="L3" s="33">
        <f>IF(K3=0,"",G3/K3)</f>
        <v>4.3435386572273985E-3</v>
      </c>
      <c r="M3" s="32" t="str">
        <f>IF(H3&lt;=0,"cost-saving or ratio not meaningful (PV cost&lt;=0)",IF(J3&gt;=1,"benefits exceed costs (BCR&gt;=1)","costs exceed benefits (BCR&lt;1)"))</f>
        <v>benefits exceed costs (BCR&gt;=1)</v>
      </c>
      <c r="N3" s="14" t="s">
        <v>374</v>
      </c>
    </row>
    <row r="4" spans="1:14" ht="69">
      <c r="A4" t="s">
        <v>115</v>
      </c>
      <c r="B4" s="14" t="s">
        <v>291</v>
      </c>
      <c r="C4" t="s">
        <v>366</v>
      </c>
      <c r="D4" t="s">
        <v>367</v>
      </c>
      <c r="E4" t="s">
        <v>368</v>
      </c>
      <c r="F4" s="14" t="s">
        <v>372</v>
      </c>
      <c r="G4" s="23">
        <f>SUMIFS(Economic_Value!$X$2:$X$27,Economic_Value!$A$2:$A$27,A4)</f>
        <v>1579584941038.22</v>
      </c>
      <c r="H4" s="23">
        <f>SUMPRODUCT((Budget_Impact!$A$2:$A$27=A4)*Budget_Impact!$E$2:$E$27*(1/(1+Calculation_Assumptions!$B$22)^(Budget_Impact!$B$2:$B$27-Calculation_Assumptions!$B$21)))*Calculation_Assumptions!$B$34</f>
        <v>86006358625.102341</v>
      </c>
      <c r="I4" s="23">
        <f>G4-H4</f>
        <v>1493578582413.1177</v>
      </c>
      <c r="J4" s="28">
        <f>IF(H4&gt;0,G4/H4,"")</f>
        <v>18.365908826852632</v>
      </c>
      <c r="K4" s="23">
        <f>SUMIFS(Economic_Value!$AA$2:$AA$27,Economic_Value!$A$2:$A$27,A4)</f>
        <v>112531452455894.98</v>
      </c>
      <c r="L4" s="33">
        <f>IF(K4=0,"",G4/K4)</f>
        <v>1.403683065103345E-2</v>
      </c>
      <c r="M4" s="32" t="str">
        <f>IF(H4&lt;=0,"cost-saving or ratio not meaningful (PV cost&lt;=0)",IF(J4&gt;=1,"benefits exceed costs (BCR&gt;=1)","costs exceed benefits (BCR&lt;1)"))</f>
        <v>benefits exceed costs (BCR&gt;=1)</v>
      </c>
      <c r="N4" s="14" t="s">
        <v>374</v>
      </c>
    </row>
    <row r="5" spans="1:14" ht="69">
      <c r="A5" t="s">
        <v>115</v>
      </c>
      <c r="B5" s="14" t="s">
        <v>291</v>
      </c>
      <c r="C5" t="s">
        <v>366</v>
      </c>
      <c r="D5" t="s">
        <v>367</v>
      </c>
      <c r="E5" t="s">
        <v>368</v>
      </c>
      <c r="F5" s="14" t="s">
        <v>373</v>
      </c>
      <c r="G5" s="23">
        <f>SUMIFS(Economic_Value!$Y$2:$Y$27,Economic_Value!$A$2:$A$27,A5)</f>
        <v>2527335905661.1514</v>
      </c>
      <c r="H5" s="23">
        <f>SUMPRODUCT((Budget_Impact!$A$2:$A$27=A5)*Budget_Impact!$E$2:$E$27*(1/(1+Calculation_Assumptions!$B$22)^(Budget_Impact!$B$2:$B$27-Calculation_Assumptions!$B$21)))*Calculation_Assumptions!$B$34</f>
        <v>86006358625.102341</v>
      </c>
      <c r="I5" s="23">
        <f>G5-H5</f>
        <v>2441329547036.0488</v>
      </c>
      <c r="J5" s="28">
        <f>IF(H5&gt;0,G5/H5,"")</f>
        <v>29.385454122964202</v>
      </c>
      <c r="K5" s="23">
        <f>SUMIFS(Economic_Value!$AA$2:$AA$27,Economic_Value!$A$2:$A$27,A5)</f>
        <v>112531452455894.98</v>
      </c>
      <c r="L5" s="33">
        <f>IF(K5=0,"",G5/K5)</f>
        <v>2.2458929041653513E-2</v>
      </c>
      <c r="M5" s="32" t="str">
        <f>IF(H5&lt;=0,"cost-saving or ratio not meaningful (PV cost&lt;=0)",IF(J5&gt;=1,"benefits exceed costs (BCR&gt;=1)","costs exceed benefits (BCR&lt;1)"))</f>
        <v>benefits exceed costs (BCR&gt;=1)</v>
      </c>
      <c r="N5" s="14" t="s">
        <v>374</v>
      </c>
    </row>
  </sheetData>
  <autoFilter ref="A1:N1" xr:uid="{00000000-0009-0000-0000-000010000000}"/>
  <conditionalFormatting sqref="M2:M5">
    <cfRule type="containsText" dxfId="4" priority="1" operator="containsText" text="costs exceed">
      <formula>NOT(ISERROR(SEARCH("costs exceed", M2)))</formula>
    </cfRule>
    <cfRule type="containsText" dxfId="3" priority="2" operator="containsText" text="benefits exceed">
      <formula>NOT(ISERROR(SEARCH("benefits exceed", M2)))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5" width="11.69921875" customWidth="1"/>
  </cols>
  <sheetData>
    <row r="1" spans="1:5" ht="28.05" customHeight="1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</row>
    <row r="2" spans="1:5" ht="55.2">
      <c r="A2" t="s">
        <v>401</v>
      </c>
      <c r="B2" t="s">
        <v>175</v>
      </c>
      <c r="C2" s="16">
        <f>COUNTIF(Selected_Interventions!$U$2:$U$7,"&gt;1")</f>
        <v>0</v>
      </c>
      <c r="D2" s="16" t="str">
        <f>IF(C2=0,"PASS","FAIL")</f>
        <v>PASS</v>
      </c>
      <c r="E2" s="14" t="s">
        <v>402</v>
      </c>
    </row>
    <row r="3" spans="1:5" ht="110.4">
      <c r="A3" t="s">
        <v>403</v>
      </c>
      <c r="B3" t="s">
        <v>175</v>
      </c>
      <c r="C3" s="16">
        <f>COUNTIF(Input_Diagnostic!$E$2:$E$2,"FAIL")</f>
        <v>0</v>
      </c>
      <c r="D3" s="16" t="str">
        <f>IF(C3=0,"PASS","REVIEW")</f>
        <v>PASS</v>
      </c>
      <c r="E3" s="14" t="s">
        <v>404</v>
      </c>
    </row>
    <row r="4" spans="1:5" ht="110.4">
      <c r="A4" t="s">
        <v>405</v>
      </c>
      <c r="B4" t="s">
        <v>175</v>
      </c>
      <c r="C4" s="16">
        <f>COUNTIF(Input_Diagnostic!$E$2:$E$2,"REVIEW")</f>
        <v>0</v>
      </c>
      <c r="D4" s="16" t="str">
        <f>IF(C4=0,"PASS","REVIEW")</f>
        <v>PASS</v>
      </c>
      <c r="E4" s="14" t="s">
        <v>406</v>
      </c>
    </row>
    <row r="5" spans="1:5" ht="96.6">
      <c r="A5" t="s">
        <v>407</v>
      </c>
      <c r="B5" t="s">
        <v>408</v>
      </c>
      <c r="C5" s="16" t="b">
        <f>COUNTBLANK(Annual_Mortality!$G$2:$G$365)=0</f>
        <v>1</v>
      </c>
      <c r="D5" s="16" t="str">
        <f>IF(C5=TRUE,"PASS","FAIL")</f>
        <v>PASS</v>
      </c>
      <c r="E5" s="14" t="s">
        <v>409</v>
      </c>
    </row>
    <row r="6" spans="1:5" ht="55.2">
      <c r="A6" t="s">
        <v>410</v>
      </c>
      <c r="B6" t="s">
        <v>175</v>
      </c>
      <c r="C6" s="16">
        <f>Calculation_Assumptions!$B$16</f>
        <v>0</v>
      </c>
      <c r="D6" s="16" t="str">
        <f>IF(C6=0,"PASS","FAIL")</f>
        <v>PASS</v>
      </c>
      <c r="E6" s="14" t="s">
        <v>411</v>
      </c>
    </row>
    <row r="7" spans="1:5" ht="69">
      <c r="A7" t="s">
        <v>412</v>
      </c>
      <c r="B7" t="s">
        <v>413</v>
      </c>
      <c r="C7" s="16">
        <f>Calculation_Assumptions!$B$14</f>
        <v>127.1</v>
      </c>
      <c r="D7" s="16" t="str">
        <f>IF(C7&lt;=Calculation_Assumptions!$B$12,"PASS","REVIEW")</f>
        <v>PASS</v>
      </c>
      <c r="E7" s="14" t="s">
        <v>414</v>
      </c>
    </row>
    <row r="8" spans="1:5" ht="82.8">
      <c r="A8" t="s">
        <v>415</v>
      </c>
      <c r="B8" t="s">
        <v>416</v>
      </c>
      <c r="C8" s="16">
        <f>Calculation_Assumptions!$B$15</f>
        <v>1</v>
      </c>
      <c r="D8" s="16" t="str">
        <f>IF(C8=1,"PASS","FAIL")</f>
        <v>PASS</v>
      </c>
      <c r="E8" s="14" t="s">
        <v>417</v>
      </c>
    </row>
    <row r="9" spans="1:5" ht="82.8">
      <c r="A9" t="s">
        <v>418</v>
      </c>
      <c r="B9" t="s">
        <v>419</v>
      </c>
      <c r="C9" s="16">
        <f>ABS(SUM(Budget_Impact!$D$2:$D$27)-SUM(Annual_Cost!$R$2:$R$131))+ABS(SUM(Budget_Impact!$C$2:$C$27)-SUM(Annual_Cost!$Q$2:$Q$131))</f>
        <v>7.62939453125E-6</v>
      </c>
      <c r="D9" s="16" t="str">
        <f>IF(C9&lt;=Calculation_Assumptions!$B$11,"PASS","FAIL")</f>
        <v>PASS</v>
      </c>
      <c r="E9" s="14" t="s">
        <v>420</v>
      </c>
    </row>
    <row r="10" spans="1:5" ht="82.8">
      <c r="A10" t="s">
        <v>421</v>
      </c>
      <c r="B10" t="s">
        <v>175</v>
      </c>
      <c r="C10" s="16">
        <f>COUNTIF(Annual_Cost!$AH$2:$AH$131,"&gt;1")</f>
        <v>0</v>
      </c>
      <c r="D10" s="16" t="str">
        <f>IF(C10=0,"PASS","FAIL")</f>
        <v>PASS</v>
      </c>
      <c r="E10" s="14" t="s">
        <v>422</v>
      </c>
    </row>
    <row r="11" spans="1:5" ht="82.8">
      <c r="A11" t="s">
        <v>423</v>
      </c>
      <c r="B11" t="s">
        <v>424</v>
      </c>
      <c r="C11" s="16" t="str">
        <f>IF(COUNTIF(Cost_Effectiveness!$I$2:$I$2,"mismatch")=0,"consistent","mismatch")</f>
        <v>consistent</v>
      </c>
      <c r="D11" s="16" t="str">
        <f>IF(C11="consistent","PASS","FAIL")</f>
        <v>PASS</v>
      </c>
      <c r="E11" s="14" t="s">
        <v>425</v>
      </c>
    </row>
    <row r="12" spans="1:5" ht="82.8">
      <c r="A12" t="s">
        <v>426</v>
      </c>
      <c r="B12" t="s">
        <v>427</v>
      </c>
      <c r="C12" s="16">
        <f>INDEX(Cost_Effectiveness!$C$2:$C$2,MATCH(Calculation_Assumptions!$B$20,Cost_Effectiveness!$A$2:$A$2,0))</f>
        <v>1129892.8385736798</v>
      </c>
      <c r="D12" s="16" t="str">
        <f>IF(ABS(C12-Calculation_Assumptions!$B$17)&lt;=ABS(Calculation_Assumptions!$B$17)*0.000001+0.5,"PASS","FAIL")</f>
        <v>PASS</v>
      </c>
      <c r="E12" s="14" t="s">
        <v>428</v>
      </c>
    </row>
    <row r="13" spans="1:5" ht="96.6">
      <c r="A13" t="s">
        <v>429</v>
      </c>
      <c r="B13" t="s">
        <v>427</v>
      </c>
      <c r="C13" s="16">
        <f>INDEX(Cost_Effectiveness!$F$2:$F$2,MATCH(Calculation_Assumptions!$B$20,Cost_Effectiveness!$A$2:$A$2,0))</f>
        <v>28668786208.367447</v>
      </c>
      <c r="D13" s="16" t="str">
        <f>IF(ABS(C13-Calculation_Assumptions!$B$18)&lt;=ABS(Calculation_Assumptions!$B$18)*0.000001+1,"PASS","FAIL")</f>
        <v>PASS</v>
      </c>
      <c r="E13" s="14" t="s">
        <v>430</v>
      </c>
    </row>
    <row r="14" spans="1:5" ht="96.6">
      <c r="A14" t="s">
        <v>431</v>
      </c>
      <c r="B14" t="s">
        <v>427</v>
      </c>
      <c r="C14" s="16">
        <f>INDEX(Cost_Effectiveness!$G$2:$G$2,MATCH(Calculation_Assumptions!$B$20,Cost_Effectiveness!$A$2:$A$2,0))</f>
        <v>25373.013466088953</v>
      </c>
      <c r="D14" s="16" t="str">
        <f>IF(ABS(C14-Calculation_Assumptions!$B$19)&lt;=ABS(Calculation_Assumptions!$B$19)*0.000001+1,"PASS","FAIL")</f>
        <v>PASS</v>
      </c>
      <c r="E14" s="14" t="s">
        <v>432</v>
      </c>
    </row>
    <row r="15" spans="1:5" ht="110.4">
      <c r="A15" t="s">
        <v>433</v>
      </c>
      <c r="B15" t="s">
        <v>175</v>
      </c>
      <c r="C15" s="16">
        <f>SUMPRODUCT((Economic_Value!$L$2:$L$27&lt;Economic_Value!$K$2:$K$27)*1)</f>
        <v>0</v>
      </c>
      <c r="D15" s="16" t="str">
        <f>IF(C15=0,"PASS","FAIL")</f>
        <v>PASS</v>
      </c>
      <c r="E15" s="14" t="s">
        <v>434</v>
      </c>
    </row>
    <row r="16" spans="1:5" ht="124.2">
      <c r="A16" t="s">
        <v>435</v>
      </c>
      <c r="B16" t="s">
        <v>436</v>
      </c>
      <c r="C16" s="16" t="str">
        <f>IF(AND(Calculation_Assumptions!$B$26=1.5,Calculation_Assumptions!$B$25=160,Calculation_Assumptions!$B$27=20),"as_specified","edited")</f>
        <v>as_specified</v>
      </c>
      <c r="D16" s="16" t="str">
        <f>IF(C16="as_specified","PASS","REVIEW")</f>
        <v>PASS</v>
      </c>
      <c r="E16" s="14" t="s">
        <v>437</v>
      </c>
    </row>
    <row r="17" spans="1:5" ht="110.4">
      <c r="A17" t="s">
        <v>438</v>
      </c>
      <c r="B17" t="s">
        <v>439</v>
      </c>
      <c r="C17" s="16" t="str">
        <f>IF(Calculation_Assumptions!$B$33=Calculation_Assumptions!$B$6,"match","mismatch")</f>
        <v>match</v>
      </c>
      <c r="D17" s="16" t="str">
        <f>IF(C17="match","PASS","REVIEW")</f>
        <v>PASS</v>
      </c>
      <c r="E17" s="14" t="s">
        <v>440</v>
      </c>
    </row>
    <row r="18" spans="1:5" ht="138">
      <c r="A18" t="s">
        <v>441</v>
      </c>
      <c r="B18" t="s">
        <v>175</v>
      </c>
      <c r="C18" s="16">
        <f>SUMPRODUCT((COUNTIF(Health_Outcomes!$A$2:$A$27,Benefit_Cost!$A$2:$A$5)=0)*1)</f>
        <v>0</v>
      </c>
      <c r="D18" s="16" t="str">
        <f>IF(C18=0,"PASS","FAIL")</f>
        <v>PASS</v>
      </c>
      <c r="E18" s="14" t="s">
        <v>442</v>
      </c>
    </row>
    <row r="19" spans="1:5" ht="110.4">
      <c r="A19" t="s">
        <v>443</v>
      </c>
      <c r="B19" t="s">
        <v>175</v>
      </c>
      <c r="C19" s="16">
        <f>COUNTIF(CVD_40q30!$N$2:$N$53,"mismatch")</f>
        <v>0</v>
      </c>
      <c r="D19" s="16" t="str">
        <f>IF(C19=0,"PASS","FAIL")</f>
        <v>PASS</v>
      </c>
      <c r="E19" s="14" t="s">
        <v>444</v>
      </c>
    </row>
  </sheetData>
  <autoFilter ref="A1:E1" xr:uid="{00000000-0009-0000-0000-000011000000}"/>
  <conditionalFormatting sqref="D2:D19">
    <cfRule type="containsText" dxfId="2" priority="1" operator="containsText" text="REVIEW">
      <formula>NOT(ISERROR(SEARCH("REVIEW", D2)))</formula>
    </cfRule>
    <cfRule type="containsText" dxfId="1" priority="2" operator="containsText" text="FAIL">
      <formula>NOT(ISERROR(SEARCH("FAIL", D2)))</formula>
    </cfRule>
    <cfRule type="containsText" dxfId="0" priority="3" operator="containsText" text="PASS">
      <formula>NOT(ISERROR(SEARCH("PASS", D2)))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ColWidth="11.19921875" defaultRowHeight="13.8"/>
  <sheetData>
    <row r="1" spans="1:5">
      <c r="A1" s="1" t="s">
        <v>61</v>
      </c>
      <c r="B1" s="1" t="s">
        <v>392</v>
      </c>
      <c r="C1" s="1" t="s">
        <v>393</v>
      </c>
      <c r="D1" s="1" t="s">
        <v>394</v>
      </c>
      <c r="E1" s="1" t="s">
        <v>395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0.69921875" customWidth="1"/>
    <col min="2" max="2" width="26.69921875" customWidth="1"/>
    <col min="3" max="3" width="88.69921875" customWidth="1"/>
    <col min="4" max="4" width="58.69921875" customWidth="1"/>
  </cols>
  <sheetData>
    <row r="1" spans="1:4" ht="28.05" customHeight="1">
      <c r="A1" s="1" t="s">
        <v>445</v>
      </c>
      <c r="B1" s="1" t="s">
        <v>446</v>
      </c>
      <c r="C1" s="1" t="s">
        <v>447</v>
      </c>
      <c r="D1" s="1" t="s">
        <v>5</v>
      </c>
    </row>
    <row r="2" spans="1:4" ht="27.6">
      <c r="A2" t="s">
        <v>448</v>
      </c>
      <c r="B2" t="s">
        <v>449</v>
      </c>
      <c r="C2" s="14" t="s">
        <v>450</v>
      </c>
      <c r="D2" s="14" t="s">
        <v>451</v>
      </c>
    </row>
    <row r="3" spans="1:4" ht="27.6">
      <c r="A3" t="s">
        <v>452</v>
      </c>
      <c r="B3" t="s">
        <v>453</v>
      </c>
      <c r="C3" s="14" t="s">
        <v>454</v>
      </c>
      <c r="D3" s="14" t="s">
        <v>451</v>
      </c>
    </row>
    <row r="4" spans="1:4" ht="27.6">
      <c r="A4" t="s">
        <v>455</v>
      </c>
      <c r="B4" t="s">
        <v>456</v>
      </c>
      <c r="C4" s="14" t="s">
        <v>457</v>
      </c>
      <c r="D4" s="14" t="s">
        <v>451</v>
      </c>
    </row>
    <row r="5" spans="1:4" ht="27.6">
      <c r="A5" t="s">
        <v>458</v>
      </c>
      <c r="B5" t="s">
        <v>459</v>
      </c>
      <c r="C5" s="14" t="s">
        <v>460</v>
      </c>
      <c r="D5" s="14" t="s">
        <v>451</v>
      </c>
    </row>
    <row r="6" spans="1:4" ht="27.6">
      <c r="A6" t="s">
        <v>461</v>
      </c>
      <c r="B6" t="s">
        <v>462</v>
      </c>
      <c r="C6" s="14" t="s">
        <v>463</v>
      </c>
      <c r="D6" s="14" t="s">
        <v>464</v>
      </c>
    </row>
    <row r="7" spans="1:4">
      <c r="A7" t="s">
        <v>465</v>
      </c>
      <c r="B7" t="s">
        <v>466</v>
      </c>
      <c r="C7" s="14" t="s">
        <v>467</v>
      </c>
      <c r="D7" s="14" t="s">
        <v>468</v>
      </c>
    </row>
    <row r="8" spans="1:4" ht="27.6">
      <c r="A8" t="s">
        <v>469</v>
      </c>
      <c r="B8" t="s">
        <v>470</v>
      </c>
      <c r="C8" s="14" t="s">
        <v>471</v>
      </c>
      <c r="D8" s="14" t="s">
        <v>468</v>
      </c>
    </row>
    <row r="9" spans="1:4" ht="27.6">
      <c r="A9" t="s">
        <v>472</v>
      </c>
      <c r="B9" t="s">
        <v>473</v>
      </c>
      <c r="C9" s="14" t="s">
        <v>474</v>
      </c>
      <c r="D9" s="14" t="s">
        <v>468</v>
      </c>
    </row>
    <row r="10" spans="1:4">
      <c r="A10" t="s">
        <v>475</v>
      </c>
      <c r="B10" t="s">
        <v>138</v>
      </c>
      <c r="C10" s="14" t="s">
        <v>476</v>
      </c>
      <c r="D10" s="14" t="s">
        <v>468</v>
      </c>
    </row>
    <row r="11" spans="1:4">
      <c r="A11" t="s">
        <v>477</v>
      </c>
      <c r="B11" t="s">
        <v>140</v>
      </c>
      <c r="C11" s="14" t="s">
        <v>478</v>
      </c>
      <c r="D11" s="14" t="s">
        <v>468</v>
      </c>
    </row>
    <row r="12" spans="1:4">
      <c r="A12" t="s">
        <v>479</v>
      </c>
      <c r="B12" t="s">
        <v>480</v>
      </c>
      <c r="C12" s="14" t="s">
        <v>481</v>
      </c>
      <c r="D12" s="14" t="s">
        <v>482</v>
      </c>
    </row>
    <row r="13" spans="1:4" ht="27.6">
      <c r="A13" t="s">
        <v>483</v>
      </c>
      <c r="B13" t="s">
        <v>484</v>
      </c>
      <c r="C13" s="14" t="s">
        <v>485</v>
      </c>
      <c r="D13" s="14" t="s">
        <v>486</v>
      </c>
    </row>
    <row r="14" spans="1:4" ht="27.6">
      <c r="A14" t="s">
        <v>487</v>
      </c>
      <c r="B14" t="s">
        <v>488</v>
      </c>
      <c r="C14" s="14" t="s">
        <v>489</v>
      </c>
      <c r="D14" s="14" t="s">
        <v>490</v>
      </c>
    </row>
    <row r="15" spans="1:4" ht="41.4">
      <c r="A15" t="s">
        <v>491</v>
      </c>
      <c r="B15" t="s">
        <v>492</v>
      </c>
      <c r="C15" s="14" t="s">
        <v>493</v>
      </c>
      <c r="D15" s="14" t="s">
        <v>494</v>
      </c>
    </row>
    <row r="16" spans="1:4" ht="41.4">
      <c r="A16" t="s">
        <v>495</v>
      </c>
      <c r="B16" t="s">
        <v>496</v>
      </c>
      <c r="C16" s="14" t="s">
        <v>497</v>
      </c>
      <c r="D16" s="14" t="s">
        <v>494</v>
      </c>
    </row>
    <row r="17" spans="1:4" ht="41.4">
      <c r="A17" t="s">
        <v>498</v>
      </c>
      <c r="B17" t="s">
        <v>499</v>
      </c>
      <c r="C17" s="14" t="s">
        <v>500</v>
      </c>
      <c r="D17" s="14" t="s">
        <v>494</v>
      </c>
    </row>
    <row r="18" spans="1:4" ht="41.4">
      <c r="A18" t="s">
        <v>501</v>
      </c>
      <c r="B18" t="s">
        <v>502</v>
      </c>
      <c r="C18" s="14" t="s">
        <v>503</v>
      </c>
      <c r="D18" s="14" t="s">
        <v>494</v>
      </c>
    </row>
    <row r="19" spans="1:4" ht="82.8">
      <c r="A19" t="s">
        <v>504</v>
      </c>
      <c r="B19" t="s">
        <v>505</v>
      </c>
      <c r="C19" s="14" t="s">
        <v>506</v>
      </c>
      <c r="D19" s="14" t="s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7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38.69921875" customWidth="1"/>
    <col min="2" max="3" width="16.69921875" customWidth="1"/>
    <col min="4" max="4" width="24.69921875" customWidth="1"/>
    <col min="5" max="5" width="62.69921875" customWidth="1"/>
    <col min="6" max="6" width="40.69921875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4">
        <v>2025</v>
      </c>
      <c r="C2" t="s">
        <v>42</v>
      </c>
      <c r="D2" t="s">
        <v>43</v>
      </c>
      <c r="E2" s="14" t="s">
        <v>44</v>
      </c>
      <c r="F2" t="s">
        <v>45</v>
      </c>
    </row>
    <row r="3" spans="1:6">
      <c r="A3" t="s">
        <v>7</v>
      </c>
      <c r="B3" s="4">
        <v>2050</v>
      </c>
      <c r="C3" t="s">
        <v>42</v>
      </c>
      <c r="D3" t="s">
        <v>43</v>
      </c>
      <c r="E3" s="14" t="s">
        <v>46</v>
      </c>
      <c r="F3" t="s">
        <v>45</v>
      </c>
    </row>
    <row r="4" spans="1:6">
      <c r="A4" t="s">
        <v>8</v>
      </c>
      <c r="B4" s="2" t="s">
        <v>112</v>
      </c>
      <c r="C4" t="s">
        <v>47</v>
      </c>
      <c r="D4" t="s">
        <v>43</v>
      </c>
      <c r="E4" s="14" t="s">
        <v>48</v>
      </c>
      <c r="F4" t="s">
        <v>49</v>
      </c>
    </row>
    <row r="5" spans="1:6">
      <c r="A5" t="s">
        <v>9</v>
      </c>
      <c r="B5" s="5">
        <v>0.03</v>
      </c>
      <c r="C5" t="s">
        <v>50</v>
      </c>
      <c r="D5" t="s">
        <v>43</v>
      </c>
      <c r="E5" s="14" t="s">
        <v>51</v>
      </c>
      <c r="F5" t="s">
        <v>45</v>
      </c>
    </row>
    <row r="6" spans="1:6">
      <c r="A6" t="s">
        <v>10</v>
      </c>
      <c r="B6" s="4">
        <v>2023</v>
      </c>
      <c r="C6" t="s">
        <v>52</v>
      </c>
      <c r="D6" t="s">
        <v>53</v>
      </c>
      <c r="E6" s="14" t="s">
        <v>54</v>
      </c>
      <c r="F6" t="s">
        <v>55</v>
      </c>
    </row>
    <row r="7" spans="1:6">
      <c r="A7" t="s">
        <v>11</v>
      </c>
      <c r="B7" s="2" t="s">
        <v>84</v>
      </c>
      <c r="C7" t="s">
        <v>11</v>
      </c>
      <c r="D7" t="s">
        <v>53</v>
      </c>
      <c r="E7" s="14" t="s">
        <v>56</v>
      </c>
      <c r="F7" t="s">
        <v>55</v>
      </c>
    </row>
    <row r="8" spans="1:6">
      <c r="A8" t="s">
        <v>12</v>
      </c>
      <c r="B8" s="2" t="s">
        <v>113</v>
      </c>
      <c r="C8" t="s">
        <v>57</v>
      </c>
      <c r="D8" t="s">
        <v>53</v>
      </c>
      <c r="E8" s="14" t="s">
        <v>58</v>
      </c>
      <c r="F8" t="s">
        <v>55</v>
      </c>
    </row>
    <row r="9" spans="1:6">
      <c r="A9" t="s">
        <v>13</v>
      </c>
      <c r="B9" s="2" t="s">
        <v>114</v>
      </c>
      <c r="C9" t="s">
        <v>57</v>
      </c>
      <c r="D9" t="s">
        <v>43</v>
      </c>
      <c r="E9" s="14" t="s">
        <v>59</v>
      </c>
      <c r="F9" t="s">
        <v>55</v>
      </c>
    </row>
    <row r="10" spans="1:6">
      <c r="A10" t="s">
        <v>14</v>
      </c>
      <c r="B10" s="4">
        <v>0</v>
      </c>
      <c r="C10" t="s">
        <v>60</v>
      </c>
      <c r="D10" t="s">
        <v>61</v>
      </c>
      <c r="E10" s="14" t="s">
        <v>62</v>
      </c>
      <c r="F10" t="s">
        <v>55</v>
      </c>
    </row>
    <row r="11" spans="1:6">
      <c r="A11" t="s">
        <v>15</v>
      </c>
      <c r="B11" s="6">
        <v>1E-3</v>
      </c>
      <c r="C11" t="s">
        <v>63</v>
      </c>
      <c r="D11" t="s">
        <v>64</v>
      </c>
      <c r="E11" s="14" t="s">
        <v>65</v>
      </c>
      <c r="F11" t="s">
        <v>66</v>
      </c>
    </row>
    <row r="12" spans="1:6">
      <c r="A12" t="s">
        <v>16</v>
      </c>
      <c r="B12" s="7">
        <v>1000</v>
      </c>
      <c r="C12" t="s">
        <v>67</v>
      </c>
      <c r="D12" t="s">
        <v>64</v>
      </c>
      <c r="E12" s="14" t="s">
        <v>68</v>
      </c>
      <c r="F12" t="s">
        <v>69</v>
      </c>
    </row>
    <row r="13" spans="1:6">
      <c r="A13" t="s">
        <v>17</v>
      </c>
      <c r="B13" s="4">
        <v>2</v>
      </c>
      <c r="C13" t="s">
        <v>70</v>
      </c>
      <c r="D13" t="s">
        <v>71</v>
      </c>
      <c r="E13" s="14" t="s">
        <v>72</v>
      </c>
      <c r="F13" t="s">
        <v>73</v>
      </c>
    </row>
    <row r="14" spans="1:6">
      <c r="A14" t="s">
        <v>18</v>
      </c>
      <c r="B14" s="8">
        <v>127.1</v>
      </c>
      <c r="C14" t="s">
        <v>67</v>
      </c>
      <c r="D14" t="s">
        <v>74</v>
      </c>
      <c r="E14" s="14" t="s">
        <v>75</v>
      </c>
      <c r="F14" t="s">
        <v>76</v>
      </c>
    </row>
    <row r="15" spans="1:6">
      <c r="A15" t="s">
        <v>19</v>
      </c>
      <c r="B15" s="9">
        <v>1</v>
      </c>
      <c r="C15" t="s">
        <v>77</v>
      </c>
      <c r="D15" t="s">
        <v>74</v>
      </c>
      <c r="E15" s="14" t="s">
        <v>78</v>
      </c>
      <c r="F15" t="s">
        <v>76</v>
      </c>
    </row>
    <row r="16" spans="1:6">
      <c r="A16" t="s">
        <v>20</v>
      </c>
      <c r="B16" s="9">
        <v>0</v>
      </c>
      <c r="C16" t="s">
        <v>77</v>
      </c>
      <c r="D16" t="s">
        <v>74</v>
      </c>
      <c r="E16" s="14" t="s">
        <v>79</v>
      </c>
      <c r="F16" t="s">
        <v>76</v>
      </c>
    </row>
    <row r="17" spans="1:6">
      <c r="A17" t="s">
        <v>21</v>
      </c>
      <c r="B17" s="10">
        <v>1129892.83857368</v>
      </c>
      <c r="C17" t="s">
        <v>80</v>
      </c>
      <c r="D17" t="s">
        <v>81</v>
      </c>
      <c r="E17" s="14" t="s">
        <v>82</v>
      </c>
      <c r="F17" t="s">
        <v>83</v>
      </c>
    </row>
    <row r="18" spans="1:6">
      <c r="A18" t="s">
        <v>22</v>
      </c>
      <c r="B18" s="10">
        <v>28668786208.367401</v>
      </c>
      <c r="C18" t="s">
        <v>84</v>
      </c>
      <c r="D18" t="s">
        <v>81</v>
      </c>
      <c r="E18" s="14" t="s">
        <v>85</v>
      </c>
      <c r="F18" t="s">
        <v>83</v>
      </c>
    </row>
    <row r="19" spans="1:6">
      <c r="A19" t="s">
        <v>23</v>
      </c>
      <c r="B19" s="11">
        <v>25373.013466089</v>
      </c>
      <c r="C19" t="s">
        <v>86</v>
      </c>
      <c r="D19" t="s">
        <v>81</v>
      </c>
      <c r="E19" s="14" t="s">
        <v>87</v>
      </c>
      <c r="F19" t="s">
        <v>83</v>
      </c>
    </row>
    <row r="20" spans="1:6">
      <c r="A20" t="s">
        <v>24</v>
      </c>
      <c r="B20" s="3" t="s">
        <v>115</v>
      </c>
      <c r="C20" t="s">
        <v>47</v>
      </c>
      <c r="D20" t="s">
        <v>81</v>
      </c>
      <c r="E20" s="14" t="s">
        <v>88</v>
      </c>
      <c r="F20" t="s">
        <v>83</v>
      </c>
    </row>
    <row r="21" spans="1:6">
      <c r="A21" t="s">
        <v>25</v>
      </c>
      <c r="B21" s="4">
        <v>2025</v>
      </c>
      <c r="C21" t="s">
        <v>42</v>
      </c>
      <c r="D21" t="s">
        <v>89</v>
      </c>
      <c r="E21" s="14" t="s">
        <v>90</v>
      </c>
      <c r="F21" t="s">
        <v>91</v>
      </c>
    </row>
    <row r="22" spans="1:6">
      <c r="A22" t="s">
        <v>26</v>
      </c>
      <c r="B22" s="6">
        <v>0.03</v>
      </c>
      <c r="C22" t="s">
        <v>50</v>
      </c>
      <c r="D22" t="s">
        <v>89</v>
      </c>
      <c r="E22" s="14" t="s">
        <v>92</v>
      </c>
      <c r="F22" t="s">
        <v>91</v>
      </c>
    </row>
    <row r="23" spans="1:6">
      <c r="A23" t="s">
        <v>27</v>
      </c>
      <c r="B23" s="6">
        <v>0.03</v>
      </c>
      <c r="C23" t="s">
        <v>50</v>
      </c>
      <c r="D23" t="s">
        <v>89</v>
      </c>
      <c r="E23" s="14" t="s">
        <v>93</v>
      </c>
      <c r="F23" t="s">
        <v>91</v>
      </c>
    </row>
    <row r="24" spans="1:6" ht="27.6">
      <c r="A24" t="s">
        <v>28</v>
      </c>
      <c r="B24" s="6">
        <v>0.08</v>
      </c>
      <c r="C24" t="s">
        <v>50</v>
      </c>
      <c r="D24" t="s">
        <v>89</v>
      </c>
      <c r="E24" s="14" t="s">
        <v>94</v>
      </c>
      <c r="F24" t="s">
        <v>91</v>
      </c>
    </row>
    <row r="25" spans="1:6">
      <c r="A25" t="s">
        <v>29</v>
      </c>
      <c r="B25" s="4">
        <v>160</v>
      </c>
      <c r="C25" t="s">
        <v>95</v>
      </c>
      <c r="D25" t="s">
        <v>89</v>
      </c>
      <c r="E25" s="14" t="s">
        <v>96</v>
      </c>
      <c r="F25" t="s">
        <v>91</v>
      </c>
    </row>
    <row r="26" spans="1:6">
      <c r="A26" t="s">
        <v>30</v>
      </c>
      <c r="B26" s="12">
        <v>1.5</v>
      </c>
      <c r="C26" t="s">
        <v>97</v>
      </c>
      <c r="D26" t="s">
        <v>89</v>
      </c>
      <c r="E26" s="14" t="s">
        <v>98</v>
      </c>
      <c r="F26" t="s">
        <v>91</v>
      </c>
    </row>
    <row r="27" spans="1:6">
      <c r="A27" t="s">
        <v>31</v>
      </c>
      <c r="B27" s="4">
        <v>20</v>
      </c>
      <c r="C27" t="s">
        <v>95</v>
      </c>
      <c r="D27" t="s">
        <v>89</v>
      </c>
      <c r="E27" s="14" t="s">
        <v>99</v>
      </c>
      <c r="F27" t="s">
        <v>91</v>
      </c>
    </row>
    <row r="28" spans="1:6">
      <c r="A28" t="s">
        <v>32</v>
      </c>
      <c r="B28" s="4">
        <v>100</v>
      </c>
      <c r="C28" t="s">
        <v>95</v>
      </c>
      <c r="D28" t="s">
        <v>89</v>
      </c>
      <c r="E28" s="14" t="s">
        <v>100</v>
      </c>
      <c r="F28" t="s">
        <v>91</v>
      </c>
    </row>
    <row r="29" spans="1:6">
      <c r="A29" t="s">
        <v>33</v>
      </c>
      <c r="B29" s="4">
        <v>160</v>
      </c>
      <c r="C29" t="s">
        <v>95</v>
      </c>
      <c r="D29" t="s">
        <v>89</v>
      </c>
      <c r="E29" s="14" t="s">
        <v>101</v>
      </c>
      <c r="F29" t="s">
        <v>91</v>
      </c>
    </row>
    <row r="30" spans="1:6">
      <c r="A30" t="s">
        <v>34</v>
      </c>
      <c r="B30" s="4">
        <v>15</v>
      </c>
      <c r="C30" t="s">
        <v>102</v>
      </c>
      <c r="D30" t="s">
        <v>89</v>
      </c>
      <c r="E30" s="14" t="s">
        <v>103</v>
      </c>
      <c r="F30" t="s">
        <v>91</v>
      </c>
    </row>
    <row r="31" spans="1:6">
      <c r="A31" t="s">
        <v>35</v>
      </c>
      <c r="B31" s="4">
        <v>64</v>
      </c>
      <c r="C31" t="s">
        <v>102</v>
      </c>
      <c r="D31" t="s">
        <v>89</v>
      </c>
      <c r="E31" s="14" t="s">
        <v>104</v>
      </c>
      <c r="F31" t="s">
        <v>91</v>
      </c>
    </row>
    <row r="32" spans="1:6">
      <c r="A32" t="s">
        <v>36</v>
      </c>
      <c r="B32" s="2" t="s">
        <v>116</v>
      </c>
      <c r="C32" t="s">
        <v>57</v>
      </c>
      <c r="D32" t="s">
        <v>89</v>
      </c>
      <c r="E32" s="14" t="s">
        <v>105</v>
      </c>
      <c r="F32" t="s">
        <v>91</v>
      </c>
    </row>
    <row r="33" spans="1:6">
      <c r="A33" t="s">
        <v>37</v>
      </c>
      <c r="B33" s="4">
        <v>2023</v>
      </c>
      <c r="C33" t="s">
        <v>42</v>
      </c>
      <c r="D33" t="s">
        <v>89</v>
      </c>
      <c r="E33" s="14" t="s">
        <v>106</v>
      </c>
      <c r="F33" t="s">
        <v>91</v>
      </c>
    </row>
    <row r="34" spans="1:6">
      <c r="A34" t="s">
        <v>38</v>
      </c>
      <c r="B34" s="13">
        <v>3</v>
      </c>
      <c r="C34" t="s">
        <v>107</v>
      </c>
      <c r="D34" t="s">
        <v>89</v>
      </c>
      <c r="E34" s="14" t="s">
        <v>108</v>
      </c>
      <c r="F34" t="s">
        <v>91</v>
      </c>
    </row>
    <row r="35" spans="1:6">
      <c r="A35" t="s">
        <v>39</v>
      </c>
      <c r="B35" s="2" t="s">
        <v>117</v>
      </c>
      <c r="C35" t="s">
        <v>57</v>
      </c>
      <c r="D35" t="s">
        <v>89</v>
      </c>
      <c r="E35" s="14" t="s">
        <v>109</v>
      </c>
      <c r="F35" t="s">
        <v>91</v>
      </c>
    </row>
    <row r="36" spans="1:6">
      <c r="A36" t="s">
        <v>40</v>
      </c>
      <c r="B36" s="2" t="s">
        <v>118</v>
      </c>
      <c r="C36" t="s">
        <v>57</v>
      </c>
      <c r="D36" t="s">
        <v>89</v>
      </c>
      <c r="E36" s="14" t="s">
        <v>110</v>
      </c>
      <c r="F36" t="s">
        <v>91</v>
      </c>
    </row>
    <row r="37" spans="1:6">
      <c r="A37" t="s">
        <v>41</v>
      </c>
      <c r="B37" s="6">
        <v>7.4881374163431602E-2</v>
      </c>
      <c r="C37" t="s">
        <v>50</v>
      </c>
      <c r="D37" t="s">
        <v>89</v>
      </c>
      <c r="E37" s="14" t="s">
        <v>111</v>
      </c>
      <c r="F37" t="s">
        <v>91</v>
      </c>
    </row>
  </sheetData>
  <autoFilter ref="A1:F1" xr:uid="{00000000-0009-0000-0000-000014000000}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22.69921875" customWidth="1"/>
    <col min="2" max="2" width="18.69921875" customWidth="1"/>
    <col min="3" max="3" width="34.69921875" customWidth="1"/>
    <col min="4" max="4" width="52.69921875" customWidth="1"/>
    <col min="5" max="5" width="26.69921875" customWidth="1"/>
  </cols>
  <sheetData>
    <row r="1" spans="1:5" ht="28.05" customHeight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>
      <c r="A2" t="s">
        <v>513</v>
      </c>
      <c r="B2" t="s">
        <v>514</v>
      </c>
      <c r="C2" s="14" t="s">
        <v>515</v>
      </c>
      <c r="D2" s="14" t="s">
        <v>516</v>
      </c>
      <c r="E2" t="s">
        <v>517</v>
      </c>
    </row>
    <row r="3" spans="1:5">
      <c r="A3" t="s">
        <v>518</v>
      </c>
      <c r="B3" t="s">
        <v>519</v>
      </c>
      <c r="C3" s="14" t="s">
        <v>513</v>
      </c>
      <c r="D3" s="14" t="s">
        <v>520</v>
      </c>
      <c r="E3" t="s">
        <v>517</v>
      </c>
    </row>
    <row r="4" spans="1:5">
      <c r="A4" t="s">
        <v>521</v>
      </c>
      <c r="B4" t="s">
        <v>522</v>
      </c>
      <c r="C4" s="14" t="s">
        <v>523</v>
      </c>
      <c r="D4" s="14" t="s">
        <v>524</v>
      </c>
      <c r="E4" t="s">
        <v>517</v>
      </c>
    </row>
    <row r="5" spans="1:5" ht="27.6">
      <c r="A5" t="s">
        <v>525</v>
      </c>
      <c r="B5" t="s">
        <v>526</v>
      </c>
      <c r="C5" s="14" t="s">
        <v>527</v>
      </c>
      <c r="D5" s="14" t="s">
        <v>528</v>
      </c>
      <c r="E5" t="s">
        <v>517</v>
      </c>
    </row>
    <row r="6" spans="1:5" ht="27.6">
      <c r="A6" t="s">
        <v>529</v>
      </c>
      <c r="B6" t="s">
        <v>530</v>
      </c>
      <c r="C6" s="14" t="s">
        <v>531</v>
      </c>
      <c r="D6" s="14" t="s">
        <v>532</v>
      </c>
      <c r="E6" t="s">
        <v>517</v>
      </c>
    </row>
    <row r="7" spans="1:5" ht="27.6">
      <c r="A7" t="s">
        <v>533</v>
      </c>
      <c r="B7" t="s">
        <v>534</v>
      </c>
      <c r="C7" s="14" t="s">
        <v>535</v>
      </c>
      <c r="D7" s="14" t="s">
        <v>536</v>
      </c>
      <c r="E7" t="s">
        <v>517</v>
      </c>
    </row>
    <row r="8" spans="1:5" ht="41.4">
      <c r="A8" t="s">
        <v>537</v>
      </c>
      <c r="B8" t="s">
        <v>538</v>
      </c>
      <c r="C8" s="14" t="s">
        <v>539</v>
      </c>
      <c r="D8" s="14" t="s">
        <v>540</v>
      </c>
      <c r="E8" t="s">
        <v>517</v>
      </c>
    </row>
    <row r="9" spans="1:5">
      <c r="A9" t="s">
        <v>537</v>
      </c>
      <c r="B9" t="s">
        <v>541</v>
      </c>
      <c r="C9" s="14" t="s">
        <v>542</v>
      </c>
      <c r="D9" s="14" t="s">
        <v>543</v>
      </c>
      <c r="E9" t="s">
        <v>517</v>
      </c>
    </row>
    <row r="10" spans="1:5">
      <c r="A10" t="s">
        <v>544</v>
      </c>
      <c r="B10" t="s">
        <v>545</v>
      </c>
      <c r="C10" s="14" t="s">
        <v>537</v>
      </c>
      <c r="D10" s="14" t="s">
        <v>546</v>
      </c>
      <c r="E10" t="s">
        <v>517</v>
      </c>
    </row>
    <row r="11" spans="1:5" ht="27.6">
      <c r="A11" t="s">
        <v>547</v>
      </c>
      <c r="B11" t="s">
        <v>548</v>
      </c>
      <c r="C11" s="14" t="s">
        <v>549</v>
      </c>
      <c r="D11" s="14" t="s">
        <v>550</v>
      </c>
      <c r="E11" t="s">
        <v>517</v>
      </c>
    </row>
    <row r="12" spans="1:5" ht="27.6">
      <c r="A12" t="s">
        <v>551</v>
      </c>
      <c r="B12" t="s">
        <v>552</v>
      </c>
      <c r="C12" s="14" t="s">
        <v>553</v>
      </c>
      <c r="D12" s="14" t="s">
        <v>554</v>
      </c>
      <c r="E12" t="s">
        <v>517</v>
      </c>
    </row>
    <row r="13" spans="1:5" ht="41.4">
      <c r="A13" t="s">
        <v>555</v>
      </c>
      <c r="B13" t="s">
        <v>556</v>
      </c>
      <c r="C13" s="14" t="s">
        <v>557</v>
      </c>
      <c r="D13" s="14" t="s">
        <v>558</v>
      </c>
      <c r="E13" t="s">
        <v>517</v>
      </c>
    </row>
    <row r="14" spans="1:5">
      <c r="A14" t="s">
        <v>559</v>
      </c>
      <c r="B14" t="s">
        <v>560</v>
      </c>
      <c r="C14" s="14" t="s">
        <v>561</v>
      </c>
      <c r="D14" s="14" t="s">
        <v>562</v>
      </c>
      <c r="E14" t="s">
        <v>517</v>
      </c>
    </row>
    <row r="15" spans="1:5">
      <c r="A15" t="s">
        <v>563</v>
      </c>
      <c r="B15" t="s">
        <v>564</v>
      </c>
      <c r="C15" s="14" t="s">
        <v>565</v>
      </c>
      <c r="D15" s="14" t="s">
        <v>566</v>
      </c>
      <c r="E15" t="s">
        <v>517</v>
      </c>
    </row>
    <row r="16" spans="1:5">
      <c r="A16" t="s">
        <v>567</v>
      </c>
      <c r="B16" t="s">
        <v>568</v>
      </c>
      <c r="C16" s="14" t="s">
        <v>569</v>
      </c>
      <c r="D16" s="14" t="s">
        <v>570</v>
      </c>
      <c r="E16" t="s">
        <v>571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Run_Metadata</vt:lpstr>
      <vt:lpstr>Scenario_Catalog</vt:lpstr>
      <vt:lpstr>Cascade_Assumptions</vt:lpstr>
      <vt:lpstr>Cascade_Trajectory</vt:lpstr>
      <vt:lpstr>Cascade_QA</vt:lpstr>
      <vt:lpstr>Selected_Interventions</vt:lpstr>
      <vt:lpstr>Cost_Components</vt:lpstr>
      <vt:lpstr>Annual_Mortality</vt:lpstr>
      <vt:lpstr>Health_Outcomes</vt:lpstr>
      <vt:lpstr>CVD_40q30</vt:lpstr>
      <vt:lpstr>CVD_40q30_Age</vt:lpstr>
      <vt:lpstr>Annual_Cost</vt:lpstr>
      <vt:lpstr>Budget_Impact</vt:lpstr>
      <vt:lpstr>Cost_Effectiveness</vt:lpstr>
      <vt:lpstr>Economic_Value</vt:lpstr>
      <vt:lpstr>Benefit_Cost</vt:lpstr>
      <vt:lpstr>QA_Checks</vt:lpstr>
      <vt:lpstr>Input_Diagnostic</vt:lpstr>
      <vt:lpstr>Methods_and_Sources</vt:lpstr>
      <vt:lpstr>Calculation_Assumptions</vt:lpstr>
      <vt:lpstr>Calculation_Map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wrgar</dc:creator>
  <cp:lastModifiedBy>William R Garcia</cp:lastModifiedBy>
  <dcterms:created xsi:type="dcterms:W3CDTF">2026-08-28T01:10:43Z</dcterms:created>
  <dcterms:modified xsi:type="dcterms:W3CDTF">2026-08-28T03:22:39Z</dcterms:modified>
</cp:coreProperties>
</file>